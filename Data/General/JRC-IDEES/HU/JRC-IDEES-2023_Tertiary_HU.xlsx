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HU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27" i="6"/>
  <c r="Y119" i="6"/>
  <c r="Y173" i="6" s="1"/>
  <c r="X119" i="6"/>
  <c r="X173" i="6" s="1"/>
  <c r="X26" i="12"/>
  <c r="Y16" i="7"/>
  <c r="X16" i="7"/>
  <c r="X13" i="12"/>
  <c r="X21" i="12"/>
  <c r="X20" i="12"/>
  <c r="X16" i="8"/>
  <c r="Y14" i="12"/>
  <c r="X7" i="12"/>
  <c r="Y6" i="12"/>
  <c r="X33" i="10"/>
  <c r="Y22" i="13"/>
  <c r="X22" i="13"/>
  <c r="Y21" i="13"/>
  <c r="X21" i="13"/>
  <c r="Y20" i="13"/>
  <c r="Y18" i="13"/>
  <c r="Y17" i="13"/>
  <c r="X17" i="10"/>
  <c r="Y6" i="13"/>
  <c r="X5" i="10"/>
  <c r="Y33" i="10"/>
  <c r="Y18" i="10"/>
  <c r="X18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4" i="12"/>
  <c r="X23" i="12"/>
  <c r="Y22" i="12"/>
  <c r="X17" i="12"/>
  <c r="X14" i="12"/>
  <c r="Y33" i="13"/>
  <c r="X33" i="13"/>
  <c r="X32" i="13"/>
  <c r="Y14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14" i="24"/>
  <c r="X13" i="23"/>
  <c r="Y10" i="24"/>
  <c r="X9" i="23"/>
  <c r="Y7" i="25"/>
  <c r="X24" i="23"/>
  <c r="Y23" i="23"/>
  <c r="X23" i="23"/>
  <c r="X33" i="21"/>
  <c r="Y22" i="24"/>
  <c r="X21" i="21"/>
  <c r="Y20" i="21"/>
  <c r="X18" i="24"/>
  <c r="Y17" i="24"/>
  <c r="X15" i="21"/>
  <c r="X20" i="21"/>
  <c r="Y18" i="21"/>
  <c r="X5" i="21"/>
  <c r="Y33" i="25"/>
  <c r="Y33" i="28" s="1"/>
  <c r="X33" i="25"/>
  <c r="X33" i="28" s="1"/>
  <c r="Y26" i="25"/>
  <c r="Y26" i="28" s="1"/>
  <c r="X25" i="25"/>
  <c r="X25" i="28" s="1"/>
  <c r="X24" i="25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2" i="23"/>
  <c r="Y20" i="23"/>
  <c r="Y20" i="26" s="1"/>
  <c r="Y8" i="23"/>
  <c r="Y33" i="24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Y10" i="30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33" i="27" l="1"/>
  <c r="Y7" i="28"/>
  <c r="Y24" i="28"/>
  <c r="Y17" i="10"/>
  <c r="X8" i="12"/>
  <c r="Y24" i="23"/>
  <c r="Y24" i="26" s="1"/>
  <c r="Y5" i="10"/>
  <c r="X25" i="23"/>
  <c r="Y24" i="12"/>
  <c r="X25" i="12"/>
  <c r="X7" i="21"/>
  <c r="X23" i="21"/>
  <c r="Y23" i="10"/>
  <c r="Y10" i="12"/>
  <c r="X8" i="13"/>
  <c r="X11" i="12"/>
  <c r="Y8" i="13"/>
  <c r="X9" i="21"/>
  <c r="X25" i="24"/>
  <c r="X17" i="24"/>
  <c r="X17" i="27" s="1"/>
  <c r="X25" i="13"/>
  <c r="X12" i="12"/>
  <c r="X14" i="30"/>
  <c r="Y23" i="28"/>
  <c r="X7" i="14"/>
  <c r="Y25" i="13"/>
  <c r="X31" i="23"/>
  <c r="X26" i="13"/>
  <c r="Y26" i="24"/>
  <c r="Y26" i="27" s="1"/>
  <c r="Y31" i="23"/>
  <c r="Y10" i="13"/>
  <c r="Y26" i="13"/>
  <c r="X27" i="21"/>
  <c r="X32" i="23"/>
  <c r="X11" i="13"/>
  <c r="Y11" i="24"/>
  <c r="Y11" i="27" s="1"/>
  <c r="X13" i="29"/>
  <c r="X5" i="31" s="1"/>
  <c r="X12" i="24"/>
  <c r="X12" i="13"/>
  <c r="X30" i="13"/>
  <c r="Y7" i="24"/>
  <c r="Y7" i="27" s="1"/>
  <c r="Y8" i="24"/>
  <c r="Y8" i="25"/>
  <c r="Y8" i="28" s="1"/>
  <c r="Y13" i="29"/>
  <c r="Y5" i="29" s="1"/>
  <c r="Y9" i="25"/>
  <c r="Y9" i="28" s="1"/>
  <c r="Y12" i="24"/>
  <c r="Y21" i="25"/>
  <c r="Y21" i="28" s="1"/>
  <c r="X10" i="14"/>
  <c r="X30" i="14"/>
  <c r="Y12" i="13"/>
  <c r="Y52" i="38"/>
  <c r="X14" i="29"/>
  <c r="X6" i="29" s="1"/>
  <c r="X10" i="25"/>
  <c r="X13" i="21"/>
  <c r="X31" i="24"/>
  <c r="X17" i="23"/>
  <c r="X22" i="24"/>
  <c r="Y10" i="14"/>
  <c r="X31" i="13"/>
  <c r="Y33" i="12"/>
  <c r="X8" i="25"/>
  <c r="Y17" i="23"/>
  <c r="X31" i="14"/>
  <c r="Y31" i="13"/>
  <c r="X8" i="24"/>
  <c r="X9" i="36"/>
  <c r="Y53" i="38"/>
  <c r="Y31" i="14"/>
  <c r="X32" i="10"/>
  <c r="Y14" i="21"/>
  <c r="Y32" i="21"/>
  <c r="X17" i="13"/>
  <c r="Y19" i="22"/>
  <c r="Y45" i="37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17" i="25"/>
  <c r="Y31" i="21"/>
  <c r="Y6" i="23"/>
  <c r="Y6" i="26" s="1"/>
  <c r="Y10" i="23"/>
  <c r="Y10" i="26" s="1"/>
  <c r="Y14" i="23"/>
  <c r="Y14" i="26" s="1"/>
  <c r="Y19" i="19"/>
  <c r="Y5" i="23"/>
  <c r="Y5" i="26" s="1"/>
  <c r="X14" i="36"/>
  <c r="X22" i="25"/>
  <c r="X22" i="28" s="1"/>
  <c r="X17" i="21"/>
  <c r="X32" i="21"/>
  <c r="X7" i="23"/>
  <c r="X11" i="23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23" i="26" s="1"/>
  <c r="Y8" i="14"/>
  <c r="Y12" i="12"/>
  <c r="Y18" i="12"/>
  <c r="Y28" i="12"/>
  <c r="X82" i="6"/>
  <c r="X81" i="6" s="1"/>
  <c r="X89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139" i="6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31" i="6" s="1"/>
  <c r="Y12" i="27"/>
  <c r="X21" i="27"/>
  <c r="X29" i="8"/>
  <c r="X30" i="12"/>
  <c r="X30" i="10"/>
  <c r="X4" i="7"/>
  <c r="X5" i="12"/>
  <c r="X32" i="14"/>
  <c r="X29" i="11"/>
  <c r="Y20" i="12"/>
  <c r="Y20" i="10"/>
  <c r="X33" i="6"/>
  <c r="X5" i="24"/>
  <c r="X5" i="23"/>
  <c r="X30" i="23"/>
  <c r="X18" i="13"/>
  <c r="X20" i="10"/>
  <c r="X10" i="13"/>
  <c r="X14" i="10"/>
  <c r="X19" i="9"/>
  <c r="X19" i="10" s="1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X17" i="28"/>
  <c r="Y29" i="22"/>
  <c r="Y29" i="25" s="1"/>
  <c r="Y29" i="28" s="1"/>
  <c r="Y5" i="21"/>
  <c r="Y23" i="24"/>
  <c r="Y23" i="27" s="1"/>
  <c r="Y28" i="24"/>
  <c r="Y28" i="27" s="1"/>
  <c r="Y17" i="26"/>
  <c r="Y16" i="18"/>
  <c r="Y16" i="23" s="1"/>
  <c r="Y16" i="26" s="1"/>
  <c r="Y32" i="25"/>
  <c r="Y32" i="28" s="1"/>
  <c r="Y5" i="13"/>
  <c r="X5" i="14"/>
  <c r="X19" i="11"/>
  <c r="X4" i="9"/>
  <c r="X4" i="13" s="1"/>
  <c r="X15" i="10"/>
  <c r="Y13" i="12"/>
  <c r="X27" i="10"/>
  <c r="Y11" i="12"/>
  <c r="Y21" i="27"/>
  <c r="X5" i="25"/>
  <c r="X5" i="28" s="1"/>
  <c r="X28" i="13"/>
  <c r="Y9" i="13"/>
  <c r="Y16" i="9"/>
  <c r="Y16" i="13" s="1"/>
  <c r="Y9" i="39"/>
  <c r="Y17" i="38"/>
  <c r="Y46" i="37"/>
  <c r="Y17" i="27"/>
  <c r="X6" i="25"/>
  <c r="X6" i="28" s="1"/>
  <c r="Y8" i="27"/>
  <c r="Y15" i="21"/>
  <c r="X51" i="39"/>
  <c r="Y32" i="24"/>
  <c r="Y32" i="27" s="1"/>
  <c r="Y16" i="22"/>
  <c r="X6" i="24"/>
  <c r="X6" i="27" s="1"/>
  <c r="X24" i="24"/>
  <c r="X30" i="24"/>
  <c r="X6" i="13"/>
  <c r="Y11" i="10"/>
  <c r="Y15" i="10"/>
  <c r="X8" i="14"/>
  <c r="Y22" i="26"/>
  <c r="X13" i="13"/>
  <c r="X9" i="39"/>
  <c r="X5" i="39" s="1"/>
  <c r="X46" i="37"/>
  <c r="X21" i="23"/>
  <c r="X21" i="26" s="1"/>
  <c r="Y13" i="13"/>
  <c r="X19" i="7"/>
  <c r="X27" i="12" s="1"/>
  <c r="X29" i="7"/>
  <c r="Y19" i="18"/>
  <c r="Y31" i="25"/>
  <c r="Y31" i="28" s="1"/>
  <c r="Y9" i="38"/>
  <c r="Y52" i="37"/>
  <c r="X32" i="24"/>
  <c r="X32" i="27" s="1"/>
  <c r="Y51" i="39"/>
  <c r="Y6" i="24"/>
  <c r="Y24" i="24"/>
  <c r="Y18" i="23"/>
  <c r="Y18" i="26" s="1"/>
  <c r="X16" i="9"/>
  <c r="X16" i="13" s="1"/>
  <c r="X19" i="8"/>
  <c r="Y33" i="6"/>
  <c r="X103" i="6"/>
  <c r="X124" i="6" s="1"/>
  <c r="X17" i="37"/>
  <c r="X50" i="37" s="1"/>
  <c r="Y11" i="23"/>
  <c r="Y11" i="26" s="1"/>
  <c r="Y71" i="6"/>
  <c r="Y104" i="6"/>
  <c r="X32" i="2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16" i="19"/>
  <c r="X7" i="10"/>
  <c r="Y25" i="10"/>
  <c r="Y19" i="9"/>
  <c r="X12" i="23"/>
  <c r="Y22" i="21"/>
  <c r="Y13" i="21"/>
  <c r="Y16" i="19"/>
  <c r="X8" i="10"/>
  <c r="X26" i="10"/>
  <c r="X30" i="25"/>
  <c r="X22" i="27"/>
  <c r="Y23" i="21"/>
  <c r="X14" i="21"/>
  <c r="X33" i="23"/>
  <c r="X4" i="11"/>
  <c r="X4" i="14" s="1"/>
  <c r="Y8" i="10"/>
  <c r="Y26" i="10"/>
  <c r="X15" i="7"/>
  <c r="X15" i="13" s="1"/>
  <c r="Y19" i="7"/>
  <c r="Y27" i="12" s="1"/>
  <c r="Y17" i="37"/>
  <c r="X31" i="25"/>
  <c r="X31" i="28" s="1"/>
  <c r="Y24" i="21"/>
  <c r="X7" i="13"/>
  <c r="X9" i="10"/>
  <c r="X115" i="6"/>
  <c r="X23" i="24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4" i="19"/>
  <c r="X26" i="23"/>
  <c r="Y9" i="14"/>
  <c r="Y25" i="6"/>
  <c r="Y49" i="37"/>
  <c r="X16" i="29"/>
  <c r="Y9" i="23"/>
  <c r="Y9" i="26" s="1"/>
  <c r="X26" i="6"/>
  <c r="X33" i="39"/>
  <c r="Y51" i="38"/>
  <c r="X9" i="38"/>
  <c r="X52" i="38"/>
  <c r="X68" i="29"/>
  <c r="X6" i="30" s="1"/>
  <c r="X10" i="23"/>
  <c r="Y12" i="29"/>
  <c r="Y16" i="29"/>
  <c r="Y24" i="27"/>
  <c r="X8" i="23"/>
  <c r="Y30" i="23"/>
  <c r="Y30" i="26" s="1"/>
  <c r="X24" i="21"/>
  <c r="X29" i="20"/>
  <c r="X31" i="21"/>
  <c r="X4" i="18"/>
  <c r="X3" i="18" s="1"/>
  <c r="X15" i="18"/>
  <c r="X6" i="23"/>
  <c r="X6" i="26" s="1"/>
  <c r="Y32" i="14"/>
  <c r="Y29" i="11"/>
  <c r="Y29" i="14" s="1"/>
  <c r="Y29" i="8"/>
  <c r="Y29" i="12" s="1"/>
  <c r="Y30" i="12"/>
  <c r="X3" i="7"/>
  <c r="X69" i="29"/>
  <c r="X6" i="31" s="1"/>
  <c r="Y22" i="28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31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X22" i="26" s="1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X14" i="24"/>
  <c r="Y6" i="27"/>
  <c r="Y10" i="27"/>
  <c r="Y14" i="27"/>
  <c r="Y18" i="27"/>
  <c r="Y22" i="27"/>
  <c r="Y33" i="26"/>
  <c r="X16" i="22"/>
  <c r="Y7" i="21"/>
  <c r="X16" i="20"/>
  <c r="X18" i="21"/>
  <c r="Y28" i="23"/>
  <c r="Y28" i="26" s="1"/>
  <c r="X16" i="18"/>
  <c r="X18" i="23"/>
  <c r="Y7" i="13"/>
  <c r="Y11" i="13"/>
  <c r="Y15" i="13"/>
  <c r="Y23" i="13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33" i="26" l="1"/>
  <c r="X31" i="26"/>
  <c r="X8" i="26"/>
  <c r="X10" i="27"/>
  <c r="X25" i="26"/>
  <c r="X12" i="36"/>
  <c r="X8" i="27"/>
  <c r="X7" i="28"/>
  <c r="X29" i="13"/>
  <c r="Y19" i="23"/>
  <c r="Y19" i="26" s="1"/>
  <c r="Y5" i="39"/>
  <c r="Y37" i="39" s="1"/>
  <c r="X18" i="27"/>
  <c r="X5" i="29"/>
  <c r="X26" i="27"/>
  <c r="X29" i="23"/>
  <c r="Y28" i="16"/>
  <c r="X7" i="27"/>
  <c r="X10" i="26"/>
  <c r="X4" i="12"/>
  <c r="X30" i="26"/>
  <c r="X22" i="15"/>
  <c r="X14" i="27"/>
  <c r="X15" i="12"/>
  <c r="X15" i="15" s="1"/>
  <c r="X30" i="28"/>
  <c r="X29" i="26"/>
  <c r="Y16" i="25"/>
  <c r="Y16" i="28" s="1"/>
  <c r="Y5" i="37"/>
  <c r="Y44" i="39" s="1"/>
  <c r="Y10" i="17"/>
  <c r="X8" i="28"/>
  <c r="X23" i="28"/>
  <c r="Y10" i="16"/>
  <c r="X14" i="26"/>
  <c r="Y30" i="15"/>
  <c r="X163" i="6"/>
  <c r="X12" i="26"/>
  <c r="X17" i="26"/>
  <c r="X26" i="26"/>
  <c r="X10" i="28"/>
  <c r="X28" i="27"/>
  <c r="X23" i="27"/>
  <c r="X30" i="27"/>
  <c r="X18" i="26"/>
  <c r="X24" i="27"/>
  <c r="X11" i="26"/>
  <c r="X7" i="26"/>
  <c r="X114" i="6"/>
  <c r="X144" i="6" s="1"/>
  <c r="X16" i="10"/>
  <c r="Y24" i="15"/>
  <c r="X93" i="6"/>
  <c r="X4" i="23"/>
  <c r="X4" i="26" s="1"/>
  <c r="X29" i="10"/>
  <c r="X3" i="8"/>
  <c r="X91" i="6"/>
  <c r="X3" i="19"/>
  <c r="X3" i="23" s="1"/>
  <c r="X9" i="29"/>
  <c r="X3" i="35" s="1"/>
  <c r="Y31" i="6"/>
  <c r="X25" i="27"/>
  <c r="Y27" i="24"/>
  <c r="Y27" i="27" s="1"/>
  <c r="Y5" i="31"/>
  <c r="X5" i="26"/>
  <c r="X13" i="26"/>
  <c r="X5" i="27"/>
  <c r="X90" i="6"/>
  <c r="X5" i="32"/>
  <c r="X11" i="27"/>
  <c r="X94" i="6"/>
  <c r="X92" i="6"/>
  <c r="X27" i="13"/>
  <c r="X27" i="16" s="1"/>
  <c r="X28" i="26"/>
  <c r="X33" i="27"/>
  <c r="X9" i="27"/>
  <c r="X13" i="27"/>
  <c r="X113" i="6"/>
  <c r="X143" i="6" s="1"/>
  <c r="X21" i="28"/>
  <c r="X57" i="6"/>
  <c r="X56" i="6"/>
  <c r="X19" i="13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53" i="6" s="1"/>
  <c r="X12" i="27"/>
  <c r="X24" i="26"/>
  <c r="X58" i="6"/>
  <c r="Y50" i="39"/>
  <c r="Y48" i="38"/>
  <c r="X19" i="14"/>
  <c r="X19" i="17" s="1"/>
  <c r="X31" i="27"/>
  <c r="X16" i="23"/>
  <c r="X16" i="26" s="1"/>
  <c r="X5" i="37"/>
  <c r="X40" i="37" s="1"/>
  <c r="X48" i="39"/>
  <c r="Y27" i="23"/>
  <c r="Y27" i="26" s="1"/>
  <c r="X55" i="6"/>
  <c r="X32" i="28"/>
  <c r="X161" i="6"/>
  <c r="Y5" i="16"/>
  <c r="X4" i="15"/>
  <c r="X169" i="6"/>
  <c r="X159" i="6"/>
  <c r="X155" i="6"/>
  <c r="X171" i="6"/>
  <c r="X131" i="6"/>
  <c r="X165" i="6"/>
  <c r="Y14" i="15"/>
  <c r="Y9" i="17"/>
  <c r="Y23" i="16"/>
  <c r="X156" i="6"/>
  <c r="X11" i="29"/>
  <c r="Y147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15" i="16"/>
  <c r="Y9" i="16"/>
  <c r="Y18" i="15"/>
  <c r="Y14" i="16"/>
  <c r="Y5" i="15"/>
  <c r="Y32" i="15"/>
  <c r="Y29" i="15"/>
  <c r="Y20" i="15"/>
  <c r="Y25" i="15"/>
  <c r="Y11" i="16"/>
  <c r="Y17" i="16"/>
  <c r="Y22" i="15"/>
  <c r="Y18" i="16"/>
  <c r="Y17" i="15"/>
  <c r="Y29" i="17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29" i="16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19" i="1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4" i="17"/>
  <c r="X140" i="6"/>
  <c r="X16" i="15"/>
  <c r="X20" i="17"/>
  <c r="X32" i="16"/>
  <c r="X8" i="15"/>
  <c r="X23" i="15"/>
  <c r="Y31" i="36"/>
  <c r="Y34" i="36"/>
  <c r="Y32" i="36"/>
  <c r="X8" i="36"/>
  <c r="X3" i="11"/>
  <c r="Y159" i="6"/>
  <c r="Y135" i="6"/>
  <c r="X5" i="38"/>
  <c r="X38" i="38" s="1"/>
  <c r="X44" i="37"/>
  <c r="X3" i="31"/>
  <c r="Y163" i="6"/>
  <c r="Y165" i="6"/>
  <c r="Y3" i="31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X16" i="16"/>
  <c r="Y169" i="6"/>
  <c r="X35" i="39"/>
  <c r="X16" i="25"/>
  <c r="X16" i="28" s="1"/>
  <c r="X30" i="16"/>
  <c r="X9" i="17"/>
  <c r="X31" i="17"/>
  <c r="X147" i="6"/>
  <c r="X26" i="15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36" i="39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Y38" i="39"/>
  <c r="Y35" i="39"/>
  <c r="X31" i="36"/>
  <c r="X34" i="36"/>
  <c r="X32" i="36"/>
  <c r="X38" i="39"/>
  <c r="X37" i="39"/>
  <c r="X3" i="14" l="1"/>
  <c r="Y32" i="37"/>
  <c r="Y39" i="37"/>
  <c r="Y44" i="38"/>
  <c r="Y33" i="37"/>
  <c r="Y40" i="37"/>
  <c r="X3" i="12"/>
  <c r="Y34" i="37"/>
  <c r="Y38" i="37"/>
  <c r="Y37" i="37"/>
  <c r="Y35" i="37"/>
  <c r="Y36" i="37"/>
  <c r="Y39" i="38"/>
  <c r="X34" i="37"/>
  <c r="X3" i="29"/>
  <c r="X168" i="6"/>
  <c r="X129" i="6"/>
  <c r="X167" i="6"/>
  <c r="X36" i="37"/>
  <c r="X32" i="37"/>
  <c r="X33" i="37"/>
  <c r="X44" i="39"/>
  <c r="X35" i="37"/>
  <c r="X38" i="37"/>
  <c r="X39" i="37"/>
  <c r="X37" i="37"/>
  <c r="X3" i="13"/>
  <c r="X3" i="16" s="1"/>
  <c r="X3" i="10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" i="17"/>
  <c r="X39" i="38"/>
  <c r="X37" i="38"/>
  <c r="Y3" i="35"/>
  <c r="X32" i="38"/>
  <c r="Y3" i="14"/>
  <c r="Y3" i="34"/>
  <c r="Y3" i="2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Y31" i="37"/>
  <c r="X31" i="37" l="1"/>
  <c r="X3" i="15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K5" i="29" s="1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T7" i="29"/>
  <c r="R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3" i="31"/>
  <c r="W8" i="30"/>
  <c r="N3" i="29"/>
  <c r="W8" i="35"/>
  <c r="S8" i="33"/>
  <c r="U8" i="32"/>
  <c r="W8" i="31"/>
  <c r="B69" i="29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3" i="32" l="1"/>
  <c r="U19" i="23"/>
  <c r="R3" i="35"/>
  <c r="T3" i="35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J29" i="8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19" i="24" l="1"/>
  <c r="K16" i="24"/>
  <c r="K29" i="12"/>
  <c r="K29" i="13"/>
  <c r="P29" i="25"/>
  <c r="P29" i="28" s="1"/>
  <c r="N29" i="12"/>
  <c r="C4" i="24"/>
  <c r="J29" i="12"/>
  <c r="I29" i="24"/>
  <c r="O4" i="24"/>
  <c r="N19" i="24"/>
  <c r="E19" i="14"/>
  <c r="E19" i="17" s="1"/>
  <c r="O4" i="23"/>
  <c r="F4" i="24"/>
  <c r="C16" i="13"/>
  <c r="N19" i="23"/>
  <c r="G16" i="12"/>
  <c r="C4" i="13"/>
  <c r="O4" i="12"/>
  <c r="E4" i="23"/>
  <c r="H4" i="12"/>
  <c r="J29" i="13"/>
  <c r="C4" i="12"/>
  <c r="G19" i="24"/>
  <c r="P29" i="12"/>
  <c r="H29" i="23"/>
  <c r="H29" i="26" s="1"/>
  <c r="O29" i="13"/>
  <c r="O29" i="16" s="1"/>
  <c r="P19" i="24"/>
  <c r="P19" i="27" s="1"/>
  <c r="J19" i="23"/>
  <c r="J19" i="26" s="1"/>
  <c r="P29" i="13"/>
  <c r="P29" i="16" s="1"/>
  <c r="H29" i="24"/>
  <c r="G19" i="23"/>
  <c r="O29" i="23"/>
  <c r="O29" i="26" s="1"/>
  <c r="O29" i="12"/>
  <c r="C17" i="16"/>
  <c r="E4" i="13"/>
  <c r="P4" i="12"/>
  <c r="O4" i="13"/>
  <c r="O4" i="16" s="1"/>
  <c r="K4" i="24"/>
  <c r="D16" i="13"/>
  <c r="O16" i="24"/>
  <c r="B16" i="13"/>
  <c r="M29" i="24"/>
  <c r="L19" i="24"/>
  <c r="N29" i="13"/>
  <c r="K19" i="12"/>
  <c r="K19" i="15" s="1"/>
  <c r="H29" i="12"/>
  <c r="D16" i="25"/>
  <c r="O29" i="24"/>
  <c r="J4" i="12"/>
  <c r="H4" i="23"/>
  <c r="Q16" i="13"/>
  <c r="O16" i="12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I29" i="26" s="1"/>
  <c r="C19" i="23"/>
  <c r="C19" i="26" s="1"/>
  <c r="F4" i="12"/>
  <c r="F4" i="15" s="1"/>
  <c r="E19" i="24"/>
  <c r="E19" i="27" s="1"/>
  <c r="P16" i="25"/>
  <c r="G29" i="12"/>
  <c r="G29" i="13"/>
  <c r="G29" i="16" s="1"/>
  <c r="I4" i="23"/>
  <c r="I4" i="26" s="1"/>
  <c r="G16" i="13"/>
  <c r="G16" i="16" s="1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M4" i="17" s="1"/>
  <c r="O16" i="13"/>
  <c r="O16" i="23"/>
  <c r="O16" i="26" s="1"/>
  <c r="F19" i="12"/>
  <c r="M16" i="24"/>
  <c r="J4" i="23"/>
  <c r="J4" i="26" s="1"/>
  <c r="P19" i="12"/>
  <c r="P19" i="15" s="1"/>
  <c r="H4" i="24"/>
  <c r="H4" i="27" s="1"/>
  <c r="M4" i="12"/>
  <c r="M4" i="15" s="1"/>
  <c r="O19" i="24"/>
  <c r="O19" i="27" s="1"/>
  <c r="P16" i="24"/>
  <c r="P16" i="27" s="1"/>
  <c r="L19" i="13"/>
  <c r="L19" i="16" s="1"/>
  <c r="G4" i="23"/>
  <c r="G4" i="26" s="1"/>
  <c r="P4" i="24"/>
  <c r="P4" i="27" s="1"/>
  <c r="C29" i="24"/>
  <c r="C29" i="27" s="1"/>
  <c r="G4" i="24"/>
  <c r="G4" i="27" s="1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I4" i="12"/>
  <c r="L16" i="13"/>
  <c r="L16" i="16" s="1"/>
  <c r="B29" i="13"/>
  <c r="B29" i="16" s="1"/>
  <c r="L4" i="24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P16" i="15" s="1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N15" i="26"/>
  <c r="L17" i="26"/>
  <c r="L11" i="26"/>
  <c r="L7" i="27"/>
  <c r="L24" i="26"/>
  <c r="L6" i="27"/>
  <c r="L28" i="26"/>
  <c r="L14" i="27"/>
  <c r="L14" i="26"/>
  <c r="L10" i="28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L27" i="26"/>
  <c r="O8" i="17"/>
  <c r="P29" i="15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0"/>
  <c r="F3" i="8"/>
  <c r="F16" i="15"/>
  <c r="F19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1"/>
  <c r="D19" i="26"/>
  <c r="C4" i="14"/>
  <c r="C4" i="17" s="1"/>
  <c r="C3" i="11"/>
  <c r="C3" i="14" s="1"/>
  <c r="C3" i="17" s="1"/>
  <c r="G9" i="17"/>
  <c r="G20" i="17"/>
  <c r="C22" i="17"/>
  <c r="P4" i="15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4" i="4"/>
  <c r="B33" i="4"/>
  <c r="B15" i="4"/>
  <c r="B13" i="4"/>
  <c r="B8" i="4"/>
  <c r="B37" i="4"/>
  <c r="B25" i="4"/>
  <c r="B44" i="4"/>
  <c r="B16" i="4"/>
  <c r="B24" i="4"/>
  <c r="B12" i="4"/>
  <c r="B43" i="4"/>
  <c r="B36" i="4"/>
  <c r="B22" i="4"/>
  <c r="B21" i="4"/>
  <c r="B10" i="4"/>
  <c r="B29" i="4"/>
  <c r="B9" i="4"/>
  <c r="B30" i="4"/>
  <c r="B26" i="4"/>
  <c r="B42" i="4"/>
  <c r="B39" i="4"/>
  <c r="B28" i="4"/>
  <c r="B38" i="4"/>
  <c r="B14" i="4"/>
  <c r="B11" i="4"/>
  <c r="B45" i="4"/>
  <c r="B35" i="4"/>
  <c r="B27" i="4"/>
  <c r="B17" i="4"/>
  <c r="B7" i="4"/>
  <c r="B34" i="4"/>
  <c r="B23" i="4"/>
  <c r="B20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<sst xmlns="http://schemas.openxmlformats.org/spreadsheetml/2006/main" count="2101" uniqueCount="1057">
  <si>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</si>
  <si>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</si>
  <si>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</si>
  <si>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</si>
  <si>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</si>
  <si>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</si>
  <si>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</si>
  <si>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</si>
  <si>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</si>
  <si>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</si>
  <si>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</si>
  <si>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</si>
  <si>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</si>
  <si>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</si>
  <si>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</si>
  <si>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</si>
  <si>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</si>
  <si>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</si>
  <si>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</si>
  <si>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</si>
  <si>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</si>
  <si>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</si>
  <si>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</si>
  <si>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</si>
  <si>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</si>
  <si>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</si>
  <si>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</si>
  <si>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</si>
  <si>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</si>
  <si>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</si>
  <si>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</si>
  <si>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</si>
  <si>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</si>
  <si>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</si>
  <si>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</si>
  <si>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</si>
  <si>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</si>
  <si>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</si>
  <si>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</si>
  <si>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</si>
  <si>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</si>
  <si>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</si>
  <si>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</si>
  <si>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</si>
  <si>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</si>
  <si>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</si>
  <si>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</si>
  <si>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</si>
  <si>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</si>
  <si>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</si>
  <si>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</si>
  <si>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</si>
  <si>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</si>
  <si>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</si>
  <si>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</si>
  <si>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</si>
  <si>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</si>
  <si>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</si>
  <si>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</si>
  <si>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</si>
  <si>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</si>
  <si>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</si>
  <si>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</si>
  <si>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</si>
  <si>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</si>
  <si>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</si>
  <si>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</si>
  <si>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</si>
  <si>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</si>
  <si>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</si>
  <si>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</si>
  <si>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</si>
  <si>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</si>
  <si>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</si>
  <si>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</si>
  <si>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</si>
  <si>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</si>
  <si>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</si>
  <si>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</si>
  <si>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</si>
  <si>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</si>
  <si>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</si>
  <si>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</si>
  <si>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</si>
  <si>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</si>
  <si>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</si>
  <si>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</si>
  <si>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</si>
  <si>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</si>
  <si>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</si>
  <si>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</si>
  <si>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</si>
  <si>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</si>
  <si>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</si>
  <si>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</si>
  <si>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</si>
  <si>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</si>
  <si>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</si>
  <si>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</si>
  <si>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</si>
  <si>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</si>
  <si>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</si>
  <si>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</si>
  <si>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</si>
  <si>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</si>
  <si>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</si>
  <si>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</si>
  <si>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</si>
  <si>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</si>
  <si>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</si>
  <si>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</si>
  <si>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</si>
  <si>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</si>
  <si>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</si>
  <si>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</si>
  <si>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</si>
  <si>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</si>
  <si>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</si>
  <si>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</si>
  <si>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</si>
  <si>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</si>
  <si>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</si>
  <si>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</si>
  <si>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</si>
  <si>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</si>
  <si>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</si>
  <si>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</si>
  <si>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</si>
  <si>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</si>
  <si>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</si>
  <si>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</si>
  <si>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</si>
  <si>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</si>
  <si>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</si>
  <si>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</si>
  <si>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</si>
  <si>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</si>
  <si>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</si>
  <si>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</si>
  <si>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</si>
  <si>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</si>
  <si>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</si>
  <si>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</si>
  <si>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</si>
  <si>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</si>
  <si>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</si>
  <si>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</si>
  <si>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</si>
  <si>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</si>
  <si>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</si>
  <si>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</si>
  <si>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</si>
  <si>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</si>
  <si>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</si>
  <si>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</si>
  <si>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</si>
  <si>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</si>
  <si>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</si>
  <si>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</si>
  <si>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</si>
  <si>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</si>
  <si>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</si>
  <si>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</si>
  <si>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</si>
  <si>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</si>
  <si>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</si>
  <si>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</si>
  <si>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</si>
  <si>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</si>
  <si>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</si>
  <si>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</si>
  <si>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</si>
  <si>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</si>
  <si>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</si>
  <si>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</si>
  <si>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</si>
  <si>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</si>
  <si>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</si>
  <si>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</si>
  <si>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</si>
  <si>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</si>
  <si>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</si>
  <si>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</si>
  <si>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</si>
  <si>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</si>
  <si>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HU</t>
  </si>
  <si>
    <t>Hungary</t>
  </si>
  <si>
    <t>HU - Services sector summary</t>
  </si>
  <si>
    <t>Macro.number.HU.Population</t>
  </si>
  <si>
    <t>Macro.Meuro2015.HU.GDP</t>
  </si>
  <si>
    <t>Macro.Meuro2015.HU.VA</t>
  </si>
  <si>
    <t>Macro.number.HU.Employees</t>
  </si>
  <si>
    <t>NUM.number.HU.Ser.Bld</t>
  </si>
  <si>
    <t>SurfaceArea.ksqm.HU.Ser.Bld</t>
  </si>
  <si>
    <t>NUM.number.HU.Ser.BldNew</t>
  </si>
  <si>
    <t>SurfaceArea.ksqm.HU.Ser.BldNew</t>
  </si>
  <si>
    <t>HDD.Celsius.HU.Actual</t>
  </si>
  <si>
    <t>HDD.Celsius.HU.Mean</t>
  </si>
  <si>
    <t>HDD.ratio.HU.Relative</t>
  </si>
  <si>
    <t>FEC.ktoe.HU.ES.Ser</t>
  </si>
  <si>
    <t>FEC.ktoe.HU.ES.Ser.Solids</t>
  </si>
  <si>
    <t>FEC.ktoe.HU.ES.Ser.LPG</t>
  </si>
  <si>
    <t>FEC.ktoe.HU.ES.Ser.Oil</t>
  </si>
  <si>
    <t>FEC.ktoe.HU.ES.Ser.NG</t>
  </si>
  <si>
    <t>FEC.ktoe.HU.ES.Ser.Biomass_Waste</t>
  </si>
  <si>
    <t>FEC.ktoe.HU.ES.Ser.Biogas</t>
  </si>
  <si>
    <t>FEC.ktoe.HU.ES.Ser.LiqBio</t>
  </si>
  <si>
    <t>FEC.ktoe.HU.ES.Ser.Solar</t>
  </si>
  <si>
    <t>FEC.ktoe.HU.ES.Ser.Geo</t>
  </si>
  <si>
    <t>FEC.ktoe.HU.ES.Ser.Ambient</t>
  </si>
  <si>
    <t>FEC.ktoe.HU.ES.Ser.Steam_Distr</t>
  </si>
  <si>
    <t>FEC.ktoe.HU.ES.Ser.Elec</t>
  </si>
  <si>
    <t>FEC.ktoe.HU.Ser</t>
  </si>
  <si>
    <t>FEC.ktoe.HU.Ser.Bld.Thermal</t>
  </si>
  <si>
    <t>FEC.ktoe.HU.Ser.Bld.Thermal.SH</t>
  </si>
  <si>
    <t>FEC.ktoe.HU.Ser.Bld.Thermal.SC</t>
  </si>
  <si>
    <t>FEC.ktoe.HU.Ser.Bld.Thermal.HW</t>
  </si>
  <si>
    <t>FEC.ktoe.HU.Ser.Bld.Thermal.CA</t>
  </si>
  <si>
    <t>FEC.ktoe.HU.Ser.SEU</t>
  </si>
  <si>
    <t>EMI.ktCO2.HU.ES.Ser</t>
  </si>
  <si>
    <t>EMI.ktCO2.HU.ES.Ser.Solids</t>
  </si>
  <si>
    <t>EMI.ktCO2.HU.ES.Ser.LPG</t>
  </si>
  <si>
    <t>EMI.ktCO2.HU.ES.Ser.Oil</t>
  </si>
  <si>
    <t>EMI.ktCO2.HU.ES.Ser.NG</t>
  </si>
  <si>
    <t>EMI.ktCO2.HU.ES.Ser.Biomass_Waste</t>
  </si>
  <si>
    <t>EMI.ktCO2.HU.ES.Ser.Biogas</t>
  </si>
  <si>
    <t>EMI.ktCO2.HU.ES.Ser.LiqBio</t>
  </si>
  <si>
    <t>EMI.ktCO2.HU.ES.Ser.Solar</t>
  </si>
  <si>
    <t>EMI.ktCO2.HU.ES.Ser.Geo</t>
  </si>
  <si>
    <t>EMI.ktCO2.HU.ES.Ser.Ambient</t>
  </si>
  <si>
    <t>EMI.ktCO2.HU.ES.Ser.Steam_Distr</t>
  </si>
  <si>
    <t>EMI.ktCO2.HU.ES.Ser.Elec</t>
  </si>
  <si>
    <t>EMI.ktCO2.HU.Ser</t>
  </si>
  <si>
    <t>EMI.ktCO2.HU.Ser.Bld.Thermal</t>
  </si>
  <si>
    <t>EMI.ktCO2.HU.Ser.Bld.Thermal.SH</t>
  </si>
  <si>
    <t>EMI.ktCO2.HU.Ser.Bld.Thermal.SC</t>
  </si>
  <si>
    <t>EMI.ktCO2.HU.Ser.Bld.Thermal.HW</t>
  </si>
  <si>
    <t>EMI.ktCO2.HU.Ser.Bld.Thermal.CA</t>
  </si>
  <si>
    <t>EMI.ktCO2.HU.Ser.SEU</t>
  </si>
  <si>
    <t>Eff.ratio.HU.Ser.Bld.Thermal</t>
  </si>
  <si>
    <t>Eff.ratio.HU.Ser.Bld.Thermal.SH</t>
  </si>
  <si>
    <t>Eff.ratio.HU.Ser.Bld.Thermal.SC</t>
  </si>
  <si>
    <t>Eff.ratio.HU.Ser.Bld.Thermal.HW</t>
  </si>
  <si>
    <t>Eff.ratio.HU.Ser.Bld.Thermal.CA</t>
  </si>
  <si>
    <t>HU - Number of buildings</t>
  </si>
  <si>
    <t>NUM.number.HU.Ser.Bld.Thermal</t>
  </si>
  <si>
    <t>NUM.number.HU.Ser.Bld.Thermal.SH</t>
  </si>
  <si>
    <t>NUM.number.HU.Ser.Bld.Thermal.SH.Solids</t>
  </si>
  <si>
    <t>NUM.number.HU.Ser.Bld.Thermal.SH.LPG</t>
  </si>
  <si>
    <t>NUM.number.HU.Ser.Bld.Thermal.SH.Oil</t>
  </si>
  <si>
    <t>NUM.number.HU.Ser.Bld.Thermal.SH.GasHP</t>
  </si>
  <si>
    <t>NUM.number.HU.Ser.Bld.Thermal.SH.GasTH</t>
  </si>
  <si>
    <t>NUM.number.HU.Ser.Bld.Thermal.SH.Biomass</t>
  </si>
  <si>
    <t>NUM.number.HU.Ser.Bld.Thermal.SH.Geo</t>
  </si>
  <si>
    <t>NUM.number.HU.Ser.Bld.Thermal.SH.DistrHeat</t>
  </si>
  <si>
    <t>NUM.number.HU.Ser.Bld.Thermal.SH.AdvElc</t>
  </si>
  <si>
    <t>NUM.number.HU.Ser.Bld.Thermal.SH.ConvElc</t>
  </si>
  <si>
    <t>NUM.number.HU.Ser.Bld.Thermal.SC</t>
  </si>
  <si>
    <t>NUM.number.HU.Ser.Bld.Thermal.SC.GasHP</t>
  </si>
  <si>
    <t>NUM.number.HU.Ser.Bld.Thermal.SC.AC</t>
  </si>
  <si>
    <t>NUM.number.HU.Ser.Bld.Thermal.HW</t>
  </si>
  <si>
    <t>NUM.number.HU.Ser.Bld.Thermal.HW.Solids</t>
  </si>
  <si>
    <t>NUM.number.HU.Ser.Bld.Thermal.HW.LPG</t>
  </si>
  <si>
    <t>NUM.number.HU.Ser.Bld.Thermal.HW.Oil</t>
  </si>
  <si>
    <t>NUM.number.HU.Ser.Bld.Thermal.HW.Gas</t>
  </si>
  <si>
    <t>NUM.number.HU.Ser.Bld.Thermal.HW.Biomass</t>
  </si>
  <si>
    <t>NUM.number.HU.Ser.Bld.Thermal.HW.DistrHeat</t>
  </si>
  <si>
    <t>NUM.number.HU.Ser.Bld.Thermal.HW.Elc</t>
  </si>
  <si>
    <t>NUM.number.HU.Ser.Bld.Thermal.HW.Solar</t>
  </si>
  <si>
    <t>NUM.number.HU.Ser.Bld.Thermal.CA</t>
  </si>
  <si>
    <t>NUM.number.HU.Ser.Bld.Thermal.CA.LPG</t>
  </si>
  <si>
    <t>NUM.number.HU.Ser.Bld.Thermal.CA.Gas</t>
  </si>
  <si>
    <t>NUM.number.HU.Ser.Bld.Thermal.CA.Biomass</t>
  </si>
  <si>
    <t>NUM.number.HU.Ser.Bld.Thermal.CA.Elc</t>
  </si>
  <si>
    <t>HU - Final energy consumption</t>
  </si>
  <si>
    <t>FEC.ktoe.HU.Ser.Bld.Thermal.SH.Solids.Solids</t>
  </si>
  <si>
    <t>FEC.ktoe.HU.Ser.Bld.Thermal.SH.LPG.LPG</t>
  </si>
  <si>
    <t>FEC.ktoe.HU.Ser.Bld.Thermal.SH.Oil.Oil_LiqBio</t>
  </si>
  <si>
    <t>FEC.ktoe.HU.Ser.Bld.Thermal.SH.GasHP.NG_Biogas</t>
  </si>
  <si>
    <t>FEC.ktoe.HU.Ser.Bld.Thermal.SH.GasTH.NG_Biogas</t>
  </si>
  <si>
    <t>FEC.ktoe.HU.Ser.Bld.Thermal.SH.Biomass.Biomass_Waste</t>
  </si>
  <si>
    <t>FEC.ktoe.HU.Ser.Bld.Thermal.SH.Geo.Geo</t>
  </si>
  <si>
    <t>FEC.ktoe.HU.Ser.Bld.Thermal.SH.DistrHeat.Steam_Distr</t>
  </si>
  <si>
    <t>FEC.ktoe.HU.Ser.Bld.Thermal.SH.AdvElc.Elec</t>
  </si>
  <si>
    <t>FEC.ktoe.HU.Ser.Bld.Thermal.SH.ConvElc.Elec</t>
  </si>
  <si>
    <t>FEC.ktoe.HU.Ser.Bld.Thermal.SH.TotalCirculation.Elec</t>
  </si>
  <si>
    <t>FEC.ktoe.HU.Ser.Bld.Thermal.SC.GasHP.NG_Biogas</t>
  </si>
  <si>
    <t>FEC.ktoe.HU.Ser.Bld.Thermal.SC.AC.Elec</t>
  </si>
  <si>
    <t>FEC.ktoe.HU.Ser.Bld.Thermal.HW.Solids.Solids</t>
  </si>
  <si>
    <t>FEC.ktoe.HU.Ser.Bld.Thermal.HW.LPG.LPG</t>
  </si>
  <si>
    <t>FEC.ktoe.HU.Ser.Bld.Thermal.HW.Oil.Oil_LiqBio</t>
  </si>
  <si>
    <t>FEC.ktoe.HU.Ser.Bld.Thermal.HW.Gas.NG_Biogas</t>
  </si>
  <si>
    <t>FEC.ktoe.HU.Ser.Bld.Thermal.HW.Biomass.Biomass_Waste</t>
  </si>
  <si>
    <t>FEC.ktoe.HU.Ser.Bld.Thermal.HW.DistrHeat.Steam_Distr</t>
  </si>
  <si>
    <t>FEC.ktoe.HU.Ser.Bld.Thermal.HW.Elc.Elec</t>
  </si>
  <si>
    <t>FEC.ktoe.HU.Ser.Bld.Thermal.HW.TotalSolar.Solar</t>
  </si>
  <si>
    <t>FEC.ktoe.HU.Ser.Bld.Thermal.CA.LPG</t>
  </si>
  <si>
    <t>FEC.ktoe.HU.Ser.Bld.Thermal.CA.Gas.NG_Biogas</t>
  </si>
  <si>
    <t>FEC.ktoe.HU.Ser.Bld.Thermal.CA.Biomass.Biomass_Waste</t>
  </si>
  <si>
    <t>FEC.ktoe.HU.Ser.Bld.Thermal.CA.Elc.Elec</t>
  </si>
  <si>
    <t>HU - Thermal energy service</t>
  </si>
  <si>
    <t>TES.ktoe.HU.Ser.Bld.Thermal</t>
  </si>
  <si>
    <t>TES.ktoe.HU.Ser.Bld.Thermal.SH</t>
  </si>
  <si>
    <t>TES.ktoe.HU.Ser.Bld.Thermal.SH.Solids.Solids</t>
  </si>
  <si>
    <t>TES.ktoe.HU.Ser.Bld.Thermal.SH.LPG.LPG</t>
  </si>
  <si>
    <t>TES.ktoe.HU.Ser.Bld.Thermal.SH.Oil.Oil_LiqBio</t>
  </si>
  <si>
    <t>TES.ktoe.HU.Ser.Bld.Thermal.SH.GasHP.NG_Biogas</t>
  </si>
  <si>
    <t>TES.ktoe.HU.Ser.Bld.Thermal.SH.GasTH.NG_Biogas</t>
  </si>
  <si>
    <t>TES.ktoe.HU.Ser.Bld.Thermal.SH.Biomass.Biomass_Waste</t>
  </si>
  <si>
    <t>TES.ktoe.HU.Ser.Bld.Thermal.SH.Geo.Geo</t>
  </si>
  <si>
    <t>TES.ktoe.HU.Ser.Bld.Thermal.SH.DistrHeat.Steam_Distr</t>
  </si>
  <si>
    <t>TES.ktoe.HU.Ser.Bld.Thermal.SH.AdvElc.Elec</t>
  </si>
  <si>
    <t>TES.ktoe.HU.Ser.Bld.Thermal.SH.ConvElc.Elec</t>
  </si>
  <si>
    <t>TES.ktoe.HU.Ser.Bld.Thermal.SH.TotalCirculation.Elec</t>
  </si>
  <si>
    <t>TES.ktoe.HU.Ser.Bld.Thermal.SC</t>
  </si>
  <si>
    <t>TES.ktoe.HU.Ser.Bld.Thermal.SC.GasHP.NG_Biogas</t>
  </si>
  <si>
    <t>TES.ktoe.HU.Ser.Bld.Thermal.SC.AC.Elec</t>
  </si>
  <si>
    <t>TES.ktoe.HU.Ser.Bld.Thermal.HW</t>
  </si>
  <si>
    <t>TES.ktoe.HU.Ser.Bld.Thermal.HW.Solids.Solids</t>
  </si>
  <si>
    <t>TES.ktoe.HU.Ser.Bld.Thermal.HW.LPG.LPG</t>
  </si>
  <si>
    <t>TES.ktoe.HU.Ser.Bld.Thermal.HW.Oil.Oil_LiqBio</t>
  </si>
  <si>
    <t>TES.ktoe.HU.Ser.Bld.Thermal.HW.Gas.NG_Biogas</t>
  </si>
  <si>
    <t>TES.ktoe.HU.Ser.Bld.Thermal.HW.Biomass.Biomass_Waste</t>
  </si>
  <si>
    <t>TES.ktoe.HU.Ser.Bld.Thermal.HW.DistrHeat.Steam_Distr</t>
  </si>
  <si>
    <t>TES.ktoe.HU.Ser.Bld.Thermal.HW.Elc.Elec</t>
  </si>
  <si>
    <t>TES.ktoe.HU.Ser.Bld.Thermal.HW.TotalSolar.Solar</t>
  </si>
  <si>
    <t>TES.ktoe.HU.Ser.Bld.Thermal.CA</t>
  </si>
  <si>
    <t>TES.ktoe.HU.Ser.Bld.Thermal.CA.LPG</t>
  </si>
  <si>
    <t>TES.ktoe.HU.Ser.Bld.Thermal.CA.Gas.NG_Biogas</t>
  </si>
  <si>
    <t>TES.ktoe.HU.Ser.Bld.Thermal.CA.Biomass.Biomass_Waste</t>
  </si>
  <si>
    <t>TES.ktoe.HU.Ser.Bld.Thermal.CA.Elc.Elec</t>
  </si>
  <si>
    <t>HU - System efficiency indicator of total stock</t>
  </si>
  <si>
    <t>Eff.ratio.HU.Ser.Bld.Thermal.SH.Solids.Solids</t>
  </si>
  <si>
    <t>Eff.ratio.HU.Ser.Bld.Thermal.SH.LPG.LPG</t>
  </si>
  <si>
    <t>Eff.ratio.HU.Ser.Bld.Thermal.SH.Oil.Oil_LiqBio</t>
  </si>
  <si>
    <t>Eff.ratio.HU.Ser.Bld.Thermal.SH.GasHP.NG_Biogas</t>
  </si>
  <si>
    <t>Eff.ratio.HU.Ser.Bld.Thermal.SH.GasTH.NG_Biogas</t>
  </si>
  <si>
    <t>Eff.ratio.HU.Ser.Bld.Thermal.SH.Biomass.Biomass_Waste</t>
  </si>
  <si>
    <t>Eff.ratio.HU.Ser.Bld.Thermal.SH.Geo.Geo</t>
  </si>
  <si>
    <t>Eff.ratio.HU.Ser.Bld.Thermal.SH.DistrHeat.Steam_Distr</t>
  </si>
  <si>
    <t>Eff.ratio.HU.Ser.Bld.Thermal.SH.AdvElc.Elec</t>
  </si>
  <si>
    <t>Eff.ratio.HU.Ser.Bld.Thermal.SH.ConvElc.Elec</t>
  </si>
  <si>
    <t>Eff.ratio.HU.Ser.Bld.Thermal.SH.TotalCirculation.Elec</t>
  </si>
  <si>
    <t>Eff.ratio.HU.Ser.Bld.Thermal.SC.GasHP.NG_Biogas</t>
  </si>
  <si>
    <t>Eff.ratio.HU.Ser.Bld.Thermal.SC.AC.Elec</t>
  </si>
  <si>
    <t>Eff.ratio.HU.Ser.Bld.Thermal.HW.Solids.Solids</t>
  </si>
  <si>
    <t>Eff.ratio.HU.Ser.Bld.Thermal.HW.LPG.LPG</t>
  </si>
  <si>
    <t>Eff.ratio.HU.Ser.Bld.Thermal.HW.Oil.Oil_LiqBio</t>
  </si>
  <si>
    <t>Eff.ratio.HU.Ser.Bld.Thermal.HW.Gas.NG_Biogas</t>
  </si>
  <si>
    <t>Eff.ratio.HU.Ser.Bld.Thermal.HW.Biomass.Biomass_Waste</t>
  </si>
  <si>
    <t>Eff.ratio.HU.Ser.Bld.Thermal.HW.DistrHeat.Steam_Distr</t>
  </si>
  <si>
    <t>Eff.ratio.HU.Ser.Bld.Thermal.HW.Elc.Elec</t>
  </si>
  <si>
    <t>Eff.ratio.HU.Ser.Bld.Thermal.HW.TotalSolar.Solar</t>
  </si>
  <si>
    <t>Eff.ratio.HU.Ser.Bld.Thermal.CA.LPG</t>
  </si>
  <si>
    <t>Eff.ratio.HU.Ser.Bld.Thermal.CA.Gas.NG_Biogas</t>
  </si>
  <si>
    <t>Eff.ratio.HU.Ser.Bld.Thermal.CA.Biomass.Biomass_Waste</t>
  </si>
  <si>
    <t>Eff.ratio.HU.Ser.Bld.Thermal.CA.Elc.Elec</t>
  </si>
  <si>
    <t>HU - CO2 emissions</t>
  </si>
  <si>
    <t>EMI.ktCO2.HU.Ser.Bld.Thermal.SH.Solids.Solids</t>
  </si>
  <si>
    <t>EMI.ktCO2.HU.Ser.Bld.Thermal.SH.LPG.LPG</t>
  </si>
  <si>
    <t>EMI.ktCO2.HU.Ser.Bld.Thermal.SH.Oil.Oil_LiqBio</t>
  </si>
  <si>
    <t>EMI.ktCO2.HU.Ser.Bld.Thermal.SH.GasHP.NG_Biogas</t>
  </si>
  <si>
    <t>EMI.ktCO2.HU.Ser.Bld.Thermal.SH.GasTH.NG_Biogas</t>
  </si>
  <si>
    <t>EMI.ktCO2.HU.Ser.Bld.Thermal.SH.Biomass.Biomass_Waste</t>
  </si>
  <si>
    <t>EMI.ktCO2.HU.Ser.Bld.Thermal.SH.Geo.Geo</t>
  </si>
  <si>
    <t>EMI.ktCO2.HU.Ser.Bld.Thermal.SH.DistrHeat.Steam_Distr</t>
  </si>
  <si>
    <t>EMI.ktCO2.HU.Ser.Bld.Thermal.SH.AdvElc.Elec</t>
  </si>
  <si>
    <t>EMI.ktCO2.HU.Ser.Bld.Thermal.SH.ConvElc.Elec</t>
  </si>
  <si>
    <t>EMI.ktCO2.HU.Ser.Bld.Thermal.SH.TotalCirculation.Elec</t>
  </si>
  <si>
    <t>EMI.ktCO2.HU.Ser.Bld.Thermal.SC.GasHP.NG_Biogas</t>
  </si>
  <si>
    <t>EMI.ktCO2.HU.Ser.Bld.Thermal.SC.AC.Elec</t>
  </si>
  <si>
    <t>EMI.ktCO2.HU.Ser.Bld.Thermal.HW.Solids.Solids</t>
  </si>
  <si>
    <t>EMI.ktCO2.HU.Ser.Bld.Thermal.HW.LPG.LPG</t>
  </si>
  <si>
    <t>EMI.ktCO2.HU.Ser.Bld.Thermal.HW.Oil.Oil_LiqBio</t>
  </si>
  <si>
    <t>EMI.ktCO2.HU.Ser.Bld.Thermal.HW.Gas.NG_Biogas</t>
  </si>
  <si>
    <t>EMI.ktCO2.HU.Ser.Bld.Thermal.HW.Biomass.Biomass_Waste</t>
  </si>
  <si>
    <t>EMI.ktCO2.HU.Ser.Bld.Thermal.HW.DistrHeat.Steam_Distr</t>
  </si>
  <si>
    <t>EMI.ktCO2.HU.Ser.Bld.Thermal.HW.Elc.Elec</t>
  </si>
  <si>
    <t>EMI.ktCO2.HU.Ser.Bld.Thermal.HW.TotalSolar.Solar</t>
  </si>
  <si>
    <t>EMI.ktCO2.HU.Ser.Bld.Thermal.CA.LPG</t>
  </si>
  <si>
    <t>EMI.ktCO2.HU.Ser.Bld.Thermal.CA.Gas.NG_Biogas</t>
  </si>
  <si>
    <t>EMI.ktCO2.HU.Ser.Bld.Thermal.CA.Biomass.Biomass_Waste</t>
  </si>
  <si>
    <t>EMI.ktCO2.HU.Ser.Bld.Thermal.CA.Elc.Elec</t>
  </si>
  <si>
    <t>HU - Final energy consumption per building</t>
  </si>
  <si>
    <t>FEC_per_building.kWh.HU.Ser.Bld.Thermal</t>
  </si>
  <si>
    <t>FEC_per_building.kWh.HU.Ser.Bld.Thermal.SH</t>
  </si>
  <si>
    <t>FEC_per_building.kWh.HU.Ser.Bld.Thermal.SH.Solids.Solids</t>
  </si>
  <si>
    <t>FEC_per_building.kWh.HU.Ser.Bld.Thermal.SH.LPG.LPG</t>
  </si>
  <si>
    <t>FEC_per_building.kWh.HU.Ser.Bld.Thermal.SH.Oil.Oil_LiqBio</t>
  </si>
  <si>
    <t>FEC_per_building.kWh.HU.Ser.Bld.Thermal.SH.GasHP.NG_Biogas</t>
  </si>
  <si>
    <t>FEC_per_building.kWh.HU.Ser.Bld.Thermal.SH.GasTH.NG_Biogas</t>
  </si>
  <si>
    <t>FEC_per_building.kWh.HU.Ser.Bld.Thermal.SH.Biomass.Biomass_Waste</t>
  </si>
  <si>
    <t>FEC_per_building.kWh.HU.Ser.Bld.Thermal.SH.Geo.Geo</t>
  </si>
  <si>
    <t>FEC_per_building.kWh.HU.Ser.Bld.Thermal.SH.DistrHeat.Steam_Distr</t>
  </si>
  <si>
    <t>FEC_per_building.kWh.HU.Ser.Bld.Thermal.SH.AdvElc.Elec</t>
  </si>
  <si>
    <t>FEC_per_building.kWh.HU.Ser.Bld.Thermal.SH.ConvElc.Elec</t>
  </si>
  <si>
    <t>FEC_per_building.kWh.HU.Ser.Bld.Thermal.SH.TotalCirculation.Elec</t>
  </si>
  <si>
    <t>FEC_per_building.kWh.HU.Ser.Bld.Thermal.SC</t>
  </si>
  <si>
    <t>FEC_per_building.kWh.HU.Ser.Bld.Thermal.SC.GasHP.NG_Biogas</t>
  </si>
  <si>
    <t>FEC_per_building.kWh.HU.Ser.Bld.Thermal.SC.AC.Elec</t>
  </si>
  <si>
    <t>FEC_per_building.kWh.HU.Ser.Bld.Thermal.HW</t>
  </si>
  <si>
    <t>FEC_per_building.kWh.HU.Ser.Bld.Thermal.HW.Solids.Solids</t>
  </si>
  <si>
    <t>FEC_per_building.kWh.HU.Ser.Bld.Thermal.HW.LPG.LPG</t>
  </si>
  <si>
    <t>FEC_per_building.kWh.HU.Ser.Bld.Thermal.HW.Oil.Oil_LiqBio</t>
  </si>
  <si>
    <t>FEC_per_building.kWh.HU.Ser.Bld.Thermal.HW.Gas.NG_Biogas</t>
  </si>
  <si>
    <t>FEC_per_building.kWh.HU.Ser.Bld.Thermal.HW.Biomass.Biomass_Waste</t>
  </si>
  <si>
    <t>FEC_per_building.kWh.HU.Ser.Bld.Thermal.HW.DistrHeat.Steam_Distr</t>
  </si>
  <si>
    <t>FEC_per_building.kWh.HU.Ser.Bld.Thermal.HW.Elc.Elec</t>
  </si>
  <si>
    <t>FEC_per_building.kWh.HU.Ser.Bld.Thermal.HW.TotalSolar.Solar</t>
  </si>
  <si>
    <t>FEC_per_building.kWh.HU.Ser.Bld.Thermal.CA</t>
  </si>
  <si>
    <t>FEC_per_building.kWh.HU.Ser.Bld.Thermal.CA.LPG</t>
  </si>
  <si>
    <t>FEC_per_building.kWh.HU.Ser.Bld.Thermal.CA.Gas.NG_Biogas</t>
  </si>
  <si>
    <t>FEC_per_building.kWh.HU.Ser.Bld.Thermal.CA.Biomass.Biomass_Waste</t>
  </si>
  <si>
    <t>FEC_per_building.kWh.HU.Ser.Bld.Thermal.CA.Elc.Elec</t>
  </si>
  <si>
    <t>HU - Thermal energy service per building</t>
  </si>
  <si>
    <t>TES_per_building.kWh.HU.Ser.Bld.Thermal</t>
  </si>
  <si>
    <t>TES_per_building.kWh.HU.Ser.Bld.Thermal.SH</t>
  </si>
  <si>
    <t>TES_per_building.kWh.HU.Ser.Bld.Thermal.SH.Solids.Solids</t>
  </si>
  <si>
    <t>TES_per_building.kWh.HU.Ser.Bld.Thermal.SH.LPG.LPG</t>
  </si>
  <si>
    <t>TES_per_building.kWh.HU.Ser.Bld.Thermal.SH.Oil.Oil_LiqBio</t>
  </si>
  <si>
    <t>TES_per_building.kWh.HU.Ser.Bld.Thermal.SH.GasHP.NG_Biogas</t>
  </si>
  <si>
    <t>TES_per_building.kWh.HU.Ser.Bld.Thermal.SH.GasTH.NG_Biogas</t>
  </si>
  <si>
    <t>TES_per_building.kWh.HU.Ser.Bld.Thermal.SH.Biomass.Biomass_Waste</t>
  </si>
  <si>
    <t>TES_per_building.kWh.HU.Ser.Bld.Thermal.SH.Geo.Geo</t>
  </si>
  <si>
    <t>TES_per_building.kWh.HU.Ser.Bld.Thermal.SH.DistrHeat.Steam_Distr</t>
  </si>
  <si>
    <t>TES_per_building.kWh.HU.Ser.Bld.Thermal.SH.AdvElc.Elec</t>
  </si>
  <si>
    <t>TES_per_building.kWh.HU.Ser.Bld.Thermal.SH.ConvElc.Elec</t>
  </si>
  <si>
    <t>TES_per_building.kWh.HU.Ser.Bld.Thermal.SH.TotalCirculation.Elec</t>
  </si>
  <si>
    <t>TES_per_building.kWh.HU.Ser.Bld.Thermal.SC</t>
  </si>
  <si>
    <t>TES_per_building.kWh.HU.Ser.Bld.Thermal.SC.GasHP.NG_Biogas</t>
  </si>
  <si>
    <t>TES_per_building.kWh.HU.Ser.Bld.Thermal.SC.AC.Elec</t>
  </si>
  <si>
    <t>TES_per_building.kWh.HU.Ser.Bld.Thermal.HW</t>
  </si>
  <si>
    <t>TES_per_building.kWh.HU.Ser.Bld.Thermal.HW.Solids.Solids</t>
  </si>
  <si>
    <t>TES_per_building.kWh.HU.Ser.Bld.Thermal.HW.LPG.LPG</t>
  </si>
  <si>
    <t>TES_per_building.kWh.HU.Ser.Bld.Thermal.HW.Oil.Oil_LiqBio</t>
  </si>
  <si>
    <t>TES_per_building.kWh.HU.Ser.Bld.Thermal.HW.Gas.NG_Biogas</t>
  </si>
  <si>
    <t>TES_per_building.kWh.HU.Ser.Bld.Thermal.HW.Biomass.Biomass_Waste</t>
  </si>
  <si>
    <t>TES_per_building.kWh.HU.Ser.Bld.Thermal.HW.DistrHeat.Steam_Distr</t>
  </si>
  <si>
    <t>TES_per_building.kWh.HU.Ser.Bld.Thermal.HW.Elc.Elec</t>
  </si>
  <si>
    <t>TES_per_building.kWh.HU.Ser.Bld.Thermal.HW.TotalSolar.Solar</t>
  </si>
  <si>
    <t>TES_per_building.kWh.HU.Ser.Bld.Thermal.CA</t>
  </si>
  <si>
    <t>TES_per_building.kWh.HU.Ser.Bld.Thermal.CA.LPG</t>
  </si>
  <si>
    <t>TES_per_building.kWh.HU.Ser.Bld.Thermal.CA.Gas.NG_Biogas</t>
  </si>
  <si>
    <t>TES_per_building.kWh.HU.Ser.Bld.Thermal.CA.Biomass.Biomass_Waste</t>
  </si>
  <si>
    <t>TES_per_building.kWh.HU.Ser.Bld.Thermal.CA.Elc.Elec</t>
  </si>
  <si>
    <t>HU - CO2 emissions per building</t>
  </si>
  <si>
    <t>EMI_per_building.kgCO2.HU.Ser.Bld.Thermal</t>
  </si>
  <si>
    <t>EMI_per_building.kgCO2.HU.Ser.Bld.Thermal.SH</t>
  </si>
  <si>
    <t>EMI_per_building.kgCO2.HU.Ser.Bld.Thermal.SH.Solids.Solids</t>
  </si>
  <si>
    <t>EMI_per_building.kgCO2.HU.Ser.Bld.Thermal.SH.LPG.LPG</t>
  </si>
  <si>
    <t>EMI_per_building.kgCO2.HU.Ser.Bld.Thermal.SH.Oil.Oil_LiqBio</t>
  </si>
  <si>
    <t>EMI_per_building.kgCO2.HU.Ser.Bld.Thermal.SH.GasHP.NG_Biogas</t>
  </si>
  <si>
    <t>EMI_per_building.kgCO2.HU.Ser.Bld.Thermal.SH.GasTH.NG_Biogas</t>
  </si>
  <si>
    <t>EMI_per_building.kgCO2.HU.Ser.Bld.Thermal.SH.Biomass.Biomass_Waste</t>
  </si>
  <si>
    <t>EMI_per_building.kgCO2.HU.Ser.Bld.Thermal.SH.Geo.Geo</t>
  </si>
  <si>
    <t>EMI_per_building.kgCO2.HU.Ser.Bld.Thermal.SH.DistrHeat.Steam_Distr</t>
  </si>
  <si>
    <t>EMI_per_building.kgCO2.HU.Ser.Bld.Thermal.SH.AdvElc.Elec</t>
  </si>
  <si>
    <t>EMI_per_building.kgCO2.HU.Ser.Bld.Thermal.SH.ConvElc.Elec</t>
  </si>
  <si>
    <t>EMI_per_building.kgCO2.HU.Ser.Bld.Thermal.SH.TotalCirculation.Elec</t>
  </si>
  <si>
    <t>EMI_per_building.kgCO2.HU.Ser.Bld.Thermal.SC</t>
  </si>
  <si>
    <t>EMI_per_building.kgCO2.HU.Ser.Bld.Thermal.SC.GasHP.NG_Biogas</t>
  </si>
  <si>
    <t>EMI_per_building.kgCO2.HU.Ser.Bld.Thermal.SC.AC.Elec</t>
  </si>
  <si>
    <t>EMI_per_building.kgCO2.HU.Ser.Bld.Thermal.HW</t>
  </si>
  <si>
    <t>EMI_per_building.kgCO2.HU.Ser.Bld.Thermal.HW.Solids.Solids</t>
  </si>
  <si>
    <t>EMI_per_building.kgCO2.HU.Ser.Bld.Thermal.HW.LPG.LPG</t>
  </si>
  <si>
    <t>EMI_per_building.kgCO2.HU.Ser.Bld.Thermal.HW.Oil.Oil_LiqBio</t>
  </si>
  <si>
    <t>EMI_per_building.kgCO2.HU.Ser.Bld.Thermal.HW.Gas.NG_Biogas</t>
  </si>
  <si>
    <t>EMI_per_building.kgCO2.HU.Ser.Bld.Thermal.HW.Biomass.Biomass_Waste</t>
  </si>
  <si>
    <t>EMI_per_building.kgCO2.HU.Ser.Bld.Thermal.HW.DistrHeat.Steam_Distr</t>
  </si>
  <si>
    <t>EMI_per_building.kgCO2.HU.Ser.Bld.Thermal.HW.Elc.Elec</t>
  </si>
  <si>
    <t>EMI_per_building.kgCO2.HU.Ser.Bld.Thermal.HW.TotalSolar.Solar</t>
  </si>
  <si>
    <t>EMI_per_building.kgCO2.HU.Ser.Bld.Thermal.CA</t>
  </si>
  <si>
    <t>EMI_per_building.kgCO2.HU.Ser.Bld.Thermal.CA.LPG</t>
  </si>
  <si>
    <t>EMI_per_building.kgCO2.HU.Ser.Bld.Thermal.CA.Gas.NG_Biogas</t>
  </si>
  <si>
    <t>EMI_per_building.kgCO2.HU.Ser.Bld.Thermal.CA.Biomass.Biomass_Waste</t>
  </si>
  <si>
    <t>EMI_per_building.kgCO2.HU.Ser.Bld.Thermal.CA.Elc.Elec</t>
  </si>
  <si>
    <t>HU - Final energy consumption per useful surface area</t>
  </si>
  <si>
    <t>FEC_per_sqm.kWh.HU.Ser.Bld.Thermal</t>
  </si>
  <si>
    <t>FEC_per_sqm.kWh.HU.Ser.Bld.Thermal.SH</t>
  </si>
  <si>
    <t>FEC_per_sqm.kWh.HU.Ser.Bld.Thermal.SH.Solids.Solids</t>
  </si>
  <si>
    <t>FEC_per_sqm.kWh.HU.Ser.Bld.Thermal.SH.LPG.LPG</t>
  </si>
  <si>
    <t>FEC_per_sqm.kWh.HU.Ser.Bld.Thermal.SH.Oil.Oil_LiqBio</t>
  </si>
  <si>
    <t>FEC_per_sqm.kWh.HU.Ser.Bld.Thermal.SH.GasHP.NG_Biogas</t>
  </si>
  <si>
    <t>FEC_per_sqm.kWh.HU.Ser.Bld.Thermal.SH.GasTH.NG_Biogas</t>
  </si>
  <si>
    <t>FEC_per_sqm.kWh.HU.Ser.Bld.Thermal.SH.Biomass.Biomass_Waste</t>
  </si>
  <si>
    <t>FEC_per_sqm.kWh.HU.Ser.Bld.Thermal.SH.Geo.Geo</t>
  </si>
  <si>
    <t>FEC_per_sqm.kWh.HU.Ser.Bld.Thermal.SH.DistrHeat.Steam_Distr</t>
  </si>
  <si>
    <t>FEC_per_sqm.kWh.HU.Ser.Bld.Thermal.SH.AdvElc.Elec</t>
  </si>
  <si>
    <t>FEC_per_sqm.kWh.HU.Ser.Bld.Thermal.SH.ConvElc.Elec</t>
  </si>
  <si>
    <t>FEC_per_sqm.kWh.HU.Ser.Bld.Thermal.SH.TotalCirculation.Elec</t>
  </si>
  <si>
    <t>FEC_per_sqm.kWh.HU.Ser.Bld.Thermal.SC</t>
  </si>
  <si>
    <t>FEC_per_sqm.kWh.HU.Ser.Bld.Thermal.SC.GasHP.NG_Biogas</t>
  </si>
  <si>
    <t>FEC_per_sqm.kWh.HU.Ser.Bld.Thermal.SC.AC.Elec</t>
  </si>
  <si>
    <t>FEC_per_sqm.kWh.HU.Ser.Bld.Thermal.HW</t>
  </si>
  <si>
    <t>FEC_per_sqm.kWh.HU.Ser.Bld.Thermal.HW.Solids.Solids</t>
  </si>
  <si>
    <t>FEC_per_sqm.kWh.HU.Ser.Bld.Thermal.HW.LPG.LPG</t>
  </si>
  <si>
    <t>FEC_per_sqm.kWh.HU.Ser.Bld.Thermal.HW.Oil.Oil_LiqBio</t>
  </si>
  <si>
    <t>FEC_per_sqm.kWh.HU.Ser.Bld.Thermal.HW.Gas.NG_Biogas</t>
  </si>
  <si>
    <t>FEC_per_sqm.kWh.HU.Ser.Bld.Thermal.HW.Biomass.Biomass_Waste</t>
  </si>
  <si>
    <t>FEC_per_sqm.kWh.HU.Ser.Bld.Thermal.HW.DistrHeat.Steam_Distr</t>
  </si>
  <si>
    <t>FEC_per_sqm.kWh.HU.Ser.Bld.Thermal.HW.Elc.Elec</t>
  </si>
  <si>
    <t>FEC_per_sqm.kWh.HU.Ser.Bld.Thermal.HW.TotalSolar.Solar</t>
  </si>
  <si>
    <t>FEC_per_sqm.kWh.HU.Ser.Bld.Thermal.CA</t>
  </si>
  <si>
    <t>FEC_per_sqm.kWh.HU.Ser.Bld.Thermal.CA.LPG</t>
  </si>
  <si>
    <t>FEC_per_sqm.kWh.HU.Ser.Bld.Thermal.CA.Gas.NG_Biogas</t>
  </si>
  <si>
    <t>FEC_per_sqm.kWh.HU.Ser.Bld.Thermal.CA.Biomass.Biomass_Waste</t>
  </si>
  <si>
    <t>FEC_per_sqm.kWh.HU.Ser.Bld.Thermal.CA.Elc.Elec</t>
  </si>
  <si>
    <t>HU - Thermal energy service per useful surface area</t>
  </si>
  <si>
    <t>TES_per_sqm.kWh.HU.Ser.Bld.Thermal</t>
  </si>
  <si>
    <t>TES_per_sqm.kWh.HU.Ser.Bld.Thermal.SH</t>
  </si>
  <si>
    <t>TES_per_sqm.kWh.HU.Ser.Bld.Thermal.SH.Solids.Solids</t>
  </si>
  <si>
    <t>TES_per_sqm.kWh.HU.Ser.Bld.Thermal.SH.LPG.LPG</t>
  </si>
  <si>
    <t>TES_per_sqm.kWh.HU.Ser.Bld.Thermal.SH.Oil.Oil_LiqBio</t>
  </si>
  <si>
    <t>TES_per_sqm.kWh.HU.Ser.Bld.Thermal.SH.GasHP.NG_Biogas</t>
  </si>
  <si>
    <t>TES_per_sqm.kWh.HU.Ser.Bld.Thermal.SH.GasTH.NG_Biogas</t>
  </si>
  <si>
    <t>TES_per_sqm.kWh.HU.Ser.Bld.Thermal.SH.Biomass.Biomass_Waste</t>
  </si>
  <si>
    <t>TES_per_sqm.kWh.HU.Ser.Bld.Thermal.SH.Geo.Geo</t>
  </si>
  <si>
    <t>TES_per_sqm.kWh.HU.Ser.Bld.Thermal.SH.DistrHeat.Steam_Distr</t>
  </si>
  <si>
    <t>TES_per_sqm.kWh.HU.Ser.Bld.Thermal.SH.AdvElc.Elec</t>
  </si>
  <si>
    <t>TES_per_sqm.kWh.HU.Ser.Bld.Thermal.SH.ConvElc.Elec</t>
  </si>
  <si>
    <t>TES_per_sqm.kWh.HU.Ser.Bld.Thermal.SH.TotalCirculation.Elec</t>
  </si>
  <si>
    <t>TES_per_sqm.kWh.HU.Ser.Bld.Thermal.SC</t>
  </si>
  <si>
    <t>TES_per_sqm.kWh.HU.Ser.Bld.Thermal.SC.GasHP.NG_Biogas</t>
  </si>
  <si>
    <t>TES_per_sqm.kWh.HU.Ser.Bld.Thermal.SC.AC.Elec</t>
  </si>
  <si>
    <t>TES_per_sqm.kWh.HU.Ser.Bld.Thermal.HW</t>
  </si>
  <si>
    <t>TES_per_sqm.kWh.HU.Ser.Bld.Thermal.HW.Solids.Solids</t>
  </si>
  <si>
    <t>TES_per_sqm.kWh.HU.Ser.Bld.Thermal.HW.LPG.LPG</t>
  </si>
  <si>
    <t>TES_per_sqm.kWh.HU.Ser.Bld.Thermal.HW.Oil.Oil_LiqBio</t>
  </si>
  <si>
    <t>TES_per_sqm.kWh.HU.Ser.Bld.Thermal.HW.Gas.NG_Biogas</t>
  </si>
  <si>
    <t>TES_per_sqm.kWh.HU.Ser.Bld.Thermal.HW.Biomass.Biomass_Waste</t>
  </si>
  <si>
    <t>TES_per_sqm.kWh.HU.Ser.Bld.Thermal.HW.DistrHeat.Steam_Distr</t>
  </si>
  <si>
    <t>TES_per_sqm.kWh.HU.Ser.Bld.Thermal.HW.Elc.Elec</t>
  </si>
  <si>
    <t>TES_per_sqm.kWh.HU.Ser.Bld.Thermal.HW.TotalSolar.Solar</t>
  </si>
  <si>
    <t>TES_per_sqm.kWh.HU.Ser.Bld.Thermal.CA</t>
  </si>
  <si>
    <t>TES_per_sqm.kWh.HU.Ser.Bld.Thermal.CA.LPG</t>
  </si>
  <si>
    <t>TES_per_sqm.kWh.HU.Ser.Bld.Thermal.CA.Gas.NG_Biogas</t>
  </si>
  <si>
    <t>TES_per_sqm.kWh.HU.Ser.Bld.Thermal.CA.Biomass.Biomass_Waste</t>
  </si>
  <si>
    <t>TES_per_sqm.kWh.HU.Ser.Bld.Thermal.CA.Elc.Elec</t>
  </si>
  <si>
    <t>HU - CO2 emissions per useful surface area</t>
  </si>
  <si>
    <t>EMI_per_sqm.kgCO2.HU.Ser.Bld.Thermal</t>
  </si>
  <si>
    <t>EMI_per_sqm.kgCO2.HU.Ser.Bld.Thermal.SH</t>
  </si>
  <si>
    <t>EMI_per_sqm.kgCO2.HU.Ser.Bld.Thermal.SH.Solids.Solids</t>
  </si>
  <si>
    <t>EMI_per_sqm.kgCO2.HU.Ser.Bld.Thermal.SH.LPG.LPG</t>
  </si>
  <si>
    <t>EMI_per_sqm.kgCO2.HU.Ser.Bld.Thermal.SH.Oil.Oil_LiqBio</t>
  </si>
  <si>
    <t>EMI_per_sqm.kgCO2.HU.Ser.Bld.Thermal.SH.GasHP.NG_Biogas</t>
  </si>
  <si>
    <t>EMI_per_sqm.kgCO2.HU.Ser.Bld.Thermal.SH.GasTH.NG_Biogas</t>
  </si>
  <si>
    <t>EMI_per_sqm.kgCO2.HU.Ser.Bld.Thermal.SH.Biomass.Biomass_Waste</t>
  </si>
  <si>
    <t>EMI_per_sqm.kgCO2.HU.Ser.Bld.Thermal.SH.Geo.Geo</t>
  </si>
  <si>
    <t>EMI_per_sqm.kgCO2.HU.Ser.Bld.Thermal.SH.DistrHeat.Steam_Distr</t>
  </si>
  <si>
    <t>EMI_per_sqm.kgCO2.HU.Ser.Bld.Thermal.SH.AdvElc.Elec</t>
  </si>
  <si>
    <t>EMI_per_sqm.kgCO2.HU.Ser.Bld.Thermal.SH.ConvElc.Elec</t>
  </si>
  <si>
    <t>EMI_per_sqm.kgCO2.HU.Ser.Bld.Thermal.SH.TotalCirculation.Elec</t>
  </si>
  <si>
    <t>EMI_per_sqm.kgCO2.HU.Ser.Bld.Thermal.SC</t>
  </si>
  <si>
    <t>EMI_per_sqm.kgCO2.HU.Ser.Bld.Thermal.SC.GasHP.NG_Biogas</t>
  </si>
  <si>
    <t>EMI_per_sqm.kgCO2.HU.Ser.Bld.Thermal.SC.AC.Elec</t>
  </si>
  <si>
    <t>EMI_per_sqm.kgCO2.HU.Ser.Bld.Thermal.HW</t>
  </si>
  <si>
    <t>EMI_per_sqm.kgCO2.HU.Ser.Bld.Thermal.HW.Solids.Solids</t>
  </si>
  <si>
    <t>EMI_per_sqm.kgCO2.HU.Ser.Bld.Thermal.HW.LPG.LPG</t>
  </si>
  <si>
    <t>EMI_per_sqm.kgCO2.HU.Ser.Bld.Thermal.HW.Oil.Oil_LiqBio</t>
  </si>
  <si>
    <t>EMI_per_sqm.kgCO2.HU.Ser.Bld.Thermal.HW.Gas.NG_Biogas</t>
  </si>
  <si>
    <t>EMI_per_sqm.kgCO2.HU.Ser.Bld.Thermal.HW.Biomass.Biomass_Waste</t>
  </si>
  <si>
    <t>EMI_per_sqm.kgCO2.HU.Ser.Bld.Thermal.HW.DistrHeat.Steam_Distr</t>
  </si>
  <si>
    <t>EMI_per_sqm.kgCO2.HU.Ser.Bld.Thermal.HW.Elc.Elec</t>
  </si>
  <si>
    <t>EMI_per_sqm.kgCO2.HU.Ser.Bld.Thermal.HW.TotalSolar.Solar</t>
  </si>
  <si>
    <t>EMI_per_sqm.kgCO2.HU.Ser.Bld.Thermal.CA</t>
  </si>
  <si>
    <t>EMI_per_sqm.kgCO2.HU.Ser.Bld.Thermal.CA.LPG</t>
  </si>
  <si>
    <t>EMI_per_sqm.kgCO2.HU.Ser.Bld.Thermal.CA.Gas.NG_Biogas</t>
  </si>
  <si>
    <t>EMI_per_sqm.kgCO2.HU.Ser.Bld.Thermal.CA.Biomass.Biomass_Waste</t>
  </si>
  <si>
    <t>EMI_per_sqm.kgCO2.HU.Ser.Bld.Thermal.CA.Elc.Elec</t>
  </si>
  <si>
    <t>HU - Number of new and renovated buildings</t>
  </si>
  <si>
    <t>NUM.number.HU.Ser.BldNew.Thermal</t>
  </si>
  <si>
    <t>NUM.number.HU.Ser.BldNew.Thermal.SH</t>
  </si>
  <si>
    <t>NUM.number.HU.Ser.BldNew.Thermal.SH.Solids</t>
  </si>
  <si>
    <t>NUM.number.HU.Ser.BldNew.Thermal.SH.LPG</t>
  </si>
  <si>
    <t>NUM.number.HU.Ser.BldNew.Thermal.SH.Oil</t>
  </si>
  <si>
    <t>NUM.number.HU.Ser.BldNew.Thermal.SH.GasHP</t>
  </si>
  <si>
    <t>NUM.number.HU.Ser.BldNew.Thermal.SH.GasTH</t>
  </si>
  <si>
    <t>NUM.number.HU.Ser.BldNew.Thermal.SH.Biomass</t>
  </si>
  <si>
    <t>NUM.number.HU.Ser.BldNew.Thermal.SH.Geo</t>
  </si>
  <si>
    <t>NUM.number.HU.Ser.BldNew.Thermal.SH.DistrHeat</t>
  </si>
  <si>
    <t>NUM.number.HU.Ser.BldNew.Thermal.SH.AdvElc</t>
  </si>
  <si>
    <t>NUM.number.HU.Ser.BldNew.Thermal.SH.ConvElc</t>
  </si>
  <si>
    <t>NUM.number.HU.Ser.BldNew.Thermal.SC</t>
  </si>
  <si>
    <t>NUM.number.HU.Ser.BldNew.Thermal.SC.GasHP</t>
  </si>
  <si>
    <t>NUM.number.HU.Ser.BldNew.Thermal.SC.AC</t>
  </si>
  <si>
    <t>NUM.number.HU.Ser.BldNew.Thermal.HW</t>
  </si>
  <si>
    <t>NUM.number.HU.Ser.BldNew.Thermal.HW.Solids</t>
  </si>
  <si>
    <t>NUM.number.HU.Ser.BldNew.Thermal.HW.LPG</t>
  </si>
  <si>
    <t>NUM.number.HU.Ser.BldNew.Thermal.HW.Oil</t>
  </si>
  <si>
    <t>NUM.number.HU.Ser.BldNew.Thermal.HW.Gas</t>
  </si>
  <si>
    <t>NUM.number.HU.Ser.BldNew.Thermal.HW.Biomass</t>
  </si>
  <si>
    <t>NUM.number.HU.Ser.BldNew.Thermal.HW.DistrHeat</t>
  </si>
  <si>
    <t>NUM.number.HU.Ser.BldNew.Thermal.HW.Elc</t>
  </si>
  <si>
    <t>NUM.number.HU.Ser.BldNew.Thermal.HW.Solar</t>
  </si>
  <si>
    <t>NUM.number.HU.Ser.BldNew.Thermal.CA</t>
  </si>
  <si>
    <t>NUM.number.HU.Ser.BldNew.Thermal.CA.LPG</t>
  </si>
  <si>
    <t>NUM.number.HU.Ser.BldNew.Thermal.CA.Gas</t>
  </si>
  <si>
    <t>NUM.number.HU.Ser.BldNew.Thermal.CA.Biomass</t>
  </si>
  <si>
    <t>NUM.number.HU.Ser.BldNew.Thermal.CA.Elc</t>
  </si>
  <si>
    <t>HU - Final energy consumption in new and renovated buildings</t>
  </si>
  <si>
    <t>FEC.ktoe.HU.Ser.BldNew.Thermal</t>
  </si>
  <si>
    <t>FEC.ktoe.HU.Ser.BldNew.Thermal.SH</t>
  </si>
  <si>
    <t>FEC.ktoe.HU.Ser.BldNew.Thermal.SH.Solids.Solids</t>
  </si>
  <si>
    <t>FEC.ktoe.HU.Ser.BldNew.Thermal.SH.LPG.LPG</t>
  </si>
  <si>
    <t>FEC.ktoe.HU.Ser.BldNew.Thermal.SH.Oil.Oil_LiqBio</t>
  </si>
  <si>
    <t>FEC.ktoe.HU.Ser.BldNew.Thermal.SH.GasHP.NG_Biogas</t>
  </si>
  <si>
    <t>FEC.ktoe.HU.Ser.BldNew.Thermal.SH.GasTH.NG_Biogas</t>
  </si>
  <si>
    <t>FEC.ktoe.HU.Ser.BldNew.Thermal.SH.Biomass.Biomass_Waste</t>
  </si>
  <si>
    <t>FEC.ktoe.HU.Ser.BldNew.Thermal.SH.Geo.Geo</t>
  </si>
  <si>
    <t>FEC.ktoe.HU.Ser.BldNew.Thermal.SH.DistrHeat.Steam_Distr</t>
  </si>
  <si>
    <t>FEC.ktoe.HU.Ser.BldNew.Thermal.SH.AdvElc.Elec</t>
  </si>
  <si>
    <t>FEC.ktoe.HU.Ser.BldNew.Thermal.SH.ConvElc.Elec</t>
  </si>
  <si>
    <t>FEC.ktoe.HU.Ser.BldNew.Thermal.SH.TotalCirculation.Elec</t>
  </si>
  <si>
    <t>FEC.ktoe.HU.Ser.BldNew.Thermal.SC</t>
  </si>
  <si>
    <t>FEC.ktoe.HU.Ser.BldNew.Thermal.SC.GasHP.NG_Biogas</t>
  </si>
  <si>
    <t>FEC.ktoe.HU.Ser.BldNew.Thermal.SC.AC.Elec</t>
  </si>
  <si>
    <t>FEC.ktoe.HU.Ser.BldNew.Thermal.HW</t>
  </si>
  <si>
    <t>FEC.ktoe.HU.Ser.BldNew.Thermal.HW.Solids.Solids</t>
  </si>
  <si>
    <t>FEC.ktoe.HU.Ser.BldNew.Thermal.HW.LPG.LPG</t>
  </si>
  <si>
    <t>FEC.ktoe.HU.Ser.BldNew.Thermal.HW.Oil.Oil_LiqBio</t>
  </si>
  <si>
    <t>FEC.ktoe.HU.Ser.BldNew.Thermal.HW.Gas.NG_Biogas</t>
  </si>
  <si>
    <t>FEC.ktoe.HU.Ser.BldNew.Thermal.HW.Biomass.Biomass_Waste</t>
  </si>
  <si>
    <t>FEC.ktoe.HU.Ser.BldNew.Thermal.HW.DistrHeat.Steam_Distr</t>
  </si>
  <si>
    <t>FEC.ktoe.HU.Ser.BldNew.Thermal.HW.Elc.Elec</t>
  </si>
  <si>
    <t>FEC.ktoe.HU.Ser.BldNew.Thermal.HW.TotalSolar.Solar</t>
  </si>
  <si>
    <t>FEC.ktoe.HU.Ser.BldNew.Thermal.CA</t>
  </si>
  <si>
    <t>FEC.ktoe.HU.Ser.BldNew.Thermal.CA.LPG</t>
  </si>
  <si>
    <t>FEC.ktoe.HU.Ser.BldNew.Thermal.CA.Gas.NG_Biogas</t>
  </si>
  <si>
    <t>FEC.ktoe.HU.Ser.BldNew.Thermal.CA.Biomass.Biomass_Waste</t>
  </si>
  <si>
    <t>FEC.ktoe.HU.Ser.BldNew.Thermal.CA.Elc.Elec</t>
  </si>
  <si>
    <t>HU - Thermal energy service in new and renovated buildings</t>
  </si>
  <si>
    <t>TES.ktoe.HU.Ser.BldNew.Thermal</t>
  </si>
  <si>
    <t>TES.ktoe.HU.Ser.BldNew.Thermal.SH</t>
  </si>
  <si>
    <t>TES.ktoe.HU.Ser.BldNew.Thermal.SH.Solids.Solids</t>
  </si>
  <si>
    <t>TES.ktoe.HU.Ser.BldNew.Thermal.SH.LPG.LPG</t>
  </si>
  <si>
    <t>TES.ktoe.HU.Ser.BldNew.Thermal.SH.Oil.Oil_LiqBio</t>
  </si>
  <si>
    <t>TES.ktoe.HU.Ser.BldNew.Thermal.SH.GasHP.NG_Biogas</t>
  </si>
  <si>
    <t>TES.ktoe.HU.Ser.BldNew.Thermal.SH.GasTH.NG_Biogas</t>
  </si>
  <si>
    <t>TES.ktoe.HU.Ser.BldNew.Thermal.SH.Biomass.Biomass_Waste</t>
  </si>
  <si>
    <t>TES.ktoe.HU.Ser.BldNew.Thermal.SH.Geo.Geo</t>
  </si>
  <si>
    <t>TES.ktoe.HU.Ser.BldNew.Thermal.SH.DistrHeat.Steam_Distr</t>
  </si>
  <si>
    <t>TES.ktoe.HU.Ser.BldNew.Thermal.SH.AdvElc.Elec</t>
  </si>
  <si>
    <t>TES.ktoe.HU.Ser.BldNew.Thermal.SH.ConvElc.Elec</t>
  </si>
  <si>
    <t>TES.ktoe.HU.Ser.BldNew.Thermal.SH.TotalCirculation.Elec</t>
  </si>
  <si>
    <t>TES.ktoe.HU.Ser.BldNew.Thermal.SC</t>
  </si>
  <si>
    <t>TES.ktoe.HU.Ser.BldNew.Thermal.SC.GasHP.NG_Biogas</t>
  </si>
  <si>
    <t>TES.ktoe.HU.Ser.BldNew.Thermal.SC.AC.Elec</t>
  </si>
  <si>
    <t>TES.ktoe.HU.Ser.BldNew.Thermal.HW</t>
  </si>
  <si>
    <t>TES.ktoe.HU.Ser.BldNew.Thermal.HW.Solids.Solids</t>
  </si>
  <si>
    <t>TES.ktoe.HU.Ser.BldNew.Thermal.HW.LPG.LPG</t>
  </si>
  <si>
    <t>TES.ktoe.HU.Ser.BldNew.Thermal.HW.Oil.Oil_LiqBio</t>
  </si>
  <si>
    <t>TES.ktoe.HU.Ser.BldNew.Thermal.HW.Gas.NG_Biogas</t>
  </si>
  <si>
    <t>TES.ktoe.HU.Ser.BldNew.Thermal.HW.Biomass.Biomass_Waste</t>
  </si>
  <si>
    <t>TES.ktoe.HU.Ser.BldNew.Thermal.HW.DistrHeat.Steam_Distr</t>
  </si>
  <si>
    <t>TES.ktoe.HU.Ser.BldNew.Thermal.HW.Elc.Elec</t>
  </si>
  <si>
    <t>TES.ktoe.HU.Ser.BldNew.Thermal.HW.TotalSolar.Solar</t>
  </si>
  <si>
    <t>TES.ktoe.HU.Ser.BldNew.Thermal.CA</t>
  </si>
  <si>
    <t>TES.ktoe.HU.Ser.BldNew.Thermal.CA.LPG</t>
  </si>
  <si>
    <t>TES.ktoe.HU.Ser.BldNew.Thermal.CA.Gas.NG_Biogas</t>
  </si>
  <si>
    <t>TES.ktoe.HU.Ser.BldNew.Thermal.CA.Biomass.Biomass_Waste</t>
  </si>
  <si>
    <t>TES.ktoe.HU.Ser.BldNew.Thermal.CA.Elc.Elec</t>
  </si>
  <si>
    <t>HU - System efficiency indicator of new and renovated buildings</t>
  </si>
  <si>
    <t>Eff.ratio.HU.Ser.BldNew.Thermal</t>
  </si>
  <si>
    <t>Eff.ratio.HU.Ser.BldNew.Thermal.SH</t>
  </si>
  <si>
    <t>Eff.ratio.HU.Ser.BldNew.Thermal.SH.Solids.Solids</t>
  </si>
  <si>
    <t>Eff.ratio.HU.Ser.BldNew.Thermal.SH.LPG.LPG</t>
  </si>
  <si>
    <t>Eff.ratio.HU.Ser.BldNew.Thermal.SH.Oil.Oil_LiqBio</t>
  </si>
  <si>
    <t>Eff.ratio.HU.Ser.BldNew.Thermal.SH.GasHP.NG_Biogas</t>
  </si>
  <si>
    <t>Eff.ratio.HU.Ser.BldNew.Thermal.SH.GasTH.NG_Biogas</t>
  </si>
  <si>
    <t>Eff.ratio.HU.Ser.BldNew.Thermal.SH.Biomass.Biomass_Waste</t>
  </si>
  <si>
    <t>Eff.ratio.HU.Ser.BldNew.Thermal.SH.Geo.Geo</t>
  </si>
  <si>
    <t>Eff.ratio.HU.Ser.BldNew.Thermal.SH.DistrHeat.Steam_Distr</t>
  </si>
  <si>
    <t>Eff.ratio.HU.Ser.BldNew.Thermal.SH.AdvElc.Elec</t>
  </si>
  <si>
    <t>Eff.ratio.HU.Ser.BldNew.Thermal.SH.ConvElc.Elec</t>
  </si>
  <si>
    <t>Eff.ratio.HU.Ser.BldNew.Thermal.SH.TotalCirculation.Elec</t>
  </si>
  <si>
    <t>Eff.ratio.HU.Ser.BldNew.Thermal.SC</t>
  </si>
  <si>
    <t>Eff.ratio.HU.Ser.BldNew.Thermal.SC.GasHP.NG_Biogas</t>
  </si>
  <si>
    <t>Eff.ratio.HU.Ser.BldNew.Thermal.SC.AC.Elec</t>
  </si>
  <si>
    <t>Eff.ratio.HU.Ser.BldNew.Thermal.HW</t>
  </si>
  <si>
    <t>Eff.ratio.HU.Ser.BldNew.Thermal.HW.Solids.Solids</t>
  </si>
  <si>
    <t>Eff.ratio.HU.Ser.BldNew.Thermal.HW.LPG.LPG</t>
  </si>
  <si>
    <t>Eff.ratio.HU.Ser.BldNew.Thermal.HW.Oil.Oil_LiqBio</t>
  </si>
  <si>
    <t>Eff.ratio.HU.Ser.BldNew.Thermal.HW.Gas.NG_Biogas</t>
  </si>
  <si>
    <t>Eff.ratio.HU.Ser.BldNew.Thermal.HW.Biomass.Biomass_Waste</t>
  </si>
  <si>
    <t>Eff.ratio.HU.Ser.BldNew.Thermal.HW.DistrHeat.Steam_Distr</t>
  </si>
  <si>
    <t>Eff.ratio.HU.Ser.BldNew.Thermal.HW.Elc.Elec</t>
  </si>
  <si>
    <t>Eff.ratio.HU.Ser.BldNew.Thermal.HW.TotalSolar.Solar</t>
  </si>
  <si>
    <t>Eff.ratio.HU.Ser.BldNew.Thermal.CA</t>
  </si>
  <si>
    <t>Eff.ratio.HU.Ser.BldNew.Thermal.CA.LPG</t>
  </si>
  <si>
    <t>Eff.ratio.HU.Ser.BldNew.Thermal.CA.Gas.NG_Biogas</t>
  </si>
  <si>
    <t>Eff.ratio.HU.Ser.BldNew.Thermal.CA.Biomass.Biomass_Waste</t>
  </si>
  <si>
    <t>Eff.ratio.HU.Ser.BldNew.Thermal.CA.Elc.Elec</t>
  </si>
  <si>
    <t>HU - CO2 emissions in new and renovated buildings</t>
  </si>
  <si>
    <t>EMI.ktCO2.HU.Ser.BldNew.Thermal</t>
  </si>
  <si>
    <t>EMI.ktCO2.HU.Ser.BldNew.Thermal.SH</t>
  </si>
  <si>
    <t>EMI.ktCO2.HU.Ser.BldNew.Thermal.SH.Solids.Solids</t>
  </si>
  <si>
    <t>EMI.ktCO2.HU.Ser.BldNew.Thermal.SH.LPG.LPG</t>
  </si>
  <si>
    <t>EMI.ktCO2.HU.Ser.BldNew.Thermal.SH.Oil.Oil_LiqBio</t>
  </si>
  <si>
    <t>EMI.ktCO2.HU.Ser.BldNew.Thermal.SH.GasHP.NG_Biogas</t>
  </si>
  <si>
    <t>EMI.ktCO2.HU.Ser.BldNew.Thermal.SH.GasTH.NG_Biogas</t>
  </si>
  <si>
    <t>EMI.ktCO2.HU.Ser.BldNew.Thermal.SH.Biomass.Biomass_Waste</t>
  </si>
  <si>
    <t>EMI.ktCO2.HU.Ser.BldNew.Thermal.SH.Geo.Geo</t>
  </si>
  <si>
    <t>EMI.ktCO2.HU.Ser.BldNew.Thermal.SH.DistrHeat.Steam_Distr</t>
  </si>
  <si>
    <t>EMI.ktCO2.HU.Ser.BldNew.Thermal.SH.AdvElc.Elec</t>
  </si>
  <si>
    <t>EMI.ktCO2.HU.Ser.BldNew.Thermal.SH.ConvElc.Elec</t>
  </si>
  <si>
    <t>EMI.ktCO2.HU.Ser.BldNew.Thermal.SH.TotalCirculation.Elec</t>
  </si>
  <si>
    <t>EMI.ktCO2.HU.Ser.BldNew.Thermal.SC</t>
  </si>
  <si>
    <t>EMI.ktCO2.HU.Ser.BldNew.Thermal.SC.GasHP.NG_Biogas</t>
  </si>
  <si>
    <t>EMI.ktCO2.HU.Ser.BldNew.Thermal.SC.AC.Elec</t>
  </si>
  <si>
    <t>EMI.ktCO2.HU.Ser.BldNew.Thermal.HW</t>
  </si>
  <si>
    <t>EMI.ktCO2.HU.Ser.BldNew.Thermal.HW.Solids.Solids</t>
  </si>
  <si>
    <t>EMI.ktCO2.HU.Ser.BldNew.Thermal.HW.LPG.LPG</t>
  </si>
  <si>
    <t>EMI.ktCO2.HU.Ser.BldNew.Thermal.HW.Oil.Oil_LiqBio</t>
  </si>
  <si>
    <t>EMI.ktCO2.HU.Ser.BldNew.Thermal.HW.Gas.NG_Biogas</t>
  </si>
  <si>
    <t>EMI.ktCO2.HU.Ser.BldNew.Thermal.HW.Biomass.Biomass_Waste</t>
  </si>
  <si>
    <t>EMI.ktCO2.HU.Ser.BldNew.Thermal.HW.DistrHeat.Steam_Distr</t>
  </si>
  <si>
    <t>EMI.ktCO2.HU.Ser.BldNew.Thermal.HW.Elc.Elec</t>
  </si>
  <si>
    <t>EMI.ktCO2.HU.Ser.BldNew.Thermal.HW.TotalSolar.Solar</t>
  </si>
  <si>
    <t>EMI.ktCO2.HU.Ser.BldNew.Thermal.CA</t>
  </si>
  <si>
    <t>EMI.ktCO2.HU.Ser.BldNew.Thermal.CA.LPG</t>
  </si>
  <si>
    <t>EMI.ktCO2.HU.Ser.BldNew.Thermal.CA.Gas.NG_Biogas</t>
  </si>
  <si>
    <t>EMI.ktCO2.HU.Ser.BldNew.Thermal.CA.Biomass.Biomass_Waste</t>
  </si>
  <si>
    <t>EMI.ktCO2.HU.Ser.BldNew.Thermal.CA.Elc.Elec</t>
  </si>
  <si>
    <t>HU - Final energy consumption of new and renovated buildings (per building)</t>
  </si>
  <si>
    <t>FEC_per_building.kWh.HU.Ser.BldNew.Thermal</t>
  </si>
  <si>
    <t>FEC_per_building.kWh.HU.Ser.BldNew.Thermal.SH</t>
  </si>
  <si>
    <t>FEC_per_building.kWh.HU.Ser.BldNew.Thermal.SH.Solids.Solids</t>
  </si>
  <si>
    <t>FEC_per_building.kWh.HU.Ser.BldNew.Thermal.SH.LPG.LPG</t>
  </si>
  <si>
    <t>FEC_per_building.kWh.HU.Ser.BldNew.Thermal.SH.Oil.Oil_LiqBio</t>
  </si>
  <si>
    <t>FEC_per_building.kWh.HU.Ser.BldNew.Thermal.SH.GasHP.NG_Biogas</t>
  </si>
  <si>
    <t>FEC_per_building.kWh.HU.Ser.BldNew.Thermal.SH.GasTH.NG_Biogas</t>
  </si>
  <si>
    <t>FEC_per_building.kWh.HU.Ser.BldNew.Thermal.SH.Biomass.Biomass_Waste</t>
  </si>
  <si>
    <t>FEC_per_building.kWh.HU.Ser.BldNew.Thermal.SH.Geo.Geo</t>
  </si>
  <si>
    <t>FEC_per_building.kWh.HU.Ser.BldNew.Thermal.SH.DistrHeat.Steam_Distr</t>
  </si>
  <si>
    <t>FEC_per_building.kWh.HU.Ser.BldNew.Thermal.SH.AdvElc.Elec</t>
  </si>
  <si>
    <t>FEC_per_building.kWh.HU.Ser.BldNew.Thermal.SH.ConvElc.Elec</t>
  </si>
  <si>
    <t>FEC_per_building.kWh.HU.Ser.BldNew.Thermal.SH.TotalCirculation.Elec</t>
  </si>
  <si>
    <t>FEC_per_building.kWh.HU.Ser.BldNew.Thermal.SC</t>
  </si>
  <si>
    <t>FEC_per_building.kWh.HU.Ser.BldNew.Thermal.SC.GasHP.NG_Biogas</t>
  </si>
  <si>
    <t>FEC_per_building.kWh.HU.Ser.BldNew.Thermal.SC.AC.Elec</t>
  </si>
  <si>
    <t>FEC_per_building.kWh.HU.Ser.BldNew.Thermal.HW</t>
  </si>
  <si>
    <t>FEC_per_building.kWh.HU.Ser.BldNew.Thermal.HW.Solids.Solids</t>
  </si>
  <si>
    <t>FEC_per_building.kWh.HU.Ser.BldNew.Thermal.HW.LPG.LPG</t>
  </si>
  <si>
    <t>FEC_per_building.kWh.HU.Ser.BldNew.Thermal.HW.Oil.Oil_LiqBio</t>
  </si>
  <si>
    <t>FEC_per_building.kWh.HU.Ser.BldNew.Thermal.HW.Gas.NG_Biogas</t>
  </si>
  <si>
    <t>FEC_per_building.kWh.HU.Ser.BldNew.Thermal.HW.Biomass.Biomass_Waste</t>
  </si>
  <si>
    <t>FEC_per_building.kWh.HU.Ser.BldNew.Thermal.HW.DistrHeat.Steam_Distr</t>
  </si>
  <si>
    <t>FEC_per_building.kWh.HU.Ser.BldNew.Thermal.HW.Elc.Elec</t>
  </si>
  <si>
    <t>FEC_per_building.kWh.HU.Ser.BldNew.Thermal.HW.TotalSolar.Solar</t>
  </si>
  <si>
    <t>FEC_per_building.kWh.HU.Ser.BldNew.Thermal.CA</t>
  </si>
  <si>
    <t>FEC_per_building.kWh.HU.Ser.BldNew.Thermal.CA.LPG</t>
  </si>
  <si>
    <t>FEC_per_building.kWh.HU.Ser.BldNew.Thermal.CA.Gas.NG_Biogas</t>
  </si>
  <si>
    <t>FEC_per_building.kWh.HU.Ser.BldNew.Thermal.CA.Biomass.Biomass_Waste</t>
  </si>
  <si>
    <t>FEC_per_building.kWh.HU.Ser.BldNew.Thermal.CA.Elc.Elec</t>
  </si>
  <si>
    <t>HU - Thermal energy service of new and renovated buildings (per building)</t>
  </si>
  <si>
    <t>TES_per_building.kWh.HU.Ser.BldNew.Thermal</t>
  </si>
  <si>
    <t>TES_per_building.kWh.HU.Ser.BldNew.Thermal.SH</t>
  </si>
  <si>
    <t>TES_per_building.kWh.HU.Ser.BldNew.Thermal.SH.Solids.Solids</t>
  </si>
  <si>
    <t>TES_per_building.kWh.HU.Ser.BldNew.Thermal.SH.LPG.LPG</t>
  </si>
  <si>
    <t>TES_per_building.kWh.HU.Ser.BldNew.Thermal.SH.Oil.Oil_LiqBio</t>
  </si>
  <si>
    <t>TES_per_building.kWh.HU.Ser.BldNew.Thermal.SH.GasHP.NG_Biogas</t>
  </si>
  <si>
    <t>TES_per_building.kWh.HU.Ser.BldNew.Thermal.SH.GasTH.NG_Biogas</t>
  </si>
  <si>
    <t>TES_per_building.kWh.HU.Ser.BldNew.Thermal.SH.Biomass.Biomass_Waste</t>
  </si>
  <si>
    <t>TES_per_building.kWh.HU.Ser.BldNew.Thermal.SH.Geo.Geo</t>
  </si>
  <si>
    <t>TES_per_building.kWh.HU.Ser.BldNew.Thermal.SH.DistrHeat.Steam_Distr</t>
  </si>
  <si>
    <t>TES_per_building.kWh.HU.Ser.BldNew.Thermal.SH.AdvElc.Elec</t>
  </si>
  <si>
    <t>TES_per_building.kWh.HU.Ser.BldNew.Thermal.SH.ConvElc.Elec</t>
  </si>
  <si>
    <t>TES_per_building.kWh.HU.Ser.BldNew.Thermal.SH.TotalCirculation.Elec</t>
  </si>
  <si>
    <t>TES_per_building.kWh.HU.Ser.BldNew.Thermal.SC</t>
  </si>
  <si>
    <t>TES_per_building.kWh.HU.Ser.BldNew.Thermal.SC.GasHP.NG_Biogas</t>
  </si>
  <si>
    <t>TES_per_building.kWh.HU.Ser.BldNew.Thermal.SC.AC.Elec</t>
  </si>
  <si>
    <t>TES_per_building.kWh.HU.Ser.BldNew.Thermal.HW</t>
  </si>
  <si>
    <t>TES_per_building.kWh.HU.Ser.BldNew.Thermal.HW.Solids.Solids</t>
  </si>
  <si>
    <t>TES_per_building.kWh.HU.Ser.BldNew.Thermal.HW.LPG.LPG</t>
  </si>
  <si>
    <t>TES_per_building.kWh.HU.Ser.BldNew.Thermal.HW.Oil.Oil_LiqBio</t>
  </si>
  <si>
    <t>TES_per_building.kWh.HU.Ser.BldNew.Thermal.HW.Gas.NG_Biogas</t>
  </si>
  <si>
    <t>TES_per_building.kWh.HU.Ser.BldNew.Thermal.HW.Biomass.Biomass_Waste</t>
  </si>
  <si>
    <t>TES_per_building.kWh.HU.Ser.BldNew.Thermal.HW.DistrHeat.Steam_Distr</t>
  </si>
  <si>
    <t>TES_per_building.kWh.HU.Ser.BldNew.Thermal.HW.Elc.Elec</t>
  </si>
  <si>
    <t>TES_per_building.kWh.HU.Ser.BldNew.Thermal.HW.TotalSolar.Solar</t>
  </si>
  <si>
    <t>TES_per_building.kWh.HU.Ser.BldNew.Thermal.CA</t>
  </si>
  <si>
    <t>TES_per_building.kWh.HU.Ser.BldNew.Thermal.CA.LPG</t>
  </si>
  <si>
    <t>TES_per_building.kWh.HU.Ser.BldNew.Thermal.CA.Gas.NG_Biogas</t>
  </si>
  <si>
    <t>TES_per_building.kWh.HU.Ser.BldNew.Thermal.CA.Biomass.Biomass_Waste</t>
  </si>
  <si>
    <t>TES_per_building.kWh.HU.Ser.BldNew.Thermal.CA.Elc.Elec</t>
  </si>
  <si>
    <t>HU - CO2 emissions in new and renovated buildings (per building)</t>
  </si>
  <si>
    <t>EMI_per_building.kgCO2.HU.Ser.BldNew.Thermal</t>
  </si>
  <si>
    <t>EMI_per_building.kgCO2.HU.Ser.BldNew.Thermal.SH</t>
  </si>
  <si>
    <t>EMI_per_building.kgCO2.HU.Ser.BldNew.Thermal.SH.Solids.Solids</t>
  </si>
  <si>
    <t>EMI_per_building.kgCO2.HU.Ser.BldNew.Thermal.SH.LPG.LPG</t>
  </si>
  <si>
    <t>EMI_per_building.kgCO2.HU.Ser.BldNew.Thermal.SH.Oil.Oil_LiqBio</t>
  </si>
  <si>
    <t>EMI_per_building.kgCO2.HU.Ser.BldNew.Thermal.SH.GasHP.NG_Biogas</t>
  </si>
  <si>
    <t>EMI_per_building.kgCO2.HU.Ser.BldNew.Thermal.SH.GasTH.NG_Biogas</t>
  </si>
  <si>
    <t>EMI_per_building.kgCO2.HU.Ser.BldNew.Thermal.SH.Biomass.Biomass_Waste</t>
  </si>
  <si>
    <t>EMI_per_building.kgCO2.HU.Ser.BldNew.Thermal.SH.Geo.Geo</t>
  </si>
  <si>
    <t>EMI_per_building.kgCO2.HU.Ser.BldNew.Thermal.SH.DistrHeat.Steam_Distr</t>
  </si>
  <si>
    <t>EMI_per_building.kgCO2.HU.Ser.BldNew.Thermal.SH.AdvElc.Elec</t>
  </si>
  <si>
    <t>EMI_per_building.kgCO2.HU.Ser.BldNew.Thermal.SH.ConvElc.Elec</t>
  </si>
  <si>
    <t>EMI_per_building.kgCO2.HU.Ser.BldNew.Thermal.SH.TotalCirculation.Elec</t>
  </si>
  <si>
    <t>EMI_per_building.kgCO2.HU.Ser.BldNew.Thermal.SC</t>
  </si>
  <si>
    <t>EMI_per_building.kgCO2.HU.Ser.BldNew.Thermal.SC.GasHP.NG_Biogas</t>
  </si>
  <si>
    <t>EMI_per_building.kgCO2.HU.Ser.BldNew.Thermal.SC.AC.Elec</t>
  </si>
  <si>
    <t>EMI_per_building.kgCO2.HU.Ser.BldNew.Thermal.HW</t>
  </si>
  <si>
    <t>EMI_per_building.kgCO2.HU.Ser.BldNew.Thermal.HW.Solids.Solids</t>
  </si>
  <si>
    <t>EMI_per_building.kgCO2.HU.Ser.BldNew.Thermal.HW.LPG.LPG</t>
  </si>
  <si>
    <t>EMI_per_building.kgCO2.HU.Ser.BldNew.Thermal.HW.Oil.Oil_LiqBio</t>
  </si>
  <si>
    <t>EMI_per_building.kgCO2.HU.Ser.BldNew.Thermal.HW.Gas.NG_Biogas</t>
  </si>
  <si>
    <t>EMI_per_building.kgCO2.HU.Ser.BldNew.Thermal.HW.Biomass.Biomass_Waste</t>
  </si>
  <si>
    <t>EMI_per_building.kgCO2.HU.Ser.BldNew.Thermal.HW.DistrHeat.Steam_Distr</t>
  </si>
  <si>
    <t>EMI_per_building.kgCO2.HU.Ser.BldNew.Thermal.HW.Elc.Elec</t>
  </si>
  <si>
    <t>EMI_per_building.kgCO2.HU.Ser.BldNew.Thermal.HW.TotalSolar.Solar</t>
  </si>
  <si>
    <t>EMI_per_building.kgCO2.HU.Ser.BldNew.Thermal.CA</t>
  </si>
  <si>
    <t>EMI_per_building.kgCO2.HU.Ser.BldNew.Thermal.CA.LPG</t>
  </si>
  <si>
    <t>EMI_per_building.kgCO2.HU.Ser.BldNew.Thermal.CA.Gas.NG_Biogas</t>
  </si>
  <si>
    <t>EMI_per_building.kgCO2.HU.Ser.BldNew.Thermal.CA.Biomass.Biomass_Waste</t>
  </si>
  <si>
    <t>EMI_per_building.kgCO2.HU.Ser.BldNew.Thermal.CA.Elc.Elec</t>
  </si>
  <si>
    <t>HU - Final energy consumption in new and renovated buildings per surface area</t>
  </si>
  <si>
    <t>FEC_per_sqm.kWh.HU.Ser.BldNew.Thermal</t>
  </si>
  <si>
    <t>FEC_per_sqm.kWh.HU.Ser.BldNew.Thermal.SH</t>
  </si>
  <si>
    <t>FEC_per_sqm.kWh.HU.Ser.BldNew.Thermal.SH.Solids.Solids</t>
  </si>
  <si>
    <t>FEC_per_sqm.kWh.HU.Ser.BldNew.Thermal.SH.LPG.LPG</t>
  </si>
  <si>
    <t>FEC_per_sqm.kWh.HU.Ser.BldNew.Thermal.SH.Oil.Oil_LiqBio</t>
  </si>
  <si>
    <t>FEC_per_sqm.kWh.HU.Ser.BldNew.Thermal.SH.GasHP.NG_Biogas</t>
  </si>
  <si>
    <t>FEC_per_sqm.kWh.HU.Ser.BldNew.Thermal.SH.GasTH.NG_Biogas</t>
  </si>
  <si>
    <t>FEC_per_sqm.kWh.HU.Ser.BldNew.Thermal.SH.Biomass.Biomass_Waste</t>
  </si>
  <si>
    <t>FEC_per_sqm.kWh.HU.Ser.BldNew.Thermal.SH.Geo.Geo</t>
  </si>
  <si>
    <t>FEC_per_sqm.kWh.HU.Ser.BldNew.Thermal.SH.DistrHeat.Steam_Distr</t>
  </si>
  <si>
    <t>FEC_per_sqm.kWh.HU.Ser.BldNew.Thermal.SH.AdvElc.Elec</t>
  </si>
  <si>
    <t>FEC_per_sqm.kWh.HU.Ser.BldNew.Thermal.SH.ConvElc.Elec</t>
  </si>
  <si>
    <t>FEC_per_sqm.kWh.HU.Ser.BldNew.Thermal.SH.TotalCirculation.Elec</t>
  </si>
  <si>
    <t>FEC_per_sqm.kWh.HU.Ser.BldNew.Thermal.SC</t>
  </si>
  <si>
    <t>FEC_per_sqm.kWh.HU.Ser.BldNew.Thermal.SC.GasHP.NG_Biogas</t>
  </si>
  <si>
    <t>FEC_per_sqm.kWh.HU.Ser.BldNew.Thermal.SC.AC.Elec</t>
  </si>
  <si>
    <t>FEC_per_sqm.kWh.HU.Ser.BldNew.Thermal.HW</t>
  </si>
  <si>
    <t>FEC_per_sqm.kWh.HU.Ser.BldNew.Thermal.HW.Solids.Solids</t>
  </si>
  <si>
    <t>FEC_per_sqm.kWh.HU.Ser.BldNew.Thermal.HW.LPG.LPG</t>
  </si>
  <si>
    <t>FEC_per_sqm.kWh.HU.Ser.BldNew.Thermal.HW.Oil.Oil_LiqBio</t>
  </si>
  <si>
    <t>FEC_per_sqm.kWh.HU.Ser.BldNew.Thermal.HW.Gas.NG_Biogas</t>
  </si>
  <si>
    <t>FEC_per_sqm.kWh.HU.Ser.BldNew.Thermal.HW.Biomass.Biomass_Waste</t>
  </si>
  <si>
    <t>FEC_per_sqm.kWh.HU.Ser.BldNew.Thermal.HW.DistrHeat.Steam_Distr</t>
  </si>
  <si>
    <t>FEC_per_sqm.kWh.HU.Ser.BldNew.Thermal.HW.Elc.Elec</t>
  </si>
  <si>
    <t>FEC_per_sqm.kWh.HU.Ser.BldNew.Thermal.HW.TotalSolar.Solar</t>
  </si>
  <si>
    <t>FEC_per_sqm.kWh.HU.Ser.BldNew.Thermal.CA</t>
  </si>
  <si>
    <t>FEC_per_sqm.kWh.HU.Ser.BldNew.Thermal.CA.LPG</t>
  </si>
  <si>
    <t>FEC_per_sqm.kWh.HU.Ser.BldNew.Thermal.CA.Gas.NG_Biogas</t>
  </si>
  <si>
    <t>FEC_per_sqm.kWh.HU.Ser.BldNew.Thermal.CA.Biomass.Biomass_Waste</t>
  </si>
  <si>
    <t>FEC_per_sqm.kWh.HU.Ser.BldNew.Thermal.CA.Elc.Elec</t>
  </si>
  <si>
    <t>HU - Thermal energy service in new and renovated buildings per surface area</t>
  </si>
  <si>
    <t>TES_per_sqm.kWh.HU.Ser.BldNew.Thermal</t>
  </si>
  <si>
    <t>TES_per_sqm.kWh.HU.Ser.BldNew.Thermal.SH</t>
  </si>
  <si>
    <t>TES_per_sqm.kWh.HU.Ser.BldNew.Thermal.SH.Solids.Solids</t>
  </si>
  <si>
    <t>TES_per_sqm.kWh.HU.Ser.BldNew.Thermal.SH.LPG.LPG</t>
  </si>
  <si>
    <t>TES_per_sqm.kWh.HU.Ser.BldNew.Thermal.SH.Oil.Oil_LiqBio</t>
  </si>
  <si>
    <t>TES_per_sqm.kWh.HU.Ser.BldNew.Thermal.SH.GasHP.NG_Biogas</t>
  </si>
  <si>
    <t>TES_per_sqm.kWh.HU.Ser.BldNew.Thermal.SH.GasTH.NG_Biogas</t>
  </si>
  <si>
    <t>TES_per_sqm.kWh.HU.Ser.BldNew.Thermal.SH.Biomass.Biomass_Waste</t>
  </si>
  <si>
    <t>TES_per_sqm.kWh.HU.Ser.BldNew.Thermal.SH.Geo.Geo</t>
  </si>
  <si>
    <t>TES_per_sqm.kWh.HU.Ser.BldNew.Thermal.SH.DistrHeat.Steam_Distr</t>
  </si>
  <si>
    <t>TES_per_sqm.kWh.HU.Ser.BldNew.Thermal.SH.AdvElc.Elec</t>
  </si>
  <si>
    <t>TES_per_sqm.kWh.HU.Ser.BldNew.Thermal.SH.ConvElc.Elec</t>
  </si>
  <si>
    <t>TES_per_sqm.kWh.HU.Ser.BldNew.Thermal.SH.TotalCirculation.Elec</t>
  </si>
  <si>
    <t>TES_per_sqm.kWh.HU.Ser.BldNew.Thermal.SC</t>
  </si>
  <si>
    <t>TES_per_sqm.kWh.HU.Ser.BldNew.Thermal.SC.GasHP.NG_Biogas</t>
  </si>
  <si>
    <t>TES_per_sqm.kWh.HU.Ser.BldNew.Thermal.SC.AC.Elec</t>
  </si>
  <si>
    <t>TES_per_sqm.kWh.HU.Ser.BldNew.Thermal.HW</t>
  </si>
  <si>
    <t>TES_per_sqm.kWh.HU.Ser.BldNew.Thermal.HW.Solids.Solids</t>
  </si>
  <si>
    <t>TES_per_sqm.kWh.HU.Ser.BldNew.Thermal.HW.LPG.LPG</t>
  </si>
  <si>
    <t>TES_per_sqm.kWh.HU.Ser.BldNew.Thermal.HW.Oil.Oil_LiqBio</t>
  </si>
  <si>
    <t>TES_per_sqm.kWh.HU.Ser.BldNew.Thermal.HW.Gas.NG_Biogas</t>
  </si>
  <si>
    <t>TES_per_sqm.kWh.HU.Ser.BldNew.Thermal.HW.Biomass.Biomass_Waste</t>
  </si>
  <si>
    <t>TES_per_sqm.kWh.HU.Ser.BldNew.Thermal.HW.DistrHeat.Steam_Distr</t>
  </si>
  <si>
    <t>TES_per_sqm.kWh.HU.Ser.BldNew.Thermal.HW.Elc.Elec</t>
  </si>
  <si>
    <t>TES_per_sqm.kWh.HU.Ser.BldNew.Thermal.HW.TotalSolar.Solar</t>
  </si>
  <si>
    <t>TES_per_sqm.kWh.HU.Ser.BldNew.Thermal.CA</t>
  </si>
  <si>
    <t>TES_per_sqm.kWh.HU.Ser.BldNew.Thermal.CA.LPG</t>
  </si>
  <si>
    <t>TES_per_sqm.kWh.HU.Ser.BldNew.Thermal.CA.Gas.NG_Biogas</t>
  </si>
  <si>
    <t>TES_per_sqm.kWh.HU.Ser.BldNew.Thermal.CA.Biomass.Biomass_Waste</t>
  </si>
  <si>
    <t>TES_per_sqm.kWh.HU.Ser.BldNew.Thermal.CA.Elc.Elec</t>
  </si>
  <si>
    <t>HU - CO2 emissions in new and renovated buildings per surface area</t>
  </si>
  <si>
    <t>EMI_per_sqm.kgCO2.HU.Ser.BldNew.Thermal</t>
  </si>
  <si>
    <t>EMI_per_sqm.kgCO2.HU.Ser.BldNew.Thermal.SH</t>
  </si>
  <si>
    <t>EMI_per_sqm.kgCO2.HU.Ser.BldNew.Thermal.SH.Solids.Solids</t>
  </si>
  <si>
    <t>EMI_per_sqm.kgCO2.HU.Ser.BldNew.Thermal.SH.LPG.LPG</t>
  </si>
  <si>
    <t>EMI_per_sqm.kgCO2.HU.Ser.BldNew.Thermal.SH.Oil.Oil_LiqBio</t>
  </si>
  <si>
    <t>EMI_per_sqm.kgCO2.HU.Ser.BldNew.Thermal.SH.GasHP.NG_Biogas</t>
  </si>
  <si>
    <t>EMI_per_sqm.kgCO2.HU.Ser.BldNew.Thermal.SH.GasTH.NG_Biogas</t>
  </si>
  <si>
    <t>EMI_per_sqm.kgCO2.HU.Ser.BldNew.Thermal.SH.Biomass.Biomass_Waste</t>
  </si>
  <si>
    <t>EMI_per_sqm.kgCO2.HU.Ser.BldNew.Thermal.SH.Geo.Geo</t>
  </si>
  <si>
    <t>EMI_per_sqm.kgCO2.HU.Ser.BldNew.Thermal.SH.DistrHeat.Steam_Distr</t>
  </si>
  <si>
    <t>EMI_per_sqm.kgCO2.HU.Ser.BldNew.Thermal.SH.AdvElc.Elec</t>
  </si>
  <si>
    <t>EMI_per_sqm.kgCO2.HU.Ser.BldNew.Thermal.SH.ConvElc.Elec</t>
  </si>
  <si>
    <t>EMI_per_sqm.kgCO2.HU.Ser.BldNew.Thermal.SH.TotalCirculation.Elec</t>
  </si>
  <si>
    <t>EMI_per_sqm.kgCO2.HU.Ser.BldNew.Thermal.SC</t>
  </si>
  <si>
    <t>EMI_per_sqm.kgCO2.HU.Ser.BldNew.Thermal.SC.GasHP.NG_Biogas</t>
  </si>
  <si>
    <t>EMI_per_sqm.kgCO2.HU.Ser.BldNew.Thermal.SC.AC.Elec</t>
  </si>
  <si>
    <t>EMI_per_sqm.kgCO2.HU.Ser.BldNew.Thermal.HW</t>
  </si>
  <si>
    <t>EMI_per_sqm.kgCO2.HU.Ser.BldNew.Thermal.HW.Solids.Solids</t>
  </si>
  <si>
    <t>EMI_per_sqm.kgCO2.HU.Ser.BldNew.Thermal.HW.LPG.LPG</t>
  </si>
  <si>
    <t>EMI_per_sqm.kgCO2.HU.Ser.BldNew.Thermal.HW.Oil.Oil_LiqBio</t>
  </si>
  <si>
    <t>EMI_per_sqm.kgCO2.HU.Ser.BldNew.Thermal.HW.Gas.NG_Biogas</t>
  </si>
  <si>
    <t>EMI_per_sqm.kgCO2.HU.Ser.BldNew.Thermal.HW.Biomass.Biomass_Waste</t>
  </si>
  <si>
    <t>EMI_per_sqm.kgCO2.HU.Ser.BldNew.Thermal.HW.DistrHeat.Steam_Distr</t>
  </si>
  <si>
    <t>EMI_per_sqm.kgCO2.HU.Ser.BldNew.Thermal.HW.Elc.Elec</t>
  </si>
  <si>
    <t>EMI_per_sqm.kgCO2.HU.Ser.BldNew.Thermal.HW.TotalSolar.Solar</t>
  </si>
  <si>
    <t>EMI_per_sqm.kgCO2.HU.Ser.BldNew.Thermal.CA</t>
  </si>
  <si>
    <t>EMI_per_sqm.kgCO2.HU.Ser.BldNew.Thermal.CA.LPG</t>
  </si>
  <si>
    <t>EMI_per_sqm.kgCO2.HU.Ser.BldNew.Thermal.CA.Gas.NG_Biogas</t>
  </si>
  <si>
    <t>EMI_per_sqm.kgCO2.HU.Ser.BldNew.Thermal.CA.Biomass.Biomass_Waste</t>
  </si>
  <si>
    <t>EMI_per_sqm.kgCO2.HU.Ser.BldNew.Thermal.CA.Elc.Elec</t>
  </si>
  <si>
    <t>FEC.ktoe.HU.Ser.SEU.VE</t>
  </si>
  <si>
    <t>FEC.ktoe.HU.Ser.SEU.SL</t>
  </si>
  <si>
    <t>FEC.ktoe.HU.Ser.SEU.BL</t>
  </si>
  <si>
    <t>FEC.ktoe.HU.Ser.SEU.CR</t>
  </si>
  <si>
    <t>FEC.ktoe.HU.Ser.SEU.BT</t>
  </si>
  <si>
    <t>FEC.ktoe.HU.Ser.SEU.IT</t>
  </si>
  <si>
    <t>Size.MW.HU.Ser.SEU</t>
  </si>
  <si>
    <t>Size.MW.HU.Ser.SEU.VE</t>
  </si>
  <si>
    <t>Size.MW.HU.Ser.SEU.SL</t>
  </si>
  <si>
    <t>Size.MW.HU.Ser.SEU.BL</t>
  </si>
  <si>
    <t>Size.MW.HU.Ser.SEU.CR</t>
  </si>
  <si>
    <t>Size.MW.HU.Ser.SEU.BT</t>
  </si>
  <si>
    <t>Size.MW.HU.Ser.SEU.IT</t>
  </si>
  <si>
    <t>NUM.Msqm.HU.Ser.SEU.VE</t>
  </si>
  <si>
    <t>NUM.k.HU.Ser.SEU.SL</t>
  </si>
  <si>
    <t>NUM.M.HU.Ser.SEU.BL</t>
  </si>
  <si>
    <t>NUM.k.HU.Ser.SEU.CR</t>
  </si>
  <si>
    <t>NUM.Msqm.HU.Ser.SEU.BT</t>
  </si>
  <si>
    <t>NUM.k.HU.Ser.SEU.IT</t>
  </si>
  <si>
    <t>NUM.Msqm.HU.Ser.SEUnew.VE</t>
  </si>
  <si>
    <t>NUM.k.HU.Ser.SEUnew.SL</t>
  </si>
  <si>
    <t>NUM.M.HU.Ser.SEUnew.BL</t>
  </si>
  <si>
    <t>NUM.k.HU.Ser.SEUnew.CR</t>
  </si>
  <si>
    <t>NUM.Msqm.HU.Ser.SEUnew.BT</t>
  </si>
  <si>
    <t>NUM.k.HU.Ser.SEUnew.IT</t>
  </si>
  <si>
    <t>NUM.Msqm.HU.Ser.SEUrepl.VE</t>
  </si>
  <si>
    <t>NUM.k.HU.Ser.SEUrepl.SL</t>
  </si>
  <si>
    <t>NUM.M.HU.Ser.SEUrepl.BL</t>
  </si>
  <si>
    <t>NUM.k.HU.Ser.SEUrepl.CR</t>
  </si>
  <si>
    <t>NUM.Msqm.HU.Ser.SEUrepl.BT</t>
  </si>
  <si>
    <t>NUM.k.HU.Ser.SEUrepl.IT</t>
  </si>
  <si>
    <t>Op.hours.HU.Ser.SEU.VE</t>
  </si>
  <si>
    <t>Op.hours.HU.Ser.SEU.SL</t>
  </si>
  <si>
    <t>Op.hours.HU.Ser.SEU.BL</t>
  </si>
  <si>
    <t>Op.hours.HU.Ser.SEU.CR</t>
  </si>
  <si>
    <t>Op.hours.HU.Ser.SEU.BT</t>
  </si>
  <si>
    <t>Op.hours.HU.Ser.SEU.IT</t>
  </si>
  <si>
    <t>Size_per_appl.W.HU.Ser.SEU.VE</t>
  </si>
  <si>
    <t>Size_per_appl.W.HU.Ser.SEU.SL</t>
  </si>
  <si>
    <t>Size_per_appl.W.HU.Ser.SEU.BL</t>
  </si>
  <si>
    <t>Size_per_appl.W.HU.Ser.SEU.CR</t>
  </si>
  <si>
    <t>Size_per_appl.W.HU.Ser.SEU.BT</t>
  </si>
  <si>
    <t>Size_per_appl.W.HU.Ser.SEU.IT</t>
  </si>
  <si>
    <t>Size_per_appl.W.HU.Ser.SEUnew.VE</t>
  </si>
  <si>
    <t>Size_per_appl.W.HU.Ser.SEUnew.SL</t>
  </si>
  <si>
    <t>Size_per_appl.W.HU.Ser.SEUnew.BL</t>
  </si>
  <si>
    <t>Size_per_appl.W.HU.Ser.SEUnew.CR</t>
  </si>
  <si>
    <t>Size_per_appl.W.HU.Ser.SEUnew.BT</t>
  </si>
  <si>
    <t>Size_per_appl.W.HU.Ser.SEUnew.IT</t>
  </si>
  <si>
    <t>NUM.sqm_per_building.HU.Ser.SEU.VE</t>
  </si>
  <si>
    <t>NUM.number_per_capita.HU.Ser.SEU.SL</t>
  </si>
  <si>
    <t>NUM.number_per_building.HU.Ser.SEU.BL</t>
  </si>
  <si>
    <t>NUM.number_per_capita.HU.Ser.SEU.CR</t>
  </si>
  <si>
    <t>NUM.sqm_per_building.HU.Ser.SEU.BT</t>
  </si>
  <si>
    <t>NUM.number_per_capita.HU.Ser.SEU.IT</t>
  </si>
  <si>
    <t>Lumens_per_sqm.lumen.HU.Ser.SEU.BL</t>
  </si>
  <si>
    <t>FEC.ktoe.HU.Ser.SEU.IT.DataCenters</t>
  </si>
  <si>
    <t>HU - Services / specific electric uses</t>
  </si>
  <si>
    <t>HU - Ventilation and others</t>
  </si>
  <si>
    <t>HU - Street lighting</t>
  </si>
  <si>
    <t>HU - Building lighting</t>
  </si>
  <si>
    <t>HU - Commercial refrigeration</t>
  </si>
  <si>
    <t>HU - Miscellaneous building technologies</t>
  </si>
  <si>
    <t>HU - ICT and multimedia</t>
  </si>
  <si>
    <t>HU - Agriculture, forestry and fishing</t>
  </si>
  <si>
    <t>VA.Meuro2015.Meuro2023.HU.AGR.AGR</t>
  </si>
  <si>
    <t>OUTPUT.index.index.HU.AGR.AGR</t>
  </si>
  <si>
    <t>CAP.index.index.HU.AGR.AGR</t>
  </si>
  <si>
    <t>NEWCAP.index.index.HU.AGR.AGR</t>
  </si>
  <si>
    <t>CAPOUT.index.HU.AGR.AGR</t>
  </si>
  <si>
    <t>CAPIDLE.index.HU.AGR.AGR</t>
  </si>
  <si>
    <t>FEC.ktoe.HU.ES.AGR</t>
  </si>
  <si>
    <t>FEC.ktoe.HU.ES.AGR.Solids</t>
  </si>
  <si>
    <t>FEC.ktoe.HU.ES.AGR.LPG</t>
  </si>
  <si>
    <t>FEC.ktoe.HU.ES.AGR.Diesel</t>
  </si>
  <si>
    <t>FEC.ktoe.HU.ES.AGR.RFO</t>
  </si>
  <si>
    <t>FEC.ktoe.HU.ES.AGR.NG</t>
  </si>
  <si>
    <t>FEC.ktoe.HU.ES.AGR.Biomass_Waste</t>
  </si>
  <si>
    <t>FEC.ktoe.HU.ES.AGR.Biogas</t>
  </si>
  <si>
    <t>FEC.ktoe.HU.ES.AGR.LiqBio</t>
  </si>
  <si>
    <t>FEC.ktoe.HU.ES.AGR.Solar</t>
  </si>
  <si>
    <t>FEC.ktoe.HU.ES.AGR.Geo</t>
  </si>
  <si>
    <t>FEC.ktoe.HU.ES.AGR.Ambient</t>
  </si>
  <si>
    <t>FEC.ktoe.HU.ES.AGR.Steam_Distr</t>
  </si>
  <si>
    <t>FEC.ktoe.HU.ES.AGR.Elec</t>
  </si>
  <si>
    <t>HU - Agriculture, forestry and fishing / final energy consumption</t>
  </si>
  <si>
    <t>FEC.ktoe.ktoe.HU.AGR.AGR.LIGHT.GENERIC.ELEC</t>
  </si>
  <si>
    <t>FEC.ktoe.ktoe.HU.AGR.AGR.FANS.GENERIC.ELEC</t>
  </si>
  <si>
    <t>FEC.ktoe.ktoe.HU.AGR.AGR.MOTOR.GENERIC.ELEC</t>
  </si>
  <si>
    <t>FEC.ktoe.ktoe.HU.AGR.AGR.LOW_ENTH.THERM.DIESEL_LIQBIO</t>
  </si>
  <si>
    <t>FEC.ktoe.ktoe.HU.AGR.AGR.LOW_ENTH.THERM.NG_BIOGAS</t>
  </si>
  <si>
    <t>FEC.ktoe.ktoe.HU.AGR.AGR.LOW_ENTH.THERM.SOLAR_GEO</t>
  </si>
  <si>
    <t>FEC.ktoe.ktoe.HU.AGR.AGR.LOW_ENTH.HP.AMBIENT</t>
  </si>
  <si>
    <t>FEC.ktoe.ktoe.HU.AGR.AGR.LOW_ENTH.THERM.STEAM_DISTR</t>
  </si>
  <si>
    <t>FEC.ktoe.ktoe.HU.AGR.AGR.LOW_ENTH.THERM.ELEC</t>
  </si>
  <si>
    <t>FEC.ktoe.ktoe.HU.AGR.AGR.FARM_DRIVES.MECH.DIESEL_LIQBIO</t>
  </si>
  <si>
    <t>FEC.ktoe.ktoe.HU.AGR.AGR.HEAT_USE.THERM.SOLIDS</t>
  </si>
  <si>
    <t>FEC.ktoe.ktoe.HU.AGR.AGR.HEAT_USE.THERM.LPG</t>
  </si>
  <si>
    <t>FEC.ktoe.ktoe.HU.AGR.AGR.HEAT_USE.THERM.DIESEL_LIQBIO</t>
  </si>
  <si>
    <t>FEC.ktoe.ktoe.HU.AGR.AGR.HEAT_USE.THERM.RFO</t>
  </si>
  <si>
    <t>FEC.ktoe.ktoe.HU.AGR.AGR.HEAT_USE.THERM.NG_BIOGAS</t>
  </si>
  <si>
    <t>FEC.ktoe.ktoe.HU.AGR.AGR.HEAT_USE.THERM.BIOMASS_WASTE</t>
  </si>
  <si>
    <t>FEC.ktoe.ktoe.HU.AGR.AGR.HEAT_USE.THERM.SOLAR_GEO</t>
  </si>
  <si>
    <t>FEC.ktoe.ktoe.HU.AGR.AGR.FARM_PUMP.MECH.DIESEL_LIQBIO</t>
  </si>
  <si>
    <t>FEC.ktoe.ktoe.HU.AGR.AGR.FARM_PUMP_ELEC.MECH.ELEC</t>
  </si>
  <si>
    <t>FEC.ktoe.ktoe.HU.AGR.AGR.GENERIC.MECH.ELEC</t>
  </si>
  <si>
    <t>HU - Agriculture, forestry and fishing / useful energy demand</t>
  </si>
  <si>
    <t>UED.ktoe.ktoe.HU.AGR.AGR.LIGHT.GENERIC.ELEC</t>
  </si>
  <si>
    <t>UED.ktoe.ktoe.HU.AGR.AGR.FANS.GENERIC.ELEC</t>
  </si>
  <si>
    <t>UED.ktoe.ktoe.HU.AGR.AGR.MOTOR.GENERIC.ELEC</t>
  </si>
  <si>
    <t>UED.ktoe.ktoe.HU.AGR.AGR.LOW_ENTH.THERM.DIESEL_LIQBIO</t>
  </si>
  <si>
    <t>UED.ktoe.ktoe.HU.AGR.AGR.LOW_ENTH.THERM.NG_BIOGAS</t>
  </si>
  <si>
    <t>UED.ktoe.ktoe.HU.AGR.AGR.LOW_ENTH.THERM.SOLAR_GEO</t>
  </si>
  <si>
    <t>UED.ktoe.ktoe.HU.AGR.AGR.LOW_ENTH.HP.AMBIENT</t>
  </si>
  <si>
    <t>UED.ktoe.ktoe.HU.AGR.AGR.LOW_ENTH.THERM.STEAM_DISTR</t>
  </si>
  <si>
    <t>UED.ktoe.ktoe.HU.AGR.AGR.LOW_ENTH.THERM.ELEC</t>
  </si>
  <si>
    <t>UED.ktoe.ktoe.HU.AGR.AGR.FARM_DRIVES.MECH.DIESEL_LIQBIO</t>
  </si>
  <si>
    <t>UED.ktoe.ktoe.HU.AGR.AGR.HEAT_USE.THERM.SOLIDS</t>
  </si>
  <si>
    <t>UED.ktoe.ktoe.HU.AGR.AGR.HEAT_USE.THERM.LPG</t>
  </si>
  <si>
    <t>UED.ktoe.ktoe.HU.AGR.AGR.HEAT_USE.THERM.DIESEL_LIQBIO</t>
  </si>
  <si>
    <t>UED.ktoe.ktoe.HU.AGR.AGR.HEAT_USE.THERM.RFO</t>
  </si>
  <si>
    <t>UED.ktoe.ktoe.HU.AGR.AGR.HEAT_USE.THERM.NG_BIOGAS</t>
  </si>
  <si>
    <t>UED.ktoe.ktoe.HU.AGR.AGR.HEAT_USE.THERM.BIOMASS_WASTE</t>
  </si>
  <si>
    <t>UED.ktoe.ktoe.HU.AGR.AGR.HEAT_USE.THERM.SOLAR_GEO</t>
  </si>
  <si>
    <t>UED.ktoe.ktoe.HU.AGR.AGR.FARM_PUMP.MECH.DIESEL_LIQBIO</t>
  </si>
  <si>
    <t>UED.ktoe.ktoe.HU.AGR.AGR.FARM_PUMP_ELEC.MECH.ELEC</t>
  </si>
  <si>
    <t>UED.ktoe.ktoe.HU.AGR.AGR.GENERIC.MECH.ELEC</t>
  </si>
  <si>
    <t>HU - Agriculture, forestry and fishing / CO2 emissions</t>
  </si>
  <si>
    <t>FUEL_EMI.ktCO2.ktCO2.HU.AGR.AGR.LIGHT.GENERIC.ELEC</t>
  </si>
  <si>
    <t>FUEL_EMI.ktCO2.ktCO2.HU.AGR.AGR.FANS.GENERIC.ELEC</t>
  </si>
  <si>
    <t>FUEL_EMI.ktCO2.ktCO2.HU.AGR.AGR.MOTOR.GENERIC.ELEC</t>
  </si>
  <si>
    <t>FUEL_EMI.ktCO2.ktCO2.HU.AGR.AGR.LOW_ENTH.THERM.DIESEL_LIQBIO</t>
  </si>
  <si>
    <t>FUEL_EMI.ktCO2.ktCO2.HU.AGR.AGR.LOW_ENTH.THERM.NG_BIOGAS</t>
  </si>
  <si>
    <t>FUEL_EMI.ktCO2.ktCO2.HU.AGR.AGR.LOW_ENTH.THERM.SOLAR_GEO</t>
  </si>
  <si>
    <t>FUEL_EMI.ktCO2.ktCO2.HU.AGR.AGR.LOW_ENTH.HP.AMBIENT</t>
  </si>
  <si>
    <t>FUEL_EMI.ktCO2.ktCO2.HU.AGR.AGR.LOW_ENTH.THERM.STEAM_DISTR</t>
  </si>
  <si>
    <t>FUEL_EMI.ktCO2.ktCO2.HU.AGR.AGR.LOW_ENTH.THERM.ELEC</t>
  </si>
  <si>
    <t>FUEL_EMI.ktCO2.ktCO2.HU.AGR.AGR.FARM_DRIVES.MECH.DIESEL_LIQBIO</t>
  </si>
  <si>
    <t>FUEL_EMI.ktCO2.ktCO2.HU.AGR.AGR.HEAT_USE.THERM.SOLIDS</t>
  </si>
  <si>
    <t>FUEL_EMI.ktCO2.ktCO2.HU.AGR.AGR.HEAT_USE.THERM.LPG</t>
  </si>
  <si>
    <t>FUEL_EMI.ktCO2.ktCO2.HU.AGR.AGR.HEAT_USE.THERM.DIESEL_LIQBIO</t>
  </si>
  <si>
    <t>FUEL_EMI.ktCO2.ktCO2.HU.AGR.AGR.HEAT_USE.THERM.RFO</t>
  </si>
  <si>
    <t>FUEL_EMI.ktCO2.ktCO2.HU.AGR.AGR.HEAT_USE.THERM.NG_BIOGAS</t>
  </si>
  <si>
    <t>FUEL_EMI.ktCO2.ktCO2.HU.AGR.AGR.HEAT_USE.THERM.BIOMASS_WASTE</t>
  </si>
  <si>
    <t>FUEL_EMI.ktCO2.ktCO2.HU.AGR.AGR.HEAT_USE.THERM.SOLAR_GEO</t>
  </si>
  <si>
    <t>FUEL_EMI.ktCO2.ktCO2.HU.AGR.AGR.FARM_PUMP.MECH.DIESEL_LIQBIO</t>
  </si>
  <si>
    <t>FUEL_EMI.ktCO2.ktCO2.HU.AGR.AGR.FARM_PUMP_ELEC.MECH.ELEC</t>
  </si>
  <si>
    <t>FUEL_EMI.ktCO2.ktCO2.HU.AGR.AGR.GENERIC.MECH.ELEC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</si>
</sst>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45967.475983796299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10221644</v>
      </c>
      <c r="C3" s="34">
        <v>10200298</v>
      </c>
      <c r="D3" s="34">
        <v>10174853</v>
      </c>
      <c r="E3" s="34">
        <v>10142362</v>
      </c>
      <c r="F3" s="34">
        <v>10116742</v>
      </c>
      <c r="G3" s="34">
        <v>10097549</v>
      </c>
      <c r="H3" s="34">
        <v>10076581</v>
      </c>
      <c r="I3" s="34">
        <v>10066158</v>
      </c>
      <c r="J3" s="34">
        <v>10045401</v>
      </c>
      <c r="K3" s="34">
        <v>10030975</v>
      </c>
      <c r="L3" s="34">
        <v>10014324</v>
      </c>
      <c r="M3" s="34">
        <v>9985722</v>
      </c>
      <c r="N3" s="34">
        <v>9931925</v>
      </c>
      <c r="O3" s="34">
        <v>9895250</v>
      </c>
      <c r="P3" s="34">
        <v>9850217</v>
      </c>
      <c r="Q3" s="34">
        <v>9815858</v>
      </c>
      <c r="R3" s="34">
        <v>9779652</v>
      </c>
      <c r="S3" s="34">
        <v>9739857</v>
      </c>
      <c r="T3" s="34">
        <v>9713655</v>
      </c>
      <c r="U3" s="34">
        <v>9700272</v>
      </c>
      <c r="V3" s="34">
        <v>9689376</v>
      </c>
      <c r="W3" s="34">
        <v>9651461</v>
      </c>
      <c r="X3" s="34">
        <v>9610403</v>
      </c>
      <c r="Y3" s="34">
        <v>9599744</v>
      </c>
      <c r="DA3" s="88" t="s">
        <v>188</v>
      </c>
    </row>
    <row r="4" spans="1:105" ht="12" customHeight="1" x14ac:dyDescent="0.25">
      <c r="A4" s="35" t="s">
        <v>178</v>
      </c>
      <c r="B4" s="36">
        <v>115424.54637634478</v>
      </c>
      <c r="C4" s="36">
        <v>120113.52639624424</v>
      </c>
      <c r="D4" s="36">
        <v>125794.23191801614</v>
      </c>
      <c r="E4" s="36">
        <v>130749.85238994335</v>
      </c>
      <c r="F4" s="36">
        <v>137239.69500720961</v>
      </c>
      <c r="G4" s="36">
        <v>143140.16943083939</v>
      </c>
      <c r="H4" s="36">
        <v>148772.11959087334</v>
      </c>
      <c r="I4" s="36">
        <v>149266.74681974741</v>
      </c>
      <c r="J4" s="36">
        <v>150749.72818974539</v>
      </c>
      <c r="K4" s="36">
        <v>140587.88022553109</v>
      </c>
      <c r="L4" s="36">
        <v>142089.88988977537</v>
      </c>
      <c r="M4" s="36">
        <v>144812.71155921902</v>
      </c>
      <c r="N4" s="36">
        <v>142873.42678750434</v>
      </c>
      <c r="O4" s="36">
        <v>145776.76613886253</v>
      </c>
      <c r="P4" s="36">
        <v>152095.44957818004</v>
      </c>
      <c r="Q4" s="36">
        <v>157661.55216000002</v>
      </c>
      <c r="R4" s="36">
        <v>161506.51757986794</v>
      </c>
      <c r="S4" s="36">
        <v>168167.85228358675</v>
      </c>
      <c r="T4" s="36">
        <v>177594.67907669398</v>
      </c>
      <c r="U4" s="36">
        <v>186611.18593298231</v>
      </c>
      <c r="V4" s="36">
        <v>178515.59137055837</v>
      </c>
      <c r="W4" s="36">
        <v>191409.7585231945</v>
      </c>
      <c r="X4" s="36">
        <v>199582.80964380785</v>
      </c>
      <c r="Y4" s="36">
        <v>197902</v>
      </c>
      <c r="DA4" s="89" t="s">
        <v>189</v>
      </c>
    </row>
    <row r="5" spans="1:105" ht="12" customHeight="1" x14ac:dyDescent="0.25">
      <c r="A5" s="35" t="s">
        <v>179</v>
      </c>
      <c r="B5" s="36">
        <v>62286.952296291645</v>
      </c>
      <c r="C5" s="36">
        <v>65342.450633792236</v>
      </c>
      <c r="D5" s="36">
        <v>69912.523684432788</v>
      </c>
      <c r="E5" s="36">
        <v>73463.823251282854</v>
      </c>
      <c r="F5" s="36">
        <v>75750.177761761763</v>
      </c>
      <c r="G5" s="36">
        <v>79735.693924437684</v>
      </c>
      <c r="H5" s="36">
        <v>83412.608655445263</v>
      </c>
      <c r="I5" s="36">
        <v>84057.171436386285</v>
      </c>
      <c r="J5" s="36">
        <v>86018.209251144013</v>
      </c>
      <c r="K5" s="36">
        <v>81644.60948860136</v>
      </c>
      <c r="L5" s="36">
        <v>82535.39961423706</v>
      </c>
      <c r="M5" s="36">
        <v>82976.260273835913</v>
      </c>
      <c r="N5" s="36">
        <v>81600.294267522375</v>
      </c>
      <c r="O5" s="36">
        <v>83800.647331239394</v>
      </c>
      <c r="P5" s="36">
        <v>86492.222372559423</v>
      </c>
      <c r="Q5" s="36">
        <v>88614.833882999999</v>
      </c>
      <c r="R5" s="36">
        <v>92699.018647359204</v>
      </c>
      <c r="S5" s="36">
        <v>97120.191499783759</v>
      </c>
      <c r="T5" s="36">
        <v>103462.75957008185</v>
      </c>
      <c r="U5" s="36">
        <v>109485.16751885547</v>
      </c>
      <c r="V5" s="36">
        <v>104822.16439306569</v>
      </c>
      <c r="W5" s="36">
        <v>113626.91765016872</v>
      </c>
      <c r="X5" s="36">
        <v>118592.04981383511</v>
      </c>
      <c r="Y5" s="36">
        <v>117212.5</v>
      </c>
      <c r="DA5" s="89" t="s">
        <v>190</v>
      </c>
    </row>
    <row r="6" spans="1:105" ht="12" customHeight="1" x14ac:dyDescent="0.25">
      <c r="A6" s="37" t="s">
        <v>70</v>
      </c>
      <c r="B6" s="38">
        <v>2487320</v>
      </c>
      <c r="C6" s="38">
        <v>2514120</v>
      </c>
      <c r="D6" s="38">
        <v>2517569.9999999995</v>
      </c>
      <c r="E6" s="38">
        <v>2607870</v>
      </c>
      <c r="F6" s="38">
        <v>2636050</v>
      </c>
      <c r="G6" s="38">
        <v>2629750</v>
      </c>
      <c r="H6" s="38">
        <v>2668950</v>
      </c>
      <c r="I6" s="38">
        <v>2664399.9999999995</v>
      </c>
      <c r="J6" s="38">
        <v>2638109.9999999995</v>
      </c>
      <c r="K6" s="38">
        <v>2690780</v>
      </c>
      <c r="L6" s="38">
        <v>2695710</v>
      </c>
      <c r="M6" s="38">
        <v>2696359.9999999995</v>
      </c>
      <c r="N6" s="38">
        <v>2680740</v>
      </c>
      <c r="O6" s="38">
        <v>2791040</v>
      </c>
      <c r="P6" s="38">
        <v>2947980</v>
      </c>
      <c r="Q6" s="38">
        <v>3057350.0000000005</v>
      </c>
      <c r="R6" s="38">
        <v>3138920</v>
      </c>
      <c r="S6" s="38">
        <v>3149710</v>
      </c>
      <c r="T6" s="38">
        <v>3179580</v>
      </c>
      <c r="U6" s="38">
        <v>3208140.0000000005</v>
      </c>
      <c r="V6" s="38">
        <v>3176630</v>
      </c>
      <c r="W6" s="38">
        <v>3233050</v>
      </c>
      <c r="X6" s="38">
        <v>3286110</v>
      </c>
      <c r="Y6" s="38">
        <v>3298680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85230.47231047487</v>
      </c>
      <c r="C8" s="34">
        <v>86888.991472691094</v>
      </c>
      <c r="D8" s="34">
        <v>88832.836913722262</v>
      </c>
      <c r="E8" s="34">
        <v>92121.525460934354</v>
      </c>
      <c r="F8" s="34">
        <v>93559.566968281579</v>
      </c>
      <c r="G8" s="34">
        <v>95764.682085151464</v>
      </c>
      <c r="H8" s="34">
        <v>97083.360362271807</v>
      </c>
      <c r="I8" s="34">
        <v>98978.452642142351</v>
      </c>
      <c r="J8" s="34">
        <v>98407.680869784337</v>
      </c>
      <c r="K8" s="34">
        <v>97986.965298542884</v>
      </c>
      <c r="L8" s="34">
        <v>98010.318290147014</v>
      </c>
      <c r="M8" s="34">
        <v>98443.703252591411</v>
      </c>
      <c r="N8" s="34">
        <v>99157.793381041702</v>
      </c>
      <c r="O8" s="34">
        <v>100201.4295448233</v>
      </c>
      <c r="P8" s="34">
        <v>103348.32141025264</v>
      </c>
      <c r="Q8" s="34">
        <v>103421.65534673652</v>
      </c>
      <c r="R8" s="34">
        <v>104414.35119549742</v>
      </c>
      <c r="S8" s="34">
        <v>105872.30463898774</v>
      </c>
      <c r="T8" s="34">
        <v>107325.96291711487</v>
      </c>
      <c r="U8" s="34">
        <v>108570.22029721954</v>
      </c>
      <c r="V8" s="34">
        <v>109724.74222222222</v>
      </c>
      <c r="W8" s="34">
        <v>110826.27731476593</v>
      </c>
      <c r="X8" s="34">
        <v>111874.17726778281</v>
      </c>
      <c r="Y8" s="34">
        <v>112883.3175370862</v>
      </c>
      <c r="DA8" s="88" t="s">
        <v>192</v>
      </c>
    </row>
    <row r="9" spans="1:105" ht="12" customHeight="1" x14ac:dyDescent="0.25">
      <c r="A9" s="39" t="s">
        <v>68</v>
      </c>
      <c r="B9" s="40">
        <v>76707.425079427383</v>
      </c>
      <c r="C9" s="40">
        <v>78200.092325421982</v>
      </c>
      <c r="D9" s="40">
        <v>79949.553222350034</v>
      </c>
      <c r="E9" s="40">
        <v>82909.372914840918</v>
      </c>
      <c r="F9" s="40">
        <v>84203.610271453421</v>
      </c>
      <c r="G9" s="40">
        <v>86188.21387663632</v>
      </c>
      <c r="H9" s="40">
        <v>87375.02432604463</v>
      </c>
      <c r="I9" s="40">
        <v>89080.607377928114</v>
      </c>
      <c r="J9" s="40">
        <v>88566.912782805914</v>
      </c>
      <c r="K9" s="40">
        <v>88188.268768688591</v>
      </c>
      <c r="L9" s="40">
        <v>88209.286461132317</v>
      </c>
      <c r="M9" s="40">
        <v>88599.33292733226</v>
      </c>
      <c r="N9" s="40">
        <v>89242.014042937531</v>
      </c>
      <c r="O9" s="40">
        <v>90181.286590340969</v>
      </c>
      <c r="P9" s="40">
        <v>93013.489269227372</v>
      </c>
      <c r="Q9" s="40">
        <v>93079.489812062864</v>
      </c>
      <c r="R9" s="40">
        <v>93972.91607594768</v>
      </c>
      <c r="S9" s="40">
        <v>95285.074175088972</v>
      </c>
      <c r="T9" s="40">
        <v>96593.366625403374</v>
      </c>
      <c r="U9" s="40">
        <v>97713.198267497588</v>
      </c>
      <c r="V9" s="40">
        <v>98752.267999999996</v>
      </c>
      <c r="W9" s="40">
        <v>99743.649583289342</v>
      </c>
      <c r="X9" s="40">
        <v>100686.75954100453</v>
      </c>
      <c r="Y9" s="40">
        <v>101594.98578337757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1999.3299083498996</v>
      </c>
      <c r="D10" s="41">
        <v>2291.2383689571166</v>
      </c>
      <c r="E10" s="41">
        <v>3644.126363995279</v>
      </c>
      <c r="F10" s="41">
        <v>1806.6436877149649</v>
      </c>
      <c r="G10" s="41">
        <v>2579.2024487312115</v>
      </c>
      <c r="H10" s="41">
        <v>1701.9075281375992</v>
      </c>
      <c r="I10" s="41">
        <v>2283.4410056151041</v>
      </c>
      <c r="J10" s="41">
        <v>396.02793783558553</v>
      </c>
      <c r="K10" s="41">
        <v>393.46820047192068</v>
      </c>
      <c r="L10" s="41">
        <v>415.35848501111218</v>
      </c>
      <c r="M10" s="41">
        <v>825.39045585135932</v>
      </c>
      <c r="N10" s="41">
        <v>1107.9240056884578</v>
      </c>
      <c r="O10" s="41">
        <v>1440.3954551496643</v>
      </c>
      <c r="P10" s="41">
        <v>3547.6736012260235</v>
      </c>
      <c r="Q10" s="41">
        <v>486.54868233263142</v>
      </c>
      <c r="R10" s="41">
        <v>1523.0633120775042</v>
      </c>
      <c r="S10" s="41">
        <v>1993.4116547492713</v>
      </c>
      <c r="T10" s="41">
        <v>1996.5931737116362</v>
      </c>
      <c r="U10" s="41">
        <v>1794.6469335257723</v>
      </c>
      <c r="V10" s="41">
        <v>1711.2922855012703</v>
      </c>
      <c r="W10" s="41">
        <v>1664.2260782986955</v>
      </c>
      <c r="X10" s="41">
        <v>1616.239836682345</v>
      </c>
      <c r="Y10" s="41">
        <v>1582.8539988817415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1799.3969175149098</v>
      </c>
      <c r="D11" s="42">
        <v>2062.114532061405</v>
      </c>
      <c r="E11" s="42">
        <v>3279.7137275957512</v>
      </c>
      <c r="F11" s="42">
        <v>1625.9793189434686</v>
      </c>
      <c r="G11" s="42">
        <v>2321.2822038580903</v>
      </c>
      <c r="H11" s="42">
        <v>1531.7167753238396</v>
      </c>
      <c r="I11" s="42">
        <v>2055.0969050535937</v>
      </c>
      <c r="J11" s="42">
        <v>356.42514405202701</v>
      </c>
      <c r="K11" s="42">
        <v>354.12138042472861</v>
      </c>
      <c r="L11" s="42">
        <v>373.82263651000102</v>
      </c>
      <c r="M11" s="42">
        <v>742.85141026622341</v>
      </c>
      <c r="N11" s="42">
        <v>997.131605119612</v>
      </c>
      <c r="O11" s="42">
        <v>1296.3559096346978</v>
      </c>
      <c r="P11" s="42">
        <v>3192.9062411034215</v>
      </c>
      <c r="Q11" s="42">
        <v>437.89381409936829</v>
      </c>
      <c r="R11" s="42">
        <v>1370.7569808697538</v>
      </c>
      <c r="S11" s="42">
        <v>1794.0704892743443</v>
      </c>
      <c r="T11" s="42">
        <v>1796.9338563404726</v>
      </c>
      <c r="U11" s="42">
        <v>1615.1822401731952</v>
      </c>
      <c r="V11" s="42">
        <v>1540.1630569511433</v>
      </c>
      <c r="W11" s="42">
        <v>1497.8034704688259</v>
      </c>
      <c r="X11" s="42">
        <v>1454.6158530141104</v>
      </c>
      <c r="Y11" s="42">
        <v>1424.5685989935675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2502.9499999999998</v>
      </c>
      <c r="C13" s="43">
        <v>2856.12</v>
      </c>
      <c r="D13" s="43">
        <v>2650.18</v>
      </c>
      <c r="E13" s="43">
        <v>3110.57</v>
      </c>
      <c r="F13" s="43">
        <v>2892.42</v>
      </c>
      <c r="G13" s="43">
        <v>3042.39</v>
      </c>
      <c r="H13" s="43">
        <v>2825.8</v>
      </c>
      <c r="I13" s="43">
        <v>2572.6</v>
      </c>
      <c r="J13" s="43">
        <v>2553.4299999999998</v>
      </c>
      <c r="K13" s="43">
        <v>2618.66</v>
      </c>
      <c r="L13" s="43">
        <v>2950.73</v>
      </c>
      <c r="M13" s="43">
        <v>2815.26</v>
      </c>
      <c r="N13" s="43">
        <v>2768.77</v>
      </c>
      <c r="O13" s="43">
        <v>2688.69</v>
      </c>
      <c r="P13" s="43">
        <v>2277.6799999999998</v>
      </c>
      <c r="Q13" s="43">
        <v>2598.04</v>
      </c>
      <c r="R13" s="43">
        <v>2707.02</v>
      </c>
      <c r="S13" s="43">
        <v>2742.93</v>
      </c>
      <c r="T13" s="43">
        <v>2468.6999999999998</v>
      </c>
      <c r="U13" s="43">
        <v>2381.2199999999998</v>
      </c>
      <c r="V13" s="43">
        <v>2546.9899999999998</v>
      </c>
      <c r="W13" s="43">
        <v>2803.43</v>
      </c>
      <c r="X13" s="43">
        <v>2549.8000000000002</v>
      </c>
      <c r="Y13" s="43">
        <v>2324.16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2693.8642857142854</v>
      </c>
      <c r="C14" s="44">
        <f t="shared" ref="C14:Y14" si="0">AVERAGE($B$13:$V$13)</f>
        <v>2693.8642857142854</v>
      </c>
      <c r="D14" s="44">
        <f t="shared" si="0"/>
        <v>2693.8642857142854</v>
      </c>
      <c r="E14" s="44">
        <f t="shared" si="0"/>
        <v>2693.8642857142854</v>
      </c>
      <c r="F14" s="44">
        <f t="shared" si="0"/>
        <v>2693.8642857142854</v>
      </c>
      <c r="G14" s="44">
        <f t="shared" si="0"/>
        <v>2693.8642857142854</v>
      </c>
      <c r="H14" s="44">
        <f t="shared" si="0"/>
        <v>2693.8642857142854</v>
      </c>
      <c r="I14" s="44">
        <f t="shared" si="0"/>
        <v>2693.8642857142854</v>
      </c>
      <c r="J14" s="44">
        <f t="shared" si="0"/>
        <v>2693.8642857142854</v>
      </c>
      <c r="K14" s="44">
        <f t="shared" si="0"/>
        <v>2693.8642857142854</v>
      </c>
      <c r="L14" s="44">
        <f t="shared" si="0"/>
        <v>2693.8642857142854</v>
      </c>
      <c r="M14" s="44">
        <f t="shared" si="0"/>
        <v>2693.8642857142854</v>
      </c>
      <c r="N14" s="44">
        <f t="shared" si="0"/>
        <v>2693.8642857142854</v>
      </c>
      <c r="O14" s="44">
        <f t="shared" si="0"/>
        <v>2693.8642857142854</v>
      </c>
      <c r="P14" s="44">
        <f t="shared" si="0"/>
        <v>2693.8642857142854</v>
      </c>
      <c r="Q14" s="44">
        <f t="shared" si="0"/>
        <v>2693.8642857142854</v>
      </c>
      <c r="R14" s="44">
        <f t="shared" si="0"/>
        <v>2693.8642857142854</v>
      </c>
      <c r="S14" s="44">
        <f t="shared" si="0"/>
        <v>2693.8642857142854</v>
      </c>
      <c r="T14" s="44">
        <f t="shared" si="0"/>
        <v>2693.8642857142854</v>
      </c>
      <c r="U14" s="44">
        <f t="shared" si="0"/>
        <v>2693.8642857142854</v>
      </c>
      <c r="V14" s="44">
        <f t="shared" si="0"/>
        <v>2693.8642857142854</v>
      </c>
      <c r="W14" s="44">
        <f t="shared" si="0"/>
        <v>2693.8642857142854</v>
      </c>
      <c r="X14" s="44">
        <f t="shared" si="0"/>
        <v>2693.8642857142854</v>
      </c>
      <c r="Y14" s="44">
        <f t="shared" si="0"/>
        <v>2693.8642857142854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0.92912995404901622</v>
      </c>
      <c r="C15" s="46">
        <f t="shared" ref="C15:W15" si="1">C13/C14</f>
        <v>1.0602315844737116</v>
      </c>
      <c r="D15" s="46">
        <f t="shared" si="1"/>
        <v>0.98378378378378384</v>
      </c>
      <c r="E15" s="46">
        <f t="shared" si="1"/>
        <v>1.1546869738373713</v>
      </c>
      <c r="F15" s="46">
        <f t="shared" si="1"/>
        <v>1.0737066508282049</v>
      </c>
      <c r="G15" s="46">
        <f t="shared" si="1"/>
        <v>1.1293776067836698</v>
      </c>
      <c r="H15" s="46">
        <f t="shared" si="1"/>
        <v>1.0489763775351926</v>
      </c>
      <c r="I15" s="46">
        <f t="shared" si="1"/>
        <v>0.95498500560798227</v>
      </c>
      <c r="J15" s="46">
        <f t="shared" si="1"/>
        <v>0.94786883420259271</v>
      </c>
      <c r="K15" s="46">
        <f t="shared" si="1"/>
        <v>0.97208312010627329</v>
      </c>
      <c r="L15" s="46">
        <f t="shared" si="1"/>
        <v>1.0953521362037011</v>
      </c>
      <c r="M15" s="46">
        <f t="shared" si="1"/>
        <v>1.0450637825110505</v>
      </c>
      <c r="N15" s="46">
        <f t="shared" si="1"/>
        <v>1.0278060460146206</v>
      </c>
      <c r="O15" s="46">
        <f t="shared" si="1"/>
        <v>0.99807923296592005</v>
      </c>
      <c r="P15" s="46">
        <f t="shared" si="1"/>
        <v>0.84550658772183351</v>
      </c>
      <c r="Q15" s="46">
        <f t="shared" si="1"/>
        <v>0.96442868847460239</v>
      </c>
      <c r="R15" s="46">
        <f t="shared" si="1"/>
        <v>1.0048835846540154</v>
      </c>
      <c r="S15" s="46">
        <f t="shared" si="1"/>
        <v>1.0182138775683365</v>
      </c>
      <c r="T15" s="46">
        <f t="shared" si="1"/>
        <v>0.91641587629029997</v>
      </c>
      <c r="U15" s="46">
        <f t="shared" si="1"/>
        <v>0.88394208001781827</v>
      </c>
      <c r="V15" s="46">
        <f t="shared" si="1"/>
        <v>0.94547821637000484</v>
      </c>
      <c r="W15" s="46">
        <f t="shared" si="1"/>
        <v>1.0406723214924922</v>
      </c>
      <c r="X15" s="46">
        <f t="shared" ref="X15:Y15" si="2">X13/X14</f>
        <v>0.94652132756714347</v>
      </c>
      <c r="Y15" s="46">
        <f t="shared" si="2"/>
        <v>0.86276061207877164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11292.170454805975</v>
      </c>
      <c r="C19" s="34">
        <f t="shared" si="3"/>
        <v>11775.491892123568</v>
      </c>
      <c r="D19" s="34">
        <f t="shared" ref="D19:W19" si="4">D4*1000000/D3</f>
        <v>12363.248089973991</v>
      </c>
      <c r="E19" s="34">
        <f t="shared" si="4"/>
        <v>12891.459838442302</v>
      </c>
      <c r="F19" s="34">
        <f t="shared" si="4"/>
        <v>13565.601950431237</v>
      </c>
      <c r="G19" s="34">
        <f t="shared" si="4"/>
        <v>14175.73407475808</v>
      </c>
      <c r="H19" s="34">
        <f t="shared" si="4"/>
        <v>14764.146647645002</v>
      </c>
      <c r="I19" s="34">
        <f t="shared" si="4"/>
        <v>14828.571816550804</v>
      </c>
      <c r="J19" s="34">
        <f t="shared" si="4"/>
        <v>15006.840263494249</v>
      </c>
      <c r="K19" s="34">
        <f t="shared" si="4"/>
        <v>14015.375397260097</v>
      </c>
      <c r="L19" s="34">
        <f t="shared" si="4"/>
        <v>14188.665145023804</v>
      </c>
      <c r="M19" s="34">
        <f t="shared" si="4"/>
        <v>14501.977078795006</v>
      </c>
      <c r="N19" s="34">
        <f t="shared" si="4"/>
        <v>14385.270407046402</v>
      </c>
      <c r="O19" s="34">
        <f t="shared" si="4"/>
        <v>14731.994253693692</v>
      </c>
      <c r="P19" s="34">
        <f t="shared" si="4"/>
        <v>15440.822225356053</v>
      </c>
      <c r="Q19" s="34">
        <f t="shared" si="4"/>
        <v>16061.922672475501</v>
      </c>
      <c r="R19" s="34">
        <f t="shared" si="4"/>
        <v>16514.546486916708</v>
      </c>
      <c r="S19" s="34">
        <f t="shared" si="4"/>
        <v>17265.946746814327</v>
      </c>
      <c r="T19" s="34">
        <f t="shared" si="4"/>
        <v>18282.992249229974</v>
      </c>
      <c r="U19" s="34">
        <f t="shared" si="4"/>
        <v>19237.72714136081</v>
      </c>
      <c r="V19" s="34">
        <f t="shared" si="4"/>
        <v>18423.848075516769</v>
      </c>
      <c r="W19" s="34">
        <f t="shared" si="4"/>
        <v>19832.205561748058</v>
      </c>
      <c r="X19" s="34">
        <f t="shared" ref="X19:Y19" si="5">X4*1000000/X3</f>
        <v>20767.371528936703</v>
      </c>
      <c r="Y19" s="34">
        <f t="shared" si="5"/>
        <v>20615.341409104243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25041.792892065216</v>
      </c>
      <c r="C20" s="36">
        <f t="shared" si="6"/>
        <v>25990.187673536759</v>
      </c>
      <c r="D20" s="36">
        <f t="shared" ref="D20:W20" si="7">D5*1000000/D6</f>
        <v>27769.843017049297</v>
      </c>
      <c r="E20" s="36">
        <f t="shared" si="7"/>
        <v>28170.048066538151</v>
      </c>
      <c r="F20" s="36">
        <f t="shared" si="7"/>
        <v>28736.244669775522</v>
      </c>
      <c r="G20" s="36">
        <f t="shared" si="7"/>
        <v>30320.636533677225</v>
      </c>
      <c r="H20" s="36">
        <f t="shared" si="7"/>
        <v>31252.967892034419</v>
      </c>
      <c r="I20" s="36">
        <f t="shared" si="7"/>
        <v>31548.255305654671</v>
      </c>
      <c r="J20" s="36">
        <f t="shared" si="7"/>
        <v>32605.997949723107</v>
      </c>
      <c r="K20" s="36">
        <f t="shared" si="7"/>
        <v>30342.357787928169</v>
      </c>
      <c r="L20" s="36">
        <f t="shared" si="7"/>
        <v>30617.314033867537</v>
      </c>
      <c r="M20" s="36">
        <f t="shared" si="7"/>
        <v>30773.435399514874</v>
      </c>
      <c r="N20" s="36">
        <f t="shared" si="7"/>
        <v>30439.466068146248</v>
      </c>
      <c r="O20" s="36">
        <f t="shared" si="7"/>
        <v>30024.882241472496</v>
      </c>
      <c r="P20" s="36">
        <f t="shared" si="7"/>
        <v>29339.487504175544</v>
      </c>
      <c r="Q20" s="36">
        <f t="shared" si="7"/>
        <v>28984.196733445628</v>
      </c>
      <c r="R20" s="36">
        <f t="shared" si="7"/>
        <v>29532.138011596093</v>
      </c>
      <c r="S20" s="36">
        <f t="shared" si="7"/>
        <v>30834.645570475932</v>
      </c>
      <c r="T20" s="36">
        <f t="shared" si="7"/>
        <v>32539.756688015979</v>
      </c>
      <c r="U20" s="36">
        <f t="shared" si="7"/>
        <v>34127.303521309994</v>
      </c>
      <c r="V20" s="36">
        <f t="shared" si="7"/>
        <v>32997.914265452913</v>
      </c>
      <c r="W20" s="36">
        <f t="shared" si="7"/>
        <v>35145.425418774445</v>
      </c>
      <c r="X20" s="36">
        <f t="shared" ref="X20:Y20" si="8">X5*1000000/X6</f>
        <v>36088.886194873303</v>
      </c>
      <c r="Y20" s="36">
        <f t="shared" si="8"/>
        <v>35533.152655001395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6093.6334992973389</v>
      </c>
      <c r="C21" s="36">
        <f t="shared" si="9"/>
        <v>6405.9354573554847</v>
      </c>
      <c r="D21" s="36">
        <f t="shared" ref="D21:W21" si="10">D5*1000000/D3</f>
        <v>6871.1089668256418</v>
      </c>
      <c r="E21" s="36">
        <f t="shared" si="10"/>
        <v>7243.2657453246939</v>
      </c>
      <c r="F21" s="36">
        <f t="shared" si="10"/>
        <v>7487.6059666008841</v>
      </c>
      <c r="G21" s="36">
        <f t="shared" si="10"/>
        <v>7896.53943986186</v>
      </c>
      <c r="H21" s="36">
        <f t="shared" si="10"/>
        <v>8277.8681236666744</v>
      </c>
      <c r="I21" s="36">
        <f t="shared" si="10"/>
        <v>8350.472090383073</v>
      </c>
      <c r="J21" s="36">
        <f t="shared" si="10"/>
        <v>8562.9443016902969</v>
      </c>
      <c r="K21" s="36">
        <f t="shared" si="10"/>
        <v>8139.2496231524219</v>
      </c>
      <c r="L21" s="36">
        <f t="shared" si="10"/>
        <v>8241.7345009245819</v>
      </c>
      <c r="M21" s="36">
        <f t="shared" si="10"/>
        <v>8309.4903176591451</v>
      </c>
      <c r="N21" s="36">
        <f t="shared" si="10"/>
        <v>8215.9595715354644</v>
      </c>
      <c r="O21" s="36">
        <f t="shared" si="10"/>
        <v>8468.775152850043</v>
      </c>
      <c r="P21" s="36">
        <f t="shared" si="10"/>
        <v>8780.7428377018914</v>
      </c>
      <c r="Q21" s="36">
        <f t="shared" si="10"/>
        <v>9027.7216605007943</v>
      </c>
      <c r="R21" s="36">
        <f t="shared" si="10"/>
        <v>9478.7645457485814</v>
      </c>
      <c r="S21" s="36">
        <f t="shared" si="10"/>
        <v>9971.4186255284603</v>
      </c>
      <c r="T21" s="36">
        <f t="shared" si="10"/>
        <v>10651.269740389364</v>
      </c>
      <c r="U21" s="36">
        <f t="shared" si="10"/>
        <v>11286.814175814397</v>
      </c>
      <c r="V21" s="36">
        <f t="shared" si="10"/>
        <v>10818.257480467853</v>
      </c>
      <c r="W21" s="36">
        <f t="shared" si="10"/>
        <v>11773.027694995475</v>
      </c>
      <c r="X21" s="36">
        <f t="shared" ref="X21:Y21" si="11">X5*1000000/X3</f>
        <v>12339.966369135103</v>
      </c>
      <c r="Y21" s="36">
        <f t="shared" si="11"/>
        <v>12209.961015627083</v>
      </c>
      <c r="DA21" s="89"/>
    </row>
    <row r="22" spans="1:105" ht="12" customHeight="1" x14ac:dyDescent="0.25">
      <c r="A22" s="51" t="s">
        <v>148</v>
      </c>
      <c r="B22" s="52">
        <v>0.3324799704511297</v>
      </c>
      <c r="C22" s="52">
        <v>0.34080324082975755</v>
      </c>
      <c r="D22" s="52">
        <v>0.35832097157976189</v>
      </c>
      <c r="E22" s="52">
        <v>0.37360075295988321</v>
      </c>
      <c r="F22" s="52">
        <v>0.3774469094465101</v>
      </c>
      <c r="G22" s="52">
        <v>0.38965365803266749</v>
      </c>
      <c r="H22" s="52">
        <v>0.39633115549804077</v>
      </c>
      <c r="I22" s="52">
        <v>0.38792149726854869</v>
      </c>
      <c r="J22" s="52">
        <v>0.39250577470139325</v>
      </c>
      <c r="K22" s="52">
        <v>0.38171826931869379</v>
      </c>
      <c r="L22" s="52">
        <v>0.38079626887518209</v>
      </c>
      <c r="M22" s="52">
        <v>0.37636430769350121</v>
      </c>
      <c r="N22" s="52">
        <v>0.37331130769646137</v>
      </c>
      <c r="O22" s="52">
        <v>0.38258423680822629</v>
      </c>
      <c r="P22" s="52">
        <v>0.3902271723886771</v>
      </c>
      <c r="Q22" s="52">
        <v>0.39464442743461708</v>
      </c>
      <c r="R22" s="52">
        <v>0.40750336277425991</v>
      </c>
      <c r="S22" s="52">
        <v>0.4174624941055522</v>
      </c>
      <c r="T22" s="52">
        <v>0.43651102436394962</v>
      </c>
      <c r="U22" s="52">
        <v>0.45395284954099541</v>
      </c>
      <c r="V22" s="52">
        <v>0.45972315928915147</v>
      </c>
      <c r="W22" s="52">
        <v>0.47141535337339063</v>
      </c>
      <c r="X22" s="52">
        <v>0.47920161944583733</v>
      </c>
      <c r="Y22" s="52">
        <v>0.473049781093838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29.183459067776479</v>
      </c>
      <c r="C23" s="53">
        <f t="shared" si="12"/>
        <v>28.934850749075377</v>
      </c>
      <c r="D23" s="53">
        <f t="shared" ref="D23:W23" si="13">D6/D8</f>
        <v>28.340533607467211</v>
      </c>
      <c r="E23" s="53">
        <f t="shared" si="13"/>
        <v>28.309018841702855</v>
      </c>
      <c r="F23" s="53">
        <f t="shared" si="13"/>
        <v>28.175098340222863</v>
      </c>
      <c r="G23" s="53">
        <f t="shared" si="13"/>
        <v>27.460541221884856</v>
      </c>
      <c r="H23" s="53">
        <f t="shared" si="13"/>
        <v>27.491322818252982</v>
      </c>
      <c r="I23" s="53">
        <f t="shared" si="13"/>
        <v>26.918990233492192</v>
      </c>
      <c r="J23" s="53">
        <f t="shared" si="13"/>
        <v>26.807968409405124</v>
      </c>
      <c r="K23" s="53">
        <f t="shared" si="13"/>
        <v>27.460591230699265</v>
      </c>
      <c r="L23" s="53">
        <f t="shared" si="13"/>
        <v>27.504349001496916</v>
      </c>
      <c r="M23" s="53">
        <f t="shared" si="13"/>
        <v>27.389867618872017</v>
      </c>
      <c r="N23" s="53">
        <f t="shared" si="13"/>
        <v>27.035091328610982</v>
      </c>
      <c r="O23" s="53">
        <f t="shared" si="13"/>
        <v>27.854293223945259</v>
      </c>
      <c r="P23" s="53">
        <f t="shared" si="13"/>
        <v>28.524701318540686</v>
      </c>
      <c r="Q23" s="53">
        <f t="shared" si="13"/>
        <v>29.561990569090959</v>
      </c>
      <c r="R23" s="53">
        <f t="shared" si="13"/>
        <v>30.062151074644202</v>
      </c>
      <c r="S23" s="53">
        <f t="shared" si="13"/>
        <v>29.750084412917477</v>
      </c>
      <c r="T23" s="53">
        <f t="shared" si="13"/>
        <v>29.625450483547112</v>
      </c>
      <c r="U23" s="53">
        <f t="shared" si="13"/>
        <v>29.548986740723784</v>
      </c>
      <c r="V23" s="53">
        <f t="shared" si="13"/>
        <v>28.950899639084746</v>
      </c>
      <c r="W23" s="53">
        <f t="shared" si="13"/>
        <v>29.172233141221326</v>
      </c>
      <c r="X23" s="53">
        <f t="shared" ref="X23:Y23" si="14">X6/X8</f>
        <v>29.373266291240238</v>
      </c>
      <c r="Y23" s="53">
        <f t="shared" si="14"/>
        <v>29.222032732305781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7.5044117247115407</v>
      </c>
      <c r="C24" s="54">
        <f t="shared" si="15"/>
        <v>7.6664517375298242</v>
      </c>
      <c r="D24" s="54">
        <f t="shared" ref="D24:W24" si="16">D9*1000/D3</f>
        <v>7.8575634677326569</v>
      </c>
      <c r="E24" s="54">
        <f t="shared" si="16"/>
        <v>8.1745625836310047</v>
      </c>
      <c r="F24" s="54">
        <f t="shared" si="16"/>
        <v>8.3231943911837849</v>
      </c>
      <c r="G24" s="54">
        <f t="shared" si="16"/>
        <v>8.5355578741570177</v>
      </c>
      <c r="H24" s="54">
        <f t="shared" si="16"/>
        <v>8.6710982947534117</v>
      </c>
      <c r="I24" s="54">
        <f t="shared" si="16"/>
        <v>8.8495141222627449</v>
      </c>
      <c r="J24" s="54">
        <f t="shared" si="16"/>
        <v>8.8166627477395796</v>
      </c>
      <c r="K24" s="54">
        <f t="shared" si="16"/>
        <v>8.7915949116300851</v>
      </c>
      <c r="L24" s="54">
        <f t="shared" si="16"/>
        <v>8.8083116205479595</v>
      </c>
      <c r="M24" s="54">
        <f t="shared" si="16"/>
        <v>8.8726015932881221</v>
      </c>
      <c r="N24" s="54">
        <f t="shared" si="16"/>
        <v>8.9853693058432818</v>
      </c>
      <c r="O24" s="54">
        <f t="shared" si="16"/>
        <v>9.1135935514859128</v>
      </c>
      <c r="P24" s="54">
        <f t="shared" si="16"/>
        <v>9.4427858055540668</v>
      </c>
      <c r="Q24" s="54">
        <f t="shared" si="16"/>
        <v>9.4825627889139046</v>
      </c>
      <c r="R24" s="54">
        <f t="shared" si="16"/>
        <v>9.6090245415632065</v>
      </c>
      <c r="S24" s="54">
        <f t="shared" si="16"/>
        <v>9.7830054563520772</v>
      </c>
      <c r="T24" s="54">
        <f t="shared" si="16"/>
        <v>9.9440804337196838</v>
      </c>
      <c r="U24" s="54">
        <f t="shared" si="16"/>
        <v>10.073243128388317</v>
      </c>
      <c r="V24" s="54">
        <f t="shared" si="16"/>
        <v>10.191808843004956</v>
      </c>
      <c r="W24" s="54">
        <f t="shared" si="16"/>
        <v>10.334564848087698</v>
      </c>
      <c r="X24" s="54">
        <f t="shared" ref="X24:Y24" si="17">X9*1000/X3</f>
        <v>10.47685092300547</v>
      </c>
      <c r="Y24" s="54">
        <f t="shared" si="17"/>
        <v>10.583093234921428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30.839387404687525</v>
      </c>
      <c r="C25" s="54">
        <f t="shared" si="18"/>
        <v>31.104359507669479</v>
      </c>
      <c r="D25" s="54">
        <f t="shared" ref="D25:W25" si="19">D9*1000/D6</f>
        <v>31.75663565356675</v>
      </c>
      <c r="E25" s="54">
        <f t="shared" si="19"/>
        <v>31.791988448366261</v>
      </c>
      <c r="F25" s="54">
        <f t="shared" si="19"/>
        <v>31.943100575274908</v>
      </c>
      <c r="G25" s="54">
        <f t="shared" si="19"/>
        <v>32.774299411212596</v>
      </c>
      <c r="H25" s="54">
        <f t="shared" si="19"/>
        <v>32.737602550083231</v>
      </c>
      <c r="I25" s="54">
        <f t="shared" si="19"/>
        <v>33.433646366134262</v>
      </c>
      <c r="J25" s="54">
        <f t="shared" si="19"/>
        <v>33.572107600822534</v>
      </c>
      <c r="K25" s="54">
        <f t="shared" si="19"/>
        <v>32.774239725540028</v>
      </c>
      <c r="L25" s="54">
        <f t="shared" si="19"/>
        <v>32.722097874449524</v>
      </c>
      <c r="M25" s="54">
        <f t="shared" si="19"/>
        <v>32.858866370711723</v>
      </c>
      <c r="N25" s="54">
        <f t="shared" si="19"/>
        <v>33.290066937837139</v>
      </c>
      <c r="O25" s="54">
        <f t="shared" si="19"/>
        <v>32.310997545839889</v>
      </c>
      <c r="P25" s="54">
        <f t="shared" si="19"/>
        <v>31.551601187669988</v>
      </c>
      <c r="Q25" s="54">
        <f t="shared" si="19"/>
        <v>30.444499259837063</v>
      </c>
      <c r="R25" s="54">
        <f t="shared" si="19"/>
        <v>29.937977417693883</v>
      </c>
      <c r="S25" s="54">
        <f t="shared" si="19"/>
        <v>30.252015002996774</v>
      </c>
      <c r="T25" s="54">
        <f t="shared" si="19"/>
        <v>30.379284882092406</v>
      </c>
      <c r="U25" s="54">
        <f t="shared" si="19"/>
        <v>30.457897182634664</v>
      </c>
      <c r="V25" s="54">
        <f t="shared" si="19"/>
        <v>31.087116850246961</v>
      </c>
      <c r="W25" s="54">
        <f t="shared" si="19"/>
        <v>30.851254877991167</v>
      </c>
      <c r="X25" s="54">
        <f t="shared" ref="X25:Y25" si="20">X9*1000/X6</f>
        <v>30.640106247509834</v>
      </c>
      <c r="Y25" s="54">
        <f t="shared" si="20"/>
        <v>30.798678799816162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899.99999999999989</v>
      </c>
      <c r="C26" s="55">
        <f t="shared" si="21"/>
        <v>900</v>
      </c>
      <c r="D26" s="55">
        <f t="shared" ref="D26:W26" si="22">D9*1000/D8</f>
        <v>900</v>
      </c>
      <c r="E26" s="55">
        <f t="shared" si="22"/>
        <v>900</v>
      </c>
      <c r="F26" s="55">
        <f t="shared" si="22"/>
        <v>900</v>
      </c>
      <c r="G26" s="55">
        <f t="shared" si="22"/>
        <v>900.00000000000011</v>
      </c>
      <c r="H26" s="55">
        <f t="shared" si="22"/>
        <v>900.00000000000011</v>
      </c>
      <c r="I26" s="55">
        <f t="shared" si="22"/>
        <v>899.99999999999989</v>
      </c>
      <c r="J26" s="55">
        <f t="shared" si="22"/>
        <v>900.00000000000011</v>
      </c>
      <c r="K26" s="55">
        <f t="shared" si="22"/>
        <v>899.99999999999989</v>
      </c>
      <c r="L26" s="55">
        <f t="shared" si="22"/>
        <v>900</v>
      </c>
      <c r="M26" s="55">
        <f t="shared" si="22"/>
        <v>899.99999999999977</v>
      </c>
      <c r="N26" s="55">
        <f t="shared" si="22"/>
        <v>900</v>
      </c>
      <c r="O26" s="55">
        <f t="shared" si="22"/>
        <v>900</v>
      </c>
      <c r="P26" s="55">
        <f t="shared" si="22"/>
        <v>900</v>
      </c>
      <c r="Q26" s="55">
        <f t="shared" si="22"/>
        <v>900</v>
      </c>
      <c r="R26" s="55">
        <f t="shared" si="22"/>
        <v>900</v>
      </c>
      <c r="S26" s="55">
        <f t="shared" si="22"/>
        <v>900</v>
      </c>
      <c r="T26" s="55">
        <f t="shared" si="22"/>
        <v>899.99999999999989</v>
      </c>
      <c r="U26" s="55">
        <f t="shared" si="22"/>
        <v>900</v>
      </c>
      <c r="V26" s="55">
        <f t="shared" si="22"/>
        <v>900</v>
      </c>
      <c r="W26" s="55">
        <f t="shared" si="22"/>
        <v>900</v>
      </c>
      <c r="X26" s="55">
        <f t="shared" ref="X26:Y26" si="23">X9*1000/X8</f>
        <v>900.00000000000011</v>
      </c>
      <c r="Y26" s="55">
        <f t="shared" si="23"/>
        <v>899.99999999999989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900.00000000000011</v>
      </c>
      <c r="D27" s="57">
        <f t="shared" ref="D27:W27" si="25">IF(SUM(D11)=0,"",D11*1000/D10)</f>
        <v>900</v>
      </c>
      <c r="E27" s="57">
        <f t="shared" si="25"/>
        <v>900</v>
      </c>
      <c r="F27" s="57">
        <f t="shared" si="25"/>
        <v>900.00000000000011</v>
      </c>
      <c r="G27" s="57">
        <f t="shared" si="25"/>
        <v>899.99999999999989</v>
      </c>
      <c r="H27" s="57">
        <f t="shared" si="25"/>
        <v>900.00000000000023</v>
      </c>
      <c r="I27" s="57">
        <f t="shared" si="25"/>
        <v>900</v>
      </c>
      <c r="J27" s="57">
        <f t="shared" si="25"/>
        <v>900.00000000000011</v>
      </c>
      <c r="K27" s="57">
        <f t="shared" si="25"/>
        <v>900</v>
      </c>
      <c r="L27" s="57">
        <f t="shared" si="25"/>
        <v>900.00000000000011</v>
      </c>
      <c r="M27" s="57">
        <f t="shared" si="25"/>
        <v>900</v>
      </c>
      <c r="N27" s="57">
        <f t="shared" si="25"/>
        <v>900</v>
      </c>
      <c r="O27" s="57">
        <f t="shared" si="25"/>
        <v>899.99999999999989</v>
      </c>
      <c r="P27" s="57">
        <f t="shared" si="25"/>
        <v>900.00000000000011</v>
      </c>
      <c r="Q27" s="57">
        <f t="shared" si="25"/>
        <v>900</v>
      </c>
      <c r="R27" s="57">
        <f t="shared" si="25"/>
        <v>900</v>
      </c>
      <c r="S27" s="57">
        <f t="shared" si="25"/>
        <v>900</v>
      </c>
      <c r="T27" s="57">
        <f t="shared" si="25"/>
        <v>900</v>
      </c>
      <c r="U27" s="57">
        <f t="shared" si="25"/>
        <v>900.00000000000011</v>
      </c>
      <c r="V27" s="57">
        <f t="shared" si="25"/>
        <v>900</v>
      </c>
      <c r="W27" s="57">
        <f t="shared" si="25"/>
        <v>900</v>
      </c>
      <c r="X27" s="57">
        <f t="shared" ref="X27:Y27" si="26">IF(SUM(X11)=0,"",X11*1000/X10)</f>
        <v>899.99999999999989</v>
      </c>
      <c r="Y27" s="57">
        <f t="shared" si="26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3037.1447780198091</v>
      </c>
      <c r="C31" s="80">
        <f t="shared" ref="C31:W31" si="27">SUM(C32:C33,C36:C37,C44:C45)</f>
        <v>3203.29723672418</v>
      </c>
      <c r="D31" s="80">
        <f t="shared" si="27"/>
        <v>2968.4489695988423</v>
      </c>
      <c r="E31" s="80">
        <f t="shared" si="27"/>
        <v>3081.6296495191987</v>
      </c>
      <c r="F31" s="80">
        <f t="shared" si="27"/>
        <v>3544.5895862984662</v>
      </c>
      <c r="G31" s="80">
        <f t="shared" si="27"/>
        <v>3501.6905216890773</v>
      </c>
      <c r="H31" s="80">
        <f t="shared" si="27"/>
        <v>3183.3038627726669</v>
      </c>
      <c r="I31" s="80">
        <f t="shared" si="27"/>
        <v>2795.6234354384969</v>
      </c>
      <c r="J31" s="80">
        <f t="shared" si="27"/>
        <v>2740.2233119231278</v>
      </c>
      <c r="K31" s="80">
        <f t="shared" si="27"/>
        <v>2902.7742609793581</v>
      </c>
      <c r="L31" s="80">
        <f t="shared" si="27"/>
        <v>3047.948597886163</v>
      </c>
      <c r="M31" s="80">
        <f t="shared" si="27"/>
        <v>3053.0459162527427</v>
      </c>
      <c r="N31" s="80">
        <f t="shared" si="27"/>
        <v>2353.4470063108006</v>
      </c>
      <c r="O31" s="80">
        <f t="shared" si="27"/>
        <v>2339.2671493440844</v>
      </c>
      <c r="P31" s="80">
        <f t="shared" si="27"/>
        <v>2116.9238510148834</v>
      </c>
      <c r="Q31" s="80">
        <f t="shared" si="27"/>
        <v>2215.8014642953567</v>
      </c>
      <c r="R31" s="80">
        <f t="shared" si="27"/>
        <v>2203.1224369855722</v>
      </c>
      <c r="S31" s="80">
        <f t="shared" si="27"/>
        <v>2173.6052987853996</v>
      </c>
      <c r="T31" s="80">
        <f t="shared" si="27"/>
        <v>2118.2909364408533</v>
      </c>
      <c r="U31" s="80">
        <f t="shared" si="27"/>
        <v>2070.4906528366896</v>
      </c>
      <c r="V31" s="80">
        <f t="shared" si="27"/>
        <v>2021.0771560421908</v>
      </c>
      <c r="W31" s="80">
        <f t="shared" si="27"/>
        <v>2103.6619232755329</v>
      </c>
      <c r="X31" s="80">
        <f t="shared" ref="X31:Y31" si="28">SUM(X32:X33,X36:X37,X44:X45)</f>
        <v>1910.6364057518886</v>
      </c>
      <c r="Y31" s="80">
        <f t="shared" si="28"/>
        <v>1639.8858776565871</v>
      </c>
      <c r="DA31" s="103" t="s">
        <v>199</v>
      </c>
    </row>
    <row r="32" spans="1:105" ht="12" customHeight="1" x14ac:dyDescent="0.25">
      <c r="A32" s="58" t="s">
        <v>29</v>
      </c>
      <c r="B32" s="59">
        <v>23.16956147893379</v>
      </c>
      <c r="C32" s="59">
        <v>13.376268271711091</v>
      </c>
      <c r="D32" s="59">
        <v>10.530266552020636</v>
      </c>
      <c r="E32" s="59">
        <v>9.8524505588993971</v>
      </c>
      <c r="F32" s="59">
        <v>6.1796216680997418</v>
      </c>
      <c r="G32" s="59">
        <v>2.3913155631986238</v>
      </c>
      <c r="H32" s="59">
        <v>4.3846947549441095</v>
      </c>
      <c r="I32" s="59">
        <v>3.6223559759243336</v>
      </c>
      <c r="J32" s="59">
        <v>3.4360275150472912</v>
      </c>
      <c r="K32" s="59">
        <v>2.8388650042992256</v>
      </c>
      <c r="L32" s="59">
        <v>2.7337919174548575</v>
      </c>
      <c r="M32" s="59">
        <v>3.0481513327601029</v>
      </c>
      <c r="N32" s="59">
        <v>0.8527085124677557</v>
      </c>
      <c r="O32" s="59">
        <v>2.450558899398108</v>
      </c>
      <c r="P32" s="59">
        <v>2.2905417024935506</v>
      </c>
      <c r="Q32" s="59">
        <v>2.9263112639724849</v>
      </c>
      <c r="R32" s="59">
        <v>2.88950988822012</v>
      </c>
      <c r="S32" s="59">
        <v>1.4721410146173688</v>
      </c>
      <c r="T32" s="59">
        <v>1.5094582975064488</v>
      </c>
      <c r="U32" s="59">
        <v>1.4860705073086842</v>
      </c>
      <c r="V32" s="59">
        <v>1.2000859845227858</v>
      </c>
      <c r="W32" s="59">
        <v>1.1941530524505588</v>
      </c>
      <c r="X32" s="59">
        <v>1.4377472055030092</v>
      </c>
      <c r="Y32" s="59">
        <v>0.55520206362854685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85.01960447119518</v>
      </c>
      <c r="C33" s="55">
        <f t="shared" ref="C33:W33" si="29">SUM(C34:C35)</f>
        <v>76.700601891659502</v>
      </c>
      <c r="D33" s="55">
        <f t="shared" si="29"/>
        <v>62.723301805674971</v>
      </c>
      <c r="E33" s="55">
        <f t="shared" si="29"/>
        <v>54.0006018916595</v>
      </c>
      <c r="F33" s="55">
        <f t="shared" si="29"/>
        <v>34.637489251934646</v>
      </c>
      <c r="G33" s="55">
        <f t="shared" si="29"/>
        <v>37.885812553740323</v>
      </c>
      <c r="H33" s="55">
        <f t="shared" si="29"/>
        <v>32.645399828030946</v>
      </c>
      <c r="I33" s="55">
        <f t="shared" si="29"/>
        <v>23.574118658641439</v>
      </c>
      <c r="J33" s="55">
        <f t="shared" si="29"/>
        <v>19.083748925193461</v>
      </c>
      <c r="K33" s="55">
        <f t="shared" si="29"/>
        <v>19.083748925193461</v>
      </c>
      <c r="L33" s="55">
        <f t="shared" si="29"/>
        <v>21.328976784178849</v>
      </c>
      <c r="M33" s="55">
        <f t="shared" si="29"/>
        <v>17.961220980223558</v>
      </c>
      <c r="N33" s="55">
        <f t="shared" si="29"/>
        <v>28.618486672398969</v>
      </c>
      <c r="O33" s="55">
        <f t="shared" si="29"/>
        <v>19.155460017196901</v>
      </c>
      <c r="P33" s="55">
        <f t="shared" si="29"/>
        <v>28.303353396388648</v>
      </c>
      <c r="Q33" s="55">
        <f t="shared" si="29"/>
        <v>41.583147033533962</v>
      </c>
      <c r="R33" s="55">
        <f t="shared" si="29"/>
        <v>44.643852106620812</v>
      </c>
      <c r="S33" s="55">
        <f t="shared" si="29"/>
        <v>39.442218400687878</v>
      </c>
      <c r="T33" s="55">
        <f t="shared" si="29"/>
        <v>46.921496130696482</v>
      </c>
      <c r="U33" s="55">
        <f t="shared" si="29"/>
        <v>41.890627687016327</v>
      </c>
      <c r="V33" s="55">
        <f t="shared" si="29"/>
        <v>48.394754944110048</v>
      </c>
      <c r="W33" s="55">
        <f t="shared" si="29"/>
        <v>51.226827171109193</v>
      </c>
      <c r="X33" s="55">
        <f t="shared" ref="X33:Y33" si="30">SUM(X34:X35)</f>
        <v>39.881943250214952</v>
      </c>
      <c r="Y33" s="55">
        <f t="shared" si="30"/>
        <v>36.832846087704212</v>
      </c>
      <c r="DA33" s="101"/>
    </row>
    <row r="34" spans="1:105" ht="12" customHeight="1" x14ac:dyDescent="0.25">
      <c r="A34" s="61" t="s">
        <v>52</v>
      </c>
      <c r="B34" s="55">
        <v>51.968099742046427</v>
      </c>
      <c r="C34" s="55">
        <v>41.80042992261393</v>
      </c>
      <c r="D34" s="55">
        <v>46.319346517626819</v>
      </c>
      <c r="E34" s="55">
        <v>41.80042992261393</v>
      </c>
      <c r="F34" s="55">
        <v>23.574118658641439</v>
      </c>
      <c r="G34" s="55">
        <v>25.819260533104039</v>
      </c>
      <c r="H34" s="55">
        <v>23.574118658641439</v>
      </c>
      <c r="I34" s="55">
        <v>23.574118658641439</v>
      </c>
      <c r="J34" s="55">
        <v>19.083748925193461</v>
      </c>
      <c r="K34" s="55">
        <v>19.083748925193461</v>
      </c>
      <c r="L34" s="55">
        <v>21.328976784178849</v>
      </c>
      <c r="M34" s="55">
        <v>17.961220980223558</v>
      </c>
      <c r="N34" s="55">
        <v>16.838607050730872</v>
      </c>
      <c r="O34" s="55">
        <v>12.348323301805671</v>
      </c>
      <c r="P34" s="55">
        <v>13.47093723129837</v>
      </c>
      <c r="Q34" s="55">
        <v>15.71607910576096</v>
      </c>
      <c r="R34" s="55">
        <v>12.127601031814271</v>
      </c>
      <c r="S34" s="55">
        <v>9.9183147033533956</v>
      </c>
      <c r="T34" s="55">
        <v>13.224419604471199</v>
      </c>
      <c r="U34" s="55">
        <v>12.12235597592433</v>
      </c>
      <c r="V34" s="55">
        <v>17.632588134135851</v>
      </c>
      <c r="W34" s="55">
        <v>12.12235597592433</v>
      </c>
      <c r="X34" s="55">
        <v>12.12235597592433</v>
      </c>
      <c r="Y34" s="55">
        <v>12.105073086844371</v>
      </c>
      <c r="DA34" s="101" t="s">
        <v>201</v>
      </c>
    </row>
    <row r="35" spans="1:105" ht="12" customHeight="1" x14ac:dyDescent="0.25">
      <c r="A35" s="61" t="s">
        <v>163</v>
      </c>
      <c r="B35" s="55">
        <v>33.051504729148753</v>
      </c>
      <c r="C35" s="55">
        <v>34.900171969045573</v>
      </c>
      <c r="D35" s="55">
        <v>16.403955288048152</v>
      </c>
      <c r="E35" s="55">
        <v>12.20017196904557</v>
      </c>
      <c r="F35" s="55">
        <v>11.063370593293207</v>
      </c>
      <c r="G35" s="55">
        <v>12.066552020636284</v>
      </c>
      <c r="H35" s="55">
        <v>9.0712811693895077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11.779879621668098</v>
      </c>
      <c r="O35" s="55">
        <v>6.8071367153912306</v>
      </c>
      <c r="P35" s="55">
        <v>14.832416165090278</v>
      </c>
      <c r="Q35" s="55">
        <v>25.867067927773</v>
      </c>
      <c r="R35" s="55">
        <v>32.51625107480654</v>
      </c>
      <c r="S35" s="55">
        <v>29.523903697334482</v>
      </c>
      <c r="T35" s="55">
        <v>33.697076526225281</v>
      </c>
      <c r="U35" s="55">
        <v>29.768271711091998</v>
      </c>
      <c r="V35" s="55">
        <v>30.762166809974197</v>
      </c>
      <c r="W35" s="55">
        <v>39.104471195184864</v>
      </c>
      <c r="X35" s="55">
        <v>27.759587274290624</v>
      </c>
      <c r="Y35" s="55">
        <v>24.727773000859841</v>
      </c>
      <c r="DA35" s="101" t="s">
        <v>202</v>
      </c>
    </row>
    <row r="36" spans="1:105" ht="12" customHeight="1" x14ac:dyDescent="0.25">
      <c r="A36" s="60" t="s">
        <v>149</v>
      </c>
      <c r="B36" s="55">
        <v>1773.129836629407</v>
      </c>
      <c r="C36" s="55">
        <v>1926.0533104041269</v>
      </c>
      <c r="D36" s="55">
        <v>1781.0404127257091</v>
      </c>
      <c r="E36" s="55">
        <v>1890.3697334479789</v>
      </c>
      <c r="F36" s="55">
        <v>2403.3748925193458</v>
      </c>
      <c r="G36" s="55">
        <v>2280.9114359415298</v>
      </c>
      <c r="H36" s="55">
        <v>1964.9828030954429</v>
      </c>
      <c r="I36" s="55">
        <v>1528.0309544282029</v>
      </c>
      <c r="J36" s="55">
        <v>1442.067927773001</v>
      </c>
      <c r="K36" s="55">
        <v>1571.711092003439</v>
      </c>
      <c r="L36" s="55">
        <v>1715.176268271711</v>
      </c>
      <c r="M36" s="55">
        <v>1725.8383490971621</v>
      </c>
      <c r="N36" s="55">
        <v>1387.1023215821151</v>
      </c>
      <c r="O36" s="55">
        <v>1407.910576096303</v>
      </c>
      <c r="P36" s="55">
        <v>1243.185726569217</v>
      </c>
      <c r="Q36" s="55">
        <v>1261.092003439381</v>
      </c>
      <c r="R36" s="55">
        <v>1225.709372312984</v>
      </c>
      <c r="S36" s="55">
        <v>1169.6913861523469</v>
      </c>
      <c r="T36" s="55">
        <v>1101.7842847167992</v>
      </c>
      <c r="U36" s="55">
        <v>1058.8327301538318</v>
      </c>
      <c r="V36" s="55">
        <v>1061.7197882192575</v>
      </c>
      <c r="W36" s="55">
        <v>1111.7010131759662</v>
      </c>
      <c r="X36" s="55">
        <v>923.37543093277372</v>
      </c>
      <c r="Y36" s="55">
        <v>732.78506325939429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133.75374032674119</v>
      </c>
      <c r="C37" s="55">
        <f t="shared" ref="C37:W37" si="31">SUM(C38:C42)</f>
        <v>125.01195184866724</v>
      </c>
      <c r="D37" s="55">
        <f t="shared" si="31"/>
        <v>129.00068787618227</v>
      </c>
      <c r="E37" s="55">
        <f t="shared" si="31"/>
        <v>136.61994840928634</v>
      </c>
      <c r="F37" s="55">
        <f t="shared" si="31"/>
        <v>122.45631986242476</v>
      </c>
      <c r="G37" s="55">
        <f t="shared" si="31"/>
        <v>100.17205503009458</v>
      </c>
      <c r="H37" s="55">
        <f t="shared" si="31"/>
        <v>100.60189165950128</v>
      </c>
      <c r="I37" s="55">
        <f t="shared" si="31"/>
        <v>99.049441100601882</v>
      </c>
      <c r="J37" s="55">
        <f t="shared" si="31"/>
        <v>107.07463456577814</v>
      </c>
      <c r="K37" s="55">
        <f t="shared" si="31"/>
        <v>112.04256233877902</v>
      </c>
      <c r="L37" s="55">
        <f t="shared" si="31"/>
        <v>113.7383490971625</v>
      </c>
      <c r="M37" s="55">
        <f t="shared" si="31"/>
        <v>117.29724849527082</v>
      </c>
      <c r="N37" s="55">
        <f t="shared" si="31"/>
        <v>119.68564058469474</v>
      </c>
      <c r="O37" s="55">
        <f t="shared" si="31"/>
        <v>123.76990541702492</v>
      </c>
      <c r="P37" s="55">
        <f t="shared" si="31"/>
        <v>53.50146173688735</v>
      </c>
      <c r="Q37" s="55">
        <f t="shared" si="31"/>
        <v>57.299140154772147</v>
      </c>
      <c r="R37" s="55">
        <f t="shared" si="31"/>
        <v>50.826397248495276</v>
      </c>
      <c r="S37" s="55">
        <f t="shared" si="31"/>
        <v>58.158054948255028</v>
      </c>
      <c r="T37" s="55">
        <f t="shared" si="31"/>
        <v>54.530848559210831</v>
      </c>
      <c r="U37" s="55">
        <f t="shared" si="31"/>
        <v>59.498740181507344</v>
      </c>
      <c r="V37" s="55">
        <f t="shared" si="31"/>
        <v>53.738337318145412</v>
      </c>
      <c r="W37" s="55">
        <f t="shared" si="31"/>
        <v>56.726071948711265</v>
      </c>
      <c r="X37" s="55">
        <f t="shared" ref="X37:Y37" si="32">SUM(X38:X42)</f>
        <v>62.530244045730107</v>
      </c>
      <c r="Y37" s="55">
        <f t="shared" si="32"/>
        <v>70.305564427621988</v>
      </c>
      <c r="DA37" s="101"/>
    </row>
    <row r="38" spans="1:105" ht="12" customHeight="1" x14ac:dyDescent="0.25">
      <c r="A38" s="61" t="s">
        <v>164</v>
      </c>
      <c r="B38" s="55">
        <v>54.743508168529672</v>
      </c>
      <c r="C38" s="55">
        <v>47.267583834909715</v>
      </c>
      <c r="D38" s="55">
        <v>50.611435941530516</v>
      </c>
      <c r="E38" s="55">
        <v>59.902579535683572</v>
      </c>
      <c r="F38" s="55">
        <v>54.647979363714526</v>
      </c>
      <c r="G38" s="55">
        <v>34.083319002579543</v>
      </c>
      <c r="H38" s="55">
        <v>32.626311263972482</v>
      </c>
      <c r="I38" s="55">
        <v>29.473602751504728</v>
      </c>
      <c r="J38" s="55">
        <v>29.163112639724844</v>
      </c>
      <c r="K38" s="55">
        <v>31.073860705073088</v>
      </c>
      <c r="L38" s="55">
        <v>32.721926053310398</v>
      </c>
      <c r="M38" s="55">
        <v>32.602493551160777</v>
      </c>
      <c r="N38" s="55">
        <v>35.253654342218397</v>
      </c>
      <c r="O38" s="55">
        <v>34.035511607910564</v>
      </c>
      <c r="P38" s="55">
        <v>29.521324161650895</v>
      </c>
      <c r="Q38" s="55">
        <v>35.20593293207223</v>
      </c>
      <c r="R38" s="55">
        <v>31.026139294926914</v>
      </c>
      <c r="S38" s="55">
        <v>31.384350816852972</v>
      </c>
      <c r="T38" s="55">
        <v>29.01977644024074</v>
      </c>
      <c r="U38" s="55">
        <v>31.456061908856398</v>
      </c>
      <c r="V38" s="55">
        <v>27.897162510748057</v>
      </c>
      <c r="W38" s="55">
        <v>23.263628546861565</v>
      </c>
      <c r="X38" s="55">
        <v>25.628202923473793</v>
      </c>
      <c r="Y38" s="55">
        <v>28.11212381771281</v>
      </c>
      <c r="DA38" s="101" t="s">
        <v>204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0.85984522785898532</v>
      </c>
      <c r="E39" s="55">
        <v>0.35829750644883918</v>
      </c>
      <c r="F39" s="55">
        <v>1.1703353396388649</v>
      </c>
      <c r="G39" s="55">
        <v>1.0031814273430779</v>
      </c>
      <c r="H39" s="55">
        <v>2.2451418744625968</v>
      </c>
      <c r="I39" s="55">
        <v>3.2483233018056752</v>
      </c>
      <c r="J39" s="55">
        <v>2.1974204643164228</v>
      </c>
      <c r="K39" s="55">
        <v>3.176612209802236</v>
      </c>
      <c r="L39" s="55">
        <v>2.6511607910576092</v>
      </c>
      <c r="M39" s="55">
        <v>2.3884780739466889</v>
      </c>
      <c r="N39" s="55">
        <v>2.1257093723129841</v>
      </c>
      <c r="O39" s="55">
        <v>4.8246775580395527</v>
      </c>
      <c r="P39" s="55">
        <v>1.265864144453998</v>
      </c>
      <c r="Q39" s="55">
        <v>2.3167669819432501</v>
      </c>
      <c r="R39" s="55">
        <v>3.0810834049871021</v>
      </c>
      <c r="S39" s="55">
        <v>3.725036891505237</v>
      </c>
      <c r="T39" s="55">
        <v>3.4416826090818695</v>
      </c>
      <c r="U39" s="55">
        <v>3.7281468883001332</v>
      </c>
      <c r="V39" s="55">
        <v>3.6284490980250506</v>
      </c>
      <c r="W39" s="55">
        <v>3.6066394465616587</v>
      </c>
      <c r="X39" s="55">
        <v>3.2009233234600925</v>
      </c>
      <c r="Y39" s="55">
        <v>4.193096671818048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DA40" s="101" t="s">
        <v>206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2.3903697334479789E-2</v>
      </c>
      <c r="H41" s="55">
        <v>4.7807394668959592E-2</v>
      </c>
      <c r="I41" s="55">
        <v>7.1625107480653469E-2</v>
      </c>
      <c r="J41" s="55">
        <v>9.5528804815133275E-2</v>
      </c>
      <c r="K41" s="55">
        <v>0.1194325021496131</v>
      </c>
      <c r="L41" s="55">
        <v>0.16715391229578669</v>
      </c>
      <c r="M41" s="55">
        <v>0.19105760963026661</v>
      </c>
      <c r="N41" s="55">
        <v>0.19105760963026661</v>
      </c>
      <c r="O41" s="55">
        <v>0.19105760963026661</v>
      </c>
      <c r="P41" s="55">
        <v>0.2149613069647463</v>
      </c>
      <c r="Q41" s="55">
        <v>0.2149613069647463</v>
      </c>
      <c r="R41" s="55">
        <v>0.2149613069647463</v>
      </c>
      <c r="S41" s="55">
        <v>0.23886500429922611</v>
      </c>
      <c r="T41" s="55">
        <v>0.23886500429922611</v>
      </c>
      <c r="U41" s="55">
        <v>0.26276870163370591</v>
      </c>
      <c r="V41" s="55">
        <v>0.26276870163370591</v>
      </c>
      <c r="W41" s="55">
        <v>0.26276870163370591</v>
      </c>
      <c r="X41" s="55">
        <v>0.28658641444539978</v>
      </c>
      <c r="Y41" s="55">
        <v>0.31049011177987962</v>
      </c>
      <c r="DA41" s="101" t="s">
        <v>207</v>
      </c>
    </row>
    <row r="42" spans="1:105" ht="12" customHeight="1" x14ac:dyDescent="0.25">
      <c r="A42" s="61" t="s">
        <v>25</v>
      </c>
      <c r="B42" s="55">
        <v>79.010232158211522</v>
      </c>
      <c r="C42" s="55">
        <v>77.744368013757523</v>
      </c>
      <c r="D42" s="55">
        <v>77.52940670679277</v>
      </c>
      <c r="E42" s="55">
        <v>76.359071367153916</v>
      </c>
      <c r="F42" s="55">
        <v>66.638005159071369</v>
      </c>
      <c r="G42" s="55">
        <v>65.061650902837485</v>
      </c>
      <c r="H42" s="55">
        <v>65.68263112639724</v>
      </c>
      <c r="I42" s="55">
        <v>66.255889939810828</v>
      </c>
      <c r="J42" s="55">
        <v>75.618572656921742</v>
      </c>
      <c r="K42" s="55">
        <v>77.672656921754083</v>
      </c>
      <c r="L42" s="55">
        <v>78.198108340498706</v>
      </c>
      <c r="M42" s="55">
        <v>82.115219260533095</v>
      </c>
      <c r="N42" s="55">
        <v>82.115219260533095</v>
      </c>
      <c r="O42" s="55">
        <v>84.718658641444534</v>
      </c>
      <c r="P42" s="55">
        <v>22.49931212381771</v>
      </c>
      <c r="Q42" s="55">
        <v>19.561478933791921</v>
      </c>
      <c r="R42" s="55">
        <v>16.504213241616512</v>
      </c>
      <c r="S42" s="55">
        <v>22.809802235597591</v>
      </c>
      <c r="T42" s="55">
        <v>21.83052450558899</v>
      </c>
      <c r="U42" s="55">
        <v>24.051762682717111</v>
      </c>
      <c r="V42" s="55">
        <v>21.9499570077386</v>
      </c>
      <c r="W42" s="55">
        <v>29.593035253654339</v>
      </c>
      <c r="X42" s="55">
        <v>33.414531384350823</v>
      </c>
      <c r="Y42" s="55">
        <v>37.689853826311257</v>
      </c>
      <c r="DA42" s="101" t="s">
        <v>208</v>
      </c>
    </row>
    <row r="43" spans="1:105" ht="12" customHeight="1" x14ac:dyDescent="0.25">
      <c r="A43" s="61" t="s">
        <v>151</v>
      </c>
      <c r="B43" s="309">
        <v>3.6580768592858999E-3</v>
      </c>
      <c r="C43" s="309">
        <v>4.5137451172486825E-3</v>
      </c>
      <c r="D43" s="55">
        <v>5.1325364464496984E-3</v>
      </c>
      <c r="E43" s="55">
        <v>6.0464135808682082E-3</v>
      </c>
      <c r="F43" s="55">
        <v>1.2759207109523215E-2</v>
      </c>
      <c r="G43" s="55">
        <v>2.7065133509497484E-2</v>
      </c>
      <c r="H43" s="55">
        <v>4.4341349219723901E-2</v>
      </c>
      <c r="I43" s="55">
        <v>8.2300423631356839E-2</v>
      </c>
      <c r="J43" s="55">
        <v>9.54683403457081E-2</v>
      </c>
      <c r="K43" s="55">
        <v>0.12727303556374991</v>
      </c>
      <c r="L43" s="55">
        <v>0.14920594950160954</v>
      </c>
      <c r="M43" s="55">
        <v>0.18955736887583083</v>
      </c>
      <c r="N43" s="55">
        <v>0.39631870696160332</v>
      </c>
      <c r="O43" s="55">
        <v>0.62506493781380712</v>
      </c>
      <c r="P43" s="55">
        <v>0.95616747023043491</v>
      </c>
      <c r="Q43" s="55">
        <v>0.80569648926410786</v>
      </c>
      <c r="R43" s="55">
        <v>0.87786015741820478</v>
      </c>
      <c r="S43" s="55">
        <v>1.0987102321582103</v>
      </c>
      <c r="T43" s="55">
        <v>1.8630266552020642</v>
      </c>
      <c r="U43" s="55">
        <v>2.2929492691315554</v>
      </c>
      <c r="V43" s="55">
        <v>4.1797936371453082</v>
      </c>
      <c r="W43" s="55">
        <v>3.4632846087704223</v>
      </c>
      <c r="X43" s="55">
        <v>20.588478073946707</v>
      </c>
      <c r="Y43" s="55">
        <v>23.669647463456535</v>
      </c>
      <c r="DA43" s="101" t="s">
        <v>209</v>
      </c>
    </row>
    <row r="44" spans="1:105" ht="12" customHeight="1" x14ac:dyDescent="0.25">
      <c r="A44" s="60" t="s">
        <v>162</v>
      </c>
      <c r="B44" s="55">
        <v>262.13336199484093</v>
      </c>
      <c r="C44" s="55">
        <v>293.01616509028372</v>
      </c>
      <c r="D44" s="55">
        <v>238.6309544282029</v>
      </c>
      <c r="E44" s="55">
        <v>250.81203783319</v>
      </c>
      <c r="F44" s="55">
        <v>196.88065348237319</v>
      </c>
      <c r="G44" s="55">
        <v>228.36053310404131</v>
      </c>
      <c r="H44" s="55">
        <v>196.85674978503869</v>
      </c>
      <c r="I44" s="55">
        <v>209.51564918314699</v>
      </c>
      <c r="J44" s="55">
        <v>238.70257953568361</v>
      </c>
      <c r="K44" s="55">
        <v>220.9324161650903</v>
      </c>
      <c r="L44" s="55">
        <v>219.30834049871021</v>
      </c>
      <c r="M44" s="55">
        <v>203.56835769561479</v>
      </c>
      <c r="N44" s="55">
        <v>145.48099742046429</v>
      </c>
      <c r="O44" s="55">
        <v>139.29492691315559</v>
      </c>
      <c r="P44" s="55">
        <v>130.935339638865</v>
      </c>
      <c r="Q44" s="55">
        <v>162.8689595872743</v>
      </c>
      <c r="R44" s="55">
        <v>179.46878761822867</v>
      </c>
      <c r="S44" s="55">
        <v>181.49905417024928</v>
      </c>
      <c r="T44" s="55">
        <v>171.51530524505586</v>
      </c>
      <c r="U44" s="55">
        <v>164.51702493551153</v>
      </c>
      <c r="V44" s="55">
        <v>160.98211521926049</v>
      </c>
      <c r="W44" s="55">
        <v>171.61074806534825</v>
      </c>
      <c r="X44" s="55">
        <v>149.11152192605337</v>
      </c>
      <c r="Y44" s="55">
        <v>114.52656921754081</v>
      </c>
      <c r="DA44" s="101" t="s">
        <v>210</v>
      </c>
    </row>
    <row r="45" spans="1:105" ht="12" customHeight="1" x14ac:dyDescent="0.25">
      <c r="A45" s="62" t="s">
        <v>24</v>
      </c>
      <c r="B45" s="63">
        <v>759.9386731186911</v>
      </c>
      <c r="C45" s="63">
        <v>769.13893921773138</v>
      </c>
      <c r="D45" s="63">
        <v>746.52334621105251</v>
      </c>
      <c r="E45" s="63">
        <v>739.97487737818437</v>
      </c>
      <c r="F45" s="63">
        <v>781.06060951428867</v>
      </c>
      <c r="G45" s="63">
        <v>851.96936949647284</v>
      </c>
      <c r="H45" s="63">
        <v>883.83232364970911</v>
      </c>
      <c r="I45" s="63">
        <v>931.83091609197982</v>
      </c>
      <c r="J45" s="63">
        <v>929.85839360842419</v>
      </c>
      <c r="K45" s="63">
        <v>976.16557654255701</v>
      </c>
      <c r="L45" s="63">
        <v>975.66287131694571</v>
      </c>
      <c r="M45" s="63">
        <v>985.33258865171138</v>
      </c>
      <c r="N45" s="63">
        <v>671.70685153865963</v>
      </c>
      <c r="O45" s="63">
        <v>646.68572200100596</v>
      </c>
      <c r="P45" s="63">
        <v>658.70742797103185</v>
      </c>
      <c r="Q45" s="63">
        <v>690.03190281642264</v>
      </c>
      <c r="R45" s="63">
        <v>699.58451781102337</v>
      </c>
      <c r="S45" s="63">
        <v>723.34244409924304</v>
      </c>
      <c r="T45" s="63">
        <v>742.02954349158415</v>
      </c>
      <c r="U45" s="63">
        <v>744.26545937151411</v>
      </c>
      <c r="V45" s="63">
        <v>695.04207435689477</v>
      </c>
      <c r="W45" s="63">
        <v>711.20310986194772</v>
      </c>
      <c r="X45" s="63">
        <v>734.29951839161345</v>
      </c>
      <c r="Y45" s="63">
        <v>684.88063260069714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3037.1447780198096</v>
      </c>
      <c r="C47" s="82">
        <f t="shared" ref="C47:W47" si="34">SUM(C48,C53)</f>
        <v>3203.2972367241796</v>
      </c>
      <c r="D47" s="82">
        <f t="shared" si="34"/>
        <v>2968.4489695988423</v>
      </c>
      <c r="E47" s="82">
        <f t="shared" si="34"/>
        <v>3081.6296495191987</v>
      </c>
      <c r="F47" s="82">
        <f t="shared" si="34"/>
        <v>3544.5895862984671</v>
      </c>
      <c r="G47" s="82">
        <f t="shared" si="34"/>
        <v>3501.6905216890773</v>
      </c>
      <c r="H47" s="82">
        <f t="shared" si="34"/>
        <v>3183.3038627726673</v>
      </c>
      <c r="I47" s="82">
        <f t="shared" si="34"/>
        <v>2795.6234354384974</v>
      </c>
      <c r="J47" s="82">
        <f t="shared" si="34"/>
        <v>2740.2233119231269</v>
      </c>
      <c r="K47" s="82">
        <f t="shared" si="34"/>
        <v>2902.7742609793586</v>
      </c>
      <c r="L47" s="82">
        <f t="shared" si="34"/>
        <v>3047.948597886163</v>
      </c>
      <c r="M47" s="82">
        <f t="shared" si="34"/>
        <v>3053.0459162527427</v>
      </c>
      <c r="N47" s="82">
        <f t="shared" si="34"/>
        <v>2353.447006310801</v>
      </c>
      <c r="O47" s="82">
        <f t="shared" si="34"/>
        <v>2339.2671493440848</v>
      </c>
      <c r="P47" s="82">
        <f t="shared" si="34"/>
        <v>2116.923851014883</v>
      </c>
      <c r="Q47" s="82">
        <f t="shared" si="34"/>
        <v>2215.8014642953553</v>
      </c>
      <c r="R47" s="82">
        <f t="shared" si="34"/>
        <v>2203.1224369855718</v>
      </c>
      <c r="S47" s="82">
        <f t="shared" si="34"/>
        <v>2173.6052987853991</v>
      </c>
      <c r="T47" s="82">
        <f t="shared" si="34"/>
        <v>2118.2909364408538</v>
      </c>
      <c r="U47" s="82">
        <f t="shared" si="34"/>
        <v>2070.4906528366901</v>
      </c>
      <c r="V47" s="82">
        <f t="shared" si="34"/>
        <v>2021.0771560421904</v>
      </c>
      <c r="W47" s="82">
        <f t="shared" si="34"/>
        <v>2103.6619232755329</v>
      </c>
      <c r="X47" s="82">
        <f t="shared" ref="X47:Y47" si="35">SUM(X48,X53)</f>
        <v>1910.6364057518895</v>
      </c>
      <c r="Y47" s="82">
        <f t="shared" si="35"/>
        <v>1639.8858776565867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2706.9046176858474</v>
      </c>
      <c r="C48" s="64">
        <f t="shared" ref="C48:W48" si="37">SUM(C49:C52)</f>
        <v>2858.6259089788405</v>
      </c>
      <c r="D48" s="64">
        <f t="shared" si="37"/>
        <v>2610.4907444733672</v>
      </c>
      <c r="E48" s="64">
        <f t="shared" si="37"/>
        <v>2706.5141837012829</v>
      </c>
      <c r="F48" s="64">
        <f t="shared" si="37"/>
        <v>3153.6353226866531</v>
      </c>
      <c r="G48" s="64">
        <f t="shared" si="37"/>
        <v>3091.7751664614325</v>
      </c>
      <c r="H48" s="64">
        <f t="shared" si="37"/>
        <v>2756.3314491668084</v>
      </c>
      <c r="I48" s="64">
        <f t="shared" si="37"/>
        <v>2352.5647910025436</v>
      </c>
      <c r="J48" s="64">
        <f t="shared" si="37"/>
        <v>2290.0654307484892</v>
      </c>
      <c r="K48" s="64">
        <f t="shared" si="37"/>
        <v>2448.6112011564323</v>
      </c>
      <c r="L48" s="64">
        <f t="shared" si="37"/>
        <v>2590.8544962048659</v>
      </c>
      <c r="M48" s="64">
        <f t="shared" si="37"/>
        <v>2596.4692236092487</v>
      </c>
      <c r="N48" s="64">
        <f t="shared" si="37"/>
        <v>1902.5193236652472</v>
      </c>
      <c r="O48" s="64">
        <f t="shared" si="37"/>
        <v>1892.6682890895643</v>
      </c>
      <c r="P48" s="64">
        <f t="shared" si="37"/>
        <v>1670.795475329508</v>
      </c>
      <c r="Q48" s="64">
        <f t="shared" si="37"/>
        <v>1773.9450709368045</v>
      </c>
      <c r="R48" s="64">
        <f t="shared" si="37"/>
        <v>1766.6282792231991</v>
      </c>
      <c r="S48" s="64">
        <f t="shared" si="37"/>
        <v>1740.4168250308192</v>
      </c>
      <c r="T48" s="64">
        <f t="shared" si="37"/>
        <v>1692.7351223997257</v>
      </c>
      <c r="U48" s="64">
        <f t="shared" si="37"/>
        <v>1653.5448501385397</v>
      </c>
      <c r="V48" s="64">
        <f t="shared" si="37"/>
        <v>1623.2645698741644</v>
      </c>
      <c r="W48" s="64">
        <f t="shared" si="37"/>
        <v>1705.6023148875624</v>
      </c>
      <c r="X48" s="64">
        <f t="shared" ref="X48:Y48" si="38">SUM(X49:X52)</f>
        <v>1513.7465040723043</v>
      </c>
      <c r="Y48" s="64">
        <f t="shared" si="38"/>
        <v>1247.9017975874697</v>
      </c>
      <c r="DA48" s="108" t="s">
        <v>213</v>
      </c>
    </row>
    <row r="49" spans="1:105" ht="12" customHeight="1" x14ac:dyDescent="0.25">
      <c r="A49" s="61" t="s">
        <v>32</v>
      </c>
      <c r="B49" s="65">
        <v>2290.2197264806841</v>
      </c>
      <c r="C49" s="65">
        <v>2436.9036378656697</v>
      </c>
      <c r="D49" s="65">
        <v>2175.6467246486591</v>
      </c>
      <c r="E49" s="65">
        <v>2256.9746129291252</v>
      </c>
      <c r="F49" s="65">
        <v>2700.5401133373302</v>
      </c>
      <c r="G49" s="65">
        <v>2632.1440681225517</v>
      </c>
      <c r="H49" s="65">
        <v>2288.305673993329</v>
      </c>
      <c r="I49" s="65">
        <v>1880.3980800070517</v>
      </c>
      <c r="J49" s="65">
        <v>1820.4814267004147</v>
      </c>
      <c r="K49" s="65">
        <v>1975.8561864118858</v>
      </c>
      <c r="L49" s="65">
        <v>2112.7853520605117</v>
      </c>
      <c r="M49" s="65">
        <v>2117.7315902195342</v>
      </c>
      <c r="N49" s="65">
        <v>1421.5938188698578</v>
      </c>
      <c r="O49" s="65">
        <v>1415.6502006111857</v>
      </c>
      <c r="P49" s="65">
        <v>1196.366824445985</v>
      </c>
      <c r="Q49" s="65">
        <v>1291.9859220969215</v>
      </c>
      <c r="R49" s="65">
        <v>1294.8272308487387</v>
      </c>
      <c r="S49" s="65">
        <v>1268.4659145698536</v>
      </c>
      <c r="T49" s="65">
        <v>1216.2779894799105</v>
      </c>
      <c r="U49" s="65">
        <v>1182.4401850072313</v>
      </c>
      <c r="V49" s="65">
        <v>1187.7483673045879</v>
      </c>
      <c r="W49" s="65">
        <v>1249.7651338733467</v>
      </c>
      <c r="X49" s="65">
        <v>1058.913842119983</v>
      </c>
      <c r="Y49" s="65">
        <v>802.07703032968573</v>
      </c>
      <c r="DA49" s="109" t="s">
        <v>214</v>
      </c>
    </row>
    <row r="50" spans="1:105" ht="12" customHeight="1" x14ac:dyDescent="0.25">
      <c r="A50" s="61" t="s">
        <v>31</v>
      </c>
      <c r="B50" s="65">
        <v>15.002268364963568</v>
      </c>
      <c r="C50" s="65">
        <v>13.771994287502919</v>
      </c>
      <c r="D50" s="65">
        <v>14.913320830375799</v>
      </c>
      <c r="E50" s="65">
        <v>17.340576965809841</v>
      </c>
      <c r="F50" s="65">
        <v>14.191036359795262</v>
      </c>
      <c r="G50" s="65">
        <v>14.315221470207588</v>
      </c>
      <c r="H50" s="65">
        <v>16.272139419359789</v>
      </c>
      <c r="I50" s="65">
        <v>18.124900975667039</v>
      </c>
      <c r="J50" s="65">
        <v>15.454209704621711</v>
      </c>
      <c r="K50" s="65">
        <v>16.105235096184458</v>
      </c>
      <c r="L50" s="65">
        <v>17.318622302901993</v>
      </c>
      <c r="M50" s="65">
        <v>17.088539339742031</v>
      </c>
      <c r="N50" s="65">
        <v>21.921839411610563</v>
      </c>
      <c r="O50" s="65">
        <v>17.899767554918487</v>
      </c>
      <c r="P50" s="65">
        <v>16.10553801139282</v>
      </c>
      <c r="Q50" s="65">
        <v>23.115869106962712</v>
      </c>
      <c r="R50" s="65">
        <v>16.119898829146059</v>
      </c>
      <c r="S50" s="65">
        <v>19.164484198726974</v>
      </c>
      <c r="T50" s="65">
        <v>18.49289953572103</v>
      </c>
      <c r="U50" s="65">
        <v>20.067052735514658</v>
      </c>
      <c r="V50" s="65">
        <v>16.423645492412781</v>
      </c>
      <c r="W50" s="65">
        <v>20.670670328649432</v>
      </c>
      <c r="X50" s="65">
        <v>21.028513866235688</v>
      </c>
      <c r="Y50" s="65">
        <v>18.658630248583403</v>
      </c>
      <c r="DA50" s="109" t="s">
        <v>215</v>
      </c>
    </row>
    <row r="51" spans="1:105" ht="12" customHeight="1" x14ac:dyDescent="0.25">
      <c r="A51" s="61" t="s">
        <v>35</v>
      </c>
      <c r="B51" s="65">
        <v>202.94294453229287</v>
      </c>
      <c r="C51" s="65">
        <v>206.0552204985546</v>
      </c>
      <c r="D51" s="65">
        <v>212.9140233565243</v>
      </c>
      <c r="E51" s="65">
        <v>217.14319676786988</v>
      </c>
      <c r="F51" s="65">
        <v>223.77268393284396</v>
      </c>
      <c r="G51" s="65">
        <v>224.68541876490605</v>
      </c>
      <c r="H51" s="65">
        <v>225.60247859067383</v>
      </c>
      <c r="I51" s="65">
        <v>227.48896310718661</v>
      </c>
      <c r="J51" s="65">
        <v>227.91479397887088</v>
      </c>
      <c r="K51" s="65">
        <v>229.08271821051611</v>
      </c>
      <c r="L51" s="65">
        <v>227.44348139710922</v>
      </c>
      <c r="M51" s="65">
        <v>227.3307657968204</v>
      </c>
      <c r="N51" s="65">
        <v>225.14004026503861</v>
      </c>
      <c r="O51" s="65">
        <v>224.66295393760089</v>
      </c>
      <c r="P51" s="65">
        <v>224.63042140182279</v>
      </c>
      <c r="Q51" s="65">
        <v>223.99749796295052</v>
      </c>
      <c r="R51" s="65">
        <v>224.08724064766031</v>
      </c>
      <c r="S51" s="65">
        <v>222.75329499286505</v>
      </c>
      <c r="T51" s="65">
        <v>222.85787417276211</v>
      </c>
      <c r="U51" s="65">
        <v>217.30074241837977</v>
      </c>
      <c r="V51" s="65">
        <v>195.73979874690005</v>
      </c>
      <c r="W51" s="65">
        <v>199.10175968174772</v>
      </c>
      <c r="X51" s="65">
        <v>197.86529223076207</v>
      </c>
      <c r="Y51" s="65">
        <v>194.34985132133514</v>
      </c>
      <c r="DA51" s="109" t="s">
        <v>216</v>
      </c>
    </row>
    <row r="52" spans="1:105" ht="12" customHeight="1" x14ac:dyDescent="0.25">
      <c r="A52" s="66" t="s">
        <v>34</v>
      </c>
      <c r="B52" s="67">
        <v>198.73967830790639</v>
      </c>
      <c r="C52" s="67">
        <v>201.89505632711339</v>
      </c>
      <c r="D52" s="67">
        <v>207.01667563780813</v>
      </c>
      <c r="E52" s="67">
        <v>215.05579703847786</v>
      </c>
      <c r="F52" s="67">
        <v>215.13148905668368</v>
      </c>
      <c r="G52" s="67">
        <v>220.63045810376713</v>
      </c>
      <c r="H52" s="67">
        <v>226.15115716344553</v>
      </c>
      <c r="I52" s="67">
        <v>226.5528469126383</v>
      </c>
      <c r="J52" s="67">
        <v>226.21500036458224</v>
      </c>
      <c r="K52" s="67">
        <v>227.56706143784612</v>
      </c>
      <c r="L52" s="67">
        <v>233.30704044434282</v>
      </c>
      <c r="M52" s="67">
        <v>234.31832825315237</v>
      </c>
      <c r="N52" s="67">
        <v>233.86362511874029</v>
      </c>
      <c r="O52" s="67">
        <v>234.4553669858592</v>
      </c>
      <c r="P52" s="67">
        <v>233.69269147030752</v>
      </c>
      <c r="Q52" s="67">
        <v>234.84578176996979</v>
      </c>
      <c r="R52" s="67">
        <v>231.59390889765405</v>
      </c>
      <c r="S52" s="67">
        <v>230.03313126937365</v>
      </c>
      <c r="T52" s="67">
        <v>235.10635921133178</v>
      </c>
      <c r="U52" s="67">
        <v>233.73686997741396</v>
      </c>
      <c r="V52" s="67">
        <v>223.35275833026373</v>
      </c>
      <c r="W52" s="67">
        <v>236.06475100381834</v>
      </c>
      <c r="X52" s="67">
        <v>235.93885585532348</v>
      </c>
      <c r="Y52" s="67">
        <v>232.81628568786545</v>
      </c>
      <c r="DA52" s="110" t="s">
        <v>217</v>
      </c>
    </row>
    <row r="53" spans="1:105" ht="12" customHeight="1" x14ac:dyDescent="0.25">
      <c r="A53" s="78" t="s">
        <v>33</v>
      </c>
      <c r="B53" s="68">
        <v>330.24016033396219</v>
      </c>
      <c r="C53" s="68">
        <v>344.671327745339</v>
      </c>
      <c r="D53" s="68">
        <v>357.95822512547517</v>
      </c>
      <c r="E53" s="68">
        <v>375.11546581791578</v>
      </c>
      <c r="F53" s="68">
        <v>390.95426361181393</v>
      </c>
      <c r="G53" s="68">
        <v>409.91535522764462</v>
      </c>
      <c r="H53" s="68">
        <v>426.97241360585906</v>
      </c>
      <c r="I53" s="68">
        <v>443.05864443595362</v>
      </c>
      <c r="J53" s="68">
        <v>450.15788117463785</v>
      </c>
      <c r="K53" s="68">
        <v>454.16305982292619</v>
      </c>
      <c r="L53" s="68">
        <v>457.09410168129739</v>
      </c>
      <c r="M53" s="68">
        <v>456.5766926434938</v>
      </c>
      <c r="N53" s="68">
        <v>450.92768264555389</v>
      </c>
      <c r="O53" s="68">
        <v>446.59886025452056</v>
      </c>
      <c r="P53" s="68">
        <v>446.12837568537509</v>
      </c>
      <c r="Q53" s="68">
        <v>441.85639335855097</v>
      </c>
      <c r="R53" s="68">
        <v>436.49415776237242</v>
      </c>
      <c r="S53" s="68">
        <v>433.18847375457995</v>
      </c>
      <c r="T53" s="68">
        <v>425.55581404112809</v>
      </c>
      <c r="U53" s="68">
        <v>416.94580269815032</v>
      </c>
      <c r="V53" s="68">
        <v>397.81258616802586</v>
      </c>
      <c r="W53" s="68">
        <v>398.05960838797034</v>
      </c>
      <c r="X53" s="68">
        <v>396.88990167958519</v>
      </c>
      <c r="Y53" s="68">
        <v>391.98408006911706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0.89126624363647367</v>
      </c>
      <c r="C56" s="70">
        <f t="shared" ref="C56:W56" si="43">IF(C48=0,0,C48/C$47)</f>
        <v>0.89240107855310558</v>
      </c>
      <c r="D56" s="70">
        <f t="shared" si="43"/>
        <v>0.87941237030129926</v>
      </c>
      <c r="E56" s="70">
        <f t="shared" si="43"/>
        <v>0.87827367059619188</v>
      </c>
      <c r="F56" s="70">
        <f t="shared" si="43"/>
        <v>0.88970394058509927</v>
      </c>
      <c r="G56" s="70">
        <f t="shared" si="43"/>
        <v>0.88293786881259917</v>
      </c>
      <c r="H56" s="70">
        <f t="shared" si="43"/>
        <v>0.86587129849615907</v>
      </c>
      <c r="I56" s="70">
        <f t="shared" si="43"/>
        <v>0.84151705168172641</v>
      </c>
      <c r="J56" s="70">
        <f t="shared" si="43"/>
        <v>0.83572219124772329</v>
      </c>
      <c r="K56" s="70">
        <f t="shared" si="43"/>
        <v>0.84354172285181506</v>
      </c>
      <c r="L56" s="70">
        <f t="shared" si="43"/>
        <v>0.85003221445456634</v>
      </c>
      <c r="M56" s="70">
        <f t="shared" si="43"/>
        <v>0.85045207141729184</v>
      </c>
      <c r="N56" s="70">
        <f t="shared" si="43"/>
        <v>0.80839692526052853</v>
      </c>
      <c r="O56" s="70">
        <f t="shared" si="43"/>
        <v>0.8090859949964484</v>
      </c>
      <c r="P56" s="70">
        <f t="shared" si="43"/>
        <v>0.78925629494348848</v>
      </c>
      <c r="Q56" s="70">
        <f t="shared" si="43"/>
        <v>0.80058845502249676</v>
      </c>
      <c r="R56" s="70">
        <f t="shared" si="43"/>
        <v>0.80187476173153271</v>
      </c>
      <c r="S56" s="70">
        <f t="shared" si="43"/>
        <v>0.80070508937540608</v>
      </c>
      <c r="T56" s="70">
        <f t="shared" si="43"/>
        <v>0.79910417085759444</v>
      </c>
      <c r="U56" s="70">
        <f t="shared" si="43"/>
        <v>0.79862463898259528</v>
      </c>
      <c r="V56" s="70">
        <f t="shared" si="43"/>
        <v>0.80316803592642183</v>
      </c>
      <c r="W56" s="70">
        <f t="shared" si="43"/>
        <v>0.81077776614972108</v>
      </c>
      <c r="X56" s="70">
        <f t="shared" ref="X56:Y56" si="44">IF(X48=0,0,X48/X$47)</f>
        <v>0.79227345376401026</v>
      </c>
      <c r="Y56" s="70">
        <f t="shared" si="44"/>
        <v>0.76096868360787018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0.75406998805433512</v>
      </c>
      <c r="C57" s="71">
        <f t="shared" ref="C57:W57" si="46">IF(C49=0,0,C49/C$47)</f>
        <v>0.76074852184424357</v>
      </c>
      <c r="D57" s="71">
        <f t="shared" si="46"/>
        <v>0.73292374129735405</v>
      </c>
      <c r="E57" s="71">
        <f t="shared" si="46"/>
        <v>0.73239644915840629</v>
      </c>
      <c r="F57" s="71">
        <f t="shared" si="46"/>
        <v>0.76187667079320232</v>
      </c>
      <c r="G57" s="71">
        <f t="shared" si="46"/>
        <v>0.75167809714175127</v>
      </c>
      <c r="H57" s="71">
        <f t="shared" si="46"/>
        <v>0.71884613365191219</v>
      </c>
      <c r="I57" s="71">
        <f t="shared" si="46"/>
        <v>0.67262209071877688</v>
      </c>
      <c r="J57" s="71">
        <f t="shared" si="46"/>
        <v>0.66435513440792371</v>
      </c>
      <c r="K57" s="71">
        <f t="shared" si="46"/>
        <v>0.68067855395178312</v>
      </c>
      <c r="L57" s="71">
        <f t="shared" si="46"/>
        <v>0.69318273724359625</v>
      </c>
      <c r="M57" s="71">
        <f t="shared" si="46"/>
        <v>0.69364550953717796</v>
      </c>
      <c r="N57" s="71">
        <f t="shared" si="46"/>
        <v>0.60404751628476616</v>
      </c>
      <c r="O57" s="71">
        <f t="shared" si="46"/>
        <v>0.60516824724705975</v>
      </c>
      <c r="P57" s="71">
        <f t="shared" si="46"/>
        <v>0.56514400547399468</v>
      </c>
      <c r="Q57" s="71">
        <f t="shared" si="46"/>
        <v>0.58307837724431899</v>
      </c>
      <c r="R57" s="71">
        <f t="shared" si="46"/>
        <v>0.58772368213016324</v>
      </c>
      <c r="S57" s="71">
        <f t="shared" si="46"/>
        <v>0.58357693334602501</v>
      </c>
      <c r="T57" s="71">
        <f t="shared" si="46"/>
        <v>0.57417891402750243</v>
      </c>
      <c r="U57" s="71">
        <f t="shared" si="46"/>
        <v>0.57109177642855857</v>
      </c>
      <c r="V57" s="71">
        <f t="shared" si="46"/>
        <v>0.58768086302579203</v>
      </c>
      <c r="W57" s="71">
        <f t="shared" si="46"/>
        <v>0.59409029561526905</v>
      </c>
      <c r="X57" s="71">
        <f t="shared" ref="X57:Y57" si="47">IF(X49=0,0,X49/X$47)</f>
        <v>0.55422048848863548</v>
      </c>
      <c r="Y57" s="71">
        <f t="shared" si="47"/>
        <v>0.48910539523388163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4.9395960553269731E-3</v>
      </c>
      <c r="C58" s="72">
        <f t="shared" ref="C58:W58" si="49">IF(C50=0,0,C50/C$47)</f>
        <v>4.2993182554569029E-3</v>
      </c>
      <c r="D58" s="72">
        <f t="shared" si="49"/>
        <v>5.0239438114346941E-3</v>
      </c>
      <c r="E58" s="72">
        <f t="shared" si="49"/>
        <v>5.627080129020484E-3</v>
      </c>
      <c r="F58" s="72">
        <f t="shared" si="49"/>
        <v>4.0035767228596506E-3</v>
      </c>
      <c r="G58" s="72">
        <f t="shared" si="49"/>
        <v>4.0880887050242492E-3</v>
      </c>
      <c r="H58" s="72">
        <f t="shared" si="49"/>
        <v>5.1117141563691961E-3</v>
      </c>
      <c r="I58" s="72">
        <f t="shared" si="49"/>
        <v>6.483312718697439E-3</v>
      </c>
      <c r="J58" s="72">
        <f t="shared" si="49"/>
        <v>5.639762875302207E-3</v>
      </c>
      <c r="K58" s="72">
        <f t="shared" si="49"/>
        <v>5.5482216831944618E-3</v>
      </c>
      <c r="L58" s="72">
        <f t="shared" si="49"/>
        <v>5.6820585212339009E-3</v>
      </c>
      <c r="M58" s="72">
        <f t="shared" si="49"/>
        <v>5.5972100677464482E-3</v>
      </c>
      <c r="N58" s="72">
        <f t="shared" si="49"/>
        <v>9.3147792802756313E-3</v>
      </c>
      <c r="O58" s="72">
        <f t="shared" si="49"/>
        <v>7.6518697575595268E-3</v>
      </c>
      <c r="P58" s="72">
        <f t="shared" si="49"/>
        <v>7.6079911914033183E-3</v>
      </c>
      <c r="Q58" s="72">
        <f t="shared" si="49"/>
        <v>1.0432283523340736E-2</v>
      </c>
      <c r="R58" s="72">
        <f t="shared" si="49"/>
        <v>7.3168420231796809E-3</v>
      </c>
      <c r="S58" s="72">
        <f t="shared" si="49"/>
        <v>8.8169108758779716E-3</v>
      </c>
      <c r="T58" s="72">
        <f t="shared" si="49"/>
        <v>8.7301036970836247E-3</v>
      </c>
      <c r="U58" s="72">
        <f t="shared" si="49"/>
        <v>9.6919310927685923E-3</v>
      </c>
      <c r="V58" s="72">
        <f t="shared" si="49"/>
        <v>8.1261843187494485E-3</v>
      </c>
      <c r="W58" s="72">
        <f t="shared" si="49"/>
        <v>9.8260419604229501E-3</v>
      </c>
      <c r="X58" s="72">
        <f t="shared" ref="X58:Y58" si="50">IF(X50=0,0,X50/X$47)</f>
        <v>1.1006025951840049E-2</v>
      </c>
      <c r="Y58" s="72">
        <f t="shared" si="50"/>
        <v>1.1378005325130778E-2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6.6820306361756579E-2</v>
      </c>
      <c r="C59" s="72">
        <f t="shared" ref="C59:W59" si="52">IF(C51=0,0,C51/C$47)</f>
        <v>6.432597579026883E-2</v>
      </c>
      <c r="D59" s="72">
        <f t="shared" si="52"/>
        <v>7.1725680830988847E-2</v>
      </c>
      <c r="E59" s="72">
        <f t="shared" si="52"/>
        <v>7.046375504653811E-2</v>
      </c>
      <c r="F59" s="72">
        <f t="shared" si="52"/>
        <v>6.3130773954150385E-2</v>
      </c>
      <c r="G59" s="72">
        <f t="shared" si="52"/>
        <v>6.4164841916562826E-2</v>
      </c>
      <c r="H59" s="72">
        <f t="shared" si="52"/>
        <v>7.0870544665558061E-2</v>
      </c>
      <c r="I59" s="72">
        <f t="shared" si="52"/>
        <v>8.1373249423881952E-2</v>
      </c>
      <c r="J59" s="72">
        <f t="shared" si="52"/>
        <v>8.3173803020789971E-2</v>
      </c>
      <c r="K59" s="72">
        <f t="shared" si="52"/>
        <v>7.8918543990818824E-2</v>
      </c>
      <c r="L59" s="72">
        <f t="shared" si="52"/>
        <v>7.4621823200971174E-2</v>
      </c>
      <c r="M59" s="72">
        <f t="shared" si="52"/>
        <v>7.4460316691156214E-2</v>
      </c>
      <c r="N59" s="72">
        <f t="shared" si="52"/>
        <v>9.5663951498088734E-2</v>
      </c>
      <c r="O59" s="72">
        <f t="shared" si="52"/>
        <v>9.6039887535117524E-2</v>
      </c>
      <c r="P59" s="72">
        <f t="shared" si="52"/>
        <v>0.1061117154942214</v>
      </c>
      <c r="Q59" s="72">
        <f t="shared" si="52"/>
        <v>0.10109096034656866</v>
      </c>
      <c r="R59" s="72">
        <f t="shared" si="52"/>
        <v>0.10171347578587973</v>
      </c>
      <c r="S59" s="72">
        <f t="shared" si="52"/>
        <v>0.10248102317257811</v>
      </c>
      <c r="T59" s="72">
        <f t="shared" si="52"/>
        <v>0.10520645221057653</v>
      </c>
      <c r="U59" s="72">
        <f t="shared" si="52"/>
        <v>0.10495132741636161</v>
      </c>
      <c r="V59" s="72">
        <f t="shared" si="52"/>
        <v>9.684924603779646E-2</v>
      </c>
      <c r="W59" s="72">
        <f t="shared" si="52"/>
        <v>9.4645321797588972E-2</v>
      </c>
      <c r="X59" s="72">
        <f t="shared" ref="X59:Y59" si="53">IF(X51=0,0,X51/X$47)</f>
        <v>0.10355988802217786</v>
      </c>
      <c r="Y59" s="72">
        <f t="shared" si="53"/>
        <v>0.11851425393031802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6.5436353165054847E-2</v>
      </c>
      <c r="C60" s="73">
        <f t="shared" ref="C60:W60" si="55">IF(C52=0,0,C52/C$47)</f>
        <v>6.3027262663136241E-2</v>
      </c>
      <c r="D60" s="73">
        <f t="shared" si="55"/>
        <v>6.9739004361521653E-2</v>
      </c>
      <c r="E60" s="73">
        <f t="shared" si="55"/>
        <v>6.9786386262226954E-2</v>
      </c>
      <c r="F60" s="73">
        <f t="shared" si="55"/>
        <v>6.0692919114887008E-2</v>
      </c>
      <c r="G60" s="73">
        <f t="shared" si="55"/>
        <v>6.3006841049260881E-2</v>
      </c>
      <c r="H60" s="73">
        <f t="shared" si="55"/>
        <v>7.1042906022319594E-2</v>
      </c>
      <c r="I60" s="73">
        <f t="shared" si="55"/>
        <v>8.1038398820370158E-2</v>
      </c>
      <c r="J60" s="73">
        <f t="shared" si="55"/>
        <v>8.2553490943707578E-2</v>
      </c>
      <c r="K60" s="73">
        <f t="shared" si="55"/>
        <v>7.8396403226018666E-2</v>
      </c>
      <c r="L60" s="73">
        <f t="shared" si="55"/>
        <v>7.6545595488765036E-2</v>
      </c>
      <c r="M60" s="73">
        <f t="shared" si="55"/>
        <v>7.674903512121127E-2</v>
      </c>
      <c r="N60" s="73">
        <f t="shared" si="55"/>
        <v>9.9370678197397991E-2</v>
      </c>
      <c r="O60" s="73">
        <f t="shared" si="55"/>
        <v>0.1002259904567116</v>
      </c>
      <c r="P60" s="73">
        <f t="shared" si="55"/>
        <v>0.11039258278386914</v>
      </c>
      <c r="Q60" s="73">
        <f t="shared" si="55"/>
        <v>0.10598683390826842</v>
      </c>
      <c r="R60" s="73">
        <f t="shared" si="55"/>
        <v>0.10512076179231011</v>
      </c>
      <c r="S60" s="73">
        <f t="shared" si="55"/>
        <v>0.10583022198092502</v>
      </c>
      <c r="T60" s="73">
        <f t="shared" si="55"/>
        <v>0.11098870092243174</v>
      </c>
      <c r="U60" s="73">
        <f t="shared" si="55"/>
        <v>0.11288960404490653</v>
      </c>
      <c r="V60" s="73">
        <f t="shared" si="55"/>
        <v>0.11051174254408384</v>
      </c>
      <c r="W60" s="73">
        <f t="shared" si="55"/>
        <v>0.11221610677644001</v>
      </c>
      <c r="X60" s="73">
        <f t="shared" ref="X60:Y60" si="56">IF(X52=0,0,X52/X$47)</f>
        <v>0.12348705130135677</v>
      </c>
      <c r="Y60" s="73">
        <f t="shared" si="56"/>
        <v>0.14197102911853979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0.10873375636352632</v>
      </c>
      <c r="C61" s="70">
        <f t="shared" ref="C61:W61" si="58">IF(C53=0,0,C53/C$47)</f>
        <v>0.10759892144689444</v>
      </c>
      <c r="D61" s="70">
        <f t="shared" si="58"/>
        <v>0.12058762969870081</v>
      </c>
      <c r="E61" s="70">
        <f t="shared" si="58"/>
        <v>0.12172632940380813</v>
      </c>
      <c r="F61" s="70">
        <f t="shared" si="58"/>
        <v>0.11029605941490067</v>
      </c>
      <c r="G61" s="70">
        <f t="shared" si="58"/>
        <v>0.11706213118740078</v>
      </c>
      <c r="H61" s="70">
        <f t="shared" si="58"/>
        <v>0.13412870150384099</v>
      </c>
      <c r="I61" s="70">
        <f t="shared" si="58"/>
        <v>0.1584829483182735</v>
      </c>
      <c r="J61" s="70">
        <f t="shared" si="58"/>
        <v>0.16427780875227677</v>
      </c>
      <c r="K61" s="70">
        <f t="shared" si="58"/>
        <v>0.15645827714818494</v>
      </c>
      <c r="L61" s="70">
        <f t="shared" si="58"/>
        <v>0.14996778554543369</v>
      </c>
      <c r="M61" s="70">
        <f t="shared" si="58"/>
        <v>0.1495479285827081</v>
      </c>
      <c r="N61" s="70">
        <f t="shared" si="58"/>
        <v>0.1916030747394715</v>
      </c>
      <c r="O61" s="70">
        <f t="shared" si="58"/>
        <v>0.19091400500355163</v>
      </c>
      <c r="P61" s="70">
        <f t="shared" si="58"/>
        <v>0.21074370505651155</v>
      </c>
      <c r="Q61" s="70">
        <f t="shared" si="58"/>
        <v>0.19941154497750332</v>
      </c>
      <c r="R61" s="70">
        <f t="shared" si="58"/>
        <v>0.19812523826846715</v>
      </c>
      <c r="S61" s="70">
        <f t="shared" si="58"/>
        <v>0.19929491062459395</v>
      </c>
      <c r="T61" s="70">
        <f t="shared" si="58"/>
        <v>0.20089582914240559</v>
      </c>
      <c r="U61" s="70">
        <f t="shared" si="58"/>
        <v>0.20137536101740466</v>
      </c>
      <c r="V61" s="70">
        <f t="shared" si="58"/>
        <v>0.19683196407357811</v>
      </c>
      <c r="W61" s="70">
        <f t="shared" si="58"/>
        <v>0.18922223385027889</v>
      </c>
      <c r="X61" s="70">
        <f t="shared" ref="X61:Y61" si="59">IF(X53=0,0,X53/X$47)</f>
        <v>0.20772654623598977</v>
      </c>
      <c r="Y61" s="70">
        <f t="shared" si="59"/>
        <v>0.23903131639212982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4505.0887349795221</v>
      </c>
      <c r="C65" s="80">
        <v>4804.1788354471137</v>
      </c>
      <c r="D65" s="80">
        <v>4403.8717230732409</v>
      </c>
      <c r="E65" s="80">
        <v>4630.959061361692</v>
      </c>
      <c r="F65" s="80">
        <v>5768.8327222356947</v>
      </c>
      <c r="G65" s="80">
        <v>5473.2181613999992</v>
      </c>
      <c r="H65" s="80">
        <v>4723.6247249684311</v>
      </c>
      <c r="I65" s="80">
        <v>3666.152549136214</v>
      </c>
      <c r="J65" s="80">
        <v>3451.5217122048975</v>
      </c>
      <c r="K65" s="80">
        <v>3753.5851487999994</v>
      </c>
      <c r="L65" s="80">
        <v>4096.05847008</v>
      </c>
      <c r="M65" s="80">
        <v>4113.4863289199993</v>
      </c>
      <c r="N65" s="80">
        <v>3363.4390911600003</v>
      </c>
      <c r="O65" s="80">
        <v>3389.6008800000013</v>
      </c>
      <c r="P65" s="80">
        <v>3024.7325728799988</v>
      </c>
      <c r="Q65" s="80">
        <v>3122.0633620800004</v>
      </c>
      <c r="R65" s="80">
        <v>3039.0845292000013</v>
      </c>
      <c r="S65" s="80">
        <v>2890.6550502051696</v>
      </c>
      <c r="T65" s="80">
        <v>2758.475983674783</v>
      </c>
      <c r="U65" s="80">
        <v>2645.2934729279978</v>
      </c>
      <c r="V65" s="80">
        <v>2668.694923294514</v>
      </c>
      <c r="W65" s="80">
        <v>2791.6256268684583</v>
      </c>
      <c r="X65" s="80">
        <v>2316.4009112731596</v>
      </c>
      <c r="Y65" s="80">
        <v>1851.8727765589363</v>
      </c>
      <c r="DA65" s="103" t="s">
        <v>219</v>
      </c>
    </row>
    <row r="66" spans="1:105" ht="12" customHeight="1" x14ac:dyDescent="0.25">
      <c r="A66" s="58" t="s">
        <v>29</v>
      </c>
      <c r="B66" s="59">
        <v>96.694138779521396</v>
      </c>
      <c r="C66" s="59">
        <v>57.228382647114216</v>
      </c>
      <c r="D66" s="59">
        <v>45.045152113240718</v>
      </c>
      <c r="E66" s="59">
        <v>42.320448521692285</v>
      </c>
      <c r="F66" s="59">
        <v>27.1397187156957</v>
      </c>
      <c r="G66" s="59">
        <v>10.295229119999998</v>
      </c>
      <c r="H66" s="59">
        <v>17.93840636843089</v>
      </c>
      <c r="I66" s="59">
        <v>14.841613416213397</v>
      </c>
      <c r="J66" s="59">
        <v>13.983263164897005</v>
      </c>
      <c r="K66" s="59">
        <v>11.541509759999999</v>
      </c>
      <c r="L66" s="59">
        <v>11.112969119999999</v>
      </c>
      <c r="M66" s="59">
        <v>12.39496368</v>
      </c>
      <c r="N66" s="59">
        <v>3.4296952799999993</v>
      </c>
      <c r="O66" s="59">
        <v>9.8564399999999974</v>
      </c>
      <c r="P66" s="59">
        <v>9.177424079999998</v>
      </c>
      <c r="Q66" s="59">
        <v>11.700271440000002</v>
      </c>
      <c r="R66" s="59">
        <v>11.55109032</v>
      </c>
      <c r="S66" s="59">
        <v>6.3272470057446615</v>
      </c>
      <c r="T66" s="59">
        <v>6.474825810245143</v>
      </c>
      <c r="U66" s="59">
        <v>6.3425931128742246</v>
      </c>
      <c r="V66" s="59">
        <v>5.0424079480208874</v>
      </c>
      <c r="W66" s="59">
        <v>5.0103712060171155</v>
      </c>
      <c r="X66" s="59">
        <v>6.0817247705013777</v>
      </c>
      <c r="Y66" s="59">
        <v>2.4649861375996727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243.67645620000005</v>
      </c>
      <c r="C67" s="55">
        <f t="shared" ref="C67:W67" si="60">SUM(C68:C69)</f>
        <v>223.04645280000005</v>
      </c>
      <c r="D67" s="55">
        <f t="shared" si="60"/>
        <v>175.52811095999999</v>
      </c>
      <c r="E67" s="55">
        <f t="shared" si="60"/>
        <v>148.54801284000001</v>
      </c>
      <c r="F67" s="55">
        <f t="shared" si="60"/>
        <v>96.658553519999998</v>
      </c>
      <c r="G67" s="55">
        <f t="shared" si="60"/>
        <v>105.53001228000001</v>
      </c>
      <c r="H67" s="55">
        <f t="shared" si="60"/>
        <v>90.344928600000003</v>
      </c>
      <c r="I67" s="55">
        <f t="shared" si="60"/>
        <v>62.279775719999996</v>
      </c>
      <c r="J67" s="55">
        <f t="shared" si="60"/>
        <v>50.416799040000001</v>
      </c>
      <c r="K67" s="55">
        <f t="shared" si="60"/>
        <v>50.416799040000001</v>
      </c>
      <c r="L67" s="55">
        <f t="shared" si="60"/>
        <v>56.348400960000014</v>
      </c>
      <c r="M67" s="55">
        <f t="shared" si="60"/>
        <v>47.451225240000007</v>
      </c>
      <c r="N67" s="55">
        <f t="shared" si="60"/>
        <v>81.827504280000028</v>
      </c>
      <c r="O67" s="55">
        <f t="shared" si="60"/>
        <v>54.404571599999997</v>
      </c>
      <c r="P67" s="55">
        <f t="shared" si="60"/>
        <v>82.268150399999996</v>
      </c>
      <c r="Q67" s="55">
        <f t="shared" si="60"/>
        <v>122.43363623999997</v>
      </c>
      <c r="R67" s="55">
        <f t="shared" si="60"/>
        <v>132.86341008000002</v>
      </c>
      <c r="S67" s="55">
        <f t="shared" si="60"/>
        <v>117.51464339999998</v>
      </c>
      <c r="T67" s="55">
        <f t="shared" si="60"/>
        <v>138.96790200000004</v>
      </c>
      <c r="U67" s="55">
        <f t="shared" si="60"/>
        <v>123.51295475999999</v>
      </c>
      <c r="V67" s="55">
        <f t="shared" si="60"/>
        <v>141.14776931999998</v>
      </c>
      <c r="W67" s="55">
        <f t="shared" si="60"/>
        <v>151.57663956000002</v>
      </c>
      <c r="X67" s="55">
        <f t="shared" ref="X67:Y67" si="61">SUM(X68:X69)</f>
        <v>117.04677587999998</v>
      </c>
      <c r="Y67" s="55">
        <f t="shared" si="61"/>
        <v>107.65404432000001</v>
      </c>
      <c r="DA67" s="101"/>
    </row>
    <row r="68" spans="1:105" ht="12" customHeight="1" x14ac:dyDescent="0.25">
      <c r="A68" s="61" t="s">
        <v>52</v>
      </c>
      <c r="B68" s="55">
        <v>137.29300524000001</v>
      </c>
      <c r="C68" s="55">
        <v>110.43133524000002</v>
      </c>
      <c r="D68" s="55">
        <v>122.36972904</v>
      </c>
      <c r="E68" s="55">
        <v>110.43133524000002</v>
      </c>
      <c r="F68" s="55">
        <v>62.279775719999996</v>
      </c>
      <c r="G68" s="55">
        <v>68.211150480000001</v>
      </c>
      <c r="H68" s="55">
        <v>62.279775719999996</v>
      </c>
      <c r="I68" s="55">
        <v>62.279775719999996</v>
      </c>
      <c r="J68" s="55">
        <v>50.416799040000001</v>
      </c>
      <c r="K68" s="55">
        <v>50.416799040000001</v>
      </c>
      <c r="L68" s="55">
        <v>56.348400960000014</v>
      </c>
      <c r="M68" s="55">
        <v>47.451225240000007</v>
      </c>
      <c r="N68" s="55">
        <v>44.485424280000018</v>
      </c>
      <c r="O68" s="55">
        <v>32.622674759999995</v>
      </c>
      <c r="P68" s="55">
        <v>35.588475720000012</v>
      </c>
      <c r="Q68" s="55">
        <v>41.519850479999995</v>
      </c>
      <c r="R68" s="55">
        <v>32.039555039999996</v>
      </c>
      <c r="S68" s="55">
        <v>26.202906000000002</v>
      </c>
      <c r="T68" s="55">
        <v>34.93720800000002</v>
      </c>
      <c r="U68" s="55">
        <v>32.025698279999993</v>
      </c>
      <c r="V68" s="55">
        <v>46.583019719999996</v>
      </c>
      <c r="W68" s="55">
        <v>32.025698279999993</v>
      </c>
      <c r="X68" s="55">
        <v>32.025698279999993</v>
      </c>
      <c r="Y68" s="55">
        <v>31.980039120000011</v>
      </c>
      <c r="DA68" s="101" t="s">
        <v>221</v>
      </c>
    </row>
    <row r="69" spans="1:105" ht="12" customHeight="1" x14ac:dyDescent="0.25">
      <c r="A69" s="61" t="s">
        <v>163</v>
      </c>
      <c r="B69" s="55">
        <v>106.38345096000003</v>
      </c>
      <c r="C69" s="55">
        <v>112.61511756000003</v>
      </c>
      <c r="D69" s="55">
        <v>53.158381919999997</v>
      </c>
      <c r="E69" s="55">
        <v>38.116677599999989</v>
      </c>
      <c r="F69" s="55">
        <v>34.378777800000002</v>
      </c>
      <c r="G69" s="55">
        <v>37.318861800000008</v>
      </c>
      <c r="H69" s="55">
        <v>28.065152880000007</v>
      </c>
      <c r="I69" s="55">
        <v>0</v>
      </c>
      <c r="J69" s="55">
        <v>0</v>
      </c>
      <c r="K69" s="55">
        <v>0</v>
      </c>
      <c r="L69" s="55">
        <v>0</v>
      </c>
      <c r="M69" s="55">
        <v>0</v>
      </c>
      <c r="N69" s="55">
        <v>37.34208000000001</v>
      </c>
      <c r="O69" s="55">
        <v>21.781896840000002</v>
      </c>
      <c r="P69" s="55">
        <v>46.679674679999984</v>
      </c>
      <c r="Q69" s="55">
        <v>80.913785759999968</v>
      </c>
      <c r="R69" s="55">
        <v>100.82385504000003</v>
      </c>
      <c r="S69" s="55">
        <v>91.311737399999984</v>
      </c>
      <c r="T69" s="55">
        <v>104.03069400000001</v>
      </c>
      <c r="U69" s="55">
        <v>91.487256479999985</v>
      </c>
      <c r="V69" s="55">
        <v>94.564749599999985</v>
      </c>
      <c r="W69" s="55">
        <v>119.55094128000002</v>
      </c>
      <c r="X69" s="55">
        <v>85.021077599999984</v>
      </c>
      <c r="Y69" s="55">
        <v>75.674005199999996</v>
      </c>
      <c r="DA69" s="101" t="s">
        <v>222</v>
      </c>
    </row>
    <row r="70" spans="1:105" ht="12" customHeight="1" x14ac:dyDescent="0.25">
      <c r="A70" s="60" t="s">
        <v>149</v>
      </c>
      <c r="B70" s="55">
        <v>4164.7181400000009</v>
      </c>
      <c r="C70" s="55">
        <v>4523.9039999999995</v>
      </c>
      <c r="D70" s="55">
        <v>4183.29846</v>
      </c>
      <c r="E70" s="55">
        <v>4440.0905999999995</v>
      </c>
      <c r="F70" s="55">
        <v>5645.0344499999992</v>
      </c>
      <c r="G70" s="55">
        <v>5357.3929199999993</v>
      </c>
      <c r="H70" s="55">
        <v>4615.3413900000005</v>
      </c>
      <c r="I70" s="55">
        <v>3589.0311600000005</v>
      </c>
      <c r="J70" s="55">
        <v>3387.1216500000005</v>
      </c>
      <c r="K70" s="55">
        <v>3691.6268399999994</v>
      </c>
      <c r="L70" s="55">
        <v>4028.5971000000004</v>
      </c>
      <c r="M70" s="55">
        <v>4053.6401399999995</v>
      </c>
      <c r="N70" s="55">
        <v>3258.01872</v>
      </c>
      <c r="O70" s="55">
        <v>3306.8930400000013</v>
      </c>
      <c r="P70" s="55">
        <v>2919.9881699999992</v>
      </c>
      <c r="Q70" s="55">
        <v>2962.0463400000003</v>
      </c>
      <c r="R70" s="55">
        <v>2878.939800000001</v>
      </c>
      <c r="S70" s="55">
        <v>2747.3650453994246</v>
      </c>
      <c r="T70" s="55">
        <v>2587.8651986645377</v>
      </c>
      <c r="U70" s="55">
        <v>2486.9808106551236</v>
      </c>
      <c r="V70" s="55">
        <v>2493.7619176264934</v>
      </c>
      <c r="W70" s="55">
        <v>2611.157558902441</v>
      </c>
      <c r="X70" s="55">
        <v>2168.8194106226583</v>
      </c>
      <c r="Y70" s="55">
        <v>1721.1617461013366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20.163171600000002</v>
      </c>
      <c r="O71" s="55">
        <f t="shared" si="62"/>
        <v>18.446828400000001</v>
      </c>
      <c r="P71" s="55">
        <f t="shared" si="62"/>
        <v>13.298828400000001</v>
      </c>
      <c r="Q71" s="55">
        <f t="shared" si="62"/>
        <v>25.8831144</v>
      </c>
      <c r="R71" s="55">
        <f t="shared" si="62"/>
        <v>15.730228800000004</v>
      </c>
      <c r="S71" s="55">
        <f t="shared" si="62"/>
        <v>19.448114400000001</v>
      </c>
      <c r="T71" s="55">
        <f t="shared" si="62"/>
        <v>25.1680572</v>
      </c>
      <c r="U71" s="55">
        <f t="shared" si="62"/>
        <v>28.457114399999998</v>
      </c>
      <c r="V71" s="55">
        <f t="shared" si="62"/>
        <v>28.7428284</v>
      </c>
      <c r="W71" s="55">
        <f t="shared" si="62"/>
        <v>23.881057200000001</v>
      </c>
      <c r="X71" s="55">
        <f t="shared" ref="X71:Y71" si="63">SUM(X72:X76)</f>
        <v>24.452999999999999</v>
      </c>
      <c r="Y71" s="55">
        <f t="shared" si="63"/>
        <v>20.591999999999999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20.163171600000002</v>
      </c>
      <c r="O72" s="55">
        <v>18.446828400000001</v>
      </c>
      <c r="P72" s="55">
        <v>13.298828400000001</v>
      </c>
      <c r="Q72" s="55">
        <v>25.8831144</v>
      </c>
      <c r="R72" s="55">
        <v>15.730228800000004</v>
      </c>
      <c r="S72" s="55">
        <v>19.448114400000001</v>
      </c>
      <c r="T72" s="55">
        <v>25.1680572</v>
      </c>
      <c r="U72" s="55">
        <v>28.457114399999998</v>
      </c>
      <c r="V72" s="55">
        <v>28.7428284</v>
      </c>
      <c r="W72" s="55">
        <v>23.881057200000001</v>
      </c>
      <c r="X72" s="55">
        <v>24.452999999999999</v>
      </c>
      <c r="Y72" s="55">
        <v>20.591999999999999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4505.0887349795221</v>
      </c>
      <c r="C81" s="82">
        <f t="shared" ref="C81:W81" si="65">C82+C87</f>
        <v>4804.1788354471137</v>
      </c>
      <c r="D81" s="82">
        <f t="shared" si="65"/>
        <v>4403.8717230732409</v>
      </c>
      <c r="E81" s="82">
        <f t="shared" si="65"/>
        <v>4630.959061361692</v>
      </c>
      <c r="F81" s="82">
        <f t="shared" si="65"/>
        <v>5768.8327222356966</v>
      </c>
      <c r="G81" s="82">
        <f t="shared" si="65"/>
        <v>5473.2181613999992</v>
      </c>
      <c r="H81" s="82">
        <f t="shared" si="65"/>
        <v>4723.6247249684302</v>
      </c>
      <c r="I81" s="82">
        <f t="shared" si="65"/>
        <v>3666.1525491362149</v>
      </c>
      <c r="J81" s="82">
        <f t="shared" si="65"/>
        <v>3451.5217122048962</v>
      </c>
      <c r="K81" s="82">
        <f t="shared" si="65"/>
        <v>3753.5851488000003</v>
      </c>
      <c r="L81" s="82">
        <f t="shared" si="65"/>
        <v>4096.05847008</v>
      </c>
      <c r="M81" s="82">
        <f t="shared" si="65"/>
        <v>4113.4863289199984</v>
      </c>
      <c r="N81" s="82">
        <f t="shared" si="65"/>
        <v>3363.4390911600021</v>
      </c>
      <c r="O81" s="82">
        <f t="shared" si="65"/>
        <v>3389.6008800000027</v>
      </c>
      <c r="P81" s="82">
        <f t="shared" si="65"/>
        <v>3024.7325728799983</v>
      </c>
      <c r="Q81" s="82">
        <f t="shared" si="65"/>
        <v>3122.0633620799981</v>
      </c>
      <c r="R81" s="82">
        <f t="shared" si="65"/>
        <v>3039.0845292000004</v>
      </c>
      <c r="S81" s="82">
        <f t="shared" si="65"/>
        <v>2890.6550502051678</v>
      </c>
      <c r="T81" s="82">
        <f t="shared" si="65"/>
        <v>2758.4759836747839</v>
      </c>
      <c r="U81" s="82">
        <f t="shared" si="65"/>
        <v>2645.2934729279982</v>
      </c>
      <c r="V81" s="82">
        <f t="shared" si="65"/>
        <v>2668.6949232945112</v>
      </c>
      <c r="W81" s="82">
        <f t="shared" si="65"/>
        <v>2791.6256268684569</v>
      </c>
      <c r="X81" s="82">
        <f t="shared" ref="X81:Y81" si="66">X82+X87</f>
        <v>2316.400911273161</v>
      </c>
      <c r="Y81" s="82">
        <f t="shared" si="66"/>
        <v>1851.8727765589358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4505.0887349795221</v>
      </c>
      <c r="C82" s="64">
        <f t="shared" ref="C82:W82" si="68">SUM(C83:C86)</f>
        <v>4804.1788354471137</v>
      </c>
      <c r="D82" s="64">
        <f t="shared" si="68"/>
        <v>4403.8717230732409</v>
      </c>
      <c r="E82" s="64">
        <f t="shared" si="68"/>
        <v>4630.959061361692</v>
      </c>
      <c r="F82" s="64">
        <f t="shared" si="68"/>
        <v>5768.8327222356966</v>
      </c>
      <c r="G82" s="64">
        <f t="shared" si="68"/>
        <v>5473.2181613999992</v>
      </c>
      <c r="H82" s="64">
        <f t="shared" si="68"/>
        <v>4723.6247249684302</v>
      </c>
      <c r="I82" s="64">
        <f t="shared" si="68"/>
        <v>3666.1525491362149</v>
      </c>
      <c r="J82" s="64">
        <f t="shared" si="68"/>
        <v>3451.5217122048962</v>
      </c>
      <c r="K82" s="64">
        <f t="shared" si="68"/>
        <v>3753.5851488000003</v>
      </c>
      <c r="L82" s="64">
        <f t="shared" si="68"/>
        <v>4096.05847008</v>
      </c>
      <c r="M82" s="64">
        <f t="shared" si="68"/>
        <v>4113.4863289199984</v>
      </c>
      <c r="N82" s="64">
        <f t="shared" si="68"/>
        <v>3363.4390911600021</v>
      </c>
      <c r="O82" s="64">
        <f t="shared" si="68"/>
        <v>3389.6008800000027</v>
      </c>
      <c r="P82" s="64">
        <f t="shared" si="68"/>
        <v>3024.7325728799983</v>
      </c>
      <c r="Q82" s="64">
        <f t="shared" si="68"/>
        <v>3122.0633620799981</v>
      </c>
      <c r="R82" s="64">
        <f t="shared" si="68"/>
        <v>3039.0845292000004</v>
      </c>
      <c r="S82" s="64">
        <f t="shared" si="68"/>
        <v>2890.6550502051678</v>
      </c>
      <c r="T82" s="64">
        <f t="shared" si="68"/>
        <v>2758.4759836747839</v>
      </c>
      <c r="U82" s="64">
        <f t="shared" si="68"/>
        <v>2645.2934729279982</v>
      </c>
      <c r="V82" s="64">
        <f t="shared" si="68"/>
        <v>2668.6949232945112</v>
      </c>
      <c r="W82" s="64">
        <f t="shared" si="68"/>
        <v>2791.6256268684569</v>
      </c>
      <c r="X82" s="64">
        <f t="shared" ref="X82:Y82" si="69">SUM(X83:X86)</f>
        <v>2316.400911273161</v>
      </c>
      <c r="Y82" s="64">
        <f t="shared" si="69"/>
        <v>1851.8727765589358</v>
      </c>
      <c r="DA82" s="108" t="s">
        <v>233</v>
      </c>
    </row>
    <row r="83" spans="1:105" ht="12" customHeight="1" x14ac:dyDescent="0.25">
      <c r="A83" s="61" t="s">
        <v>32</v>
      </c>
      <c r="B83" s="65">
        <v>4115.789027909077</v>
      </c>
      <c r="C83" s="65">
        <v>4404.5476026404422</v>
      </c>
      <c r="D83" s="65">
        <v>3964.9915943424271</v>
      </c>
      <c r="E83" s="65">
        <v>4155.099556775921</v>
      </c>
      <c r="F83" s="65">
        <v>5276.8645502860836</v>
      </c>
      <c r="G83" s="65">
        <v>4948.7992128669857</v>
      </c>
      <c r="H83" s="65">
        <v>4169.2735263610857</v>
      </c>
      <c r="I83" s="65">
        <v>3077.5916748407249</v>
      </c>
      <c r="J83" s="65">
        <v>2841.9049279905771</v>
      </c>
      <c r="K83" s="65">
        <v>3113.9953442692604</v>
      </c>
      <c r="L83" s="65">
        <v>3427.9467984530397</v>
      </c>
      <c r="M83" s="65">
        <v>3429.616216926117</v>
      </c>
      <c r="N83" s="65">
        <v>2663.2546106046525</v>
      </c>
      <c r="O83" s="65">
        <v>2655.1996107051859</v>
      </c>
      <c r="P83" s="65">
        <v>2279.8675494496861</v>
      </c>
      <c r="Q83" s="65">
        <v>2382.8159588011845</v>
      </c>
      <c r="R83" s="65">
        <v>2317.8519065045966</v>
      </c>
      <c r="S83" s="65">
        <v>2179.8854230474603</v>
      </c>
      <c r="T83" s="65">
        <v>2034.401052211073</v>
      </c>
      <c r="U83" s="65">
        <v>1937.3414135450269</v>
      </c>
      <c r="V83" s="65">
        <v>1991.5164381624877</v>
      </c>
      <c r="W83" s="65">
        <v>2107.8744647720628</v>
      </c>
      <c r="X83" s="65">
        <v>1658.6254284575459</v>
      </c>
      <c r="Y83" s="65">
        <v>1221.9156934217704</v>
      </c>
      <c r="DA83" s="109" t="s">
        <v>234</v>
      </c>
    </row>
    <row r="84" spans="1:105" ht="12" customHeight="1" x14ac:dyDescent="0.25">
      <c r="A84" s="61" t="s">
        <v>31</v>
      </c>
      <c r="B84" s="65">
        <v>0.13744901501130666</v>
      </c>
      <c r="C84" s="65">
        <v>0.14086955344890037</v>
      </c>
      <c r="D84" s="65">
        <v>0.17560285002076187</v>
      </c>
      <c r="E84" s="65">
        <v>0.22534292432896028</v>
      </c>
      <c r="F84" s="65">
        <v>0.18214904677809046</v>
      </c>
      <c r="G84" s="65">
        <v>0.19686307648607235</v>
      </c>
      <c r="H84" s="65">
        <v>0.25051424276449191</v>
      </c>
      <c r="I84" s="65">
        <v>0.30673182759144624</v>
      </c>
      <c r="J84" s="65">
        <v>0.26838024274392247</v>
      </c>
      <c r="K84" s="65">
        <v>0.2950932405676015</v>
      </c>
      <c r="L84" s="65">
        <v>0.35702517845989568</v>
      </c>
      <c r="M84" s="65">
        <v>0.39836568676492257</v>
      </c>
      <c r="N84" s="65">
        <v>0.58232162408144772</v>
      </c>
      <c r="O84" s="65">
        <v>0.53282031698774845</v>
      </c>
      <c r="P84" s="65">
        <v>0.51372339628498165</v>
      </c>
      <c r="Q84" s="65">
        <v>0.81069805038546838</v>
      </c>
      <c r="R84" s="65">
        <v>0.60836447731935206</v>
      </c>
      <c r="S84" s="65">
        <v>0.83855639614163524</v>
      </c>
      <c r="T84" s="65">
        <v>0.86921610744817646</v>
      </c>
      <c r="U84" s="65">
        <v>1.1057349120622344</v>
      </c>
      <c r="V84" s="65">
        <v>0.87682399802091693</v>
      </c>
      <c r="W84" s="65">
        <v>1.1511473773408765</v>
      </c>
      <c r="X84" s="65">
        <v>1.2857144071184901</v>
      </c>
      <c r="Y84" s="65">
        <v>1.1679033009688868</v>
      </c>
      <c r="DA84" s="109" t="s">
        <v>235</v>
      </c>
    </row>
    <row r="85" spans="1:105" ht="12" customHeight="1" x14ac:dyDescent="0.25">
      <c r="A85" s="61" t="s">
        <v>35</v>
      </c>
      <c r="B85" s="65">
        <v>222.05793270896365</v>
      </c>
      <c r="C85" s="65">
        <v>225.43446815537149</v>
      </c>
      <c r="D85" s="65">
        <v>236.94410051536326</v>
      </c>
      <c r="E85" s="65">
        <v>247.53810897777925</v>
      </c>
      <c r="F85" s="65">
        <v>261.6217443772004</v>
      </c>
      <c r="G85" s="65">
        <v>259.45202205099184</v>
      </c>
      <c r="H85" s="65">
        <v>261.18445962712161</v>
      </c>
      <c r="I85" s="65">
        <v>274.97355776917584</v>
      </c>
      <c r="J85" s="65">
        <v>288.1284835038507</v>
      </c>
      <c r="K85" s="65">
        <v>307.01981040892281</v>
      </c>
      <c r="L85" s="65">
        <v>315.10470952112229</v>
      </c>
      <c r="M85" s="65">
        <v>316.86668870844812</v>
      </c>
      <c r="N85" s="65">
        <v>316.14591475012571</v>
      </c>
      <c r="O85" s="65">
        <v>344.02655146592394</v>
      </c>
      <c r="P85" s="65">
        <v>349.11926140072421</v>
      </c>
      <c r="Q85" s="65">
        <v>348.70067504254126</v>
      </c>
      <c r="R85" s="65">
        <v>347.62693764485169</v>
      </c>
      <c r="S85" s="65">
        <v>345.76381176273429</v>
      </c>
      <c r="T85" s="65">
        <v>351.56261377930116</v>
      </c>
      <c r="U85" s="65">
        <v>338.11025610896309</v>
      </c>
      <c r="V85" s="65">
        <v>309.18109616733136</v>
      </c>
      <c r="W85" s="65">
        <v>304.40229421135501</v>
      </c>
      <c r="X85" s="65">
        <v>285.43174964068646</v>
      </c>
      <c r="Y85" s="65">
        <v>271.30715247697646</v>
      </c>
      <c r="DA85" s="109" t="s">
        <v>236</v>
      </c>
    </row>
    <row r="86" spans="1:105" ht="12" customHeight="1" x14ac:dyDescent="0.25">
      <c r="A86" s="66" t="s">
        <v>34</v>
      </c>
      <c r="B86" s="67">
        <v>167.10432534647032</v>
      </c>
      <c r="C86" s="67">
        <v>174.05589509785148</v>
      </c>
      <c r="D86" s="67">
        <v>201.76042536543014</v>
      </c>
      <c r="E86" s="67">
        <v>228.09605268366278</v>
      </c>
      <c r="F86" s="67">
        <v>230.16427852563405</v>
      </c>
      <c r="G86" s="67">
        <v>264.77006340553532</v>
      </c>
      <c r="H86" s="67">
        <v>292.91622473745844</v>
      </c>
      <c r="I86" s="67">
        <v>313.28058469872241</v>
      </c>
      <c r="J86" s="67">
        <v>321.21992046772425</v>
      </c>
      <c r="K86" s="67">
        <v>332.27490088124995</v>
      </c>
      <c r="L86" s="67">
        <v>352.64993692737784</v>
      </c>
      <c r="M86" s="67">
        <v>366.60505759866811</v>
      </c>
      <c r="N86" s="67">
        <v>383.45624418114244</v>
      </c>
      <c r="O86" s="67">
        <v>389.84189751190479</v>
      </c>
      <c r="P86" s="67">
        <v>395.23203863330309</v>
      </c>
      <c r="Q86" s="67">
        <v>389.73603018588722</v>
      </c>
      <c r="R86" s="67">
        <v>372.99732057323251</v>
      </c>
      <c r="S86" s="67">
        <v>364.16725899883176</v>
      </c>
      <c r="T86" s="67">
        <v>371.64310157696178</v>
      </c>
      <c r="U86" s="67">
        <v>368.73606836194591</v>
      </c>
      <c r="V86" s="67">
        <v>367.12056496667111</v>
      </c>
      <c r="W86" s="67">
        <v>378.19772050769814</v>
      </c>
      <c r="X86" s="67">
        <v>371.05801876780998</v>
      </c>
      <c r="Y86" s="67">
        <v>357.48202735922013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0.9135866727667874</v>
      </c>
      <c r="C91" s="71">
        <f t="shared" ref="C91:W91" si="77">IF(C83=0,0,C83/C$81)</f>
        <v>0.916815912459787</v>
      </c>
      <c r="D91" s="71">
        <f t="shared" si="77"/>
        <v>0.90034220878156246</v>
      </c>
      <c r="E91" s="71">
        <f t="shared" si="77"/>
        <v>0.89724385418215102</v>
      </c>
      <c r="F91" s="71">
        <f t="shared" si="77"/>
        <v>0.91471963295913494</v>
      </c>
      <c r="G91" s="71">
        <f t="shared" si="77"/>
        <v>0.90418453402214249</v>
      </c>
      <c r="H91" s="71">
        <f t="shared" si="77"/>
        <v>0.88264283661715959</v>
      </c>
      <c r="I91" s="71">
        <f t="shared" si="77"/>
        <v>0.83946088810893549</v>
      </c>
      <c r="J91" s="71">
        <f t="shared" si="77"/>
        <v>0.82337738683240547</v>
      </c>
      <c r="K91" s="71">
        <f t="shared" si="77"/>
        <v>0.82960562257786719</v>
      </c>
      <c r="L91" s="71">
        <f t="shared" si="77"/>
        <v>0.83688912731416365</v>
      </c>
      <c r="M91" s="71">
        <f t="shared" si="77"/>
        <v>0.83374926830656748</v>
      </c>
      <c r="N91" s="71">
        <f t="shared" si="77"/>
        <v>0.7918248371449278</v>
      </c>
      <c r="O91" s="71">
        <f t="shared" si="77"/>
        <v>0.78333694871627002</v>
      </c>
      <c r="P91" s="71">
        <f t="shared" si="77"/>
        <v>0.75374185800462712</v>
      </c>
      <c r="Q91" s="71">
        <f t="shared" si="77"/>
        <v>0.76321832149290258</v>
      </c>
      <c r="R91" s="71">
        <f t="shared" si="77"/>
        <v>0.76268096008331199</v>
      </c>
      <c r="S91" s="71">
        <f t="shared" si="77"/>
        <v>0.75411468514471847</v>
      </c>
      <c r="T91" s="71">
        <f t="shared" si="77"/>
        <v>0.73750906814163608</v>
      </c>
      <c r="U91" s="71">
        <f t="shared" si="77"/>
        <v>0.73237296102373095</v>
      </c>
      <c r="V91" s="71">
        <f t="shared" si="77"/>
        <v>0.74625106855749368</v>
      </c>
      <c r="W91" s="71">
        <f t="shared" si="77"/>
        <v>0.75507060992866681</v>
      </c>
      <c r="X91" s="71">
        <f t="shared" ref="X91:Y91" si="78">IF(X83=0,0,X83/X$81)</f>
        <v>0.71603556205903807</v>
      </c>
      <c r="Y91" s="71">
        <f t="shared" si="78"/>
        <v>0.65982701883672457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3.0509724246737048E-5</v>
      </c>
      <c r="C92" s="72">
        <f t="shared" ref="C92:W92" si="80">IF(C84=0,0,C84/C$81)</f>
        <v>2.9322295916527838E-5</v>
      </c>
      <c r="D92" s="72">
        <f t="shared" si="80"/>
        <v>3.9874651457426529E-5</v>
      </c>
      <c r="E92" s="72">
        <f t="shared" si="80"/>
        <v>4.8660098554768958E-5</v>
      </c>
      <c r="F92" s="72">
        <f t="shared" si="80"/>
        <v>3.157467993065659E-5</v>
      </c>
      <c r="G92" s="72">
        <f t="shared" si="80"/>
        <v>3.5968432224107903E-5</v>
      </c>
      <c r="H92" s="72">
        <f t="shared" si="80"/>
        <v>5.303432371337801E-5</v>
      </c>
      <c r="I92" s="72">
        <f t="shared" si="80"/>
        <v>8.3665865912676095E-5</v>
      </c>
      <c r="J92" s="72">
        <f t="shared" si="80"/>
        <v>7.7757077927369088E-5</v>
      </c>
      <c r="K92" s="72">
        <f t="shared" si="80"/>
        <v>7.8616370448380827E-5</v>
      </c>
      <c r="L92" s="72">
        <f t="shared" si="80"/>
        <v>8.7163105963407461E-5</v>
      </c>
      <c r="M92" s="72">
        <f t="shared" si="80"/>
        <v>9.6843809584147572E-5</v>
      </c>
      <c r="N92" s="72">
        <f t="shared" si="80"/>
        <v>1.7313279898896973E-4</v>
      </c>
      <c r="O92" s="72">
        <f t="shared" si="80"/>
        <v>1.5719264180381851E-4</v>
      </c>
      <c r="P92" s="72">
        <f t="shared" si="80"/>
        <v>1.6984093102678498E-4</v>
      </c>
      <c r="Q92" s="72">
        <f t="shared" si="80"/>
        <v>2.5966739183837728E-4</v>
      </c>
      <c r="R92" s="72">
        <f t="shared" si="80"/>
        <v>2.0018017645580136E-4</v>
      </c>
      <c r="S92" s="72">
        <f t="shared" si="80"/>
        <v>2.9009216996753651E-4</v>
      </c>
      <c r="T92" s="72">
        <f t="shared" si="80"/>
        <v>3.1510736819619686E-4</v>
      </c>
      <c r="U92" s="72">
        <f t="shared" si="80"/>
        <v>4.180008469299736E-4</v>
      </c>
      <c r="V92" s="72">
        <f t="shared" si="80"/>
        <v>3.285590984444469E-4</v>
      </c>
      <c r="W92" s="72">
        <f t="shared" si="80"/>
        <v>4.1235736133866604E-4</v>
      </c>
      <c r="X92" s="72">
        <f t="shared" ref="X92:Y92" si="81">IF(X84=0,0,X84/X$81)</f>
        <v>5.5504830828780158E-4</v>
      </c>
      <c r="Y92" s="72">
        <f t="shared" si="81"/>
        <v>6.3066065647286566E-4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4.9290468128808794E-2</v>
      </c>
      <c r="C93" s="72">
        <f t="shared" ref="C93:W93" si="83">IF(C85=0,0,C85/C$81)</f>
        <v>4.6924662023825524E-2</v>
      </c>
      <c r="D93" s="72">
        <f t="shared" si="83"/>
        <v>5.3803588164010346E-2</v>
      </c>
      <c r="E93" s="72">
        <f t="shared" si="83"/>
        <v>5.3452882156335209E-2</v>
      </c>
      <c r="F93" s="72">
        <f t="shared" si="83"/>
        <v>4.5350898002084826E-2</v>
      </c>
      <c r="G93" s="72">
        <f t="shared" si="83"/>
        <v>4.7403924784285664E-2</v>
      </c>
      <c r="H93" s="72">
        <f t="shared" si="83"/>
        <v>5.5293228153061459E-2</v>
      </c>
      <c r="I93" s="72">
        <f t="shared" si="83"/>
        <v>7.5003304986303032E-2</v>
      </c>
      <c r="J93" s="72">
        <f t="shared" si="83"/>
        <v>8.3478682021614431E-2</v>
      </c>
      <c r="K93" s="72">
        <f t="shared" si="83"/>
        <v>8.1793751370493162E-2</v>
      </c>
      <c r="L93" s="72">
        <f t="shared" si="83"/>
        <v>7.6928762570854611E-2</v>
      </c>
      <c r="M93" s="72">
        <f t="shared" si="83"/>
        <v>7.7031175837563054E-2</v>
      </c>
      <c r="N93" s="72">
        <f t="shared" si="83"/>
        <v>9.3994838670050512E-2</v>
      </c>
      <c r="O93" s="72">
        <f t="shared" si="83"/>
        <v>0.10149470797456356</v>
      </c>
      <c r="P93" s="72">
        <f t="shared" si="83"/>
        <v>0.11542152999936467</v>
      </c>
      <c r="Q93" s="72">
        <f t="shared" si="83"/>
        <v>0.1116891730250561</v>
      </c>
      <c r="R93" s="72">
        <f t="shared" si="83"/>
        <v>0.11438541254933768</v>
      </c>
      <c r="S93" s="72">
        <f t="shared" si="83"/>
        <v>0.11961434545370375</v>
      </c>
      <c r="T93" s="72">
        <f t="shared" si="83"/>
        <v>0.12744813290379162</v>
      </c>
      <c r="U93" s="72">
        <f t="shared" si="83"/>
        <v>0.12781578284949938</v>
      </c>
      <c r="V93" s="72">
        <f t="shared" si="83"/>
        <v>0.11585479234383465</v>
      </c>
      <c r="W93" s="72">
        <f t="shared" si="83"/>
        <v>0.10904123077306119</v>
      </c>
      <c r="X93" s="72">
        <f t="shared" ref="X93:Y93" si="84">IF(X85=0,0,X85/X$81)</f>
        <v>0.12322208485223092</v>
      </c>
      <c r="Y93" s="72">
        <f t="shared" si="84"/>
        <v>0.14650420693645427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3.7092349380157083E-2</v>
      </c>
      <c r="C94" s="73">
        <f t="shared" ref="C94:W94" si="86">IF(C86=0,0,C86/C$81)</f>
        <v>3.6230103220471079E-2</v>
      </c>
      <c r="D94" s="73">
        <f t="shared" si="86"/>
        <v>4.5814328402969846E-2</v>
      </c>
      <c r="E94" s="73">
        <f t="shared" si="86"/>
        <v>4.9254603562958979E-2</v>
      </c>
      <c r="F94" s="73">
        <f t="shared" si="86"/>
        <v>3.9897894358849509E-2</v>
      </c>
      <c r="G94" s="73">
        <f t="shared" si="86"/>
        <v>4.8375572761347699E-2</v>
      </c>
      <c r="H94" s="73">
        <f t="shared" si="86"/>
        <v>6.2010900906065543E-2</v>
      </c>
      <c r="I94" s="73">
        <f t="shared" si="86"/>
        <v>8.545214103884867E-2</v>
      </c>
      <c r="J94" s="73">
        <f t="shared" si="86"/>
        <v>9.3066174068052732E-2</v>
      </c>
      <c r="K94" s="73">
        <f t="shared" si="86"/>
        <v>8.8522009681191421E-2</v>
      </c>
      <c r="L94" s="73">
        <f t="shared" si="86"/>
        <v>8.6094947009018222E-2</v>
      </c>
      <c r="M94" s="73">
        <f t="shared" si="86"/>
        <v>8.9122712046285274E-2</v>
      </c>
      <c r="N94" s="73">
        <f t="shared" si="86"/>
        <v>0.11400719138603276</v>
      </c>
      <c r="O94" s="73">
        <f t="shared" si="86"/>
        <v>0.11501115066736249</v>
      </c>
      <c r="P94" s="73">
        <f t="shared" si="86"/>
        <v>0.13066677106498145</v>
      </c>
      <c r="Q94" s="73">
        <f t="shared" si="86"/>
        <v>0.124832838090203</v>
      </c>
      <c r="R94" s="73">
        <f t="shared" si="86"/>
        <v>0.12273344719089443</v>
      </c>
      <c r="S94" s="73">
        <f t="shared" si="86"/>
        <v>0.12598087723161036</v>
      </c>
      <c r="T94" s="73">
        <f t="shared" si="86"/>
        <v>0.13472769158637612</v>
      </c>
      <c r="U94" s="73">
        <f t="shared" si="86"/>
        <v>0.13939325527983959</v>
      </c>
      <c r="V94" s="73">
        <f t="shared" si="86"/>
        <v>0.13756558000022714</v>
      </c>
      <c r="W94" s="73">
        <f t="shared" si="86"/>
        <v>0.13547580193693323</v>
      </c>
      <c r="X94" s="73">
        <f t="shared" ref="X94:Y94" si="87">IF(X86=0,0,X86/X$81)</f>
        <v>0.1601873047804431</v>
      </c>
      <c r="Y94" s="73">
        <f t="shared" si="87"/>
        <v>0.19303811357034831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414429.16847510292</v>
      </c>
      <c r="C99" s="82">
        <f t="shared" ref="C99:W99" si="92">C47*11630*1000/C$8</f>
        <v>428757.96152854548</v>
      </c>
      <c r="D99" s="82">
        <f t="shared" si="92"/>
        <v>388629.50588828552</v>
      </c>
      <c r="E99" s="82">
        <f t="shared" si="92"/>
        <v>389044.28302271815</v>
      </c>
      <c r="F99" s="82">
        <f t="shared" si="92"/>
        <v>440613.16468712094</v>
      </c>
      <c r="G99" s="82">
        <f t="shared" si="92"/>
        <v>425257.61982932972</v>
      </c>
      <c r="H99" s="82">
        <f t="shared" si="92"/>
        <v>381340.5694435914</v>
      </c>
      <c r="I99" s="82">
        <f t="shared" si="92"/>
        <v>328486.6522585596</v>
      </c>
      <c r="J99" s="82">
        <f t="shared" si="92"/>
        <v>323844.61086767819</v>
      </c>
      <c r="K99" s="82">
        <f t="shared" si="92"/>
        <v>344528.11710551009</v>
      </c>
      <c r="L99" s="82">
        <f t="shared" si="92"/>
        <v>361672.55460264772</v>
      </c>
      <c r="M99" s="82">
        <f t="shared" si="92"/>
        <v>360682.5305516402</v>
      </c>
      <c r="N99" s="82">
        <f t="shared" si="92"/>
        <v>276030.63511322235</v>
      </c>
      <c r="O99" s="82">
        <f t="shared" si="92"/>
        <v>271509.86837669549</v>
      </c>
      <c r="P99" s="82">
        <f t="shared" si="92"/>
        <v>238221.81193995365</v>
      </c>
      <c r="Q99" s="82">
        <f t="shared" si="92"/>
        <v>249171.90643833714</v>
      </c>
      <c r="R99" s="82">
        <f t="shared" si="92"/>
        <v>245390.73076428875</v>
      </c>
      <c r="S99" s="82">
        <f t="shared" si="92"/>
        <v>238769.05023530705</v>
      </c>
      <c r="T99" s="82">
        <f t="shared" si="92"/>
        <v>229541.13730927042</v>
      </c>
      <c r="U99" s="82">
        <f t="shared" si="92"/>
        <v>221790.15780358866</v>
      </c>
      <c r="V99" s="82">
        <f t="shared" si="92"/>
        <v>214219.02525108191</v>
      </c>
      <c r="W99" s="82">
        <f t="shared" si="92"/>
        <v>220756.20295544097</v>
      </c>
      <c r="X99" s="82">
        <f t="shared" ref="X99:Y99" si="93">X47*11630*1000/X$8</f>
        <v>198622.25530121083</v>
      </c>
      <c r="Y99" s="82">
        <f t="shared" si="93"/>
        <v>168952.09295102715</v>
      </c>
      <c r="DA99" s="107"/>
    </row>
    <row r="100" spans="1:105" ht="12" customHeight="1" x14ac:dyDescent="0.25">
      <c r="A100" s="77" t="s">
        <v>36</v>
      </c>
      <c r="B100" s="64">
        <f t="shared" si="91"/>
        <v>369366.72824019229</v>
      </c>
      <c r="C100" s="64">
        <f t="shared" ref="C100:W100" si="94">C48*11630*1000/C$8</f>
        <v>382624.06730630499</v>
      </c>
      <c r="D100" s="64">
        <f t="shared" si="94"/>
        <v>341765.59494223993</v>
      </c>
      <c r="E100" s="64">
        <f t="shared" si="94"/>
        <v>341687.35047482641</v>
      </c>
      <c r="F100" s="64">
        <f t="shared" si="94"/>
        <v>392015.26889580284</v>
      </c>
      <c r="G100" s="64">
        <f t="shared" si="94"/>
        <v>375476.05654842692</v>
      </c>
      <c r="H100" s="64">
        <f t="shared" si="94"/>
        <v>330191.85403338721</v>
      </c>
      <c r="I100" s="64">
        <f t="shared" si="94"/>
        <v>276427.1191254236</v>
      </c>
      <c r="J100" s="64">
        <f t="shared" si="94"/>
        <v>270644.12781810231</v>
      </c>
      <c r="K100" s="64">
        <f t="shared" si="94"/>
        <v>290623.84147407394</v>
      </c>
      <c r="L100" s="64">
        <f t="shared" si="94"/>
        <v>307433.32249632874</v>
      </c>
      <c r="M100" s="64">
        <f t="shared" si="94"/>
        <v>306743.20523167297</v>
      </c>
      <c r="N100" s="64">
        <f t="shared" si="94"/>
        <v>223142.31670323981</v>
      </c>
      <c r="O100" s="64">
        <f t="shared" si="94"/>
        <v>219674.83200691346</v>
      </c>
      <c r="P100" s="64">
        <f t="shared" si="94"/>
        <v>188018.06466645232</v>
      </c>
      <c r="Q100" s="64">
        <f t="shared" si="94"/>
        <v>199484.15161047847</v>
      </c>
      <c r="R100" s="64">
        <f t="shared" si="94"/>
        <v>196772.63376274076</v>
      </c>
      <c r="S100" s="64">
        <f t="shared" si="94"/>
        <v>191183.59370874229</v>
      </c>
      <c r="T100" s="64">
        <f t="shared" si="94"/>
        <v>183427.28020723377</v>
      </c>
      <c r="U100" s="64">
        <f t="shared" si="94"/>
        <v>177127.08470578381</v>
      </c>
      <c r="V100" s="64">
        <f t="shared" si="94"/>
        <v>172053.87376898399</v>
      </c>
      <c r="W100" s="64">
        <f t="shared" si="94"/>
        <v>178984.22109590686</v>
      </c>
      <c r="X100" s="64">
        <f t="shared" ref="X100:Y100" si="95">X48*11630*1000/X$8</f>
        <v>157363.14020188729</v>
      </c>
      <c r="Y100" s="64">
        <f t="shared" si="95"/>
        <v>128567.25176573767</v>
      </c>
      <c r="DA100" s="108"/>
    </row>
    <row r="101" spans="1:105" ht="12" customHeight="1" x14ac:dyDescent="0.25">
      <c r="A101" s="61" t="s">
        <v>32</v>
      </c>
      <c r="B101" s="65">
        <f t="shared" si="91"/>
        <v>312508.59812138893</v>
      </c>
      <c r="C101" s="65">
        <f t="shared" ref="C101:W101" si="96">C49*11630*1000/C$8</f>
        <v>326176.98546179209</v>
      </c>
      <c r="D101" s="65">
        <f t="shared" si="96"/>
        <v>284835.7914341843</v>
      </c>
      <c r="E101" s="65">
        <f t="shared" si="96"/>
        <v>284934.65145121684</v>
      </c>
      <c r="F101" s="65">
        <f t="shared" si="96"/>
        <v>335692.89101948065</v>
      </c>
      <c r="G101" s="65">
        <f t="shared" si="96"/>
        <v>319656.83846834087</v>
      </c>
      <c r="H101" s="65">
        <f t="shared" si="96"/>
        <v>274125.19394914416</v>
      </c>
      <c r="I101" s="65">
        <f t="shared" si="96"/>
        <v>220947.37881536418</v>
      </c>
      <c r="J101" s="65">
        <f t="shared" si="96"/>
        <v>215147.82998027807</v>
      </c>
      <c r="K101" s="65">
        <f t="shared" si="96"/>
        <v>234512.90054710922</v>
      </c>
      <c r="L101" s="65">
        <f t="shared" si="96"/>
        <v>250705.17138534738</v>
      </c>
      <c r="M101" s="65">
        <f t="shared" si="96"/>
        <v>250185.81768565119</v>
      </c>
      <c r="N101" s="65">
        <f t="shared" si="96"/>
        <v>166735.61955864856</v>
      </c>
      <c r="O101" s="65">
        <f t="shared" si="96"/>
        <v>164309.15115580472</v>
      </c>
      <c r="P101" s="65">
        <f t="shared" si="96"/>
        <v>134629.62899101808</v>
      </c>
      <c r="Q101" s="65">
        <f t="shared" si="96"/>
        <v>145286.75086093889</v>
      </c>
      <c r="R101" s="65">
        <f t="shared" si="96"/>
        <v>144221.94384539931</v>
      </c>
      <c r="S101" s="65">
        <f t="shared" si="96"/>
        <v>139340.11011426346</v>
      </c>
      <c r="T101" s="65">
        <f t="shared" si="96"/>
        <v>131797.68094487471</v>
      </c>
      <c r="U101" s="65">
        <f t="shared" si="96"/>
        <v>126662.53521442178</v>
      </c>
      <c r="V101" s="65">
        <f t="shared" si="96"/>
        <v>125892.42163609975</v>
      </c>
      <c r="W101" s="65">
        <f t="shared" si="96"/>
        <v>131149.11787270222</v>
      </c>
      <c r="X101" s="65">
        <f t="shared" ref="X101:Y101" si="97">X49*11630*1000/X$8</f>
        <v>110080.52335775153</v>
      </c>
      <c r="Y101" s="65">
        <f t="shared" si="97"/>
        <v>82635.380198403655</v>
      </c>
      <c r="DA101" s="109"/>
    </row>
    <row r="102" spans="1:105" ht="12" customHeight="1" x14ac:dyDescent="0.25">
      <c r="A102" s="61" t="s">
        <v>31</v>
      </c>
      <c r="B102" s="65">
        <f t="shared" si="91"/>
        <v>2047.1126858120563</v>
      </c>
      <c r="C102" s="65">
        <f t="shared" ref="C102:W102" si="98">C50*11630*1000/C$8</f>
        <v>1843.3669311721644</v>
      </c>
      <c r="D102" s="65">
        <f t="shared" si="98"/>
        <v>1952.452801048375</v>
      </c>
      <c r="E102" s="65">
        <f t="shared" si="98"/>
        <v>2189.1833543061584</v>
      </c>
      <c r="F102" s="65">
        <f t="shared" si="98"/>
        <v>1764.0286099268833</v>
      </c>
      <c r="G102" s="65">
        <f t="shared" si="98"/>
        <v>1738.4908723497792</v>
      </c>
      <c r="H102" s="65">
        <f t="shared" si="98"/>
        <v>1949.3039872226966</v>
      </c>
      <c r="I102" s="65">
        <f t="shared" si="98"/>
        <v>2129.6816905102623</v>
      </c>
      <c r="J102" s="65">
        <f t="shared" si="98"/>
        <v>1826.4068137382208</v>
      </c>
      <c r="K102" s="65">
        <f t="shared" si="98"/>
        <v>1911.5183697949524</v>
      </c>
      <c r="L102" s="65">
        <f t="shared" si="98"/>
        <v>2055.0446207764076</v>
      </c>
      <c r="M102" s="65">
        <f t="shared" si="98"/>
        <v>2018.8158912639058</v>
      </c>
      <c r="N102" s="65">
        <f t="shared" si="98"/>
        <v>2571.164440673967</v>
      </c>
      <c r="O102" s="65">
        <f t="shared" si="98"/>
        <v>2077.5581507106044</v>
      </c>
      <c r="P102" s="65">
        <f t="shared" si="98"/>
        <v>1812.3894468393053</v>
      </c>
      <c r="Q102" s="65">
        <f t="shared" si="98"/>
        <v>2599.4319740160645</v>
      </c>
      <c r="R102" s="65">
        <f t="shared" si="98"/>
        <v>1795.4852109549188</v>
      </c>
      <c r="S102" s="65">
        <f t="shared" si="98"/>
        <v>2105.2054358427322</v>
      </c>
      <c r="T102" s="65">
        <f t="shared" si="98"/>
        <v>2003.9179314564412</v>
      </c>
      <c r="U102" s="65">
        <f t="shared" si="98"/>
        <v>2149.5749264866536</v>
      </c>
      <c r="V102" s="65">
        <f t="shared" si="98"/>
        <v>1740.7832837731341</v>
      </c>
      <c r="W102" s="65">
        <f t="shared" si="98"/>
        <v>2169.1597132638076</v>
      </c>
      <c r="X102" s="65">
        <f t="shared" ref="X102:Y102" si="99">X50*11630*1000/X$8</f>
        <v>2186.0416964581259</v>
      </c>
      <c r="Y102" s="65">
        <f t="shared" si="99"/>
        <v>1922.3378132887774</v>
      </c>
      <c r="DA102" s="109"/>
    </row>
    <row r="103" spans="1:105" ht="12" customHeight="1" x14ac:dyDescent="0.25">
      <c r="A103" s="61" t="s">
        <v>35</v>
      </c>
      <c r="B103" s="65">
        <f t="shared" si="91"/>
        <v>27692.284002754408</v>
      </c>
      <c r="C103" s="65">
        <f t="shared" ref="C103:W103" si="100">C51*11630*1000/C$8</f>
        <v>27580.274253170232</v>
      </c>
      <c r="D103" s="65">
        <f t="shared" si="100"/>
        <v>27874.71590084807</v>
      </c>
      <c r="E103" s="65">
        <f t="shared" si="100"/>
        <v>27413.521061168856</v>
      </c>
      <c r="F103" s="65">
        <f t="shared" si="100"/>
        <v>27816.250101085472</v>
      </c>
      <c r="G103" s="65">
        <f t="shared" si="100"/>
        <v>27286.587950162717</v>
      </c>
      <c r="H103" s="65">
        <f t="shared" si="100"/>
        <v>27025.813859541391</v>
      </c>
      <c r="I103" s="65">
        <f t="shared" si="100"/>
        <v>26730.026286651748</v>
      </c>
      <c r="J103" s="65">
        <f t="shared" si="100"/>
        <v>26935.387873652646</v>
      </c>
      <c r="K103" s="65">
        <f t="shared" si="100"/>
        <v>27189.65736586518</v>
      </c>
      <c r="L103" s="65">
        <f t="shared" si="100"/>
        <v>26988.665426202369</v>
      </c>
      <c r="M103" s="65">
        <f t="shared" si="100"/>
        <v>26856.535449842751</v>
      </c>
      <c r="N103" s="65">
        <f t="shared" si="100"/>
        <v>26406.181289457934</v>
      </c>
      <c r="O103" s="65">
        <f t="shared" si="100"/>
        <v>26075.777223572408</v>
      </c>
      <c r="P103" s="65">
        <f t="shared" si="100"/>
        <v>25278.125133090278</v>
      </c>
      <c r="Q103" s="65">
        <f t="shared" si="100"/>
        <v>25189.027313236853</v>
      </c>
      <c r="R103" s="65">
        <f t="shared" si="100"/>
        <v>24959.544151672817</v>
      </c>
      <c r="S103" s="65">
        <f t="shared" si="100"/>
        <v>24469.296570058963</v>
      </c>
      <c r="T103" s="65">
        <f t="shared" si="100"/>
        <v>24149.208692689146</v>
      </c>
      <c r="U103" s="65">
        <f t="shared" si="100"/>
        <v>23277.17146937094</v>
      </c>
      <c r="V103" s="65">
        <f t="shared" si="100"/>
        <v>20746.951082518965</v>
      </c>
      <c r="W103" s="65">
        <f t="shared" si="100"/>
        <v>20893.54186753157</v>
      </c>
      <c r="X103" s="65">
        <f t="shared" ref="X103:Y103" si="101">X51*11630*1000/X$8</f>
        <v>20569.298517705818</v>
      </c>
      <c r="Y103" s="65">
        <f t="shared" si="101"/>
        <v>20023.231246056723</v>
      </c>
      <c r="DA103" s="109"/>
    </row>
    <row r="104" spans="1:105" ht="12" customHeight="1" x14ac:dyDescent="0.25">
      <c r="A104" s="66" t="s">
        <v>34</v>
      </c>
      <c r="B104" s="67">
        <f t="shared" si="91"/>
        <v>27118.733430236854</v>
      </c>
      <c r="C104" s="67">
        <f t="shared" ref="C104:W104" si="102">C52*11630*1000/C$8</f>
        <v>27023.440660170505</v>
      </c>
      <c r="D104" s="67">
        <f t="shared" si="102"/>
        <v>27102.634806159153</v>
      </c>
      <c r="E104" s="67">
        <f t="shared" si="102"/>
        <v>27149.994608134552</v>
      </c>
      <c r="F104" s="67">
        <f t="shared" si="102"/>
        <v>26742.099165309824</v>
      </c>
      <c r="G104" s="67">
        <f t="shared" si="102"/>
        <v>26794.139257573599</v>
      </c>
      <c r="H104" s="67">
        <f t="shared" si="102"/>
        <v>27091.542237478901</v>
      </c>
      <c r="I104" s="67">
        <f t="shared" si="102"/>
        <v>26620.032332897397</v>
      </c>
      <c r="J104" s="67">
        <f t="shared" si="102"/>
        <v>26734.503150433378</v>
      </c>
      <c r="K104" s="67">
        <f t="shared" si="102"/>
        <v>27009.765191304552</v>
      </c>
      <c r="L104" s="67">
        <f t="shared" si="102"/>
        <v>27684.441064002556</v>
      </c>
      <c r="M104" s="67">
        <f t="shared" si="102"/>
        <v>27682.036204915181</v>
      </c>
      <c r="N104" s="67">
        <f t="shared" si="102"/>
        <v>27429.351414459405</v>
      </c>
      <c r="O104" s="67">
        <f t="shared" si="102"/>
        <v>27212.345476825714</v>
      </c>
      <c r="P104" s="67">
        <f t="shared" si="102"/>
        <v>26297.921095504636</v>
      </c>
      <c r="Q104" s="67">
        <f t="shared" si="102"/>
        <v>26408.941462286635</v>
      </c>
      <c r="R104" s="67">
        <f t="shared" si="102"/>
        <v>25795.660554713701</v>
      </c>
      <c r="S104" s="67">
        <f t="shared" si="102"/>
        <v>25268.981588577179</v>
      </c>
      <c r="T104" s="67">
        <f t="shared" si="102"/>
        <v>25476.47263821345</v>
      </c>
      <c r="U104" s="67">
        <f t="shared" si="102"/>
        <v>25037.80309550446</v>
      </c>
      <c r="V104" s="67">
        <f t="shared" si="102"/>
        <v>23673.717766592159</v>
      </c>
      <c r="W104" s="67">
        <f t="shared" si="102"/>
        <v>24772.401642409222</v>
      </c>
      <c r="X104" s="67">
        <f t="shared" ref="X104:Y104" si="103">X52*11630*1000/X$8</f>
        <v>24527.276629971802</v>
      </c>
      <c r="Y104" s="67">
        <f t="shared" si="103"/>
        <v>23986.302507988516</v>
      </c>
      <c r="DA104" s="110"/>
    </row>
    <row r="105" spans="1:105" ht="12" customHeight="1" x14ac:dyDescent="0.25">
      <c r="A105" s="78" t="s">
        <v>33</v>
      </c>
      <c r="B105" s="68">
        <f t="shared" si="91"/>
        <v>45062.440234910646</v>
      </c>
      <c r="C105" s="68">
        <f t="shared" ref="C105:W105" si="104">C53*11630*1000/C$8</f>
        <v>46133.89422224056</v>
      </c>
      <c r="D105" s="68">
        <f t="shared" si="104"/>
        <v>46863.910946045646</v>
      </c>
      <c r="E105" s="68">
        <f t="shared" si="104"/>
        <v>47356.932547891745</v>
      </c>
      <c r="F105" s="68">
        <f t="shared" si="104"/>
        <v>48597.895791318108</v>
      </c>
      <c r="G105" s="68">
        <f t="shared" si="104"/>
        <v>49781.563280902803</v>
      </c>
      <c r="H105" s="68">
        <f t="shared" si="104"/>
        <v>51148.715410204204</v>
      </c>
      <c r="I105" s="68">
        <f t="shared" si="104"/>
        <v>52059.533133135978</v>
      </c>
      <c r="J105" s="68">
        <f t="shared" si="104"/>
        <v>53200.483049575916</v>
      </c>
      <c r="K105" s="68">
        <f t="shared" si="104"/>
        <v>53904.275631436212</v>
      </c>
      <c r="L105" s="68">
        <f t="shared" si="104"/>
        <v>54239.232106319025</v>
      </c>
      <c r="M105" s="68">
        <f t="shared" si="104"/>
        <v>53939.325319967109</v>
      </c>
      <c r="N105" s="68">
        <f t="shared" si="104"/>
        <v>52888.31840998253</v>
      </c>
      <c r="O105" s="68">
        <f t="shared" si="104"/>
        <v>51835.036369782094</v>
      </c>
      <c r="P105" s="68">
        <f t="shared" si="104"/>
        <v>50203.747273501351</v>
      </c>
      <c r="Q105" s="68">
        <f t="shared" si="104"/>
        <v>49687.75482785872</v>
      </c>
      <c r="R105" s="68">
        <f t="shared" si="104"/>
        <v>48618.097001547983</v>
      </c>
      <c r="S105" s="68">
        <f t="shared" si="104"/>
        <v>47585.456526564696</v>
      </c>
      <c r="T105" s="68">
        <f t="shared" si="104"/>
        <v>46113.857102036651</v>
      </c>
      <c r="U105" s="68">
        <f t="shared" si="104"/>
        <v>44663.073097804816</v>
      </c>
      <c r="V105" s="68">
        <f t="shared" si="104"/>
        <v>42165.151482097877</v>
      </c>
      <c r="W105" s="68">
        <f t="shared" si="104"/>
        <v>41771.981859534069</v>
      </c>
      <c r="X105" s="68">
        <f t="shared" ref="X105:Y105" si="105">X53*11630*1000/X$8</f>
        <v>41259.115099323535</v>
      </c>
      <c r="Y105" s="68">
        <f t="shared" si="105"/>
        <v>40384.841185289493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211166.35629977321</v>
      </c>
      <c r="C107" s="85">
        <f t="shared" ref="C107:W107" si="107">SUM(C108:C111)</f>
        <v>219667.57300561262</v>
      </c>
      <c r="D107" s="85">
        <f t="shared" si="107"/>
        <v>197818.93454688072</v>
      </c>
      <c r="E107" s="85">
        <f t="shared" si="107"/>
        <v>199097.70546492969</v>
      </c>
      <c r="F107" s="85">
        <f t="shared" si="107"/>
        <v>224463.71158173503</v>
      </c>
      <c r="G107" s="85">
        <f t="shared" si="107"/>
        <v>219525.86352004844</v>
      </c>
      <c r="H107" s="85">
        <f t="shared" si="107"/>
        <v>196955.72513585695</v>
      </c>
      <c r="I107" s="85">
        <f t="shared" si="107"/>
        <v>171418.63748780068</v>
      </c>
      <c r="J107" s="85">
        <f t="shared" si="107"/>
        <v>170353.78896542336</v>
      </c>
      <c r="K107" s="85">
        <f t="shared" si="107"/>
        <v>183379.14482841306</v>
      </c>
      <c r="L107" s="85">
        <f t="shared" si="107"/>
        <v>194875.01030302103</v>
      </c>
      <c r="M107" s="85">
        <f t="shared" si="107"/>
        <v>196923.19373251777</v>
      </c>
      <c r="N107" s="85">
        <f t="shared" si="107"/>
        <v>145854.69973228572</v>
      </c>
      <c r="O107" s="85">
        <f t="shared" si="107"/>
        <v>144906.05959322193</v>
      </c>
      <c r="P107" s="85">
        <f t="shared" si="107"/>
        <v>125294.78912481621</v>
      </c>
      <c r="Q107" s="85">
        <f t="shared" si="107"/>
        <v>136454.69322697795</v>
      </c>
      <c r="R107" s="85">
        <f t="shared" si="107"/>
        <v>134935.30292658473</v>
      </c>
      <c r="S107" s="85">
        <f t="shared" si="107"/>
        <v>134784.00348109548</v>
      </c>
      <c r="T107" s="85">
        <f t="shared" si="107"/>
        <v>131890.69458757198</v>
      </c>
      <c r="U107" s="85">
        <f t="shared" si="107"/>
        <v>130200.94965290367</v>
      </c>
      <c r="V107" s="85">
        <f t="shared" si="107"/>
        <v>127067.40540286103</v>
      </c>
      <c r="W107" s="85">
        <f t="shared" si="107"/>
        <v>135034.79474823971</v>
      </c>
      <c r="X107" s="85">
        <f t="shared" ref="X107:Y107" si="108">SUM(X108:X111)</f>
        <v>123763.24563590362</v>
      </c>
      <c r="Y107" s="85">
        <f t="shared" si="108"/>
        <v>103621.00404148712</v>
      </c>
      <c r="DA107" s="117"/>
    </row>
    <row r="108" spans="1:105" ht="12" customHeight="1" x14ac:dyDescent="0.25">
      <c r="A108" s="61" t="s">
        <v>32</v>
      </c>
      <c r="B108" s="65">
        <v>170887.42077103211</v>
      </c>
      <c r="C108" s="65">
        <v>179710.913048997</v>
      </c>
      <c r="D108" s="65">
        <v>157419.22660605432</v>
      </c>
      <c r="E108" s="65">
        <v>158396.89867843577</v>
      </c>
      <c r="F108" s="65">
        <v>184412.39845832647</v>
      </c>
      <c r="G108" s="65">
        <v>179732.70891293258</v>
      </c>
      <c r="H108" s="65">
        <v>156477.43644826367</v>
      </c>
      <c r="I108" s="65">
        <v>130835.39520805658</v>
      </c>
      <c r="J108" s="65">
        <v>129978.70659016038</v>
      </c>
      <c r="K108" s="65">
        <v>142315.18714825533</v>
      </c>
      <c r="L108" s="65">
        <v>152901.05239146238</v>
      </c>
      <c r="M108" s="65">
        <v>154881.19180044127</v>
      </c>
      <c r="N108" s="65">
        <v>102409.38185536598</v>
      </c>
      <c r="O108" s="65">
        <v>102914.67933312655</v>
      </c>
      <c r="P108" s="65">
        <v>84901.021274856495</v>
      </c>
      <c r="Q108" s="65">
        <v>93040.300456063007</v>
      </c>
      <c r="R108" s="65">
        <v>94049.875478901376</v>
      </c>
      <c r="S108" s="65">
        <v>92906.857083186551</v>
      </c>
      <c r="T108" s="65">
        <v>89832.416345745951</v>
      </c>
      <c r="U108" s="65">
        <v>87961.96415175419</v>
      </c>
      <c r="V108" s="65">
        <v>88763.345710610534</v>
      </c>
      <c r="W108" s="65">
        <v>93625.330240778814</v>
      </c>
      <c r="X108" s="65">
        <v>82115.590891482716</v>
      </c>
      <c r="Y108" s="65">
        <v>63264.304337116264</v>
      </c>
      <c r="DA108" s="109"/>
    </row>
    <row r="109" spans="1:105" ht="12" customHeight="1" x14ac:dyDescent="0.25">
      <c r="A109" s="61" t="s">
        <v>31</v>
      </c>
      <c r="B109" s="65">
        <v>3537.1057731550077</v>
      </c>
      <c r="C109" s="65">
        <v>3296.3434850101298</v>
      </c>
      <c r="D109" s="65">
        <v>3645.4205559215675</v>
      </c>
      <c r="E109" s="65">
        <v>4270.258034306803</v>
      </c>
      <c r="F109" s="65">
        <v>3614.623412203664</v>
      </c>
      <c r="G109" s="65">
        <v>3740.091269449525</v>
      </c>
      <c r="H109" s="65">
        <v>4434.4589075948716</v>
      </c>
      <c r="I109" s="65">
        <v>5132.1122785089246</v>
      </c>
      <c r="J109" s="65">
        <v>4675.9973204130274</v>
      </c>
      <c r="K109" s="65">
        <v>4984.554850034031</v>
      </c>
      <c r="L109" s="65">
        <v>5495.3280042665283</v>
      </c>
      <c r="M109" s="65">
        <v>5578.0226820313128</v>
      </c>
      <c r="N109" s="65">
        <v>7363.9347345498281</v>
      </c>
      <c r="O109" s="65">
        <v>6154.0228891339648</v>
      </c>
      <c r="P109" s="65">
        <v>5578.9861650399262</v>
      </c>
      <c r="Q109" s="65">
        <v>8303.6666245229499</v>
      </c>
      <c r="R109" s="65">
        <v>5960.4783625300142</v>
      </c>
      <c r="S109" s="65">
        <v>7218.0857841102779</v>
      </c>
      <c r="T109" s="65">
        <v>7087.0485697420127</v>
      </c>
      <c r="U109" s="65">
        <v>7776.4604114592294</v>
      </c>
      <c r="V109" s="65">
        <v>6449.5942604984912</v>
      </c>
      <c r="W109" s="65">
        <v>8186.1895878495043</v>
      </c>
      <c r="X109" s="65">
        <v>8367.3927000601016</v>
      </c>
      <c r="Y109" s="65">
        <v>7443.3514818939893</v>
      </c>
      <c r="DA109" s="109"/>
    </row>
    <row r="110" spans="1:105" ht="12" customHeight="1" x14ac:dyDescent="0.25">
      <c r="A110" s="61" t="s">
        <v>35</v>
      </c>
      <c r="B110" s="65">
        <v>16415.197911638155</v>
      </c>
      <c r="C110" s="65">
        <v>16433.182238771336</v>
      </c>
      <c r="D110" s="65">
        <v>16682.615334271428</v>
      </c>
      <c r="E110" s="65">
        <v>16487.57374342695</v>
      </c>
      <c r="F110" s="65">
        <v>16802.714665672564</v>
      </c>
      <c r="G110" s="65">
        <v>16638.803876654783</v>
      </c>
      <c r="H110" s="65">
        <v>16602.973204873437</v>
      </c>
      <c r="I110" s="65">
        <v>16512.883234694684</v>
      </c>
      <c r="J110" s="65">
        <v>16734.09845018015</v>
      </c>
      <c r="K110" s="65">
        <v>16974.280469094301</v>
      </c>
      <c r="L110" s="65">
        <v>16986.954848683166</v>
      </c>
      <c r="M110" s="65">
        <v>17100.928577975043</v>
      </c>
      <c r="N110" s="65">
        <v>17067.380902572266</v>
      </c>
      <c r="O110" s="65">
        <v>17024.570507782031</v>
      </c>
      <c r="P110" s="65">
        <v>16665.2252283298</v>
      </c>
      <c r="Q110" s="65">
        <v>16780.910265038834</v>
      </c>
      <c r="R110" s="65">
        <v>16871.424180281982</v>
      </c>
      <c r="S110" s="65">
        <v>16862.898412841998</v>
      </c>
      <c r="T110" s="65">
        <v>16958.363200235835</v>
      </c>
      <c r="U110" s="65">
        <v>16689.813537175243</v>
      </c>
      <c r="V110" s="65">
        <v>15134.411834767541</v>
      </c>
      <c r="W110" s="65">
        <v>15564.830265940589</v>
      </c>
      <c r="X110" s="65">
        <v>15654.190906616619</v>
      </c>
      <c r="Y110" s="65">
        <v>15521.241497723602</v>
      </c>
      <c r="DA110" s="109"/>
    </row>
    <row r="111" spans="1:105" ht="12" customHeight="1" x14ac:dyDescent="0.25">
      <c r="A111" s="74" t="s">
        <v>34</v>
      </c>
      <c r="B111" s="68">
        <v>20326.631843947947</v>
      </c>
      <c r="C111" s="68">
        <v>20227.134232834156</v>
      </c>
      <c r="D111" s="68">
        <v>20071.672050633417</v>
      </c>
      <c r="E111" s="68">
        <v>19942.975008760161</v>
      </c>
      <c r="F111" s="68">
        <v>19633.975045532348</v>
      </c>
      <c r="G111" s="68">
        <v>19414.25946101157</v>
      </c>
      <c r="H111" s="68">
        <v>19440.856575124941</v>
      </c>
      <c r="I111" s="68">
        <v>18938.24676654048</v>
      </c>
      <c r="J111" s="68">
        <v>18964.98660466979</v>
      </c>
      <c r="K111" s="68">
        <v>19105.122361029418</v>
      </c>
      <c r="L111" s="68">
        <v>19491.675058608944</v>
      </c>
      <c r="M111" s="68">
        <v>19363.050672070131</v>
      </c>
      <c r="N111" s="68">
        <v>19014.00223979765</v>
      </c>
      <c r="O111" s="68">
        <v>18812.786863179394</v>
      </c>
      <c r="P111" s="68">
        <v>18149.556456589988</v>
      </c>
      <c r="Q111" s="68">
        <v>18329.815881353166</v>
      </c>
      <c r="R111" s="68">
        <v>18053.524904871374</v>
      </c>
      <c r="S111" s="68">
        <v>17796.162200956642</v>
      </c>
      <c r="T111" s="68">
        <v>18012.866471848181</v>
      </c>
      <c r="U111" s="68">
        <v>17772.711552514997</v>
      </c>
      <c r="V111" s="68">
        <v>16720.05359698446</v>
      </c>
      <c r="W111" s="68">
        <v>17658.444653670802</v>
      </c>
      <c r="X111" s="68">
        <v>17626.071137744169</v>
      </c>
      <c r="Y111" s="68">
        <v>17392.10672475327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52857.723450933452</v>
      </c>
      <c r="C113" s="82">
        <f t="shared" ref="C113:W113" si="110">C81*1000000/C$8</f>
        <v>55290.995487697088</v>
      </c>
      <c r="D113" s="82">
        <f t="shared" si="110"/>
        <v>49574.818007337133</v>
      </c>
      <c r="E113" s="82">
        <f t="shared" si="110"/>
        <v>50270.108296518891</v>
      </c>
      <c r="F113" s="82">
        <f t="shared" si="110"/>
        <v>61659.463688961252</v>
      </c>
      <c r="G113" s="82">
        <f t="shared" si="110"/>
        <v>57152.783700919681</v>
      </c>
      <c r="H113" s="82">
        <f t="shared" si="110"/>
        <v>48655.348427804412</v>
      </c>
      <c r="I113" s="82">
        <f t="shared" si="110"/>
        <v>37039.905669077576</v>
      </c>
      <c r="J113" s="82">
        <f t="shared" si="110"/>
        <v>35073.702394958797</v>
      </c>
      <c r="K113" s="82">
        <f t="shared" si="110"/>
        <v>38306.984376582361</v>
      </c>
      <c r="L113" s="82">
        <f t="shared" si="110"/>
        <v>41792.114764428603</v>
      </c>
      <c r="M113" s="82">
        <f t="shared" si="110"/>
        <v>41785.164444346687</v>
      </c>
      <c r="N113" s="82">
        <f t="shared" si="110"/>
        <v>33920.06796919171</v>
      </c>
      <c r="O113" s="82">
        <f t="shared" si="110"/>
        <v>33827.869476490116</v>
      </c>
      <c r="P113" s="82">
        <f t="shared" si="110"/>
        <v>29267.360433199359</v>
      </c>
      <c r="Q113" s="82">
        <f t="shared" si="110"/>
        <v>30187.714087661963</v>
      </c>
      <c r="R113" s="82">
        <f t="shared" si="110"/>
        <v>29106.004054077312</v>
      </c>
      <c r="S113" s="82">
        <f t="shared" si="110"/>
        <v>27303.222122744617</v>
      </c>
      <c r="T113" s="82">
        <f t="shared" si="110"/>
        <v>25701.851711361636</v>
      </c>
      <c r="U113" s="82">
        <f t="shared" si="110"/>
        <v>24364.816297565747</v>
      </c>
      <c r="V113" s="82">
        <f t="shared" si="110"/>
        <v>24321.724246019952</v>
      </c>
      <c r="W113" s="82">
        <f t="shared" si="110"/>
        <v>25189.203269363221</v>
      </c>
      <c r="X113" s="82">
        <f t="shared" ref="X113:Y113" si="111">X81*1000000/X$8</f>
        <v>20705.411810346613</v>
      </c>
      <c r="Y113" s="82">
        <f t="shared" si="111"/>
        <v>16405.19446950635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52857.723450933452</v>
      </c>
      <c r="C114" s="64">
        <f t="shared" ref="C114:W114" si="113">C82*1000000/C$8</f>
        <v>55290.995487697088</v>
      </c>
      <c r="D114" s="64">
        <f t="shared" si="113"/>
        <v>49574.818007337133</v>
      </c>
      <c r="E114" s="64">
        <f t="shared" si="113"/>
        <v>50270.108296518891</v>
      </c>
      <c r="F114" s="64">
        <f t="shared" si="113"/>
        <v>61659.463688961252</v>
      </c>
      <c r="G114" s="64">
        <f t="shared" si="113"/>
        <v>57152.783700919681</v>
      </c>
      <c r="H114" s="64">
        <f t="shared" si="113"/>
        <v>48655.348427804412</v>
      </c>
      <c r="I114" s="64">
        <f t="shared" si="113"/>
        <v>37039.905669077576</v>
      </c>
      <c r="J114" s="64">
        <f t="shared" si="113"/>
        <v>35073.702394958797</v>
      </c>
      <c r="K114" s="64">
        <f t="shared" si="113"/>
        <v>38306.984376582361</v>
      </c>
      <c r="L114" s="64">
        <f t="shared" si="113"/>
        <v>41792.114764428603</v>
      </c>
      <c r="M114" s="64">
        <f t="shared" si="113"/>
        <v>41785.164444346687</v>
      </c>
      <c r="N114" s="64">
        <f t="shared" si="113"/>
        <v>33920.06796919171</v>
      </c>
      <c r="O114" s="64">
        <f t="shared" si="113"/>
        <v>33827.869476490116</v>
      </c>
      <c r="P114" s="64">
        <f t="shared" si="113"/>
        <v>29267.360433199359</v>
      </c>
      <c r="Q114" s="64">
        <f t="shared" si="113"/>
        <v>30187.714087661963</v>
      </c>
      <c r="R114" s="64">
        <f t="shared" si="113"/>
        <v>29106.004054077312</v>
      </c>
      <c r="S114" s="64">
        <f t="shared" si="113"/>
        <v>27303.222122744617</v>
      </c>
      <c r="T114" s="64">
        <f t="shared" si="113"/>
        <v>25701.851711361636</v>
      </c>
      <c r="U114" s="64">
        <f t="shared" si="113"/>
        <v>24364.816297565747</v>
      </c>
      <c r="V114" s="64">
        <f t="shared" si="113"/>
        <v>24321.724246019952</v>
      </c>
      <c r="W114" s="64">
        <f t="shared" si="113"/>
        <v>25189.203269363221</v>
      </c>
      <c r="X114" s="64">
        <f t="shared" ref="X114:Y114" si="114">X82*1000000/X$8</f>
        <v>20705.411810346613</v>
      </c>
      <c r="Y114" s="64">
        <f t="shared" si="114"/>
        <v>16405.19446950635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48290.111697565291</v>
      </c>
      <c r="C115" s="65">
        <f t="shared" ref="C115:W115" si="116">C83*1000000/C$8</f>
        <v>50691.664478862964</v>
      </c>
      <c r="D115" s="65">
        <f t="shared" si="116"/>
        <v>44634.301144669887</v>
      </c>
      <c r="E115" s="65">
        <f t="shared" si="116"/>
        <v>45104.545718122732</v>
      </c>
      <c r="F115" s="65">
        <f t="shared" si="116"/>
        <v>56401.121994023742</v>
      </c>
      <c r="G115" s="65">
        <f t="shared" si="116"/>
        <v>51676.663098684352</v>
      </c>
      <c r="H115" s="65">
        <f t="shared" si="116"/>
        <v>42945.294752913542</v>
      </c>
      <c r="I115" s="65">
        <f t="shared" si="116"/>
        <v>31093.552108435058</v>
      </c>
      <c r="J115" s="65">
        <f t="shared" si="116"/>
        <v>28878.893424498656</v>
      </c>
      <c r="K115" s="65">
        <f t="shared" si="116"/>
        <v>31779.68962281524</v>
      </c>
      <c r="L115" s="65">
        <f t="shared" si="116"/>
        <v>34975.36645381603</v>
      </c>
      <c r="M115" s="65">
        <f t="shared" si="116"/>
        <v>34838.350281543644</v>
      </c>
      <c r="N115" s="65">
        <f t="shared" si="116"/>
        <v>26858.752295650102</v>
      </c>
      <c r="O115" s="65">
        <f t="shared" si="116"/>
        <v>26498.620057286011</v>
      </c>
      <c r="P115" s="65">
        <f t="shared" si="116"/>
        <v>22060.034631810791</v>
      </c>
      <c r="Q115" s="65">
        <f t="shared" si="116"/>
        <v>23039.816475693016</v>
      </c>
      <c r="R115" s="65">
        <f t="shared" si="116"/>
        <v>22198.595116152457</v>
      </c>
      <c r="S115" s="65">
        <f t="shared" si="116"/>
        <v>20589.760754529871</v>
      </c>
      <c r="T115" s="65">
        <f t="shared" si="116"/>
        <v>18955.348705160832</v>
      </c>
      <c r="U115" s="65">
        <f t="shared" si="116"/>
        <v>17844.132656647485</v>
      </c>
      <c r="V115" s="65">
        <f t="shared" si="116"/>
        <v>18150.112707753091</v>
      </c>
      <c r="W115" s="65">
        <f t="shared" si="116"/>
        <v>19019.627076215256</v>
      </c>
      <c r="X115" s="65">
        <f t="shared" ref="X115:Y115" si="117">X83*1000000/X$8</f>
        <v>14825.811183285385</v>
      </c>
      <c r="Y115" s="65">
        <f t="shared" si="117"/>
        <v>10824.590560251096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1.6126745667982658</v>
      </c>
      <c r="C116" s="65">
        <f t="shared" ref="C116:W116" si="119">C84*1000000/C$8</f>
        <v>1.6212589312096595</v>
      </c>
      <c r="D116" s="65">
        <f t="shared" si="119"/>
        <v>1.9767785891079201</v>
      </c>
      <c r="E116" s="65">
        <f t="shared" si="119"/>
        <v>2.4461484240675175</v>
      </c>
      <c r="F116" s="65">
        <f t="shared" si="119"/>
        <v>1.9468778306748935</v>
      </c>
      <c r="G116" s="65">
        <f t="shared" si="119"/>
        <v>2.0556960269656286</v>
      </c>
      <c r="H116" s="65">
        <f t="shared" si="119"/>
        <v>2.5804034989073767</v>
      </c>
      <c r="I116" s="65">
        <f t="shared" si="119"/>
        <v>3.0989757811272156</v>
      </c>
      <c r="J116" s="65">
        <f t="shared" si="119"/>
        <v>2.7272286103261627</v>
      </c>
      <c r="K116" s="65">
        <f t="shared" si="119"/>
        <v>3.0115560745097358</v>
      </c>
      <c r="L116" s="65">
        <f t="shared" si="119"/>
        <v>3.6427305276467759</v>
      </c>
      <c r="M116" s="65">
        <f t="shared" si="119"/>
        <v>4.0466345088906035</v>
      </c>
      <c r="N116" s="65">
        <f t="shared" si="119"/>
        <v>5.8726763094022587</v>
      </c>
      <c r="O116" s="65">
        <f t="shared" si="119"/>
        <v>5.3174921696042361</v>
      </c>
      <c r="P116" s="65">
        <f t="shared" si="119"/>
        <v>4.9707957446710678</v>
      </c>
      <c r="Q116" s="65">
        <f t="shared" si="119"/>
        <v>7.838764982705821</v>
      </c>
      <c r="R116" s="65">
        <f t="shared" si="119"/>
        <v>5.8264450274684663</v>
      </c>
      <c r="S116" s="65">
        <f t="shared" si="119"/>
        <v>7.9204509526926339</v>
      </c>
      <c r="T116" s="65">
        <f t="shared" si="119"/>
        <v>8.0988428505360819</v>
      </c>
      <c r="U116" s="65">
        <f t="shared" si="119"/>
        <v>10.184513847675706</v>
      </c>
      <c r="V116" s="65">
        <f t="shared" si="119"/>
        <v>7.9911237908867596</v>
      </c>
      <c r="W116" s="65">
        <f t="shared" si="119"/>
        <v>10.386953394377919</v>
      </c>
      <c r="X116" s="65">
        <f t="shared" ref="X116:Y116" si="120">X84*1000000/X$8</f>
        <v>11.492503797735155</v>
      </c>
      <c r="Y116" s="65">
        <f t="shared" si="120"/>
        <v>10.346110713703899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2605.3819331196246</v>
      </c>
      <c r="C117" s="65">
        <f t="shared" ref="C117:W117" si="122">C85*1000000/C$8</f>
        <v>2594.5112762210474</v>
      </c>
      <c r="D117" s="65">
        <f t="shared" si="122"/>
        <v>2667.3030913725306</v>
      </c>
      <c r="E117" s="65">
        <f t="shared" si="122"/>
        <v>2687.082174760033</v>
      </c>
      <c r="F117" s="65">
        <f t="shared" si="122"/>
        <v>2796.3120486213343</v>
      </c>
      <c r="G117" s="65">
        <f t="shared" si="122"/>
        <v>2709.2662597709441</v>
      </c>
      <c r="H117" s="65">
        <f t="shared" si="122"/>
        <v>2690.3112814852893</v>
      </c>
      <c r="I117" s="65">
        <f t="shared" si="122"/>
        <v>2778.11534156172</v>
      </c>
      <c r="J117" s="65">
        <f t="shared" si="122"/>
        <v>2927.9064495495018</v>
      </c>
      <c r="K117" s="65">
        <f t="shared" si="122"/>
        <v>3133.2719558515437</v>
      </c>
      <c r="L117" s="65">
        <f t="shared" si="122"/>
        <v>3215.0156740466355</v>
      </c>
      <c r="M117" s="65">
        <f t="shared" si="122"/>
        <v>3218.7603497139567</v>
      </c>
      <c r="N117" s="65">
        <f t="shared" si="122"/>
        <v>3188.3113164413226</v>
      </c>
      <c r="O117" s="65">
        <f t="shared" si="122"/>
        <v>3433.3497339180167</v>
      </c>
      <c r="P117" s="65">
        <f t="shared" si="122"/>
        <v>3378.0835202427388</v>
      </c>
      <c r="Q117" s="65">
        <f t="shared" si="122"/>
        <v>3371.6408219678005</v>
      </c>
      <c r="R117" s="65">
        <f t="shared" si="122"/>
        <v>3329.3022813883281</v>
      </c>
      <c r="S117" s="65">
        <f t="shared" si="122"/>
        <v>3265.8570429891815</v>
      </c>
      <c r="T117" s="65">
        <f t="shared" si="122"/>
        <v>3275.6530127831611</v>
      </c>
      <c r="U117" s="65">
        <f t="shared" si="122"/>
        <v>3114.2080690576072</v>
      </c>
      <c r="V117" s="65">
        <f t="shared" si="122"/>
        <v>2817.7883119666499</v>
      </c>
      <c r="W117" s="65">
        <f t="shared" si="122"/>
        <v>2746.6617266841822</v>
      </c>
      <c r="X117" s="65">
        <f t="shared" ref="X117:Y117" si="123">X85*1000000/X$8</f>
        <v>2551.3640109949147</v>
      </c>
      <c r="Y117" s="65">
        <f t="shared" si="123"/>
        <v>2403.4300053933334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1960.617145681746</v>
      </c>
      <c r="C118" s="67">
        <f t="shared" ref="C118:W118" si="125">C86*1000000/C$8</f>
        <v>2003.1984736818663</v>
      </c>
      <c r="D118" s="67">
        <f t="shared" si="125"/>
        <v>2271.2369927056066</v>
      </c>
      <c r="E118" s="67">
        <f t="shared" si="125"/>
        <v>2476.0342552120528</v>
      </c>
      <c r="F118" s="67">
        <f t="shared" si="125"/>
        <v>2460.082768485493</v>
      </c>
      <c r="G118" s="67">
        <f t="shared" si="125"/>
        <v>2764.7986464374062</v>
      </c>
      <c r="H118" s="67">
        <f t="shared" si="125"/>
        <v>3017.1619899066709</v>
      </c>
      <c r="I118" s="67">
        <f t="shared" si="125"/>
        <v>3165.1392432996677</v>
      </c>
      <c r="J118" s="67">
        <f t="shared" si="125"/>
        <v>3264.1752923003137</v>
      </c>
      <c r="K118" s="67">
        <f t="shared" si="125"/>
        <v>3391.0112418410722</v>
      </c>
      <c r="L118" s="67">
        <f t="shared" si="125"/>
        <v>3598.0899060382885</v>
      </c>
      <c r="M118" s="67">
        <f t="shared" si="125"/>
        <v>3724.007178580187</v>
      </c>
      <c r="N118" s="67">
        <f t="shared" si="125"/>
        <v>3867.1316807908784</v>
      </c>
      <c r="O118" s="67">
        <f t="shared" si="125"/>
        <v>3890.5821931164769</v>
      </c>
      <c r="P118" s="67">
        <f t="shared" si="125"/>
        <v>3824.2714854011574</v>
      </c>
      <c r="Q118" s="67">
        <f t="shared" si="125"/>
        <v>3768.4180250184459</v>
      </c>
      <c r="R118" s="67">
        <f t="shared" si="125"/>
        <v>3572.2802115090572</v>
      </c>
      <c r="S118" s="67">
        <f t="shared" si="125"/>
        <v>3439.6838742728778</v>
      </c>
      <c r="T118" s="67">
        <f t="shared" si="125"/>
        <v>3462.7511505671032</v>
      </c>
      <c r="U118" s="67">
        <f t="shared" si="125"/>
        <v>3396.2910580129787</v>
      </c>
      <c r="V118" s="67">
        <f t="shared" si="125"/>
        <v>3345.8321025093214</v>
      </c>
      <c r="W118" s="67">
        <f t="shared" si="125"/>
        <v>3412.5275130694026</v>
      </c>
      <c r="X118" s="67">
        <f t="shared" ref="X118:Y118" si="126">X86*1000000/X$8</f>
        <v>3316.7441122685796</v>
      </c>
      <c r="Y118" s="67">
        <f t="shared" si="126"/>
        <v>3166.8277931482171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0.57169836954685227</v>
      </c>
      <c r="C121" s="86">
        <f t="shared" ref="C121:W121" si="131">IF(C107=0,"",C107/C100)</f>
        <v>0.57410809140178953</v>
      </c>
      <c r="D121" s="86">
        <f t="shared" si="131"/>
        <v>0.5788146538867176</v>
      </c>
      <c r="E121" s="86">
        <f t="shared" si="131"/>
        <v>0.58268971674910774</v>
      </c>
      <c r="F121" s="86">
        <f t="shared" si="131"/>
        <v>0.57258920606329033</v>
      </c>
      <c r="G121" s="86">
        <f t="shared" si="131"/>
        <v>0.58466008601998609</v>
      </c>
      <c r="H121" s="86">
        <f t="shared" si="131"/>
        <v>0.59648874655745399</v>
      </c>
      <c r="I121" s="86">
        <f t="shared" si="131"/>
        <v>0.6201223600280068</v>
      </c>
      <c r="J121" s="86">
        <f t="shared" si="131"/>
        <v>0.62943833416521322</v>
      </c>
      <c r="K121" s="86">
        <f t="shared" si="131"/>
        <v>0.63098451902051544</v>
      </c>
      <c r="L121" s="86">
        <f t="shared" si="131"/>
        <v>0.6338773192204894</v>
      </c>
      <c r="M121" s="86">
        <f t="shared" si="131"/>
        <v>0.64198062214218643</v>
      </c>
      <c r="N121" s="86">
        <f t="shared" si="131"/>
        <v>0.65363980211005879</v>
      </c>
      <c r="O121" s="86">
        <f t="shared" si="131"/>
        <v>0.65963887746895622</v>
      </c>
      <c r="P121" s="86">
        <f t="shared" si="131"/>
        <v>0.66639761103323547</v>
      </c>
      <c r="Q121" s="86">
        <f t="shared" si="131"/>
        <v>0.68403776503220859</v>
      </c>
      <c r="R121" s="86">
        <f t="shared" si="131"/>
        <v>0.68574222109200111</v>
      </c>
      <c r="S121" s="86">
        <f t="shared" si="131"/>
        <v>0.70499775041592483</v>
      </c>
      <c r="T121" s="86">
        <f t="shared" si="131"/>
        <v>0.71903532799790515</v>
      </c>
      <c r="U121" s="86">
        <f t="shared" si="131"/>
        <v>0.73507081014274811</v>
      </c>
      <c r="V121" s="86">
        <f t="shared" si="131"/>
        <v>0.73853266200488976</v>
      </c>
      <c r="W121" s="86">
        <f t="shared" si="131"/>
        <v>0.75445083327140161</v>
      </c>
      <c r="X121" s="86">
        <f t="shared" ref="X121:Y121" si="132">IF(X107=0,"",X107/X100)</f>
        <v>0.7864817992137354</v>
      </c>
      <c r="Y121" s="86">
        <f t="shared" si="132"/>
        <v>0.80596732541421123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0.54682470113879444</v>
      </c>
      <c r="C122" s="75">
        <f t="shared" ref="C122:W122" si="134">IF(C108=0,"",C108/C101)</f>
        <v>0.55096135245277167</v>
      </c>
      <c r="D122" s="75">
        <f t="shared" si="134"/>
        <v>0.55266659366587523</v>
      </c>
      <c r="E122" s="75">
        <f t="shared" si="134"/>
        <v>0.55590605730715992</v>
      </c>
      <c r="F122" s="75">
        <f t="shared" si="134"/>
        <v>0.54934853668862715</v>
      </c>
      <c r="G122" s="75">
        <f t="shared" si="134"/>
        <v>0.56226767984734816</v>
      </c>
      <c r="H122" s="75">
        <f t="shared" si="134"/>
        <v>0.57082471769192233</v>
      </c>
      <c r="I122" s="75">
        <f t="shared" si="134"/>
        <v>0.59215635826750335</v>
      </c>
      <c r="J122" s="75">
        <f t="shared" si="134"/>
        <v>0.60413673055440587</v>
      </c>
      <c r="K122" s="75">
        <f t="shared" si="134"/>
        <v>0.60685440679911284</v>
      </c>
      <c r="L122" s="75">
        <f t="shared" si="134"/>
        <v>0.60988391881412451</v>
      </c>
      <c r="M122" s="75">
        <f t="shared" si="134"/>
        <v>0.61906463457110705</v>
      </c>
      <c r="N122" s="75">
        <f t="shared" si="134"/>
        <v>0.61420218503067914</v>
      </c>
      <c r="O122" s="75">
        <f t="shared" si="134"/>
        <v>0.62634782426414337</v>
      </c>
      <c r="P122" s="75">
        <f t="shared" si="134"/>
        <v>0.63062657092014074</v>
      </c>
      <c r="Q122" s="75">
        <f t="shared" si="134"/>
        <v>0.64039081268405862</v>
      </c>
      <c r="R122" s="75">
        <f t="shared" si="134"/>
        <v>0.65211903938640181</v>
      </c>
      <c r="S122" s="75">
        <f t="shared" si="134"/>
        <v>0.66676319551491581</v>
      </c>
      <c r="T122" s="75">
        <f t="shared" si="134"/>
        <v>0.68159330044144695</v>
      </c>
      <c r="U122" s="75">
        <f t="shared" si="134"/>
        <v>0.69445921008013156</v>
      </c>
      <c r="V122" s="75">
        <f t="shared" si="134"/>
        <v>0.70507298657886464</v>
      </c>
      <c r="W122" s="75">
        <f t="shared" si="134"/>
        <v>0.71388455949551055</v>
      </c>
      <c r="X122" s="75">
        <f t="shared" ref="X122:Y122" si="135">IF(X108=0,"",X108/X101)</f>
        <v>0.74595930675778699</v>
      </c>
      <c r="Y122" s="75">
        <f t="shared" si="135"/>
        <v>0.76558375099408571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1.727851035104057</v>
      </c>
      <c r="C123" s="76">
        <f t="shared" ref="C123:W123" si="137">IF(C109=0,"",C109/C102)</f>
        <v>1.788218845237743</v>
      </c>
      <c r="D123" s="76">
        <f t="shared" si="137"/>
        <v>1.8670979159978407</v>
      </c>
      <c r="E123" s="76">
        <f t="shared" si="137"/>
        <v>1.9506168936956045</v>
      </c>
      <c r="F123" s="76">
        <f t="shared" si="137"/>
        <v>2.0490730092827039</v>
      </c>
      <c r="G123" s="76">
        <f t="shared" si="137"/>
        <v>2.1513436331099873</v>
      </c>
      <c r="H123" s="76">
        <f t="shared" si="137"/>
        <v>2.2748934679567046</v>
      </c>
      <c r="I123" s="76">
        <f t="shared" si="137"/>
        <v>2.4098025077537728</v>
      </c>
      <c r="J123" s="76">
        <f t="shared" si="137"/>
        <v>2.5602167519526344</v>
      </c>
      <c r="K123" s="76">
        <f t="shared" si="137"/>
        <v>2.6076416155857931</v>
      </c>
      <c r="L123" s="76">
        <f t="shared" si="137"/>
        <v>2.6740674867635534</v>
      </c>
      <c r="M123" s="76">
        <f t="shared" si="137"/>
        <v>2.7630170270450565</v>
      </c>
      <c r="N123" s="76">
        <f t="shared" si="137"/>
        <v>2.8640465845193299</v>
      </c>
      <c r="O123" s="76">
        <f t="shared" si="137"/>
        <v>2.9621423049116835</v>
      </c>
      <c r="P123" s="76">
        <f t="shared" si="137"/>
        <v>3.0782490897689412</v>
      </c>
      <c r="Q123" s="76">
        <f t="shared" si="137"/>
        <v>3.1944158214280831</v>
      </c>
      <c r="R123" s="76">
        <f t="shared" si="137"/>
        <v>3.319703401711656</v>
      </c>
      <c r="S123" s="76">
        <f t="shared" si="137"/>
        <v>3.4286847550442578</v>
      </c>
      <c r="T123" s="76">
        <f t="shared" si="137"/>
        <v>3.5365962140930431</v>
      </c>
      <c r="U123" s="76">
        <f t="shared" si="137"/>
        <v>3.6176735761285466</v>
      </c>
      <c r="V123" s="76">
        <f t="shared" si="137"/>
        <v>3.7049955158800962</v>
      </c>
      <c r="W123" s="76">
        <f t="shared" si="137"/>
        <v>3.773898960870993</v>
      </c>
      <c r="X123" s="76">
        <f t="shared" ref="X123:Y123" si="138">IF(X109=0,"",X109/X102)</f>
        <v>3.8276455172914314</v>
      </c>
      <c r="Y123" s="76">
        <f t="shared" si="138"/>
        <v>3.8720309356864502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0.5927715427880712</v>
      </c>
      <c r="C124" s="76">
        <f t="shared" ref="C124:W124" si="140">IF(C110=0,"",C110/C103)</f>
        <v>0.59583099456969379</v>
      </c>
      <c r="D124" s="76">
        <f t="shared" si="140"/>
        <v>0.5984855735790251</v>
      </c>
      <c r="E124" s="76">
        <f t="shared" si="140"/>
        <v>0.60143947603949111</v>
      </c>
      <c r="F124" s="76">
        <f t="shared" si="140"/>
        <v>0.60406110114090728</v>
      </c>
      <c r="G124" s="76">
        <f t="shared" si="140"/>
        <v>0.60977957035319108</v>
      </c>
      <c r="H124" s="76">
        <f t="shared" si="140"/>
        <v>0.61433758447247655</v>
      </c>
      <c r="I124" s="76">
        <f t="shared" si="140"/>
        <v>0.61776531970493309</v>
      </c>
      <c r="J124" s="76">
        <f t="shared" si="140"/>
        <v>0.62126814466811231</v>
      </c>
      <c r="K124" s="76">
        <f t="shared" si="140"/>
        <v>0.62429181216547402</v>
      </c>
      <c r="L124" s="76">
        <f t="shared" si="140"/>
        <v>0.6294107018789864</v>
      </c>
      <c r="M124" s="76">
        <f t="shared" si="140"/>
        <v>0.63675110328034401</v>
      </c>
      <c r="N124" s="76">
        <f t="shared" si="140"/>
        <v>0.64634036688167507</v>
      </c>
      <c r="O124" s="76">
        <f t="shared" si="140"/>
        <v>0.65288832473963154</v>
      </c>
      <c r="P124" s="76">
        <f t="shared" si="140"/>
        <v>0.65927457596585048</v>
      </c>
      <c r="Q124" s="76">
        <f t="shared" si="140"/>
        <v>0.66619921668116389</v>
      </c>
      <c r="R124" s="76">
        <f t="shared" si="140"/>
        <v>0.67595081375519595</v>
      </c>
      <c r="S124" s="76">
        <f t="shared" si="140"/>
        <v>0.68914520548480829</v>
      </c>
      <c r="T124" s="76">
        <f t="shared" si="140"/>
        <v>0.70223266592456735</v>
      </c>
      <c r="U124" s="76">
        <f t="shared" si="140"/>
        <v>0.71700350530717993</v>
      </c>
      <c r="V124" s="76">
        <f t="shared" si="140"/>
        <v>0.72947643123907224</v>
      </c>
      <c r="W124" s="76">
        <f t="shared" si="140"/>
        <v>0.74495891432022998</v>
      </c>
      <c r="X124" s="76">
        <f t="shared" ref="X124:Y124" si="141">IF(X110=0,"",X110/X103)</f>
        <v>0.76104641551784902</v>
      </c>
      <c r="Y124" s="76">
        <f t="shared" si="141"/>
        <v>0.77516167630438171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0.74954207932455108</v>
      </c>
      <c r="C125" s="56">
        <f t="shared" ref="C125:W125" si="143">IF(C111=0,"",C111/C104)</f>
        <v>0.74850328968829882</v>
      </c>
      <c r="D125" s="56">
        <f t="shared" si="143"/>
        <v>0.74058010205236835</v>
      </c>
      <c r="E125" s="56">
        <f t="shared" si="143"/>
        <v>0.73454802833680644</v>
      </c>
      <c r="F125" s="56">
        <f t="shared" si="143"/>
        <v>0.73419722678322052</v>
      </c>
      <c r="G125" s="56">
        <f t="shared" si="143"/>
        <v>0.72457111886973413</v>
      </c>
      <c r="H125" s="56">
        <f t="shared" si="143"/>
        <v>0.71759874003149693</v>
      </c>
      <c r="I125" s="56">
        <f t="shared" si="143"/>
        <v>0.71142839083393361</v>
      </c>
      <c r="J125" s="56">
        <f t="shared" si="143"/>
        <v>0.70938242233098536</v>
      </c>
      <c r="K125" s="56">
        <f t="shared" si="143"/>
        <v>0.70734129770147236</v>
      </c>
      <c r="L125" s="56">
        <f t="shared" si="143"/>
        <v>0.70406604971893483</v>
      </c>
      <c r="M125" s="56">
        <f t="shared" si="143"/>
        <v>0.6994807220370608</v>
      </c>
      <c r="N125" s="56">
        <f t="shared" si="143"/>
        <v>0.69319911916598964</v>
      </c>
      <c r="O125" s="56">
        <f t="shared" si="143"/>
        <v>0.69133279522709778</v>
      </c>
      <c r="P125" s="56">
        <f t="shared" si="143"/>
        <v>0.69015175726922651</v>
      </c>
      <c r="Q125" s="56">
        <f t="shared" si="143"/>
        <v>0.69407612976571265</v>
      </c>
      <c r="R125" s="56">
        <f t="shared" si="143"/>
        <v>0.69986674179477104</v>
      </c>
      <c r="S125" s="56">
        <f t="shared" si="143"/>
        <v>0.70426907149282902</v>
      </c>
      <c r="T125" s="56">
        <f t="shared" si="143"/>
        <v>0.70703926433009301</v>
      </c>
      <c r="U125" s="56">
        <f t="shared" si="143"/>
        <v>0.70983510353215007</v>
      </c>
      <c r="V125" s="56">
        <f t="shared" si="143"/>
        <v>0.70627071598274438</v>
      </c>
      <c r="W125" s="56">
        <f t="shared" si="143"/>
        <v>0.71282731923094411</v>
      </c>
      <c r="X125" s="56">
        <f t="shared" ref="X125:Y125" si="144">IF(X111=0,"",X111/X104)</f>
        <v>0.71863139979452473</v>
      </c>
      <c r="Y125" s="56">
        <f t="shared" si="144"/>
        <v>0.72508494041384319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460.47685386122555</v>
      </c>
      <c r="C129" s="82">
        <f t="shared" ref="C129:W129" si="146">IF(C99=0,0,C99/C$26)</f>
        <v>476.39773503171722</v>
      </c>
      <c r="D129" s="82">
        <f t="shared" si="146"/>
        <v>431.81056209809503</v>
      </c>
      <c r="E129" s="82">
        <f t="shared" si="146"/>
        <v>432.27142558079794</v>
      </c>
      <c r="F129" s="82">
        <f t="shared" si="146"/>
        <v>489.57018298568994</v>
      </c>
      <c r="G129" s="82">
        <f t="shared" si="146"/>
        <v>472.50846647703298</v>
      </c>
      <c r="H129" s="82">
        <f t="shared" si="146"/>
        <v>423.71174382621263</v>
      </c>
      <c r="I129" s="82">
        <f t="shared" si="146"/>
        <v>364.98516917617735</v>
      </c>
      <c r="J129" s="82">
        <f t="shared" si="146"/>
        <v>359.8273454085313</v>
      </c>
      <c r="K129" s="82">
        <f t="shared" si="146"/>
        <v>382.80901900612236</v>
      </c>
      <c r="L129" s="82">
        <f t="shared" si="146"/>
        <v>401.85839400294191</v>
      </c>
      <c r="M129" s="82">
        <f t="shared" si="146"/>
        <v>400.75836727960035</v>
      </c>
      <c r="N129" s="82">
        <f t="shared" si="146"/>
        <v>306.70070568135816</v>
      </c>
      <c r="O129" s="82">
        <f t="shared" si="146"/>
        <v>301.67763152966165</v>
      </c>
      <c r="P129" s="82">
        <f t="shared" si="146"/>
        <v>264.69090215550403</v>
      </c>
      <c r="Q129" s="82">
        <f t="shared" si="146"/>
        <v>276.8576738203746</v>
      </c>
      <c r="R129" s="82">
        <f t="shared" si="146"/>
        <v>272.65636751587641</v>
      </c>
      <c r="S129" s="82">
        <f t="shared" si="146"/>
        <v>265.2989447058967</v>
      </c>
      <c r="T129" s="82">
        <f t="shared" si="146"/>
        <v>255.04570812141159</v>
      </c>
      <c r="U129" s="82">
        <f t="shared" si="146"/>
        <v>246.43350867065408</v>
      </c>
      <c r="V129" s="82">
        <f t="shared" si="146"/>
        <v>238.0211391678688</v>
      </c>
      <c r="W129" s="82">
        <f t="shared" si="146"/>
        <v>245.28466995048996</v>
      </c>
      <c r="X129" s="82">
        <f t="shared" ref="X129:Y129" si="147">IF(X99=0,0,X99/X$26)</f>
        <v>220.6913947791231</v>
      </c>
      <c r="Y129" s="82">
        <f t="shared" si="147"/>
        <v>187.72454772336351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410.40747582243591</v>
      </c>
      <c r="C130" s="64">
        <f t="shared" ref="C130:W130" si="149">IF(C100=0,0,C100/C$26)</f>
        <v>425.13785256256108</v>
      </c>
      <c r="D130" s="64">
        <f t="shared" si="149"/>
        <v>379.73954993582214</v>
      </c>
      <c r="E130" s="64">
        <f t="shared" si="149"/>
        <v>379.65261163869599</v>
      </c>
      <c r="F130" s="64">
        <f t="shared" si="149"/>
        <v>435.5725209953365</v>
      </c>
      <c r="G130" s="64">
        <f t="shared" si="149"/>
        <v>417.19561838714094</v>
      </c>
      <c r="H130" s="64">
        <f t="shared" si="149"/>
        <v>366.87983781487463</v>
      </c>
      <c r="I130" s="64">
        <f t="shared" si="149"/>
        <v>307.14124347269291</v>
      </c>
      <c r="J130" s="64">
        <f t="shared" si="149"/>
        <v>300.7156975756692</v>
      </c>
      <c r="K130" s="64">
        <f t="shared" si="149"/>
        <v>322.91537941563774</v>
      </c>
      <c r="L130" s="64">
        <f t="shared" si="149"/>
        <v>341.59258055147637</v>
      </c>
      <c r="M130" s="64">
        <f t="shared" si="149"/>
        <v>340.82578359074785</v>
      </c>
      <c r="N130" s="64">
        <f t="shared" si="149"/>
        <v>247.93590744804422</v>
      </c>
      <c r="O130" s="64">
        <f t="shared" si="149"/>
        <v>244.08314667434828</v>
      </c>
      <c r="P130" s="64">
        <f t="shared" si="149"/>
        <v>208.90896074050258</v>
      </c>
      <c r="Q130" s="64">
        <f t="shared" si="149"/>
        <v>221.64905734497609</v>
      </c>
      <c r="R130" s="64">
        <f t="shared" si="149"/>
        <v>218.63625973637863</v>
      </c>
      <c r="S130" s="64">
        <f t="shared" si="149"/>
        <v>212.42621523193588</v>
      </c>
      <c r="T130" s="64">
        <f t="shared" si="149"/>
        <v>203.80808911914866</v>
      </c>
      <c r="U130" s="64">
        <f t="shared" si="149"/>
        <v>196.80787189531534</v>
      </c>
      <c r="V130" s="64">
        <f t="shared" si="149"/>
        <v>191.17097085442666</v>
      </c>
      <c r="W130" s="64">
        <f t="shared" si="149"/>
        <v>198.87135677322985</v>
      </c>
      <c r="X130" s="64">
        <f t="shared" ref="X130:Y130" si="150">IF(X100=0,0,X100/X$26)</f>
        <v>174.84793355765251</v>
      </c>
      <c r="Y130" s="64">
        <f t="shared" si="150"/>
        <v>142.85250196193076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347.23177569043219</v>
      </c>
      <c r="C131" s="65">
        <f t="shared" ref="C131:W131" si="152">IF(C101=0,0,C101/C$26)</f>
        <v>362.41887273532456</v>
      </c>
      <c r="D131" s="65">
        <f t="shared" si="152"/>
        <v>316.48421270464922</v>
      </c>
      <c r="E131" s="65">
        <f t="shared" si="152"/>
        <v>316.59405716801871</v>
      </c>
      <c r="F131" s="65">
        <f t="shared" si="152"/>
        <v>372.99210113275626</v>
      </c>
      <c r="G131" s="65">
        <f t="shared" si="152"/>
        <v>355.17426496482312</v>
      </c>
      <c r="H131" s="65">
        <f t="shared" si="152"/>
        <v>304.58354883238235</v>
      </c>
      <c r="I131" s="65">
        <f t="shared" si="152"/>
        <v>245.4970875726269</v>
      </c>
      <c r="J131" s="65">
        <f t="shared" si="152"/>
        <v>239.05314442253115</v>
      </c>
      <c r="K131" s="65">
        <f t="shared" si="152"/>
        <v>260.56988949678805</v>
      </c>
      <c r="L131" s="65">
        <f t="shared" si="152"/>
        <v>278.56130153927484</v>
      </c>
      <c r="M131" s="65">
        <f t="shared" si="152"/>
        <v>277.98424187294586</v>
      </c>
      <c r="N131" s="65">
        <f t="shared" si="152"/>
        <v>185.26179950960952</v>
      </c>
      <c r="O131" s="65">
        <f t="shared" si="152"/>
        <v>182.5657235064497</v>
      </c>
      <c r="P131" s="65">
        <f t="shared" si="152"/>
        <v>149.58847665668677</v>
      </c>
      <c r="Q131" s="65">
        <f t="shared" si="152"/>
        <v>161.42972317882098</v>
      </c>
      <c r="R131" s="65">
        <f t="shared" si="152"/>
        <v>160.24660427266591</v>
      </c>
      <c r="S131" s="65">
        <f t="shared" si="152"/>
        <v>154.82234457140385</v>
      </c>
      <c r="T131" s="65">
        <f t="shared" si="152"/>
        <v>146.44186771652747</v>
      </c>
      <c r="U131" s="65">
        <f t="shared" si="152"/>
        <v>140.73615023824641</v>
      </c>
      <c r="V131" s="65">
        <f t="shared" si="152"/>
        <v>139.88046848455528</v>
      </c>
      <c r="W131" s="65">
        <f t="shared" si="152"/>
        <v>145.72124208078026</v>
      </c>
      <c r="X131" s="65">
        <f t="shared" ref="X131:Y131" si="153">IF(X101=0,0,X101/X$26)</f>
        <v>122.31169261972391</v>
      </c>
      <c r="Y131" s="65">
        <f t="shared" si="153"/>
        <v>91.817089109337402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2.274569650902285</v>
      </c>
      <c r="C132" s="65">
        <f t="shared" ref="C132:W132" si="155">IF(C102=0,0,C102/C$26)</f>
        <v>2.0481854790801828</v>
      </c>
      <c r="D132" s="65">
        <f t="shared" si="155"/>
        <v>2.1693920011648613</v>
      </c>
      <c r="E132" s="65">
        <f t="shared" si="155"/>
        <v>2.432425949229065</v>
      </c>
      <c r="F132" s="65">
        <f t="shared" si="155"/>
        <v>1.9600317888076482</v>
      </c>
      <c r="G132" s="65">
        <f t="shared" si="155"/>
        <v>1.9316565248330877</v>
      </c>
      <c r="H132" s="65">
        <f t="shared" si="155"/>
        <v>2.1658933191363294</v>
      </c>
      <c r="I132" s="65">
        <f t="shared" si="155"/>
        <v>2.3663129894558472</v>
      </c>
      <c r="J132" s="65">
        <f t="shared" si="155"/>
        <v>2.0293409041535782</v>
      </c>
      <c r="K132" s="65">
        <f t="shared" si="155"/>
        <v>2.1239092997721696</v>
      </c>
      <c r="L132" s="65">
        <f t="shared" si="155"/>
        <v>2.2833829119737863</v>
      </c>
      <c r="M132" s="65">
        <f t="shared" si="155"/>
        <v>2.2431287680710068</v>
      </c>
      <c r="N132" s="65">
        <f t="shared" si="155"/>
        <v>2.85684937852663</v>
      </c>
      <c r="O132" s="65">
        <f t="shared" si="155"/>
        <v>2.3083979452340051</v>
      </c>
      <c r="P132" s="65">
        <f t="shared" si="155"/>
        <v>2.0137660520436724</v>
      </c>
      <c r="Q132" s="65">
        <f t="shared" si="155"/>
        <v>2.8882577489067383</v>
      </c>
      <c r="R132" s="65">
        <f t="shared" si="155"/>
        <v>1.9949835677276875</v>
      </c>
      <c r="S132" s="65">
        <f t="shared" si="155"/>
        <v>2.3391171509363691</v>
      </c>
      <c r="T132" s="65">
        <f t="shared" si="155"/>
        <v>2.2265754793960459</v>
      </c>
      <c r="U132" s="65">
        <f t="shared" si="155"/>
        <v>2.3884165849851708</v>
      </c>
      <c r="V132" s="65">
        <f t="shared" si="155"/>
        <v>1.9342036486368157</v>
      </c>
      <c r="W132" s="65">
        <f t="shared" si="155"/>
        <v>2.4101774591820084</v>
      </c>
      <c r="X132" s="65">
        <f t="shared" ref="X132:Y132" si="156">IF(X102=0,0,X102/X$26)</f>
        <v>2.428935218286806</v>
      </c>
      <c r="Y132" s="65">
        <f t="shared" si="156"/>
        <v>2.1359309036541974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30.769204447504901</v>
      </c>
      <c r="C133" s="65">
        <f t="shared" ref="C133:W133" si="158">IF(C103=0,0,C103/C$26)</f>
        <v>30.644749170189147</v>
      </c>
      <c r="D133" s="65">
        <f t="shared" si="158"/>
        <v>30.971906556497856</v>
      </c>
      <c r="E133" s="65">
        <f t="shared" si="158"/>
        <v>30.459467845743173</v>
      </c>
      <c r="F133" s="65">
        <f t="shared" si="158"/>
        <v>30.906944556761637</v>
      </c>
      <c r="G133" s="65">
        <f t="shared" si="158"/>
        <v>30.318431055736347</v>
      </c>
      <c r="H133" s="65">
        <f t="shared" si="158"/>
        <v>30.028682066157099</v>
      </c>
      <c r="I133" s="65">
        <f t="shared" si="158"/>
        <v>29.700029207390834</v>
      </c>
      <c r="J133" s="65">
        <f t="shared" si="158"/>
        <v>29.928208748502936</v>
      </c>
      <c r="K133" s="65">
        <f t="shared" si="158"/>
        <v>30.21073040651687</v>
      </c>
      <c r="L133" s="65">
        <f t="shared" si="158"/>
        <v>29.987406029113743</v>
      </c>
      <c r="M133" s="65">
        <f t="shared" si="158"/>
        <v>29.840594944269732</v>
      </c>
      <c r="N133" s="65">
        <f t="shared" si="158"/>
        <v>29.340201432731039</v>
      </c>
      <c r="O133" s="65">
        <f t="shared" si="158"/>
        <v>28.973085803969344</v>
      </c>
      <c r="P133" s="65">
        <f t="shared" si="158"/>
        <v>28.08680570343364</v>
      </c>
      <c r="Q133" s="65">
        <f t="shared" si="158"/>
        <v>27.987808125818727</v>
      </c>
      <c r="R133" s="65">
        <f t="shared" si="158"/>
        <v>27.732826835192018</v>
      </c>
      <c r="S133" s="65">
        <f t="shared" si="158"/>
        <v>27.188107300065514</v>
      </c>
      <c r="T133" s="65">
        <f t="shared" si="158"/>
        <v>26.832454102987942</v>
      </c>
      <c r="U133" s="65">
        <f t="shared" si="158"/>
        <v>25.863523854856599</v>
      </c>
      <c r="V133" s="65">
        <f t="shared" si="158"/>
        <v>23.052167869465517</v>
      </c>
      <c r="W133" s="65">
        <f t="shared" si="158"/>
        <v>23.215046519479522</v>
      </c>
      <c r="X133" s="65">
        <f t="shared" ref="X133:Y133" si="159">IF(X103=0,0,X103/X$26)</f>
        <v>22.854776130784238</v>
      </c>
      <c r="Y133" s="65">
        <f t="shared" si="159"/>
        <v>22.248034717840806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30.13192603359651</v>
      </c>
      <c r="C134" s="67">
        <f t="shared" ref="C134:W134" si="161">IF(C104=0,0,C104/C$26)</f>
        <v>30.026045177967227</v>
      </c>
      <c r="D134" s="67">
        <f t="shared" si="161"/>
        <v>30.114038673510169</v>
      </c>
      <c r="E134" s="67">
        <f t="shared" si="161"/>
        <v>30.166660675705057</v>
      </c>
      <c r="F134" s="67">
        <f t="shared" si="161"/>
        <v>29.713443517010916</v>
      </c>
      <c r="G134" s="67">
        <f t="shared" si="161"/>
        <v>29.771265841748441</v>
      </c>
      <c r="H134" s="67">
        <f t="shared" si="161"/>
        <v>30.101713597198774</v>
      </c>
      <c r="I134" s="67">
        <f t="shared" si="161"/>
        <v>29.577813703219334</v>
      </c>
      <c r="J134" s="67">
        <f t="shared" si="161"/>
        <v>29.705003500481528</v>
      </c>
      <c r="K134" s="67">
        <f t="shared" si="161"/>
        <v>30.010850212560616</v>
      </c>
      <c r="L134" s="67">
        <f t="shared" si="161"/>
        <v>30.760490071113953</v>
      </c>
      <c r="M134" s="67">
        <f t="shared" si="161"/>
        <v>30.757818005461321</v>
      </c>
      <c r="N134" s="67">
        <f t="shared" si="161"/>
        <v>30.477057127177115</v>
      </c>
      <c r="O134" s="67">
        <f t="shared" si="161"/>
        <v>30.235939418695239</v>
      </c>
      <c r="P134" s="67">
        <f t="shared" si="161"/>
        <v>29.219912328338484</v>
      </c>
      <c r="Q134" s="67">
        <f t="shared" si="161"/>
        <v>29.343268291429595</v>
      </c>
      <c r="R134" s="67">
        <f t="shared" si="161"/>
        <v>28.661845060793002</v>
      </c>
      <c r="S134" s="67">
        <f t="shared" si="161"/>
        <v>28.0766462095302</v>
      </c>
      <c r="T134" s="67">
        <f t="shared" si="161"/>
        <v>28.307191820237172</v>
      </c>
      <c r="U134" s="67">
        <f t="shared" si="161"/>
        <v>27.819781217227177</v>
      </c>
      <c r="V134" s="67">
        <f t="shared" si="161"/>
        <v>26.304130851769067</v>
      </c>
      <c r="W134" s="67">
        <f t="shared" si="161"/>
        <v>27.524890713788025</v>
      </c>
      <c r="X134" s="67">
        <f t="shared" ref="X134:Y134" si="162">IF(X104=0,0,X104/X$26)</f>
        <v>27.252529588857556</v>
      </c>
      <c r="Y134" s="67">
        <f t="shared" si="162"/>
        <v>26.651447231098356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50.069378038789615</v>
      </c>
      <c r="C135" s="68">
        <f t="shared" ref="C135:W135" si="164">IF(C105=0,0,C105/C$26)</f>
        <v>51.259882469156182</v>
      </c>
      <c r="D135" s="68">
        <f t="shared" si="164"/>
        <v>52.071012162272943</v>
      </c>
      <c r="E135" s="68">
        <f t="shared" si="164"/>
        <v>52.618813942101937</v>
      </c>
      <c r="F135" s="68">
        <f t="shared" si="164"/>
        <v>53.99766199035345</v>
      </c>
      <c r="G135" s="68">
        <f t="shared" si="164"/>
        <v>55.312848089891993</v>
      </c>
      <c r="H135" s="68">
        <f t="shared" si="164"/>
        <v>56.831906011337999</v>
      </c>
      <c r="I135" s="68">
        <f t="shared" si="164"/>
        <v>57.84392570348443</v>
      </c>
      <c r="J135" s="68">
        <f t="shared" si="164"/>
        <v>59.111647832862118</v>
      </c>
      <c r="K135" s="68">
        <f t="shared" si="164"/>
        <v>59.893639590484689</v>
      </c>
      <c r="L135" s="68">
        <f t="shared" si="164"/>
        <v>60.265813451465583</v>
      </c>
      <c r="M135" s="68">
        <f t="shared" si="164"/>
        <v>59.932583688852361</v>
      </c>
      <c r="N135" s="68">
        <f t="shared" si="164"/>
        <v>58.764798233313925</v>
      </c>
      <c r="O135" s="68">
        <f t="shared" si="164"/>
        <v>57.594484855313439</v>
      </c>
      <c r="P135" s="68">
        <f t="shared" si="164"/>
        <v>55.781941415001498</v>
      </c>
      <c r="Q135" s="68">
        <f t="shared" si="164"/>
        <v>55.208616475398578</v>
      </c>
      <c r="R135" s="68">
        <f t="shared" si="164"/>
        <v>54.020107779497756</v>
      </c>
      <c r="S135" s="68">
        <f t="shared" si="164"/>
        <v>52.872729473960774</v>
      </c>
      <c r="T135" s="68">
        <f t="shared" si="164"/>
        <v>51.237619002262953</v>
      </c>
      <c r="U135" s="68">
        <f t="shared" si="164"/>
        <v>49.625636775338684</v>
      </c>
      <c r="V135" s="68">
        <f t="shared" si="164"/>
        <v>46.850168313442083</v>
      </c>
      <c r="W135" s="68">
        <f t="shared" si="164"/>
        <v>46.413313177260079</v>
      </c>
      <c r="X135" s="68">
        <f t="shared" ref="X135:Y135" si="165">IF(X105=0,0,X105/X$26)</f>
        <v>45.843461221470591</v>
      </c>
      <c r="Y135" s="68">
        <f t="shared" si="165"/>
        <v>44.872045761432773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234.62928477752581</v>
      </c>
      <c r="C137" s="85">
        <f t="shared" ref="C137:W137" si="167">IF(C107=0,0,C107/C$26)</f>
        <v>244.07508111734737</v>
      </c>
      <c r="D137" s="85">
        <f t="shared" si="167"/>
        <v>219.7988161632008</v>
      </c>
      <c r="E137" s="85">
        <f t="shared" si="167"/>
        <v>221.21967273881077</v>
      </c>
      <c r="F137" s="85">
        <f t="shared" si="167"/>
        <v>249.40412397970559</v>
      </c>
      <c r="G137" s="85">
        <f t="shared" si="167"/>
        <v>243.91762613338713</v>
      </c>
      <c r="H137" s="85">
        <f t="shared" si="167"/>
        <v>218.83969459539659</v>
      </c>
      <c r="I137" s="85">
        <f t="shared" si="167"/>
        <v>190.46515276422301</v>
      </c>
      <c r="J137" s="85">
        <f t="shared" si="167"/>
        <v>189.28198773935927</v>
      </c>
      <c r="K137" s="85">
        <f t="shared" si="167"/>
        <v>203.75460536490343</v>
      </c>
      <c r="L137" s="85">
        <f t="shared" si="167"/>
        <v>216.52778922557891</v>
      </c>
      <c r="M137" s="85">
        <f t="shared" si="167"/>
        <v>218.80354859168648</v>
      </c>
      <c r="N137" s="85">
        <f t="shared" si="167"/>
        <v>162.06077748031746</v>
      </c>
      <c r="O137" s="85">
        <f t="shared" si="167"/>
        <v>161.00673288135769</v>
      </c>
      <c r="P137" s="85">
        <f t="shared" si="167"/>
        <v>139.21643236090691</v>
      </c>
      <c r="Q137" s="85">
        <f t="shared" si="167"/>
        <v>151.61632580775327</v>
      </c>
      <c r="R137" s="85">
        <f t="shared" si="167"/>
        <v>149.92811436287192</v>
      </c>
      <c r="S137" s="85">
        <f t="shared" si="167"/>
        <v>149.76000386788388</v>
      </c>
      <c r="T137" s="85">
        <f t="shared" si="167"/>
        <v>146.54521620841334</v>
      </c>
      <c r="U137" s="85">
        <f t="shared" si="167"/>
        <v>144.66772183655962</v>
      </c>
      <c r="V137" s="85">
        <f t="shared" si="167"/>
        <v>141.18600600317893</v>
      </c>
      <c r="W137" s="85">
        <f t="shared" si="167"/>
        <v>150.03866083137746</v>
      </c>
      <c r="X137" s="85">
        <f t="shared" ref="X137:Y137" si="168">IF(X107=0,0,X107/X$26)</f>
        <v>137.51471737322623</v>
      </c>
      <c r="Y137" s="85">
        <f t="shared" si="168"/>
        <v>115.1344489349857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189.87491196781349</v>
      </c>
      <c r="C138" s="65">
        <f t="shared" ref="C138:W138" si="170">IF(C108=0,0,C108/C$26)</f>
        <v>199.67879227666333</v>
      </c>
      <c r="D138" s="65">
        <f t="shared" si="170"/>
        <v>174.91025178450479</v>
      </c>
      <c r="E138" s="65">
        <f t="shared" si="170"/>
        <v>175.99655408715086</v>
      </c>
      <c r="F138" s="65">
        <f t="shared" si="170"/>
        <v>204.90266495369607</v>
      </c>
      <c r="G138" s="65">
        <f t="shared" si="170"/>
        <v>199.70300990325839</v>
      </c>
      <c r="H138" s="65">
        <f t="shared" si="170"/>
        <v>173.8638182758485</v>
      </c>
      <c r="I138" s="65">
        <f t="shared" si="170"/>
        <v>145.37266134228511</v>
      </c>
      <c r="J138" s="65">
        <f t="shared" si="170"/>
        <v>144.42078510017819</v>
      </c>
      <c r="K138" s="65">
        <f t="shared" si="170"/>
        <v>158.1279857202837</v>
      </c>
      <c r="L138" s="65">
        <f t="shared" si="170"/>
        <v>169.89005821273597</v>
      </c>
      <c r="M138" s="65">
        <f t="shared" si="170"/>
        <v>172.09021311160146</v>
      </c>
      <c r="N138" s="65">
        <f t="shared" si="170"/>
        <v>113.78820206151775</v>
      </c>
      <c r="O138" s="65">
        <f t="shared" si="170"/>
        <v>114.34964370347394</v>
      </c>
      <c r="P138" s="65">
        <f t="shared" si="170"/>
        <v>94.334468083173888</v>
      </c>
      <c r="Q138" s="65">
        <f t="shared" si="170"/>
        <v>103.37811161784778</v>
      </c>
      <c r="R138" s="65">
        <f t="shared" si="170"/>
        <v>104.49986164322375</v>
      </c>
      <c r="S138" s="65">
        <f t="shared" si="170"/>
        <v>103.22984120354062</v>
      </c>
      <c r="T138" s="65">
        <f t="shared" si="170"/>
        <v>99.813795939717735</v>
      </c>
      <c r="U138" s="65">
        <f t="shared" si="170"/>
        <v>97.735515724171321</v>
      </c>
      <c r="V138" s="65">
        <f t="shared" si="170"/>
        <v>98.625939678456149</v>
      </c>
      <c r="W138" s="65">
        <f t="shared" si="170"/>
        <v>104.02814471197647</v>
      </c>
      <c r="X138" s="65">
        <f t="shared" ref="X138:Y138" si="171">IF(X108=0,0,X108/X$26)</f>
        <v>91.239545434980784</v>
      </c>
      <c r="Y138" s="65">
        <f t="shared" si="171"/>
        <v>70.29367148568474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3.9301175257277867</v>
      </c>
      <c r="C139" s="65">
        <f t="shared" ref="C139:W139" si="173">IF(C109=0,0,C109/C$26)</f>
        <v>3.6626038722334777</v>
      </c>
      <c r="D139" s="65">
        <f t="shared" si="173"/>
        <v>4.0504672843572971</v>
      </c>
      <c r="E139" s="65">
        <f t="shared" si="173"/>
        <v>4.7447311492297812</v>
      </c>
      <c r="F139" s="65">
        <f t="shared" si="173"/>
        <v>4.0162482357818492</v>
      </c>
      <c r="G139" s="65">
        <f t="shared" si="173"/>
        <v>4.1556569660550275</v>
      </c>
      <c r="H139" s="65">
        <f t="shared" si="173"/>
        <v>4.9271765639943013</v>
      </c>
      <c r="I139" s="65">
        <f t="shared" si="173"/>
        <v>5.7023469761210279</v>
      </c>
      <c r="J139" s="65">
        <f t="shared" si="173"/>
        <v>5.195552578236696</v>
      </c>
      <c r="K139" s="65">
        <f t="shared" si="173"/>
        <v>5.5383942778155903</v>
      </c>
      <c r="L139" s="65">
        <f t="shared" si="173"/>
        <v>6.1059200047405868</v>
      </c>
      <c r="M139" s="65">
        <f t="shared" si="173"/>
        <v>6.1978029800347931</v>
      </c>
      <c r="N139" s="65">
        <f t="shared" si="173"/>
        <v>8.1821497050553642</v>
      </c>
      <c r="O139" s="65">
        <f t="shared" si="173"/>
        <v>6.8378032101488495</v>
      </c>
      <c r="P139" s="65">
        <f t="shared" si="173"/>
        <v>6.1988735167110294</v>
      </c>
      <c r="Q139" s="65">
        <f t="shared" si="173"/>
        <v>9.2262962494699448</v>
      </c>
      <c r="R139" s="65">
        <f t="shared" si="173"/>
        <v>6.6227537361444604</v>
      </c>
      <c r="S139" s="65">
        <f t="shared" si="173"/>
        <v>8.0200953156780859</v>
      </c>
      <c r="T139" s="65">
        <f t="shared" si="173"/>
        <v>7.8744984108244598</v>
      </c>
      <c r="U139" s="65">
        <f t="shared" si="173"/>
        <v>8.6405115682880318</v>
      </c>
      <c r="V139" s="65">
        <f t="shared" si="173"/>
        <v>7.1662158449983231</v>
      </c>
      <c r="W139" s="65">
        <f t="shared" si="173"/>
        <v>9.0957662087216722</v>
      </c>
      <c r="X139" s="65">
        <f t="shared" ref="X139:Y139" si="174">IF(X109=0,0,X109/X$26)</f>
        <v>9.2971030000667785</v>
      </c>
      <c r="Y139" s="65">
        <f t="shared" si="174"/>
        <v>8.2703905354377678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18.239108790709064</v>
      </c>
      <c r="C140" s="65">
        <f t="shared" ref="C140:W140" si="176">IF(C110=0,0,C110/C$26)</f>
        <v>18.259091376412595</v>
      </c>
      <c r="D140" s="65">
        <f t="shared" si="176"/>
        <v>18.536239260301585</v>
      </c>
      <c r="E140" s="65">
        <f t="shared" si="176"/>
        <v>18.319526381585501</v>
      </c>
      <c r="F140" s="65">
        <f t="shared" si="176"/>
        <v>18.669682961858403</v>
      </c>
      <c r="G140" s="65">
        <f t="shared" si="176"/>
        <v>18.487559862949755</v>
      </c>
      <c r="H140" s="65">
        <f t="shared" si="176"/>
        <v>18.447748005414926</v>
      </c>
      <c r="I140" s="65">
        <f t="shared" si="176"/>
        <v>18.34764803854965</v>
      </c>
      <c r="J140" s="65">
        <f t="shared" si="176"/>
        <v>18.593442722422388</v>
      </c>
      <c r="K140" s="65">
        <f t="shared" si="176"/>
        <v>18.860311632327004</v>
      </c>
      <c r="L140" s="65">
        <f t="shared" si="176"/>
        <v>18.874394276314629</v>
      </c>
      <c r="M140" s="65">
        <f t="shared" si="176"/>
        <v>19.001031753305607</v>
      </c>
      <c r="N140" s="65">
        <f t="shared" si="176"/>
        <v>18.963756558413628</v>
      </c>
      <c r="O140" s="65">
        <f t="shared" si="176"/>
        <v>18.916189453091146</v>
      </c>
      <c r="P140" s="65">
        <f t="shared" si="176"/>
        <v>18.516916920366445</v>
      </c>
      <c r="Q140" s="65">
        <f t="shared" si="176"/>
        <v>18.645455850043149</v>
      </c>
      <c r="R140" s="65">
        <f t="shared" si="176"/>
        <v>18.746026866979978</v>
      </c>
      <c r="S140" s="65">
        <f t="shared" si="176"/>
        <v>18.736553792046664</v>
      </c>
      <c r="T140" s="65">
        <f t="shared" si="176"/>
        <v>18.842625778039821</v>
      </c>
      <c r="U140" s="65">
        <f t="shared" si="176"/>
        <v>18.544237263528046</v>
      </c>
      <c r="V140" s="65">
        <f t="shared" si="176"/>
        <v>16.816013149741714</v>
      </c>
      <c r="W140" s="65">
        <f t="shared" si="176"/>
        <v>17.294255851045097</v>
      </c>
      <c r="X140" s="65">
        <f t="shared" ref="X140:Y140" si="177">IF(X110=0,0,X110/X$26)</f>
        <v>17.393545451796243</v>
      </c>
      <c r="Y140" s="65">
        <f t="shared" si="177"/>
        <v>17.24582388635956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22.585146493275499</v>
      </c>
      <c r="C141" s="68">
        <f t="shared" ref="C141:W141" si="179">IF(C111=0,0,C111/C$26)</f>
        <v>22.474593592037952</v>
      </c>
      <c r="D141" s="68">
        <f t="shared" si="179"/>
        <v>22.301857834037129</v>
      </c>
      <c r="E141" s="68">
        <f t="shared" si="179"/>
        <v>22.158861120844623</v>
      </c>
      <c r="F141" s="68">
        <f t="shared" si="179"/>
        <v>21.815527828369277</v>
      </c>
      <c r="G141" s="68">
        <f t="shared" si="179"/>
        <v>21.571399401123966</v>
      </c>
      <c r="H141" s="68">
        <f t="shared" si="179"/>
        <v>21.600951750138819</v>
      </c>
      <c r="I141" s="68">
        <f t="shared" si="179"/>
        <v>21.042496407267201</v>
      </c>
      <c r="J141" s="68">
        <f t="shared" si="179"/>
        <v>21.072207338521984</v>
      </c>
      <c r="K141" s="68">
        <f t="shared" si="179"/>
        <v>21.227913734477134</v>
      </c>
      <c r="L141" s="68">
        <f t="shared" si="179"/>
        <v>21.657416731787716</v>
      </c>
      <c r="M141" s="68">
        <f t="shared" si="179"/>
        <v>21.514500746744595</v>
      </c>
      <c r="N141" s="68">
        <f t="shared" si="179"/>
        <v>21.12666915533072</v>
      </c>
      <c r="O141" s="68">
        <f t="shared" si="179"/>
        <v>20.903096514643771</v>
      </c>
      <c r="P141" s="68">
        <f t="shared" si="179"/>
        <v>20.166173840655542</v>
      </c>
      <c r="Q141" s="68">
        <f t="shared" si="179"/>
        <v>20.366462090392407</v>
      </c>
      <c r="R141" s="68">
        <f t="shared" si="179"/>
        <v>20.05947211652375</v>
      </c>
      <c r="S141" s="68">
        <f t="shared" si="179"/>
        <v>19.773513556618489</v>
      </c>
      <c r="T141" s="68">
        <f t="shared" si="179"/>
        <v>20.014296079831315</v>
      </c>
      <c r="U141" s="68">
        <f t="shared" si="179"/>
        <v>19.747457280572217</v>
      </c>
      <c r="V141" s="68">
        <f t="shared" si="179"/>
        <v>18.577837329982735</v>
      </c>
      <c r="W141" s="68">
        <f t="shared" si="179"/>
        <v>19.620494059634225</v>
      </c>
      <c r="X141" s="68">
        <f t="shared" ref="X141:Y141" si="180">IF(X111=0,0,X111/X$26)</f>
        <v>19.584523486382409</v>
      </c>
      <c r="Y141" s="68">
        <f t="shared" si="180"/>
        <v>19.324563027503636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58.730803834370512</v>
      </c>
      <c r="C143" s="82">
        <f t="shared" ref="C143:W143" si="182">IF(C113=0,0,C113/C$26)</f>
        <v>61.434439430774539</v>
      </c>
      <c r="D143" s="82">
        <f t="shared" si="182"/>
        <v>55.083131119263484</v>
      </c>
      <c r="E143" s="82">
        <f t="shared" si="182"/>
        <v>55.855675885020993</v>
      </c>
      <c r="F143" s="82">
        <f t="shared" si="182"/>
        <v>68.510515209956949</v>
      </c>
      <c r="G143" s="82">
        <f t="shared" si="182"/>
        <v>63.50309300102186</v>
      </c>
      <c r="H143" s="82">
        <f t="shared" si="182"/>
        <v>54.061498253116007</v>
      </c>
      <c r="I143" s="82">
        <f t="shared" si="182"/>
        <v>41.155450743419536</v>
      </c>
      <c r="J143" s="82">
        <f t="shared" si="182"/>
        <v>38.9707804388431</v>
      </c>
      <c r="K143" s="82">
        <f t="shared" si="182"/>
        <v>42.563315973980409</v>
      </c>
      <c r="L143" s="82">
        <f t="shared" si="182"/>
        <v>46.435683071587334</v>
      </c>
      <c r="M143" s="82">
        <f t="shared" si="182"/>
        <v>46.427960493718551</v>
      </c>
      <c r="N143" s="82">
        <f t="shared" si="182"/>
        <v>37.688964410213011</v>
      </c>
      <c r="O143" s="82">
        <f t="shared" si="182"/>
        <v>37.586521640544575</v>
      </c>
      <c r="P143" s="82">
        <f t="shared" si="182"/>
        <v>32.519289370221507</v>
      </c>
      <c r="Q143" s="82">
        <f t="shared" si="182"/>
        <v>33.541904541846627</v>
      </c>
      <c r="R143" s="82">
        <f t="shared" si="182"/>
        <v>32.340004504530349</v>
      </c>
      <c r="S143" s="82">
        <f t="shared" si="182"/>
        <v>30.33691346971624</v>
      </c>
      <c r="T143" s="82">
        <f t="shared" si="182"/>
        <v>28.557613012624042</v>
      </c>
      <c r="U143" s="82">
        <f t="shared" si="182"/>
        <v>27.072018108406386</v>
      </c>
      <c r="V143" s="82">
        <f t="shared" si="182"/>
        <v>27.024138051133281</v>
      </c>
      <c r="W143" s="82">
        <f t="shared" si="182"/>
        <v>27.988003632625801</v>
      </c>
      <c r="X143" s="82">
        <f t="shared" ref="X143:Y143" si="183">IF(X113=0,0,X113/X$26)</f>
        <v>23.006013122607346</v>
      </c>
      <c r="Y143" s="82">
        <f t="shared" si="183"/>
        <v>18.227993855007057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58.730803834370512</v>
      </c>
      <c r="C144" s="64">
        <f t="shared" ref="C144:W144" si="185">IF(C114=0,0,C114/C$26)</f>
        <v>61.434439430774539</v>
      </c>
      <c r="D144" s="64">
        <f t="shared" si="185"/>
        <v>55.083131119263484</v>
      </c>
      <c r="E144" s="64">
        <f t="shared" si="185"/>
        <v>55.855675885020993</v>
      </c>
      <c r="F144" s="64">
        <f t="shared" si="185"/>
        <v>68.510515209956949</v>
      </c>
      <c r="G144" s="64">
        <f t="shared" si="185"/>
        <v>63.50309300102186</v>
      </c>
      <c r="H144" s="64">
        <f t="shared" si="185"/>
        <v>54.061498253116007</v>
      </c>
      <c r="I144" s="64">
        <f t="shared" si="185"/>
        <v>41.155450743419536</v>
      </c>
      <c r="J144" s="64">
        <f t="shared" si="185"/>
        <v>38.9707804388431</v>
      </c>
      <c r="K144" s="64">
        <f t="shared" si="185"/>
        <v>42.563315973980409</v>
      </c>
      <c r="L144" s="64">
        <f t="shared" si="185"/>
        <v>46.435683071587334</v>
      </c>
      <c r="M144" s="64">
        <f t="shared" si="185"/>
        <v>46.427960493718551</v>
      </c>
      <c r="N144" s="64">
        <f t="shared" si="185"/>
        <v>37.688964410213011</v>
      </c>
      <c r="O144" s="64">
        <f t="shared" si="185"/>
        <v>37.586521640544575</v>
      </c>
      <c r="P144" s="64">
        <f t="shared" si="185"/>
        <v>32.519289370221507</v>
      </c>
      <c r="Q144" s="64">
        <f t="shared" si="185"/>
        <v>33.541904541846627</v>
      </c>
      <c r="R144" s="64">
        <f t="shared" si="185"/>
        <v>32.340004504530349</v>
      </c>
      <c r="S144" s="64">
        <f t="shared" si="185"/>
        <v>30.33691346971624</v>
      </c>
      <c r="T144" s="64">
        <f t="shared" si="185"/>
        <v>28.557613012624042</v>
      </c>
      <c r="U144" s="64">
        <f t="shared" si="185"/>
        <v>27.072018108406386</v>
      </c>
      <c r="V144" s="64">
        <f t="shared" si="185"/>
        <v>27.024138051133281</v>
      </c>
      <c r="W144" s="64">
        <f t="shared" si="185"/>
        <v>27.988003632625801</v>
      </c>
      <c r="X144" s="64">
        <f t="shared" ref="X144:Y144" si="186">IF(X114=0,0,X114/X$26)</f>
        <v>23.006013122607346</v>
      </c>
      <c r="Y144" s="64">
        <f t="shared" si="186"/>
        <v>18.227993855007057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53.655679663961443</v>
      </c>
      <c r="C145" s="65">
        <f t="shared" ref="C145:W145" si="188">IF(C115=0,0,C115/C$26)</f>
        <v>56.324071643181071</v>
      </c>
      <c r="D145" s="65">
        <f t="shared" si="188"/>
        <v>49.593667938522096</v>
      </c>
      <c r="E145" s="65">
        <f t="shared" si="188"/>
        <v>50.116161909025259</v>
      </c>
      <c r="F145" s="65">
        <f t="shared" si="188"/>
        <v>62.667913326693046</v>
      </c>
      <c r="G145" s="65">
        <f t="shared" si="188"/>
        <v>57.418514554093719</v>
      </c>
      <c r="H145" s="65">
        <f t="shared" si="188"/>
        <v>47.716994169903927</v>
      </c>
      <c r="I145" s="65">
        <f t="shared" si="188"/>
        <v>34.548391231594515</v>
      </c>
      <c r="J145" s="65">
        <f t="shared" si="188"/>
        <v>32.087659360554056</v>
      </c>
      <c r="K145" s="65">
        <f t="shared" si="188"/>
        <v>35.310766247572495</v>
      </c>
      <c r="L145" s="65">
        <f t="shared" si="188"/>
        <v>38.861518282017812</v>
      </c>
      <c r="M145" s="65">
        <f t="shared" si="188"/>
        <v>38.709278090604059</v>
      </c>
      <c r="N145" s="65">
        <f t="shared" si="188"/>
        <v>29.843058106277891</v>
      </c>
      <c r="O145" s="65">
        <f t="shared" si="188"/>
        <v>29.442911174762234</v>
      </c>
      <c r="P145" s="65">
        <f t="shared" si="188"/>
        <v>24.511149590900878</v>
      </c>
      <c r="Q145" s="65">
        <f t="shared" si="188"/>
        <v>25.599796084103353</v>
      </c>
      <c r="R145" s="65">
        <f t="shared" si="188"/>
        <v>24.665105684613842</v>
      </c>
      <c r="S145" s="65">
        <f t="shared" si="188"/>
        <v>22.877511949477633</v>
      </c>
      <c r="T145" s="65">
        <f t="shared" si="188"/>
        <v>21.061498561289817</v>
      </c>
      <c r="U145" s="65">
        <f t="shared" si="188"/>
        <v>19.826814062941651</v>
      </c>
      <c r="V145" s="65">
        <f t="shared" si="188"/>
        <v>20.166791897503433</v>
      </c>
      <c r="W145" s="65">
        <f t="shared" si="188"/>
        <v>21.132918973572508</v>
      </c>
      <c r="X145" s="65">
        <f t="shared" ref="X145:Y145" si="189">IF(X115=0,0,X115/X$26)</f>
        <v>16.47312353698376</v>
      </c>
      <c r="Y145" s="65">
        <f t="shared" si="189"/>
        <v>12.027322844723441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1.7918606297758512E-3</v>
      </c>
      <c r="C146" s="65">
        <f t="shared" ref="C146:W146" si="191">IF(C116=0,0,C116/C$26)</f>
        <v>1.8013988124551772E-3</v>
      </c>
      <c r="D146" s="65">
        <f t="shared" si="191"/>
        <v>2.1964206545643556E-3</v>
      </c>
      <c r="E146" s="65">
        <f t="shared" si="191"/>
        <v>2.717942693408353E-3</v>
      </c>
      <c r="F146" s="65">
        <f t="shared" si="191"/>
        <v>2.1631975896387705E-3</v>
      </c>
      <c r="G146" s="65">
        <f t="shared" si="191"/>
        <v>2.284106696628476E-3</v>
      </c>
      <c r="H146" s="65">
        <f t="shared" si="191"/>
        <v>2.8671149987859737E-3</v>
      </c>
      <c r="I146" s="65">
        <f t="shared" si="191"/>
        <v>3.4433064234746843E-3</v>
      </c>
      <c r="J146" s="65">
        <f t="shared" si="191"/>
        <v>3.0302540114735136E-3</v>
      </c>
      <c r="K146" s="65">
        <f t="shared" si="191"/>
        <v>3.346173416121929E-3</v>
      </c>
      <c r="L146" s="65">
        <f t="shared" si="191"/>
        <v>4.0474783640519728E-3</v>
      </c>
      <c r="M146" s="65">
        <f t="shared" si="191"/>
        <v>4.4962605654340054E-3</v>
      </c>
      <c r="N146" s="65">
        <f t="shared" si="191"/>
        <v>6.5251958993358429E-3</v>
      </c>
      <c r="O146" s="65">
        <f t="shared" si="191"/>
        <v>5.9083246328935956E-3</v>
      </c>
      <c r="P146" s="65">
        <f t="shared" si="191"/>
        <v>5.5231063829678535E-3</v>
      </c>
      <c r="Q146" s="65">
        <f t="shared" si="191"/>
        <v>8.7097388696731337E-3</v>
      </c>
      <c r="R146" s="65">
        <f t="shared" si="191"/>
        <v>6.4738278082982961E-3</v>
      </c>
      <c r="S146" s="65">
        <f t="shared" si="191"/>
        <v>8.8005010585473706E-3</v>
      </c>
      <c r="T146" s="65">
        <f t="shared" si="191"/>
        <v>8.9987142783734247E-3</v>
      </c>
      <c r="U146" s="65">
        <f t="shared" si="191"/>
        <v>1.1316126497417452E-2</v>
      </c>
      <c r="V146" s="65">
        <f t="shared" si="191"/>
        <v>8.8790264343186209E-3</v>
      </c>
      <c r="W146" s="65">
        <f t="shared" si="191"/>
        <v>1.1541059327086576E-2</v>
      </c>
      <c r="X146" s="65">
        <f t="shared" ref="X146:Y146" si="192">IF(X116=0,0,X116/X$26)</f>
        <v>1.2769448664150172E-2</v>
      </c>
      <c r="Y146" s="65">
        <f t="shared" si="192"/>
        <v>1.1495678570782111E-2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2.8948688145773609</v>
      </c>
      <c r="C147" s="65">
        <f t="shared" ref="C147:W147" si="194">IF(C117=0,0,C117/C$26)</f>
        <v>2.8827903069122751</v>
      </c>
      <c r="D147" s="65">
        <f t="shared" si="194"/>
        <v>2.9636701015250342</v>
      </c>
      <c r="E147" s="65">
        <f t="shared" si="194"/>
        <v>2.9856468608444811</v>
      </c>
      <c r="F147" s="65">
        <f t="shared" si="194"/>
        <v>3.1070133873570382</v>
      </c>
      <c r="G147" s="65">
        <f t="shared" si="194"/>
        <v>3.0102958441899377</v>
      </c>
      <c r="H147" s="65">
        <f t="shared" si="194"/>
        <v>2.9892347572058768</v>
      </c>
      <c r="I147" s="65">
        <f t="shared" si="194"/>
        <v>3.086794823957467</v>
      </c>
      <c r="J147" s="65">
        <f t="shared" si="194"/>
        <v>3.253229388388335</v>
      </c>
      <c r="K147" s="65">
        <f t="shared" si="194"/>
        <v>3.4814132842794936</v>
      </c>
      <c r="L147" s="65">
        <f t="shared" si="194"/>
        <v>3.5722396378295951</v>
      </c>
      <c r="M147" s="65">
        <f t="shared" si="194"/>
        <v>3.5764003885710638</v>
      </c>
      <c r="N147" s="65">
        <f t="shared" si="194"/>
        <v>3.5425681293792475</v>
      </c>
      <c r="O147" s="65">
        <f t="shared" si="194"/>
        <v>3.814833037686685</v>
      </c>
      <c r="P147" s="65">
        <f t="shared" si="194"/>
        <v>3.753426133603043</v>
      </c>
      <c r="Q147" s="65">
        <f t="shared" si="194"/>
        <v>3.7462675799642229</v>
      </c>
      <c r="R147" s="65">
        <f t="shared" si="194"/>
        <v>3.6992247570981425</v>
      </c>
      <c r="S147" s="65">
        <f t="shared" si="194"/>
        <v>3.6287300477657571</v>
      </c>
      <c r="T147" s="65">
        <f t="shared" si="194"/>
        <v>3.6396144586479573</v>
      </c>
      <c r="U147" s="65">
        <f t="shared" si="194"/>
        <v>3.460231187841786</v>
      </c>
      <c r="V147" s="65">
        <f t="shared" si="194"/>
        <v>3.1308759021851666</v>
      </c>
      <c r="W147" s="65">
        <f t="shared" si="194"/>
        <v>3.0518463629824248</v>
      </c>
      <c r="X147" s="65">
        <f t="shared" ref="X147:Y147" si="195">IF(X117=0,0,X117/X$26)</f>
        <v>2.8348489011054605</v>
      </c>
      <c r="Y147" s="65">
        <f t="shared" si="195"/>
        <v>2.6704777837703708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2.1784634952019402</v>
      </c>
      <c r="C148" s="67">
        <f t="shared" ref="C148:W148" si="197">IF(C118=0,0,C118/C$26)</f>
        <v>2.2257760818687404</v>
      </c>
      <c r="D148" s="67">
        <f t="shared" si="197"/>
        <v>2.5235966585617851</v>
      </c>
      <c r="E148" s="67">
        <f t="shared" si="197"/>
        <v>2.7511491724578363</v>
      </c>
      <c r="F148" s="67">
        <f t="shared" si="197"/>
        <v>2.7334252983172145</v>
      </c>
      <c r="G148" s="67">
        <f t="shared" si="197"/>
        <v>3.0719984960415623</v>
      </c>
      <c r="H148" s="67">
        <f t="shared" si="197"/>
        <v>3.3524022110074116</v>
      </c>
      <c r="I148" s="67">
        <f t="shared" si="197"/>
        <v>3.5168213814440756</v>
      </c>
      <c r="J148" s="67">
        <f t="shared" si="197"/>
        <v>3.626861435889237</v>
      </c>
      <c r="K148" s="67">
        <f t="shared" si="197"/>
        <v>3.7677902687123028</v>
      </c>
      <c r="L148" s="67">
        <f t="shared" si="197"/>
        <v>3.9978776733758763</v>
      </c>
      <c r="M148" s="67">
        <f t="shared" si="197"/>
        <v>4.1377857539779868</v>
      </c>
      <c r="N148" s="67">
        <f t="shared" si="197"/>
        <v>4.2968129786565319</v>
      </c>
      <c r="O148" s="67">
        <f t="shared" si="197"/>
        <v>4.322869103462752</v>
      </c>
      <c r="P148" s="67">
        <f t="shared" si="197"/>
        <v>4.2491905393346192</v>
      </c>
      <c r="Q148" s="67">
        <f t="shared" si="197"/>
        <v>4.1871311389093844</v>
      </c>
      <c r="R148" s="67">
        <f t="shared" si="197"/>
        <v>3.9692002350100637</v>
      </c>
      <c r="S148" s="67">
        <f t="shared" si="197"/>
        <v>3.8218709714143086</v>
      </c>
      <c r="T148" s="67">
        <f t="shared" si="197"/>
        <v>3.847501278407893</v>
      </c>
      <c r="U148" s="67">
        <f t="shared" si="197"/>
        <v>3.773656731125532</v>
      </c>
      <c r="V148" s="67">
        <f t="shared" si="197"/>
        <v>3.7175912250103571</v>
      </c>
      <c r="W148" s="67">
        <f t="shared" si="197"/>
        <v>3.7916972367437807</v>
      </c>
      <c r="X148" s="67">
        <f t="shared" ref="X148:Y148" si="198">IF(X118=0,0,X118/X$26)</f>
        <v>3.685271235853977</v>
      </c>
      <c r="Y148" s="67">
        <f t="shared" si="198"/>
        <v>3.5186975479424638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14200.824087118017</v>
      </c>
      <c r="C153" s="82">
        <f t="shared" ref="C153:W153" si="203">IF(C99=0,0,C99/C$23)</f>
        <v>14818.046419065997</v>
      </c>
      <c r="D153" s="82">
        <f t="shared" si="203"/>
        <v>13712.850691911064</v>
      </c>
      <c r="E153" s="82">
        <f t="shared" si="203"/>
        <v>13742.768168623545</v>
      </c>
      <c r="F153" s="82">
        <f t="shared" si="203"/>
        <v>15638.389593767633</v>
      </c>
      <c r="G153" s="82">
        <f t="shared" si="203"/>
        <v>15486.133954651188</v>
      </c>
      <c r="H153" s="82">
        <f t="shared" si="203"/>
        <v>13871.30666518523</v>
      </c>
      <c r="I153" s="82">
        <f t="shared" si="203"/>
        <v>12202.785075120002</v>
      </c>
      <c r="J153" s="82">
        <f t="shared" si="203"/>
        <v>12080.162357773548</v>
      </c>
      <c r="K153" s="82">
        <f t="shared" si="203"/>
        <v>12546.274558005462</v>
      </c>
      <c r="L153" s="82">
        <f t="shared" si="203"/>
        <v>13149.649700233364</v>
      </c>
      <c r="M153" s="82">
        <f t="shared" si="203"/>
        <v>13168.465637384998</v>
      </c>
      <c r="N153" s="82">
        <f t="shared" si="203"/>
        <v>10210.087022014301</v>
      </c>
      <c r="O153" s="82">
        <f t="shared" si="203"/>
        <v>9747.50521198969</v>
      </c>
      <c r="P153" s="82">
        <f t="shared" si="203"/>
        <v>8351.4217828150431</v>
      </c>
      <c r="Q153" s="82">
        <f t="shared" si="203"/>
        <v>8428.7932457046063</v>
      </c>
      <c r="R153" s="82">
        <f t="shared" si="203"/>
        <v>8162.7801734807508</v>
      </c>
      <c r="S153" s="82">
        <f t="shared" si="203"/>
        <v>8025.8276555219991</v>
      </c>
      <c r="T153" s="82">
        <f t="shared" si="203"/>
        <v>7748.1062249753513</v>
      </c>
      <c r="U153" s="82">
        <f t="shared" si="203"/>
        <v>7505.8464694466902</v>
      </c>
      <c r="V153" s="82">
        <f t="shared" si="203"/>
        <v>7399.3909661404305</v>
      </c>
      <c r="W153" s="82">
        <f t="shared" si="203"/>
        <v>7567.3398703065068</v>
      </c>
      <c r="X153" s="82">
        <f t="shared" ref="X153:Y153" si="204">IF(X99=0,0,X99/X$23)</f>
        <v>6762.0077839434698</v>
      </c>
      <c r="Y153" s="82">
        <f t="shared" si="204"/>
        <v>5781.6680481726326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12656.715140668031</v>
      </c>
      <c r="C154" s="64">
        <f t="shared" ref="C154:W154" si="206">IF(C100=0,0,C100/C$23)</f>
        <v>13223.640606424482</v>
      </c>
      <c r="D154" s="64">
        <f t="shared" si="206"/>
        <v>12059.250530561321</v>
      </c>
      <c r="E154" s="64">
        <f t="shared" si="206"/>
        <v>12069.911443609506</v>
      </c>
      <c r="F154" s="64">
        <f t="shared" si="206"/>
        <v>13913.536845980074</v>
      </c>
      <c r="G154" s="64">
        <f t="shared" si="206"/>
        <v>13673.29411006615</v>
      </c>
      <c r="H154" s="64">
        <f t="shared" si="206"/>
        <v>12010.766314022361</v>
      </c>
      <c r="I154" s="64">
        <f t="shared" si="206"/>
        <v>10268.851718720758</v>
      </c>
      <c r="J154" s="64">
        <f t="shared" si="206"/>
        <v>10095.659756266774</v>
      </c>
      <c r="K154" s="64">
        <f t="shared" si="206"/>
        <v>10583.306056031824</v>
      </c>
      <c r="L154" s="64">
        <f t="shared" si="206"/>
        <v>11177.625853991191</v>
      </c>
      <c r="M154" s="64">
        <f t="shared" si="206"/>
        <v>11199.148878701497</v>
      </c>
      <c r="N154" s="64">
        <f t="shared" si="206"/>
        <v>8253.802955238787</v>
      </c>
      <c r="O154" s="64">
        <f t="shared" si="206"/>
        <v>7886.5699531757464</v>
      </c>
      <c r="P154" s="64">
        <f t="shared" si="206"/>
        <v>6591.4122138149442</v>
      </c>
      <c r="Q154" s="64">
        <f t="shared" si="206"/>
        <v>6747.9945622827072</v>
      </c>
      <c r="R154" s="64">
        <f t="shared" si="206"/>
        <v>6545.5274066767579</v>
      </c>
      <c r="S154" s="64">
        <f t="shared" si="206"/>
        <v>6426.3210502263464</v>
      </c>
      <c r="T154" s="64">
        <f t="shared" si="206"/>
        <v>6191.5440006254939</v>
      </c>
      <c r="U154" s="64">
        <f t="shared" si="206"/>
        <v>5994.3539269206494</v>
      </c>
      <c r="V154" s="64">
        <f t="shared" si="206"/>
        <v>5942.9543093267175</v>
      </c>
      <c r="W154" s="64">
        <f t="shared" si="206"/>
        <v>6135.4309157428288</v>
      </c>
      <c r="X154" s="64">
        <f t="shared" ref="X154:Y154" si="207">IF(X100=0,0,X100/X$23)</f>
        <v>5357.3592613640139</v>
      </c>
      <c r="Y154" s="64">
        <f t="shared" si="207"/>
        <v>4399.6683236756135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10708.415249734799</v>
      </c>
      <c r="C155" s="65">
        <f t="shared" ref="C155:W155" si="209">IF(C101=0,0,C101/C$23)</f>
        <v>11272.806909923847</v>
      </c>
      <c r="D155" s="65">
        <f t="shared" si="209"/>
        <v>10050.473832967467</v>
      </c>
      <c r="E155" s="65">
        <f t="shared" si="209"/>
        <v>10065.154608307059</v>
      </c>
      <c r="F155" s="65">
        <f t="shared" si="209"/>
        <v>11914.524200266744</v>
      </c>
      <c r="G155" s="65">
        <f t="shared" si="209"/>
        <v>11640.58770311447</v>
      </c>
      <c r="H155" s="65">
        <f t="shared" si="209"/>
        <v>9971.3351649684009</v>
      </c>
      <c r="I155" s="65">
        <f t="shared" si="209"/>
        <v>8207.862809819102</v>
      </c>
      <c r="J155" s="65">
        <f t="shared" si="209"/>
        <v>8025.5178868681851</v>
      </c>
      <c r="K155" s="65">
        <f t="shared" si="209"/>
        <v>8539.9800236252049</v>
      </c>
      <c r="L155" s="65">
        <f t="shared" si="209"/>
        <v>9115.1101730021983</v>
      </c>
      <c r="M155" s="65">
        <f t="shared" si="209"/>
        <v>9134.2470568667341</v>
      </c>
      <c r="N155" s="65">
        <f t="shared" si="209"/>
        <v>6167.3777066990642</v>
      </c>
      <c r="O155" s="65">
        <f t="shared" si="209"/>
        <v>5898.8806441713805</v>
      </c>
      <c r="P155" s="65">
        <f t="shared" si="209"/>
        <v>4719.7559577428619</v>
      </c>
      <c r="Q155" s="65">
        <f t="shared" si="209"/>
        <v>4914.6470878333175</v>
      </c>
      <c r="R155" s="65">
        <f t="shared" si="209"/>
        <v>4797.4592199771996</v>
      </c>
      <c r="S155" s="65">
        <f t="shared" si="209"/>
        <v>4683.6878907732453</v>
      </c>
      <c r="T155" s="65">
        <f t="shared" si="209"/>
        <v>4448.799218026079</v>
      </c>
      <c r="U155" s="65">
        <f t="shared" si="209"/>
        <v>4286.5271938363348</v>
      </c>
      <c r="V155" s="65">
        <f t="shared" si="209"/>
        <v>4348.4804688466575</v>
      </c>
      <c r="W155" s="65">
        <f t="shared" si="209"/>
        <v>4495.6831805716029</v>
      </c>
      <c r="X155" s="65">
        <f t="shared" ref="X155:Y155" si="210">IF(X101=0,0,X101/X$23)</f>
        <v>3747.6432571811051</v>
      </c>
      <c r="Y155" s="65">
        <f t="shared" si="210"/>
        <v>2827.845035812581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70.146334643120426</v>
      </c>
      <c r="C156" s="65">
        <f t="shared" ref="C156:W156" si="212">IF(C102=0,0,C102/C$23)</f>
        <v>63.707497479698247</v>
      </c>
      <c r="D156" s="65">
        <f t="shared" si="212"/>
        <v>68.892591370754559</v>
      </c>
      <c r="E156" s="65">
        <f t="shared" si="212"/>
        <v>77.33165767939677</v>
      </c>
      <c r="F156" s="65">
        <f t="shared" si="212"/>
        <v>62.609492560618691</v>
      </c>
      <c r="G156" s="65">
        <f t="shared" si="212"/>
        <v>63.308689304502039</v>
      </c>
      <c r="H156" s="65">
        <f t="shared" si="212"/>
        <v>70.906154647765732</v>
      </c>
      <c r="I156" s="65">
        <f t="shared" si="212"/>
        <v>79.114471681056784</v>
      </c>
      <c r="J156" s="65">
        <f t="shared" si="212"/>
        <v>68.129251192994417</v>
      </c>
      <c r="K156" s="65">
        <f t="shared" si="212"/>
        <v>69.609512546036939</v>
      </c>
      <c r="L156" s="65">
        <f t="shared" si="212"/>
        <v>74.717079130451779</v>
      </c>
      <c r="M156" s="65">
        <f t="shared" si="212"/>
        <v>73.706668442344437</v>
      </c>
      <c r="N156" s="65">
        <f t="shared" si="212"/>
        <v>95.10470704246994</v>
      </c>
      <c r="O156" s="65">
        <f t="shared" si="212"/>
        <v>74.586640343277779</v>
      </c>
      <c r="P156" s="65">
        <f t="shared" si="212"/>
        <v>63.537543359350643</v>
      </c>
      <c r="Q156" s="65">
        <f t="shared" si="212"/>
        <v>87.931560898809863</v>
      </c>
      <c r="R156" s="65">
        <f t="shared" si="212"/>
        <v>59.725772999301881</v>
      </c>
      <c r="S156" s="65">
        <f t="shared" si="212"/>
        <v>70.763007143894114</v>
      </c>
      <c r="T156" s="65">
        <f t="shared" si="212"/>
        <v>67.641770800053948</v>
      </c>
      <c r="U156" s="65">
        <f t="shared" si="212"/>
        <v>72.746146774777742</v>
      </c>
      <c r="V156" s="65">
        <f t="shared" si="212"/>
        <v>60.128814837346702</v>
      </c>
      <c r="W156" s="65">
        <f t="shared" si="212"/>
        <v>74.356999094413297</v>
      </c>
      <c r="X156" s="65">
        <f t="shared" ref="X156:Y156" si="213">IF(X102=0,0,X102/X$23)</f>
        <v>74.42283315662624</v>
      </c>
      <c r="Y156" s="65">
        <f t="shared" si="213"/>
        <v>65.783849840246702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948.90341609063807</v>
      </c>
      <c r="C157" s="65">
        <f t="shared" ref="C157:W157" si="215">IF(C103=0,0,C103/C$23)</f>
        <v>953.18529521191908</v>
      </c>
      <c r="D157" s="65">
        <f t="shared" si="215"/>
        <v>983.56355201101769</v>
      </c>
      <c r="E157" s="65">
        <f t="shared" si="215"/>
        <v>968.36704989525049</v>
      </c>
      <c r="F157" s="65">
        <f t="shared" si="215"/>
        <v>987.26363845108222</v>
      </c>
      <c r="G157" s="65">
        <f t="shared" si="215"/>
        <v>993.6653370989095</v>
      </c>
      <c r="H157" s="65">
        <f t="shared" si="215"/>
        <v>983.06705858466319</v>
      </c>
      <c r="I157" s="65">
        <f t="shared" si="215"/>
        <v>992.98027358376396</v>
      </c>
      <c r="J157" s="65">
        <f t="shared" si="215"/>
        <v>1004.7530444046189</v>
      </c>
      <c r="K157" s="65">
        <f t="shared" si="215"/>
        <v>990.13372062684516</v>
      </c>
      <c r="L157" s="65">
        <f t="shared" si="215"/>
        <v>981.25083508551756</v>
      </c>
      <c r="M157" s="65">
        <f t="shared" si="215"/>
        <v>980.52812169629499</v>
      </c>
      <c r="N157" s="65">
        <f t="shared" si="215"/>
        <v>976.73726966524146</v>
      </c>
      <c r="O157" s="65">
        <f t="shared" si="215"/>
        <v>936.14930430746199</v>
      </c>
      <c r="P157" s="65">
        <f t="shared" si="215"/>
        <v>886.18369219031308</v>
      </c>
      <c r="Q157" s="65">
        <f t="shared" si="215"/>
        <v>852.07480377094998</v>
      </c>
      <c r="R157" s="65">
        <f t="shared" si="215"/>
        <v>830.26474352079356</v>
      </c>
      <c r="S157" s="65">
        <f t="shared" si="215"/>
        <v>822.49502994466809</v>
      </c>
      <c r="T157" s="65">
        <f t="shared" si="215"/>
        <v>815.15076728033989</v>
      </c>
      <c r="U157" s="65">
        <f t="shared" si="215"/>
        <v>787.74855035184123</v>
      </c>
      <c r="V157" s="65">
        <f t="shared" si="215"/>
        <v>716.62543620958297</v>
      </c>
      <c r="W157" s="65">
        <f t="shared" si="215"/>
        <v>716.21331717688452</v>
      </c>
      <c r="X157" s="65">
        <f t="shared" ref="X157:Y157" si="216">IF(X103=0,0,X103/X$23)</f>
        <v>700.27276891028089</v>
      </c>
      <c r="Y157" s="65">
        <f t="shared" si="216"/>
        <v>685.21007520193746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929.2501401994723</v>
      </c>
      <c r="C158" s="67">
        <f t="shared" ref="C158:W158" si="218">IF(C104=0,0,C104/C$23)</f>
        <v>933.94090380901821</v>
      </c>
      <c r="D158" s="67">
        <f t="shared" si="218"/>
        <v>956.32055421208111</v>
      </c>
      <c r="E158" s="67">
        <f t="shared" si="218"/>
        <v>959.05812772779996</v>
      </c>
      <c r="F158" s="67">
        <f t="shared" si="218"/>
        <v>949.13951470162988</v>
      </c>
      <c r="G158" s="67">
        <f t="shared" si="218"/>
        <v>975.73238054826959</v>
      </c>
      <c r="H158" s="67">
        <f t="shared" si="218"/>
        <v>985.45793582152965</v>
      </c>
      <c r="I158" s="67">
        <f t="shared" si="218"/>
        <v>988.89416363683529</v>
      </c>
      <c r="J158" s="67">
        <f t="shared" si="218"/>
        <v>997.25957380097589</v>
      </c>
      <c r="K158" s="67">
        <f t="shared" si="218"/>
        <v>983.5827992337355</v>
      </c>
      <c r="L158" s="67">
        <f t="shared" si="218"/>
        <v>1006.5477667730233</v>
      </c>
      <c r="M158" s="67">
        <f t="shared" si="218"/>
        <v>1010.6670316961246</v>
      </c>
      <c r="N158" s="67">
        <f t="shared" si="218"/>
        <v>1014.5832718320127</v>
      </c>
      <c r="O158" s="67">
        <f t="shared" si="218"/>
        <v>976.95336435362549</v>
      </c>
      <c r="P158" s="67">
        <f t="shared" si="218"/>
        <v>921.93502052241752</v>
      </c>
      <c r="Q158" s="67">
        <f t="shared" si="218"/>
        <v>893.34110977962871</v>
      </c>
      <c r="R158" s="67">
        <f t="shared" si="218"/>
        <v>858.07767017946185</v>
      </c>
      <c r="S158" s="67">
        <f t="shared" si="218"/>
        <v>849.37512236454006</v>
      </c>
      <c r="T158" s="67">
        <f t="shared" si="218"/>
        <v>859.95224451902084</v>
      </c>
      <c r="U158" s="67">
        <f t="shared" si="218"/>
        <v>847.33203595769646</v>
      </c>
      <c r="V158" s="67">
        <f t="shared" si="218"/>
        <v>817.71958943313098</v>
      </c>
      <c r="W158" s="67">
        <f t="shared" si="218"/>
        <v>849.17741889992658</v>
      </c>
      <c r="X158" s="67">
        <f t="shared" ref="X158:Y158" si="219">IF(X104=0,0,X104/X$23)</f>
        <v>835.02040211600104</v>
      </c>
      <c r="Y158" s="67">
        <f t="shared" si="219"/>
        <v>820.8293628208479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1544.1089464499867</v>
      </c>
      <c r="C159" s="68">
        <f t="shared" ref="C159:W159" si="221">IF(C105=0,0,C105/C$23)</f>
        <v>1594.405812641518</v>
      </c>
      <c r="D159" s="68">
        <f t="shared" si="221"/>
        <v>1653.6001613497449</v>
      </c>
      <c r="E159" s="68">
        <f t="shared" si="221"/>
        <v>1672.8567250140384</v>
      </c>
      <c r="F159" s="68">
        <f t="shared" si="221"/>
        <v>1724.8527477875593</v>
      </c>
      <c r="G159" s="68">
        <f t="shared" si="221"/>
        <v>1812.8398445850391</v>
      </c>
      <c r="H159" s="68">
        <f t="shared" si="221"/>
        <v>1860.5403511628692</v>
      </c>
      <c r="I159" s="68">
        <f t="shared" si="221"/>
        <v>1933.9333563992423</v>
      </c>
      <c r="J159" s="68">
        <f t="shared" si="221"/>
        <v>1984.5026015067754</v>
      </c>
      <c r="K159" s="68">
        <f t="shared" si="221"/>
        <v>1962.9685019736401</v>
      </c>
      <c r="L159" s="68">
        <f t="shared" si="221"/>
        <v>1972.0238462421732</v>
      </c>
      <c r="M159" s="68">
        <f t="shared" si="221"/>
        <v>1969.3167586834968</v>
      </c>
      <c r="N159" s="68">
        <f t="shared" si="221"/>
        <v>1956.2840667755142</v>
      </c>
      <c r="O159" s="68">
        <f t="shared" si="221"/>
        <v>1860.9352588139452</v>
      </c>
      <c r="P159" s="68">
        <f t="shared" si="221"/>
        <v>1760.0095690000992</v>
      </c>
      <c r="Q159" s="68">
        <f t="shared" si="221"/>
        <v>1680.7986834219005</v>
      </c>
      <c r="R159" s="68">
        <f t="shared" si="221"/>
        <v>1617.2527668039936</v>
      </c>
      <c r="S159" s="68">
        <f t="shared" si="221"/>
        <v>1599.5066052956511</v>
      </c>
      <c r="T159" s="68">
        <f t="shared" si="221"/>
        <v>1556.5622243498574</v>
      </c>
      <c r="U159" s="68">
        <f t="shared" si="221"/>
        <v>1511.4925425260394</v>
      </c>
      <c r="V159" s="68">
        <f t="shared" si="221"/>
        <v>1456.4366568137116</v>
      </c>
      <c r="W159" s="68">
        <f t="shared" si="221"/>
        <v>1431.9089545636766</v>
      </c>
      <c r="X159" s="68">
        <f t="shared" ref="X159:Y159" si="222">IF(X105=0,0,X105/X$23)</f>
        <v>1404.6485225794559</v>
      </c>
      <c r="Y159" s="68">
        <f t="shared" si="222"/>
        <v>1381.9997244970202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7235.8234097388722</v>
      </c>
      <c r="C161" s="85">
        <f t="shared" ref="C161:W161" si="224">IF(C107=0,0,C107/C$23)</f>
        <v>7591.7990699375623</v>
      </c>
      <c r="D161" s="85">
        <f t="shared" si="224"/>
        <v>6980.0709219800665</v>
      </c>
      <c r="E161" s="85">
        <f t="shared" si="224"/>
        <v>7033.0132802636363</v>
      </c>
      <c r="F161" s="85">
        <f t="shared" si="224"/>
        <v>7966.7410161720672</v>
      </c>
      <c r="G161" s="85">
        <f t="shared" si="224"/>
        <v>7994.2293105678445</v>
      </c>
      <c r="H161" s="85">
        <f t="shared" si="224"/>
        <v>7164.2869438456901</v>
      </c>
      <c r="I161" s="85">
        <f t="shared" si="224"/>
        <v>6367.9445625907711</v>
      </c>
      <c r="J161" s="85">
        <f t="shared" si="224"/>
        <v>6354.595259283341</v>
      </c>
      <c r="K161" s="85">
        <f t="shared" si="224"/>
        <v>6677.9022814121481</v>
      </c>
      <c r="L161" s="85">
        <f t="shared" si="224"/>
        <v>7085.2435115775697</v>
      </c>
      <c r="M161" s="85">
        <f t="shared" si="224"/>
        <v>7189.6365646117556</v>
      </c>
      <c r="N161" s="85">
        <f t="shared" si="224"/>
        <v>5395.0141303176979</v>
      </c>
      <c r="O161" s="85">
        <f t="shared" si="224"/>
        <v>5202.2881509932477</v>
      </c>
      <c r="P161" s="85">
        <f t="shared" si="224"/>
        <v>4392.5013526215689</v>
      </c>
      <c r="Q161" s="85">
        <f t="shared" si="224"/>
        <v>4615.8831188333597</v>
      </c>
      <c r="R161" s="85">
        <f t="shared" si="224"/>
        <v>4488.5445020730858</v>
      </c>
      <c r="S161" s="85">
        <f t="shared" si="224"/>
        <v>4530.5418838600781</v>
      </c>
      <c r="T161" s="85">
        <f t="shared" si="224"/>
        <v>4451.938871303214</v>
      </c>
      <c r="U161" s="85">
        <f t="shared" si="224"/>
        <v>4406.2745973439251</v>
      </c>
      <c r="V161" s="85">
        <f t="shared" si="224"/>
        <v>4389.0658662404912</v>
      </c>
      <c r="W161" s="85">
        <f t="shared" si="224"/>
        <v>4628.8809668612957</v>
      </c>
      <c r="X161" s="85">
        <f t="shared" ref="X161:Y161" si="225">IF(X107=0,0,X107/X$23)</f>
        <v>4213.4655509119384</v>
      </c>
      <c r="Y161" s="85">
        <f t="shared" si="225"/>
        <v>3545.9889115424603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5855.6259686063395</v>
      </c>
      <c r="C162" s="65">
        <f t="shared" ref="C162:W162" si="227">IF(C108=0,0,C108/C$23)</f>
        <v>6210.8809410305921</v>
      </c>
      <c r="D162" s="65">
        <f t="shared" si="227"/>
        <v>5554.5611379941429</v>
      </c>
      <c r="E162" s="65">
        <f t="shared" si="227"/>
        <v>5595.2804144909678</v>
      </c>
      <c r="F162" s="65">
        <f t="shared" si="227"/>
        <v>6545.2264347577702</v>
      </c>
      <c r="G162" s="65">
        <f t="shared" si="227"/>
        <v>6545.1262398897452</v>
      </c>
      <c r="H162" s="65">
        <f t="shared" si="227"/>
        <v>5691.8845805546252</v>
      </c>
      <c r="I162" s="65">
        <f t="shared" si="227"/>
        <v>4860.3381506217574</v>
      </c>
      <c r="J162" s="65">
        <f t="shared" si="227"/>
        <v>4848.5101371784494</v>
      </c>
      <c r="K162" s="65">
        <f t="shared" si="227"/>
        <v>5182.5245113133478</v>
      </c>
      <c r="L162" s="65">
        <f t="shared" si="227"/>
        <v>5559.159112733073</v>
      </c>
      <c r="M162" s="65">
        <f t="shared" si="227"/>
        <v>5654.6893163414152</v>
      </c>
      <c r="N162" s="65">
        <f t="shared" si="227"/>
        <v>3788.0168633640642</v>
      </c>
      <c r="O162" s="65">
        <f t="shared" si="227"/>
        <v>3694.7510570706127</v>
      </c>
      <c r="P162" s="65">
        <f t="shared" si="227"/>
        <v>2976.4035152112856</v>
      </c>
      <c r="Q162" s="65">
        <f t="shared" si="227"/>
        <v>3147.2948426329203</v>
      </c>
      <c r="R162" s="65">
        <f t="shared" si="227"/>
        <v>3128.5144980269679</v>
      </c>
      <c r="S162" s="65">
        <f t="shared" si="227"/>
        <v>3122.9107048464853</v>
      </c>
      <c r="T162" s="65">
        <f t="shared" si="227"/>
        <v>3032.2717420157232</v>
      </c>
      <c r="U162" s="65">
        <f t="shared" si="227"/>
        <v>2976.8182890185835</v>
      </c>
      <c r="V162" s="65">
        <f t="shared" si="227"/>
        <v>3065.9961112495744</v>
      </c>
      <c r="W162" s="65">
        <f t="shared" si="227"/>
        <v>3209.3988069937345</v>
      </c>
      <c r="X162" s="65">
        <f t="shared" ref="X162:Y162" si="228">IF(X108=0,0,X108/X$23)</f>
        <v>2795.5893661023124</v>
      </c>
      <c r="Y162" s="65">
        <f t="shared" si="228"/>
        <v>2164.9522097474005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121.2024169218712</v>
      </c>
      <c r="C163" s="65">
        <f t="shared" ref="C163:W163" si="230">IF(C109=0,0,C109/C$23)</f>
        <v>113.92294757613242</v>
      </c>
      <c r="D163" s="65">
        <f t="shared" si="230"/>
        <v>128.62921377602663</v>
      </c>
      <c r="E163" s="65">
        <f t="shared" si="230"/>
        <v>150.84443788691678</v>
      </c>
      <c r="F163" s="65">
        <f t="shared" si="230"/>
        <v>128.29142133085</v>
      </c>
      <c r="G163" s="65">
        <f t="shared" si="230"/>
        <v>136.19874565577882</v>
      </c>
      <c r="H163" s="65">
        <f t="shared" si="230"/>
        <v>161.30394804613016</v>
      </c>
      <c r="I163" s="65">
        <f t="shared" si="230"/>
        <v>190.65025225662549</v>
      </c>
      <c r="J163" s="65">
        <f t="shared" si="230"/>
        <v>174.4256502022933</v>
      </c>
      <c r="K163" s="65">
        <f t="shared" si="230"/>
        <v>181.51666175568729</v>
      </c>
      <c r="L163" s="65">
        <f t="shared" si="230"/>
        <v>199.79851200868077</v>
      </c>
      <c r="M163" s="65">
        <f t="shared" si="230"/>
        <v>203.65277991296219</v>
      </c>
      <c r="N163" s="65">
        <f t="shared" si="230"/>
        <v>272.3843113766975</v>
      </c>
      <c r="O163" s="65">
        <f t="shared" si="230"/>
        <v>220.93624274205561</v>
      </c>
      <c r="P163" s="65">
        <f t="shared" si="230"/>
        <v>195.58438501207576</v>
      </c>
      <c r="Q163" s="65">
        <f t="shared" si="230"/>
        <v>280.8899693380252</v>
      </c>
      <c r="R163" s="65">
        <f t="shared" si="230"/>
        <v>198.27185179564063</v>
      </c>
      <c r="S163" s="65">
        <f t="shared" si="230"/>
        <v>242.62404381535762</v>
      </c>
      <c r="T163" s="65">
        <f t="shared" si="230"/>
        <v>239.22163052602016</v>
      </c>
      <c r="U163" s="65">
        <f t="shared" si="230"/>
        <v>263.17181295228232</v>
      </c>
      <c r="V163" s="65">
        <f t="shared" si="230"/>
        <v>222.77698934755412</v>
      </c>
      <c r="W163" s="65">
        <f t="shared" si="230"/>
        <v>280.61580161589166</v>
      </c>
      <c r="X163" s="65">
        <f t="shared" ref="X163:Y163" si="231">IF(X109=0,0,X109/X$23)</f>
        <v>284.86422371608853</v>
      </c>
      <c r="Y163" s="65">
        <f t="shared" si="231"/>
        <v>254.71710164998734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562.48294191291859</v>
      </c>
      <c r="C164" s="65">
        <f t="shared" ref="C164:W164" si="233">IF(C110=0,0,C110/C$23)</f>
        <v>567.93734245532494</v>
      </c>
      <c r="D164" s="65">
        <f t="shared" si="233"/>
        <v>588.64859657673719</v>
      </c>
      <c r="E164" s="65">
        <f t="shared" si="233"/>
        <v>582.41417110290718</v>
      </c>
      <c r="F164" s="65">
        <f t="shared" si="233"/>
        <v>596.36756055913929</v>
      </c>
      <c r="G164" s="65">
        <f t="shared" si="233"/>
        <v>605.91682233103188</v>
      </c>
      <c r="H164" s="65">
        <f t="shared" si="233"/>
        <v>603.93504214536449</v>
      </c>
      <c r="I164" s="65">
        <f t="shared" si="233"/>
        <v>613.42877617116596</v>
      </c>
      <c r="J164" s="65">
        <f t="shared" si="233"/>
        <v>624.22105974689498</v>
      </c>
      <c r="K164" s="65">
        <f t="shared" si="233"/>
        <v>618.13237473627635</v>
      </c>
      <c r="L164" s="65">
        <f t="shared" si="233"/>
        <v>617.60977683051715</v>
      </c>
      <c r="M164" s="65">
        <f t="shared" si="233"/>
        <v>624.35236328751932</v>
      </c>
      <c r="N164" s="65">
        <f t="shared" si="233"/>
        <v>631.30472522243781</v>
      </c>
      <c r="O164" s="65">
        <f t="shared" si="233"/>
        <v>611.20095099547041</v>
      </c>
      <c r="P164" s="65">
        <f t="shared" si="233"/>
        <v>584.23837789662048</v>
      </c>
      <c r="Q164" s="65">
        <f t="shared" si="233"/>
        <v>567.6515668259633</v>
      </c>
      <c r="R164" s="65">
        <f t="shared" si="233"/>
        <v>561.21812901512942</v>
      </c>
      <c r="S164" s="65">
        <f t="shared" si="233"/>
        <v>566.81850642145184</v>
      </c>
      <c r="T164" s="65">
        <f t="shared" si="233"/>
        <v>572.42549643772975</v>
      </c>
      <c r="U164" s="65">
        <f t="shared" si="233"/>
        <v>564.81847190291967</v>
      </c>
      <c r="V164" s="65">
        <f t="shared" si="233"/>
        <v>522.76136574130999</v>
      </c>
      <c r="W164" s="65">
        <f t="shared" si="233"/>
        <v>533.54949518578235</v>
      </c>
      <c r="X164" s="65">
        <f t="shared" ref="X164:Y164" si="234">IF(X110=0,0,X110/X$23)</f>
        <v>532.94008066392837</v>
      </c>
      <c r="Y164" s="65">
        <f t="shared" si="234"/>
        <v>531.14859051418523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696.51208229774306</v>
      </c>
      <c r="C165" s="68">
        <f t="shared" ref="C165:W165" si="236">IF(C111=0,0,C111/C$23)</f>
        <v>699.0578388755132</v>
      </c>
      <c r="D165" s="68">
        <f t="shared" si="236"/>
        <v>708.23197363316046</v>
      </c>
      <c r="E165" s="68">
        <f t="shared" si="236"/>
        <v>704.47425678284446</v>
      </c>
      <c r="F165" s="68">
        <f t="shared" si="236"/>
        <v>696.85559952430833</v>
      </c>
      <c r="G165" s="68">
        <f t="shared" si="236"/>
        <v>706.98750269128891</v>
      </c>
      <c r="H165" s="68">
        <f t="shared" si="236"/>
        <v>707.16337309956941</v>
      </c>
      <c r="I165" s="68">
        <f t="shared" si="236"/>
        <v>703.52738354122232</v>
      </c>
      <c r="J165" s="68">
        <f t="shared" si="236"/>
        <v>707.43841215570228</v>
      </c>
      <c r="K165" s="68">
        <f t="shared" si="236"/>
        <v>695.72873360683718</v>
      </c>
      <c r="L165" s="68">
        <f t="shared" si="236"/>
        <v>708.67611000529826</v>
      </c>
      <c r="M165" s="68">
        <f t="shared" si="236"/>
        <v>706.94210506985826</v>
      </c>
      <c r="N165" s="68">
        <f t="shared" si="236"/>
        <v>703.30823035449896</v>
      </c>
      <c r="O165" s="68">
        <f t="shared" si="236"/>
        <v>675.39990018510923</v>
      </c>
      <c r="P165" s="68">
        <f t="shared" si="236"/>
        <v>636.2750745015868</v>
      </c>
      <c r="Q165" s="68">
        <f t="shared" si="236"/>
        <v>620.0467400364513</v>
      </c>
      <c r="R165" s="68">
        <f t="shared" si="236"/>
        <v>600.54002323534814</v>
      </c>
      <c r="S165" s="68">
        <f t="shared" si="236"/>
        <v>598.18862877678271</v>
      </c>
      <c r="T165" s="68">
        <f t="shared" si="236"/>
        <v>608.02000232374075</v>
      </c>
      <c r="U165" s="68">
        <f t="shared" si="236"/>
        <v>601.46602347013902</v>
      </c>
      <c r="V165" s="68">
        <f t="shared" si="236"/>
        <v>577.53139990205318</v>
      </c>
      <c r="W165" s="68">
        <f t="shared" si="236"/>
        <v>605.31686306588711</v>
      </c>
      <c r="X165" s="68">
        <f t="shared" ref="X165:Y165" si="237">IF(X111=0,0,X111/X$23)</f>
        <v>600.07188042960877</v>
      </c>
      <c r="Y165" s="68">
        <f t="shared" si="237"/>
        <v>595.1710096308874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1811.2220120368597</v>
      </c>
      <c r="C167" s="82">
        <f t="shared" ref="C167:W167" si="239">IF(C113=0,0,C113/C$23)</f>
        <v>1910.8788902069568</v>
      </c>
      <c r="D167" s="82">
        <f t="shared" si="239"/>
        <v>1749.2549256120949</v>
      </c>
      <c r="E167" s="82">
        <f t="shared" si="239"/>
        <v>1775.7630025122774</v>
      </c>
      <c r="F167" s="82">
        <f t="shared" si="239"/>
        <v>2188.4382778155559</v>
      </c>
      <c r="G167" s="82">
        <f t="shared" si="239"/>
        <v>2081.2693835535697</v>
      </c>
      <c r="H167" s="82">
        <f t="shared" si="239"/>
        <v>1769.8438430725307</v>
      </c>
      <c r="I167" s="82">
        <f t="shared" si="239"/>
        <v>1375.976786194346</v>
      </c>
      <c r="J167" s="82">
        <f t="shared" si="239"/>
        <v>1308.3312341808705</v>
      </c>
      <c r="K167" s="82">
        <f t="shared" si="239"/>
        <v>1394.9803212451409</v>
      </c>
      <c r="L167" s="82">
        <f t="shared" si="239"/>
        <v>1519.4729663353996</v>
      </c>
      <c r="M167" s="82">
        <f t="shared" si="239"/>
        <v>1525.5701497277812</v>
      </c>
      <c r="N167" s="82">
        <f t="shared" si="239"/>
        <v>1254.6681480337529</v>
      </c>
      <c r="O167" s="82">
        <f t="shared" si="239"/>
        <v>1214.4580084842937</v>
      </c>
      <c r="P167" s="82">
        <f t="shared" si="239"/>
        <v>1026.0356491156651</v>
      </c>
      <c r="Q167" s="82">
        <f t="shared" si="239"/>
        <v>1021.1664879977751</v>
      </c>
      <c r="R167" s="82">
        <f t="shared" si="239"/>
        <v>968.19432454474793</v>
      </c>
      <c r="S167" s="82">
        <f t="shared" si="239"/>
        <v>917.75276143047063</v>
      </c>
      <c r="T167" s="82">
        <f t="shared" si="239"/>
        <v>867.55986126305493</v>
      </c>
      <c r="U167" s="82">
        <f t="shared" si="239"/>
        <v>824.55674407226547</v>
      </c>
      <c r="V167" s="82">
        <f t="shared" si="239"/>
        <v>840.10253737278538</v>
      </c>
      <c r="W167" s="82">
        <f t="shared" si="239"/>
        <v>863.46503359628116</v>
      </c>
      <c r="X167" s="82">
        <f t="shared" ref="X167:Y167" si="240">IF(X113=0,0,X113/X$23)</f>
        <v>704.9066864082946</v>
      </c>
      <c r="Y167" s="82">
        <f t="shared" si="240"/>
        <v>561.39812790538508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1811.2220120368597</v>
      </c>
      <c r="C168" s="64">
        <f t="shared" ref="C168:W168" si="242">IF(C114=0,0,C114/C$23)</f>
        <v>1910.8788902069568</v>
      </c>
      <c r="D168" s="64">
        <f t="shared" si="242"/>
        <v>1749.2549256120949</v>
      </c>
      <c r="E168" s="64">
        <f t="shared" si="242"/>
        <v>1775.7630025122774</v>
      </c>
      <c r="F168" s="64">
        <f t="shared" si="242"/>
        <v>2188.4382778155559</v>
      </c>
      <c r="G168" s="64">
        <f t="shared" si="242"/>
        <v>2081.2693835535697</v>
      </c>
      <c r="H168" s="64">
        <f t="shared" si="242"/>
        <v>1769.8438430725307</v>
      </c>
      <c r="I168" s="64">
        <f t="shared" si="242"/>
        <v>1375.976786194346</v>
      </c>
      <c r="J168" s="64">
        <f t="shared" si="242"/>
        <v>1308.3312341808705</v>
      </c>
      <c r="K168" s="64">
        <f t="shared" si="242"/>
        <v>1394.9803212451409</v>
      </c>
      <c r="L168" s="64">
        <f t="shared" si="242"/>
        <v>1519.4729663353996</v>
      </c>
      <c r="M168" s="64">
        <f t="shared" si="242"/>
        <v>1525.5701497277812</v>
      </c>
      <c r="N168" s="64">
        <f t="shared" si="242"/>
        <v>1254.6681480337529</v>
      </c>
      <c r="O168" s="64">
        <f t="shared" si="242"/>
        <v>1214.4580084842937</v>
      </c>
      <c r="P168" s="64">
        <f t="shared" si="242"/>
        <v>1026.0356491156651</v>
      </c>
      <c r="Q168" s="64">
        <f t="shared" si="242"/>
        <v>1021.1664879977751</v>
      </c>
      <c r="R168" s="64">
        <f t="shared" si="242"/>
        <v>968.19432454474793</v>
      </c>
      <c r="S168" s="64">
        <f t="shared" si="242"/>
        <v>917.75276143047063</v>
      </c>
      <c r="T168" s="64">
        <f t="shared" si="242"/>
        <v>867.55986126305493</v>
      </c>
      <c r="U168" s="64">
        <f t="shared" si="242"/>
        <v>824.55674407226547</v>
      </c>
      <c r="V168" s="64">
        <f t="shared" si="242"/>
        <v>840.10253737278538</v>
      </c>
      <c r="W168" s="64">
        <f t="shared" si="242"/>
        <v>863.46503359628116</v>
      </c>
      <c r="X168" s="64">
        <f t="shared" ref="X168:Y168" si="243">IF(X114=0,0,X114/X$23)</f>
        <v>704.9066864082946</v>
      </c>
      <c r="Y168" s="64">
        <f t="shared" si="243"/>
        <v>561.39812790538508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1654.708291618721</v>
      </c>
      <c r="C169" s="65">
        <f t="shared" ref="C169:W169" si="245">IF(C115=0,0,C115/C$23)</f>
        <v>1751.9241733252359</v>
      </c>
      <c r="D169" s="65">
        <f t="shared" si="245"/>
        <v>1574.9280434476211</v>
      </c>
      <c r="E169" s="65">
        <f t="shared" si="245"/>
        <v>1593.2924404881842</v>
      </c>
      <c r="F169" s="65">
        <f t="shared" si="245"/>
        <v>2001.8074582371667</v>
      </c>
      <c r="G169" s="65">
        <f t="shared" si="245"/>
        <v>1881.8515877429356</v>
      </c>
      <c r="H169" s="65">
        <f t="shared" si="245"/>
        <v>1562.1399900189535</v>
      </c>
      <c r="I169" s="65">
        <f t="shared" si="245"/>
        <v>1155.0786949559847</v>
      </c>
      <c r="J169" s="65">
        <f t="shared" si="245"/>
        <v>1077.2503527110612</v>
      </c>
      <c r="K169" s="65">
        <f t="shared" si="245"/>
        <v>1157.2835178904484</v>
      </c>
      <c r="L169" s="65">
        <f t="shared" si="245"/>
        <v>1271.6304047738961</v>
      </c>
      <c r="M169" s="65">
        <f t="shared" si="245"/>
        <v>1271.9429960858779</v>
      </c>
      <c r="N169" s="65">
        <f t="shared" si="245"/>
        <v>993.47740198775432</v>
      </c>
      <c r="O169" s="65">
        <f t="shared" si="245"/>
        <v>951.3298307101245</v>
      </c>
      <c r="P169" s="65">
        <f t="shared" si="245"/>
        <v>773.36601654342496</v>
      </c>
      <c r="Q169" s="65">
        <f t="shared" si="245"/>
        <v>779.37297293446431</v>
      </c>
      <c r="R169" s="65">
        <f t="shared" si="245"/>
        <v>738.42337699100221</v>
      </c>
      <c r="S169" s="65">
        <f t="shared" si="245"/>
        <v>692.0908347268354</v>
      </c>
      <c r="T169" s="65">
        <f t="shared" si="245"/>
        <v>639.83326483720259</v>
      </c>
      <c r="U169" s="65">
        <f t="shared" si="245"/>
        <v>603.88306418829188</v>
      </c>
      <c r="V169" s="65">
        <f t="shared" si="245"/>
        <v>626.92741621230289</v>
      </c>
      <c r="W169" s="65">
        <f t="shared" si="245"/>
        <v>651.97706956962088</v>
      </c>
      <c r="X169" s="65">
        <f t="shared" ref="X169:Y169" si="246">IF(X115=0,0,X115/X$23)</f>
        <v>504.7382554015374</v>
      </c>
      <c r="Y169" s="65">
        <f t="shared" si="246"/>
        <v>370.42565311632842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5.5259884136864841E-2</v>
      </c>
      <c r="C170" s="65">
        <f t="shared" ref="C170:W170" si="248">IF(C116=0,0,C116/C$23)</f>
        <v>5.6031356279294696E-2</v>
      </c>
      <c r="D170" s="65">
        <f t="shared" si="248"/>
        <v>6.9750930468968839E-2</v>
      </c>
      <c r="E170" s="65">
        <f t="shared" si="248"/>
        <v>8.6408802712159838E-2</v>
      </c>
      <c r="F170" s="65">
        <f t="shared" si="248"/>
        <v>6.9099238170023503E-2</v>
      </c>
      <c r="G170" s="65">
        <f t="shared" si="248"/>
        <v>7.4859996762457415E-2</v>
      </c>
      <c r="H170" s="65">
        <f t="shared" si="248"/>
        <v>9.3862471295637573E-2</v>
      </c>
      <c r="I170" s="65">
        <f t="shared" si="248"/>
        <v>0.11512228929269114</v>
      </c>
      <c r="J170" s="65">
        <f t="shared" si="248"/>
        <v>0.10173201373101293</v>
      </c>
      <c r="K170" s="65">
        <f t="shared" si="248"/>
        <v>0.1096682897032093</v>
      </c>
      <c r="L170" s="65">
        <f t="shared" si="248"/>
        <v>0.1324419831732255</v>
      </c>
      <c r="M170" s="65">
        <f t="shared" si="248"/>
        <v>0.1477420250874967</v>
      </c>
      <c r="N170" s="65">
        <f t="shared" si="248"/>
        <v>0.21722420827139063</v>
      </c>
      <c r="O170" s="65">
        <f t="shared" si="248"/>
        <v>0.19090386271345036</v>
      </c>
      <c r="P170" s="65">
        <f t="shared" si="248"/>
        <v>0.1742628499124762</v>
      </c>
      <c r="Q170" s="65">
        <f t="shared" si="248"/>
        <v>0.26516363857113784</v>
      </c>
      <c r="R170" s="65">
        <f t="shared" si="248"/>
        <v>0.19381331073087307</v>
      </c>
      <c r="S170" s="65">
        <f t="shared" si="248"/>
        <v>0.26623289005706408</v>
      </c>
      <c r="T170" s="65">
        <f t="shared" si="248"/>
        <v>0.27337450463525886</v>
      </c>
      <c r="U170" s="65">
        <f t="shared" si="248"/>
        <v>0.3446654173640285</v>
      </c>
      <c r="V170" s="65">
        <f t="shared" si="248"/>
        <v>0.27602333228009462</v>
      </c>
      <c r="W170" s="65">
        <f t="shared" si="248"/>
        <v>0.35605616286196518</v>
      </c>
      <c r="X170" s="65">
        <f t="shared" ref="X170:Y170" si="249">IF(X116=0,0,X116/X$23)</f>
        <v>0.3912572637916838</v>
      </c>
      <c r="Y170" s="65">
        <f t="shared" si="249"/>
        <v>0.35405171188744794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89.275980858499778</v>
      </c>
      <c r="C171" s="65">
        <f t="shared" ref="C171:W171" si="251">IF(C117=0,0,C117/C$23)</f>
        <v>89.667346091424236</v>
      </c>
      <c r="D171" s="65">
        <f t="shared" si="251"/>
        <v>94.116191611499687</v>
      </c>
      <c r="E171" s="65">
        <f t="shared" si="251"/>
        <v>94.919650510868735</v>
      </c>
      <c r="F171" s="65">
        <f t="shared" si="251"/>
        <v>99.247641121071439</v>
      </c>
      <c r="G171" s="65">
        <f t="shared" si="251"/>
        <v>98.660337313810004</v>
      </c>
      <c r="H171" s="65">
        <f t="shared" si="251"/>
        <v>97.860379410300538</v>
      </c>
      <c r="I171" s="65">
        <f t="shared" si="251"/>
        <v>103.20280654900762</v>
      </c>
      <c r="J171" s="65">
        <f t="shared" si="251"/>
        <v>109.21776707713126</v>
      </c>
      <c r="K171" s="65">
        <f t="shared" si="251"/>
        <v>114.10067356265574</v>
      </c>
      <c r="L171" s="65">
        <f t="shared" si="251"/>
        <v>116.89117506004811</v>
      </c>
      <c r="M171" s="65">
        <f t="shared" si="251"/>
        <v>117.51646245621808</v>
      </c>
      <c r="N171" s="65">
        <f t="shared" si="251"/>
        <v>117.93233015888364</v>
      </c>
      <c r="O171" s="65">
        <f t="shared" si="251"/>
        <v>123.26106091848342</v>
      </c>
      <c r="P171" s="65">
        <f t="shared" si="251"/>
        <v>118.42660445482134</v>
      </c>
      <c r="Q171" s="65">
        <f t="shared" si="251"/>
        <v>114.05324056537238</v>
      </c>
      <c r="R171" s="65">
        <f t="shared" si="251"/>
        <v>110.74730724097832</v>
      </c>
      <c r="S171" s="65">
        <f t="shared" si="251"/>
        <v>109.77639584683489</v>
      </c>
      <c r="T171" s="65">
        <f t="shared" si="251"/>
        <v>110.56888450024881</v>
      </c>
      <c r="U171" s="65">
        <f t="shared" si="251"/>
        <v>105.39136574743092</v>
      </c>
      <c r="V171" s="65">
        <f t="shared" si="251"/>
        <v>97.329905014852642</v>
      </c>
      <c r="W171" s="65">
        <f t="shared" si="251"/>
        <v>94.153289992841124</v>
      </c>
      <c r="X171" s="65">
        <f t="shared" ref="X171:Y171" si="252">IF(X117=0,0,X117/X$23)</f>
        <v>86.860071525507806</v>
      </c>
      <c r="Y171" s="65">
        <f t="shared" si="252"/>
        <v>82.247187504388563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67.182479675502279</v>
      </c>
      <c r="C172" s="67">
        <f t="shared" ref="C172:W172" si="254">IF(C118=0,0,C118/C$23)</f>
        <v>69.231339434017272</v>
      </c>
      <c r="D172" s="67">
        <f t="shared" si="254"/>
        <v>80.140939622505101</v>
      </c>
      <c r="E172" s="67">
        <f t="shared" si="254"/>
        <v>87.464502710511937</v>
      </c>
      <c r="F172" s="67">
        <f t="shared" si="254"/>
        <v>87.314079219147601</v>
      </c>
      <c r="G172" s="67">
        <f t="shared" si="254"/>
        <v>100.68259850006095</v>
      </c>
      <c r="H172" s="67">
        <f t="shared" si="254"/>
        <v>109.7496111719809</v>
      </c>
      <c r="I172" s="67">
        <f t="shared" si="254"/>
        <v>117.58016240006098</v>
      </c>
      <c r="J172" s="67">
        <f t="shared" si="254"/>
        <v>121.76138237894718</v>
      </c>
      <c r="K172" s="67">
        <f t="shared" si="254"/>
        <v>123.48646150233388</v>
      </c>
      <c r="L172" s="67">
        <f t="shared" si="254"/>
        <v>130.81894451828194</v>
      </c>
      <c r="M172" s="67">
        <f t="shared" si="254"/>
        <v>135.96294916059733</v>
      </c>
      <c r="N172" s="67">
        <f t="shared" si="254"/>
        <v>143.04119167884332</v>
      </c>
      <c r="O172" s="67">
        <f t="shared" si="254"/>
        <v>139.67621299297207</v>
      </c>
      <c r="P172" s="67">
        <f t="shared" si="254"/>
        <v>134.06876526750625</v>
      </c>
      <c r="Q172" s="67">
        <f t="shared" si="254"/>
        <v>127.47511085936748</v>
      </c>
      <c r="R172" s="67">
        <f t="shared" si="254"/>
        <v>118.82982700203654</v>
      </c>
      <c r="S172" s="67">
        <f t="shared" si="254"/>
        <v>115.61929796674352</v>
      </c>
      <c r="T172" s="67">
        <f t="shared" si="254"/>
        <v>116.88433742096809</v>
      </c>
      <c r="U172" s="67">
        <f t="shared" si="254"/>
        <v>114.93764871917868</v>
      </c>
      <c r="V172" s="67">
        <f t="shared" si="254"/>
        <v>115.5691928133497</v>
      </c>
      <c r="W172" s="67">
        <f t="shared" si="254"/>
        <v>116.97861787095719</v>
      </c>
      <c r="X172" s="67">
        <f t="shared" ref="X172:Y172" si="255">IF(X118=0,0,X118/X$23)</f>
        <v>112.91710221745774</v>
      </c>
      <c r="Y172" s="67">
        <f t="shared" si="255"/>
        <v>108.37123557278066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85230.47231047487</v>
      </c>
      <c r="C3" s="124">
        <f t="shared" si="0"/>
        <v>86888.991472691094</v>
      </c>
      <c r="D3" s="124">
        <f t="shared" si="0"/>
        <v>88832.836913722262</v>
      </c>
      <c r="E3" s="124">
        <f t="shared" si="0"/>
        <v>92121.525460934354</v>
      </c>
      <c r="F3" s="124">
        <f t="shared" si="0"/>
        <v>93559.56696828155</v>
      </c>
      <c r="G3" s="124">
        <f t="shared" si="0"/>
        <v>95764.68208515142</v>
      </c>
      <c r="H3" s="124">
        <f t="shared" si="0"/>
        <v>97083.360362271807</v>
      </c>
      <c r="I3" s="124">
        <f t="shared" si="0"/>
        <v>98978.452642142322</v>
      </c>
      <c r="J3" s="124">
        <f t="shared" si="0"/>
        <v>98407.680869784366</v>
      </c>
      <c r="K3" s="124">
        <f t="shared" si="0"/>
        <v>97986.965298542884</v>
      </c>
      <c r="L3" s="124">
        <f t="shared" si="0"/>
        <v>98010.318290146999</v>
      </c>
      <c r="M3" s="124">
        <f t="shared" si="0"/>
        <v>98443.70325259144</v>
      </c>
      <c r="N3" s="124">
        <f t="shared" si="0"/>
        <v>99157.793381041716</v>
      </c>
      <c r="O3" s="124">
        <f t="shared" si="0"/>
        <v>100201.42954482332</v>
      </c>
      <c r="P3" s="124">
        <f t="shared" si="0"/>
        <v>103348.32141025264</v>
      </c>
      <c r="Q3" s="124">
        <f t="shared" si="0"/>
        <v>103421.65534673659</v>
      </c>
      <c r="R3" s="124">
        <f t="shared" si="0"/>
        <v>104414.35119549748</v>
      </c>
      <c r="S3" s="124">
        <f t="shared" si="0"/>
        <v>105872.30463898773</v>
      </c>
      <c r="T3" s="124">
        <f t="shared" si="0"/>
        <v>107325.96291711486</v>
      </c>
      <c r="U3" s="124">
        <f t="shared" si="0"/>
        <v>108570.22029721946</v>
      </c>
      <c r="V3" s="124">
        <f t="shared" si="0"/>
        <v>109724.74222222214</v>
      </c>
      <c r="W3" s="124">
        <f t="shared" si="0"/>
        <v>110826.27731476596</v>
      </c>
      <c r="X3" s="124">
        <f t="shared" si="0"/>
        <v>111874.17726778286</v>
      </c>
      <c r="Y3" s="124">
        <f t="shared" si="0"/>
        <v>112883.3175370862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85230.47231047487</v>
      </c>
      <c r="C4" s="139">
        <f t="shared" si="1"/>
        <v>86888.991472691094</v>
      </c>
      <c r="D4" s="139">
        <f t="shared" si="1"/>
        <v>88832.836913722262</v>
      </c>
      <c r="E4" s="139">
        <f t="shared" si="1"/>
        <v>92121.525460934354</v>
      </c>
      <c r="F4" s="139">
        <f t="shared" si="1"/>
        <v>93559.56696828155</v>
      </c>
      <c r="G4" s="139">
        <f t="shared" si="1"/>
        <v>95764.68208515142</v>
      </c>
      <c r="H4" s="139">
        <f t="shared" si="1"/>
        <v>97083.360362271807</v>
      </c>
      <c r="I4" s="139">
        <f t="shared" si="1"/>
        <v>98978.452642142322</v>
      </c>
      <c r="J4" s="139">
        <f t="shared" si="1"/>
        <v>98407.680869784366</v>
      </c>
      <c r="K4" s="139">
        <f t="shared" si="1"/>
        <v>97986.965298542884</v>
      </c>
      <c r="L4" s="139">
        <f t="shared" si="1"/>
        <v>98010.318290146999</v>
      </c>
      <c r="M4" s="139">
        <f t="shared" si="1"/>
        <v>98443.70325259144</v>
      </c>
      <c r="N4" s="139">
        <f t="shared" si="1"/>
        <v>99157.793381041716</v>
      </c>
      <c r="O4" s="139">
        <f t="shared" si="1"/>
        <v>100201.42954482332</v>
      </c>
      <c r="P4" s="139">
        <f t="shared" si="1"/>
        <v>103348.32141025264</v>
      </c>
      <c r="Q4" s="139">
        <f t="shared" si="1"/>
        <v>103421.65534673659</v>
      </c>
      <c r="R4" s="139">
        <f t="shared" ref="R4:W4" si="2">SUM(R5:R14)</f>
        <v>104414.35119549748</v>
      </c>
      <c r="S4" s="139">
        <f t="shared" si="2"/>
        <v>105872.30463898773</v>
      </c>
      <c r="T4" s="139">
        <f t="shared" si="2"/>
        <v>107325.96291711486</v>
      </c>
      <c r="U4" s="139">
        <f t="shared" si="2"/>
        <v>108570.22029721946</v>
      </c>
      <c r="V4" s="139">
        <f t="shared" si="2"/>
        <v>109724.74222222214</v>
      </c>
      <c r="W4" s="139">
        <f t="shared" si="2"/>
        <v>110826.27731476596</v>
      </c>
      <c r="X4" s="139">
        <f t="shared" ref="X4:Y4" si="3">SUM(X5:X14)</f>
        <v>111874.17726778286</v>
      </c>
      <c r="Y4" s="139">
        <f t="shared" si="3"/>
        <v>112883.3175370862</v>
      </c>
      <c r="DA4" s="169" t="s">
        <v>246</v>
      </c>
    </row>
    <row r="5" spans="1:105" ht="12" customHeight="1" x14ac:dyDescent="0.25">
      <c r="A5" s="131" t="s">
        <v>29</v>
      </c>
      <c r="B5" s="140">
        <v>714.26980021898532</v>
      </c>
      <c r="C5" s="140">
        <v>544.53744969022114</v>
      </c>
      <c r="D5" s="140">
        <v>440.05145174813822</v>
      </c>
      <c r="E5" s="140">
        <v>333.01430253761021</v>
      </c>
      <c r="F5" s="140">
        <v>235.44331869572022</v>
      </c>
      <c r="G5" s="140">
        <v>164.89999668537368</v>
      </c>
      <c r="H5" s="140">
        <v>157.33741770380183</v>
      </c>
      <c r="I5" s="140">
        <v>156.63465188709384</v>
      </c>
      <c r="J5" s="140">
        <v>152.90295767047547</v>
      </c>
      <c r="K5" s="140">
        <v>133.91341013567154</v>
      </c>
      <c r="L5" s="140">
        <v>116.19304319495423</v>
      </c>
      <c r="M5" s="140">
        <v>114.67807489285782</v>
      </c>
      <c r="N5" s="140">
        <v>117.54670712041006</v>
      </c>
      <c r="O5" s="140">
        <v>164.74630271361352</v>
      </c>
      <c r="P5" s="140">
        <v>199.81249223932556</v>
      </c>
      <c r="Q5" s="140">
        <v>218.73955431816572</v>
      </c>
      <c r="R5" s="140">
        <v>203.54178721859202</v>
      </c>
      <c r="S5" s="140">
        <v>161.10939069190374</v>
      </c>
      <c r="T5" s="140">
        <v>137.85151175616321</v>
      </c>
      <c r="U5" s="140">
        <v>122.17936833819613</v>
      </c>
      <c r="V5" s="140">
        <v>115.06102602120278</v>
      </c>
      <c r="W5" s="140">
        <v>108.09177009225897</v>
      </c>
      <c r="X5" s="140">
        <v>100.13466146696371</v>
      </c>
      <c r="Y5" s="140">
        <v>91.046624099005271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1040.8929735485174</v>
      </c>
      <c r="C7" s="140">
        <v>921.54636476944881</v>
      </c>
      <c r="D7" s="140">
        <v>651.43024199529202</v>
      </c>
      <c r="E7" s="140">
        <v>482.11768932323281</v>
      </c>
      <c r="F7" s="140">
        <v>370.61610443975133</v>
      </c>
      <c r="G7" s="140">
        <v>312.03695583586398</v>
      </c>
      <c r="H7" s="140">
        <v>228.63151373390551</v>
      </c>
      <c r="I7" s="140">
        <v>0</v>
      </c>
      <c r="J7" s="140">
        <v>0</v>
      </c>
      <c r="K7" s="140">
        <v>0</v>
      </c>
      <c r="L7" s="140">
        <v>0</v>
      </c>
      <c r="M7" s="140">
        <v>0</v>
      </c>
      <c r="N7" s="140">
        <v>532.59184932458584</v>
      </c>
      <c r="O7" s="140">
        <v>795.93477858651841</v>
      </c>
      <c r="P7" s="140">
        <v>1336.6143327728603</v>
      </c>
      <c r="Q7" s="140">
        <v>1864.5965827655132</v>
      </c>
      <c r="R7" s="140">
        <v>2319.7326170016677</v>
      </c>
      <c r="S7" s="140">
        <v>2487.8301869426682</v>
      </c>
      <c r="T7" s="140">
        <v>2631.0502060213557</v>
      </c>
      <c r="U7" s="140">
        <v>2660.5831402705212</v>
      </c>
      <c r="V7" s="140">
        <v>2729.546686589093</v>
      </c>
      <c r="W7" s="140">
        <v>2859.8657923536634</v>
      </c>
      <c r="X7" s="140">
        <v>2876.8435982783944</v>
      </c>
      <c r="Y7" s="140">
        <v>2850.2616100980867</v>
      </c>
      <c r="DA7" s="170" t="s">
        <v>249</v>
      </c>
    </row>
    <row r="8" spans="1:105" ht="12" customHeight="1" x14ac:dyDescent="0.25">
      <c r="A8" s="131" t="s">
        <v>73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1.4163203479992548</v>
      </c>
      <c r="S8" s="140">
        <v>3.4969420821566803</v>
      </c>
      <c r="T8" s="140">
        <v>7.0036292280129055</v>
      </c>
      <c r="U8" s="140">
        <v>10.170378964759889</v>
      </c>
      <c r="V8" s="140">
        <v>13.985365512117216</v>
      </c>
      <c r="W8" s="140">
        <v>16.295440569354216</v>
      </c>
      <c r="X8" s="140">
        <v>19.618922323858474</v>
      </c>
      <c r="Y8" s="140">
        <v>24.498074946896807</v>
      </c>
      <c r="DA8" s="170" t="s">
        <v>250</v>
      </c>
    </row>
    <row r="9" spans="1:105" ht="12" customHeight="1" x14ac:dyDescent="0.25">
      <c r="A9" s="131" t="s">
        <v>78</v>
      </c>
      <c r="B9" s="140">
        <v>56778.429106635915</v>
      </c>
      <c r="C9" s="140">
        <v>58954.418471584519</v>
      </c>
      <c r="D9" s="140">
        <v>62453.00476196262</v>
      </c>
      <c r="E9" s="140">
        <v>67049.069716467304</v>
      </c>
      <c r="F9" s="140">
        <v>69789.075666994351</v>
      </c>
      <c r="G9" s="140">
        <v>69941.907710786647</v>
      </c>
      <c r="H9" s="140">
        <v>67506.937208962641</v>
      </c>
      <c r="I9" s="140">
        <v>64173.095475732138</v>
      </c>
      <c r="J9" s="140">
        <v>60482.376633681903</v>
      </c>
      <c r="K9" s="140">
        <v>59425.236765431844</v>
      </c>
      <c r="L9" s="140">
        <v>61522.068743121185</v>
      </c>
      <c r="M9" s="140">
        <v>65159.791276771561</v>
      </c>
      <c r="N9" s="140">
        <v>70658.320015961814</v>
      </c>
      <c r="O9" s="140">
        <v>73357.394376403128</v>
      </c>
      <c r="P9" s="140">
        <v>76252.811290373647</v>
      </c>
      <c r="Q9" s="140">
        <v>73596.421471136506</v>
      </c>
      <c r="R9" s="140">
        <v>71388.453745723644</v>
      </c>
      <c r="S9" s="140">
        <v>69610.155202625276</v>
      </c>
      <c r="T9" s="140">
        <v>68627.617321548532</v>
      </c>
      <c r="U9" s="140">
        <v>68593.108466232414</v>
      </c>
      <c r="V9" s="140">
        <v>68960.477003460866</v>
      </c>
      <c r="W9" s="140">
        <v>68179.072986584797</v>
      </c>
      <c r="X9" s="140">
        <v>65978.250775612876</v>
      </c>
      <c r="Y9" s="140">
        <v>63178.178512384249</v>
      </c>
      <c r="DA9" s="170" t="s">
        <v>251</v>
      </c>
    </row>
    <row r="10" spans="1:105" ht="12" customHeight="1" x14ac:dyDescent="0.25">
      <c r="A10" s="131" t="s">
        <v>128</v>
      </c>
      <c r="B10" s="140">
        <v>1637.1950444353979</v>
      </c>
      <c r="C10" s="140">
        <v>1655.180683919092</v>
      </c>
      <c r="D10" s="140">
        <v>1670.8279713016675</v>
      </c>
      <c r="E10" s="140">
        <v>1647.2140703903947</v>
      </c>
      <c r="F10" s="140">
        <v>1566.8593907593422</v>
      </c>
      <c r="G10" s="140">
        <v>1311.8453968956139</v>
      </c>
      <c r="H10" s="140">
        <v>1219.0287515275354</v>
      </c>
      <c r="I10" s="140">
        <v>1230.8975338018336</v>
      </c>
      <c r="J10" s="140">
        <v>1272.532479385181</v>
      </c>
      <c r="K10" s="140">
        <v>1286.8753274483554</v>
      </c>
      <c r="L10" s="140">
        <v>1346.902709875221</v>
      </c>
      <c r="M10" s="140">
        <v>1455.8362849168911</v>
      </c>
      <c r="N10" s="140">
        <v>1672.9176840792534</v>
      </c>
      <c r="O10" s="140">
        <v>1790.4191915850772</v>
      </c>
      <c r="P10" s="140">
        <v>1864.5105661243485</v>
      </c>
      <c r="Q10" s="140">
        <v>1904.4680794008555</v>
      </c>
      <c r="R10" s="140">
        <v>1835.9730032166099</v>
      </c>
      <c r="S10" s="140">
        <v>1822.4822366400761</v>
      </c>
      <c r="T10" s="140">
        <v>1782.8810417091418</v>
      </c>
      <c r="U10" s="140">
        <v>1769.0370542354863</v>
      </c>
      <c r="V10" s="140">
        <v>1662.7215811643016</v>
      </c>
      <c r="W10" s="140">
        <v>1622.8922496763639</v>
      </c>
      <c r="X10" s="140">
        <v>1739.2950222017773</v>
      </c>
      <c r="Y10" s="140">
        <v>2109.076814216387</v>
      </c>
      <c r="DA10" s="170" t="s">
        <v>252</v>
      </c>
    </row>
    <row r="11" spans="1:105" ht="12" customHeight="1" x14ac:dyDescent="0.25">
      <c r="A11" s="131" t="s">
        <v>25</v>
      </c>
      <c r="B11" s="140">
        <v>3954.6367668418297</v>
      </c>
      <c r="C11" s="140">
        <v>3992.2844637112903</v>
      </c>
      <c r="D11" s="140">
        <v>4073.623562408618</v>
      </c>
      <c r="E11" s="140">
        <v>3917.1537710190814</v>
      </c>
      <c r="F11" s="140">
        <v>3590.1023347353484</v>
      </c>
      <c r="G11" s="140">
        <v>3571.135939485614</v>
      </c>
      <c r="H11" s="140">
        <v>3927.495626339763</v>
      </c>
      <c r="I11" s="140">
        <v>4485.0154994168188</v>
      </c>
      <c r="J11" s="140">
        <v>4905.8851575183253</v>
      </c>
      <c r="K11" s="140">
        <v>4974.7654554405935</v>
      </c>
      <c r="L11" s="140">
        <v>5168.8114103249482</v>
      </c>
      <c r="M11" s="140">
        <v>5499.0348541993544</v>
      </c>
      <c r="N11" s="140">
        <v>5760.3613298335622</v>
      </c>
      <c r="O11" s="140">
        <v>5585.9885941762923</v>
      </c>
      <c r="P11" s="140">
        <v>3854.9778144422648</v>
      </c>
      <c r="Q11" s="140">
        <v>2623.7250832004388</v>
      </c>
      <c r="R11" s="140">
        <v>1995.9708419160843</v>
      </c>
      <c r="S11" s="140">
        <v>2169.1250202863534</v>
      </c>
      <c r="T11" s="140">
        <v>2294.5229076270957</v>
      </c>
      <c r="U11" s="140">
        <v>2489.9468408877042</v>
      </c>
      <c r="V11" s="140">
        <v>2668.0189446835552</v>
      </c>
      <c r="W11" s="140">
        <v>3269.6884905226102</v>
      </c>
      <c r="X11" s="140">
        <v>4111.0880154473725</v>
      </c>
      <c r="Y11" s="140">
        <v>5088.4614627522724</v>
      </c>
      <c r="DA11" s="170" t="s">
        <v>253</v>
      </c>
    </row>
    <row r="12" spans="1:105" ht="12" customHeight="1" x14ac:dyDescent="0.25">
      <c r="A12" s="131" t="s">
        <v>162</v>
      </c>
      <c r="B12" s="140">
        <v>13385.022620317744</v>
      </c>
      <c r="C12" s="140">
        <v>13498.281218793854</v>
      </c>
      <c r="D12" s="140">
        <v>12860.198936347761</v>
      </c>
      <c r="E12" s="140">
        <v>12245.588176596362</v>
      </c>
      <c r="F12" s="140">
        <v>10766.537996956702</v>
      </c>
      <c r="G12" s="140">
        <v>10895.92587825068</v>
      </c>
      <c r="H12" s="140">
        <v>11535.007199349597</v>
      </c>
      <c r="I12" s="140">
        <v>13059.038783364091</v>
      </c>
      <c r="J12" s="140">
        <v>13900.055653358078</v>
      </c>
      <c r="K12" s="140">
        <v>13318.663978781429</v>
      </c>
      <c r="L12" s="140">
        <v>12455.700681285201</v>
      </c>
      <c r="M12" s="140">
        <v>11599.445050897877</v>
      </c>
      <c r="N12" s="140">
        <v>11480.356798792403</v>
      </c>
      <c r="O12" s="140">
        <v>11752.818252398778</v>
      </c>
      <c r="P12" s="140">
        <v>12866.559090907054</v>
      </c>
      <c r="Q12" s="140">
        <v>14350.85460648453</v>
      </c>
      <c r="R12" s="140">
        <v>15624.677787998735</v>
      </c>
      <c r="S12" s="140">
        <v>16221.451179167123</v>
      </c>
      <c r="T12" s="140">
        <v>16211.563431259265</v>
      </c>
      <c r="U12" s="140">
        <v>16019.208604941121</v>
      </c>
      <c r="V12" s="140">
        <v>15912.858629698281</v>
      </c>
      <c r="W12" s="140">
        <v>15926.182016270359</v>
      </c>
      <c r="X12" s="140">
        <v>15924.623169297347</v>
      </c>
      <c r="Y12" s="140">
        <v>15764.445654134914</v>
      </c>
      <c r="DA12" s="170" t="s">
        <v>254</v>
      </c>
    </row>
    <row r="13" spans="1:105" ht="12" customHeight="1" x14ac:dyDescent="0.25">
      <c r="A13" s="131" t="s">
        <v>77</v>
      </c>
      <c r="B13" s="140">
        <v>0.76908289557117571</v>
      </c>
      <c r="C13" s="140">
        <v>0.8685427396312293</v>
      </c>
      <c r="D13" s="140">
        <v>1.0837326788049459</v>
      </c>
      <c r="E13" s="140">
        <v>1.5185169921146431</v>
      </c>
      <c r="F13" s="140">
        <v>2.5417070284493963</v>
      </c>
      <c r="G13" s="140">
        <v>4.8267147379814554</v>
      </c>
      <c r="H13" s="140">
        <v>8.2004594607284069</v>
      </c>
      <c r="I13" s="140">
        <v>12.753143300961169</v>
      </c>
      <c r="J13" s="140">
        <v>16.100222343850234</v>
      </c>
      <c r="K13" s="140">
        <v>19.111709857084914</v>
      </c>
      <c r="L13" s="140">
        <v>26.017747600430006</v>
      </c>
      <c r="M13" s="140">
        <v>41.711406954795422</v>
      </c>
      <c r="N13" s="140">
        <v>78.836311573941856</v>
      </c>
      <c r="O13" s="140">
        <v>117.58384414736423</v>
      </c>
      <c r="P13" s="140">
        <v>157.62484612614961</v>
      </c>
      <c r="Q13" s="140">
        <v>165.9017833251215</v>
      </c>
      <c r="R13" s="140">
        <v>190.18009245944495</v>
      </c>
      <c r="S13" s="140">
        <v>237.5953117325223</v>
      </c>
      <c r="T13" s="140">
        <v>349.36282122618303</v>
      </c>
      <c r="U13" s="140">
        <v>460.39168615459482</v>
      </c>
      <c r="V13" s="140">
        <v>920.27340177774465</v>
      </c>
      <c r="W13" s="140">
        <v>1886.6461805776423</v>
      </c>
      <c r="X13" s="140">
        <v>3562.1729542724047</v>
      </c>
      <c r="Y13" s="140">
        <v>5195.1601480708714</v>
      </c>
      <c r="DA13" s="170" t="s">
        <v>255</v>
      </c>
    </row>
    <row r="14" spans="1:105" ht="12" customHeight="1" x14ac:dyDescent="0.25">
      <c r="A14" s="60" t="s">
        <v>76</v>
      </c>
      <c r="B14" s="141">
        <v>7719.2569155809106</v>
      </c>
      <c r="C14" s="141">
        <v>7321.8742774830425</v>
      </c>
      <c r="D14" s="141">
        <v>6682.6162552793649</v>
      </c>
      <c r="E14" s="141">
        <v>6445.8492176082482</v>
      </c>
      <c r="F14" s="141">
        <v>7238.390448671883</v>
      </c>
      <c r="G14" s="141">
        <v>9562.103492473645</v>
      </c>
      <c r="H14" s="141">
        <v>12500.72218519383</v>
      </c>
      <c r="I14" s="141">
        <v>15861.017554639402</v>
      </c>
      <c r="J14" s="141">
        <v>17677.827765826543</v>
      </c>
      <c r="K14" s="141">
        <v>18828.3986514479</v>
      </c>
      <c r="L14" s="141">
        <v>17374.62395474506</v>
      </c>
      <c r="M14" s="141">
        <v>14573.206303958092</v>
      </c>
      <c r="N14" s="141">
        <v>8856.8626843557395</v>
      </c>
      <c r="O14" s="141">
        <v>6636.544204812546</v>
      </c>
      <c r="P14" s="141">
        <v>6815.4109772669972</v>
      </c>
      <c r="Q14" s="141">
        <v>8696.9481861054464</v>
      </c>
      <c r="R14" s="141">
        <v>10854.404999614704</v>
      </c>
      <c r="S14" s="141">
        <v>13159.059168819629</v>
      </c>
      <c r="T14" s="141">
        <v>15284.110046739104</v>
      </c>
      <c r="U14" s="141">
        <v>16445.594757194696</v>
      </c>
      <c r="V14" s="141">
        <v>16741.799583314976</v>
      </c>
      <c r="W14" s="141">
        <v>16957.542388118905</v>
      </c>
      <c r="X14" s="141">
        <v>17562.15014888185</v>
      </c>
      <c r="Y14" s="141">
        <v>18582.188636383526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77510.446311998385</v>
      </c>
      <c r="C15" s="143">
        <f t="shared" si="4"/>
        <v>79566.248652468421</v>
      </c>
      <c r="D15" s="143">
        <f t="shared" si="4"/>
        <v>82149.136925764091</v>
      </c>
      <c r="E15" s="143">
        <f t="shared" si="4"/>
        <v>85674.157726333986</v>
      </c>
      <c r="F15" s="143">
        <f t="shared" si="4"/>
        <v>86318.634812581222</v>
      </c>
      <c r="G15" s="143">
        <f t="shared" si="4"/>
        <v>86197.751877939794</v>
      </c>
      <c r="H15" s="143">
        <f t="shared" si="4"/>
        <v>84574.437717617242</v>
      </c>
      <c r="I15" s="143">
        <f t="shared" si="4"/>
        <v>83104.681944201962</v>
      </c>
      <c r="J15" s="143">
        <f t="shared" si="4"/>
        <v>80713.752881613967</v>
      </c>
      <c r="K15" s="143">
        <f t="shared" si="4"/>
        <v>79139.454937237897</v>
      </c>
      <c r="L15" s="143">
        <f t="shared" si="4"/>
        <v>80609.676587801514</v>
      </c>
      <c r="M15" s="143">
        <f t="shared" si="4"/>
        <v>83828.785541678546</v>
      </c>
      <c r="N15" s="143">
        <f t="shared" si="4"/>
        <v>90222.094385112025</v>
      </c>
      <c r="O15" s="143">
        <f t="shared" si="4"/>
        <v>93447.301495863416</v>
      </c>
      <c r="P15" s="143">
        <f t="shared" si="4"/>
        <v>96375.285586859492</v>
      </c>
      <c r="Q15" s="143">
        <f t="shared" si="4"/>
        <v>94558.805377306009</v>
      </c>
      <c r="R15" s="143">
        <f t="shared" ref="R15:W15" si="5">SUM(R5:R12)</f>
        <v>93369.766103423332</v>
      </c>
      <c r="S15" s="143">
        <f t="shared" si="5"/>
        <v>92475.650158435572</v>
      </c>
      <c r="T15" s="143">
        <f t="shared" si="5"/>
        <v>91692.490049149565</v>
      </c>
      <c r="U15" s="143">
        <f t="shared" si="5"/>
        <v>91664.233853870188</v>
      </c>
      <c r="V15" s="143">
        <f t="shared" si="5"/>
        <v>92062.669237129419</v>
      </c>
      <c r="W15" s="143">
        <f t="shared" si="5"/>
        <v>91982.088746069407</v>
      </c>
      <c r="X15" s="143">
        <f t="shared" ref="X15:Y15" si="6">SUM(X5:X12)</f>
        <v>90749.854164628603</v>
      </c>
      <c r="Y15" s="143">
        <f t="shared" si="6"/>
        <v>89105.968752631801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13826.230823418864</v>
      </c>
      <c r="C16" s="139">
        <f t="shared" si="7"/>
        <v>14345.054135243166</v>
      </c>
      <c r="D16" s="139">
        <f t="shared" si="7"/>
        <v>15311.014067438642</v>
      </c>
      <c r="E16" s="139">
        <f t="shared" si="7"/>
        <v>16184.612385745853</v>
      </c>
      <c r="F16" s="139">
        <f t="shared" si="7"/>
        <v>17351.28948917476</v>
      </c>
      <c r="G16" s="139">
        <f t="shared" si="7"/>
        <v>18325.735328764724</v>
      </c>
      <c r="H16" s="139">
        <f t="shared" si="7"/>
        <v>19808.384321343579</v>
      </c>
      <c r="I16" s="139">
        <f t="shared" si="7"/>
        <v>21312.64453855723</v>
      </c>
      <c r="J16" s="139">
        <f t="shared" si="7"/>
        <v>22438.94194931848</v>
      </c>
      <c r="K16" s="139">
        <f t="shared" si="7"/>
        <v>23488.066532473178</v>
      </c>
      <c r="L16" s="139">
        <f t="shared" si="7"/>
        <v>24546.894473305998</v>
      </c>
      <c r="M16" s="139">
        <f t="shared" si="7"/>
        <v>25235.849269343864</v>
      </c>
      <c r="N16" s="139">
        <f t="shared" si="7"/>
        <v>26247.477051238904</v>
      </c>
      <c r="O16" s="139">
        <f t="shared" si="7"/>
        <v>26753.69407749829</v>
      </c>
      <c r="P16" s="139">
        <f t="shared" si="7"/>
        <v>28048.447012218865</v>
      </c>
      <c r="Q16" s="139">
        <f t="shared" si="7"/>
        <v>28581.92852285082</v>
      </c>
      <c r="R16" s="139">
        <f t="shared" ref="R16:W16" si="8">SUM(R17:R18)</f>
        <v>29390.444052037677</v>
      </c>
      <c r="S16" s="139">
        <f t="shared" si="8"/>
        <v>29908.672664212689</v>
      </c>
      <c r="T16" s="139">
        <f t="shared" si="8"/>
        <v>31167.05300474574</v>
      </c>
      <c r="U16" s="139">
        <f t="shared" si="8"/>
        <v>32271.785724839119</v>
      </c>
      <c r="V16" s="139">
        <f t="shared" si="8"/>
        <v>33427.057743116842</v>
      </c>
      <c r="W16" s="139">
        <f t="shared" si="8"/>
        <v>33890.672844645138</v>
      </c>
      <c r="X16" s="139">
        <f t="shared" ref="X16:Y16" si="9">SUM(X17:X18)</f>
        <v>34171.933775074671</v>
      </c>
      <c r="Y16" s="139">
        <f t="shared" si="9"/>
        <v>34718.369546513612</v>
      </c>
      <c r="DA16" s="169" t="s">
        <v>257</v>
      </c>
    </row>
    <row r="17" spans="1:105" ht="12.95" customHeight="1" x14ac:dyDescent="0.25">
      <c r="A17" s="131" t="s">
        <v>73</v>
      </c>
      <c r="B17" s="140">
        <v>33.277538834894706</v>
      </c>
      <c r="C17" s="140">
        <v>37.889744533304992</v>
      </c>
      <c r="D17" s="140">
        <v>45.517903409921288</v>
      </c>
      <c r="E17" s="140">
        <v>51.642899000771045</v>
      </c>
      <c r="F17" s="140">
        <v>52.636829555757387</v>
      </c>
      <c r="G17" s="140">
        <v>57.628835570007517</v>
      </c>
      <c r="H17" s="140">
        <v>67.29211388778748</v>
      </c>
      <c r="I17" s="140">
        <v>76.548878049820345</v>
      </c>
      <c r="J17" s="140">
        <v>78.937887212116351</v>
      </c>
      <c r="K17" s="140">
        <v>86.445256273857268</v>
      </c>
      <c r="L17" s="140">
        <v>100.50213929838721</v>
      </c>
      <c r="M17" s="140">
        <v>114.85645240458193</v>
      </c>
      <c r="N17" s="140">
        <v>133.44780487585788</v>
      </c>
      <c r="O17" s="140">
        <v>149.61201348631204</v>
      </c>
      <c r="P17" s="140">
        <v>163.19383895278099</v>
      </c>
      <c r="Q17" s="140">
        <v>178.82485471356586</v>
      </c>
      <c r="R17" s="140">
        <v>193.18350229847664</v>
      </c>
      <c r="S17" s="140">
        <v>224.71798207539771</v>
      </c>
      <c r="T17" s="140">
        <v>247.59470880549279</v>
      </c>
      <c r="U17" s="140">
        <v>300.45121826184629</v>
      </c>
      <c r="V17" s="140">
        <v>340.43323352540335</v>
      </c>
      <c r="W17" s="140">
        <v>355.58804384988724</v>
      </c>
      <c r="X17" s="140">
        <v>360.90622023208078</v>
      </c>
      <c r="Y17" s="140">
        <v>361.92650638898141</v>
      </c>
      <c r="DA17" s="170" t="s">
        <v>258</v>
      </c>
    </row>
    <row r="18" spans="1:105" ht="12" customHeight="1" x14ac:dyDescent="0.25">
      <c r="A18" s="131" t="s">
        <v>72</v>
      </c>
      <c r="B18" s="140">
        <v>13792.953284583969</v>
      </c>
      <c r="C18" s="140">
        <v>14307.164390709862</v>
      </c>
      <c r="D18" s="140">
        <v>15265.49616402872</v>
      </c>
      <c r="E18" s="140">
        <v>16132.969486745082</v>
      </c>
      <c r="F18" s="140">
        <v>17298.652659619001</v>
      </c>
      <c r="G18" s="140">
        <v>18268.106493194715</v>
      </c>
      <c r="H18" s="140">
        <v>19741.092207455793</v>
      </c>
      <c r="I18" s="140">
        <v>21236.09566050741</v>
      </c>
      <c r="J18" s="140">
        <v>22360.004062106364</v>
      </c>
      <c r="K18" s="140">
        <v>23401.621276199319</v>
      </c>
      <c r="L18" s="140">
        <v>24446.392334007611</v>
      </c>
      <c r="M18" s="140">
        <v>25120.992816939281</v>
      </c>
      <c r="N18" s="140">
        <v>26114.029246363047</v>
      </c>
      <c r="O18" s="140">
        <v>26604.082064011978</v>
      </c>
      <c r="P18" s="140">
        <v>27885.253173266083</v>
      </c>
      <c r="Q18" s="140">
        <v>28403.103668137253</v>
      </c>
      <c r="R18" s="140">
        <v>29197.2605497392</v>
      </c>
      <c r="S18" s="140">
        <v>29683.95468213729</v>
      </c>
      <c r="T18" s="140">
        <v>30919.458295940247</v>
      </c>
      <c r="U18" s="140">
        <v>31971.334506577274</v>
      </c>
      <c r="V18" s="140">
        <v>33086.624509591442</v>
      </c>
      <c r="W18" s="140">
        <v>33535.084800795252</v>
      </c>
      <c r="X18" s="140">
        <v>33811.027554842593</v>
      </c>
      <c r="Y18" s="140">
        <v>34356.443040124628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85230.47231047487</v>
      </c>
      <c r="C19" s="139">
        <f t="shared" si="10"/>
        <v>86888.991472691094</v>
      </c>
      <c r="D19" s="139">
        <f t="shared" si="10"/>
        <v>88832.836913722276</v>
      </c>
      <c r="E19" s="139">
        <f t="shared" si="10"/>
        <v>92121.525460934354</v>
      </c>
      <c r="F19" s="139">
        <f t="shared" si="10"/>
        <v>93559.566968281579</v>
      </c>
      <c r="G19" s="139">
        <f t="shared" si="10"/>
        <v>95764.682085151479</v>
      </c>
      <c r="H19" s="139">
        <f t="shared" si="10"/>
        <v>97083.360362271778</v>
      </c>
      <c r="I19" s="139">
        <f t="shared" si="10"/>
        <v>98978.452642142307</v>
      </c>
      <c r="J19" s="139">
        <f t="shared" si="10"/>
        <v>98407.680869784381</v>
      </c>
      <c r="K19" s="139">
        <f t="shared" si="10"/>
        <v>97986.965298542884</v>
      </c>
      <c r="L19" s="139">
        <f t="shared" si="10"/>
        <v>98010.318290147043</v>
      </c>
      <c r="M19" s="139">
        <f t="shared" si="10"/>
        <v>98443.703252591426</v>
      </c>
      <c r="N19" s="139">
        <f t="shared" si="10"/>
        <v>99157.793381041687</v>
      </c>
      <c r="O19" s="139">
        <f t="shared" si="10"/>
        <v>100201.42954482327</v>
      </c>
      <c r="P19" s="139">
        <f t="shared" si="10"/>
        <v>103348.32141025258</v>
      </c>
      <c r="Q19" s="139">
        <f t="shared" si="10"/>
        <v>103421.65534673656</v>
      </c>
      <c r="R19" s="139">
        <f t="shared" ref="R19:W19" si="11">SUM(R20:R26)</f>
        <v>104414.35119549744</v>
      </c>
      <c r="S19" s="139">
        <f t="shared" si="11"/>
        <v>105872.30463898781</v>
      </c>
      <c r="T19" s="139">
        <f t="shared" si="11"/>
        <v>107325.96291711483</v>
      </c>
      <c r="U19" s="139">
        <f t="shared" si="11"/>
        <v>108570.22029721951</v>
      </c>
      <c r="V19" s="139">
        <f t="shared" si="11"/>
        <v>109724.74222222219</v>
      </c>
      <c r="W19" s="139">
        <f t="shared" si="11"/>
        <v>110826.2773147659</v>
      </c>
      <c r="X19" s="139">
        <f t="shared" ref="X19:Y19" si="12">SUM(X20:X26)</f>
        <v>111874.17726778283</v>
      </c>
      <c r="Y19" s="139">
        <f t="shared" si="12"/>
        <v>112883.31753708617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262</v>
      </c>
    </row>
    <row r="22" spans="1:105" ht="12" customHeight="1" x14ac:dyDescent="0.25">
      <c r="A22" s="131" t="s">
        <v>161</v>
      </c>
      <c r="B22" s="140">
        <v>0</v>
      </c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DA22" s="170" t="s">
        <v>263</v>
      </c>
    </row>
    <row r="23" spans="1:105" ht="12" customHeight="1" x14ac:dyDescent="0.25">
      <c r="A23" s="131" t="s">
        <v>149</v>
      </c>
      <c r="B23" s="140">
        <v>34843.480630214355</v>
      </c>
      <c r="C23" s="140">
        <v>35609.877164297715</v>
      </c>
      <c r="D23" s="140">
        <v>37479.770878577103</v>
      </c>
      <c r="E23" s="140">
        <v>39392.069829514723</v>
      </c>
      <c r="F23" s="140">
        <v>41078.338366328579</v>
      </c>
      <c r="G23" s="140">
        <v>42468.803032949829</v>
      </c>
      <c r="H23" s="140">
        <v>44129.651079252311</v>
      </c>
      <c r="I23" s="140">
        <v>47246.392395832358</v>
      </c>
      <c r="J23" s="140">
        <v>48945.037491435003</v>
      </c>
      <c r="K23" s="140">
        <v>51117.418287387787</v>
      </c>
      <c r="L23" s="140">
        <v>53262.305071208393</v>
      </c>
      <c r="M23" s="140">
        <v>55610.407736986177</v>
      </c>
      <c r="N23" s="140">
        <v>56872.617914767288</v>
      </c>
      <c r="O23" s="140">
        <v>60090.699205921483</v>
      </c>
      <c r="P23" s="140">
        <v>64280.903752018719</v>
      </c>
      <c r="Q23" s="140">
        <v>64772.231206399541</v>
      </c>
      <c r="R23" s="140">
        <v>65590.88432891597</v>
      </c>
      <c r="S23" s="140">
        <v>66725.927415938902</v>
      </c>
      <c r="T23" s="140">
        <v>68003.639151723299</v>
      </c>
      <c r="U23" s="140">
        <v>68517.888026457833</v>
      </c>
      <c r="V23" s="140">
        <v>68599.591758358365</v>
      </c>
      <c r="W23" s="140">
        <v>67331.204495692218</v>
      </c>
      <c r="X23" s="140">
        <v>65082.619836032449</v>
      </c>
      <c r="Y23" s="140">
        <v>63925.252950684742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1713.747202623468</v>
      </c>
      <c r="O24" s="140">
        <v>2234.9309251750992</v>
      </c>
      <c r="P24" s="140">
        <v>2512.9468620300063</v>
      </c>
      <c r="Q24" s="140">
        <v>2502.2872138420421</v>
      </c>
      <c r="R24" s="140">
        <v>2464.367144708157</v>
      </c>
      <c r="S24" s="140">
        <v>2422.4426966290589</v>
      </c>
      <c r="T24" s="140">
        <v>2389.6065997376099</v>
      </c>
      <c r="U24" s="140">
        <v>2357.874139234189</v>
      </c>
      <c r="V24" s="140">
        <v>2343.8215602456903</v>
      </c>
      <c r="W24" s="140">
        <v>2325.9747628094678</v>
      </c>
      <c r="X24" s="140">
        <v>2436.5479034012992</v>
      </c>
      <c r="Y24" s="140">
        <v>2692.0532330451233</v>
      </c>
      <c r="DA24" s="170" t="s">
        <v>265</v>
      </c>
    </row>
    <row r="25" spans="1:105" ht="12" customHeight="1" x14ac:dyDescent="0.25">
      <c r="A25" s="131" t="s">
        <v>162</v>
      </c>
      <c r="B25" s="140">
        <v>8664.070687262807</v>
      </c>
      <c r="C25" s="140">
        <v>8628.6619030689635</v>
      </c>
      <c r="D25" s="140">
        <v>8632.9716202863092</v>
      </c>
      <c r="E25" s="140">
        <v>8752.4604988245792</v>
      </c>
      <c r="F25" s="140">
        <v>8945.4030422557862</v>
      </c>
      <c r="G25" s="140">
        <v>9339.4014235778213</v>
      </c>
      <c r="H25" s="140">
        <v>9719.2513500977075</v>
      </c>
      <c r="I25" s="140">
        <v>10136.3325531347</v>
      </c>
      <c r="J25" s="140">
        <v>10549.274404735361</v>
      </c>
      <c r="K25" s="140">
        <v>10834.783394664997</v>
      </c>
      <c r="L25" s="140">
        <v>11069.51036684449</v>
      </c>
      <c r="M25" s="140">
        <v>11213.561724557716</v>
      </c>
      <c r="N25" s="140">
        <v>11374.173307484281</v>
      </c>
      <c r="O25" s="140">
        <v>11452.562322372562</v>
      </c>
      <c r="P25" s="140">
        <v>11591.390610923978</v>
      </c>
      <c r="Q25" s="140">
        <v>11736.621092991181</v>
      </c>
      <c r="R25" s="140">
        <v>11825.891639163741</v>
      </c>
      <c r="S25" s="140">
        <v>11916.385407083364</v>
      </c>
      <c r="T25" s="140">
        <v>11857.153205233017</v>
      </c>
      <c r="U25" s="140">
        <v>11828.299399493693</v>
      </c>
      <c r="V25" s="140">
        <v>11394.697454317453</v>
      </c>
      <c r="W25" s="140">
        <v>10944.990666743943</v>
      </c>
      <c r="X25" s="140">
        <v>10134.075952318908</v>
      </c>
      <c r="Y25" s="140">
        <v>9483.9473182010843</v>
      </c>
      <c r="DA25" s="170" t="s">
        <v>266</v>
      </c>
    </row>
    <row r="26" spans="1:105" ht="12" customHeight="1" x14ac:dyDescent="0.25">
      <c r="A26" s="131" t="s">
        <v>24</v>
      </c>
      <c r="B26" s="141">
        <v>41722.920992997701</v>
      </c>
      <c r="C26" s="141">
        <v>42650.452405324417</v>
      </c>
      <c r="D26" s="141">
        <v>42720.094414858868</v>
      </c>
      <c r="E26" s="141">
        <v>43976.995132595046</v>
      </c>
      <c r="F26" s="141">
        <v>43535.825559697209</v>
      </c>
      <c r="G26" s="141">
        <v>43956.477628623827</v>
      </c>
      <c r="H26" s="141">
        <v>43234.457932921759</v>
      </c>
      <c r="I26" s="141">
        <v>41595.727693175257</v>
      </c>
      <c r="J26" s="141">
        <v>38913.368973614022</v>
      </c>
      <c r="K26" s="141">
        <v>36034.763616490098</v>
      </c>
      <c r="L26" s="141">
        <v>33678.502852094156</v>
      </c>
      <c r="M26" s="141">
        <v>31619.733791047536</v>
      </c>
      <c r="N26" s="141">
        <v>29197.254956166649</v>
      </c>
      <c r="O26" s="141">
        <v>26423.237091354142</v>
      </c>
      <c r="P26" s="141">
        <v>24963.08018527988</v>
      </c>
      <c r="Q26" s="141">
        <v>24410.5158335038</v>
      </c>
      <c r="R26" s="141">
        <v>24533.208082709556</v>
      </c>
      <c r="S26" s="141">
        <v>24807.549119336491</v>
      </c>
      <c r="T26" s="141">
        <v>25075.563960420903</v>
      </c>
      <c r="U26" s="141">
        <v>25866.158732033789</v>
      </c>
      <c r="V26" s="141">
        <v>27386.631449300683</v>
      </c>
      <c r="W26" s="141">
        <v>30224.107389520268</v>
      </c>
      <c r="X26" s="141">
        <v>34220.933576030169</v>
      </c>
      <c r="Y26" s="141">
        <v>36782.064035155228</v>
      </c>
      <c r="DA26" s="171" t="s">
        <v>267</v>
      </c>
    </row>
    <row r="27" spans="1:105" ht="12" customHeight="1" x14ac:dyDescent="0.25">
      <c r="A27" s="144" t="s">
        <v>26</v>
      </c>
      <c r="B27" s="150">
        <v>0</v>
      </c>
      <c r="C27" s="150">
        <v>0</v>
      </c>
      <c r="D27" s="150">
        <v>0</v>
      </c>
      <c r="E27" s="150">
        <v>0</v>
      </c>
      <c r="F27" s="150">
        <v>0</v>
      </c>
      <c r="G27" s="150">
        <v>20.970029011794775</v>
      </c>
      <c r="H27" s="150">
        <v>46.124933820831011</v>
      </c>
      <c r="I27" s="150">
        <v>64.899215098243118</v>
      </c>
      <c r="J27" s="150">
        <v>89.141001146285376</v>
      </c>
      <c r="K27" s="150">
        <v>107.11951625526228</v>
      </c>
      <c r="L27" s="150">
        <v>147.97111221861059</v>
      </c>
      <c r="M27" s="150">
        <v>175.9349578235219</v>
      </c>
      <c r="N27" s="150">
        <v>154.6935275945003</v>
      </c>
      <c r="O27" s="150">
        <v>157.35120988485062</v>
      </c>
      <c r="P27" s="150">
        <v>181.93762874673928</v>
      </c>
      <c r="Q27" s="150">
        <v>203.08564938534445</v>
      </c>
      <c r="R27" s="150">
        <v>199.81420649876875</v>
      </c>
      <c r="S27" s="150">
        <v>217.8193232014668</v>
      </c>
      <c r="T27" s="150">
        <v>218.47274389791735</v>
      </c>
      <c r="U27" s="150">
        <v>242.76286692726592</v>
      </c>
      <c r="V27" s="150">
        <v>275.57263947553679</v>
      </c>
      <c r="W27" s="150">
        <v>249.51377067108305</v>
      </c>
      <c r="X27" s="150">
        <v>284.89151159154494</v>
      </c>
      <c r="Y27" s="150">
        <v>339.75609665241967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85230.47231047487</v>
      </c>
      <c r="C29" s="139">
        <f t="shared" si="13"/>
        <v>86888.991472691108</v>
      </c>
      <c r="D29" s="139">
        <f t="shared" si="13"/>
        <v>88832.836913722276</v>
      </c>
      <c r="E29" s="139">
        <f t="shared" si="13"/>
        <v>92121.525460934339</v>
      </c>
      <c r="F29" s="139">
        <f t="shared" si="13"/>
        <v>93559.566968281579</v>
      </c>
      <c r="G29" s="139">
        <f t="shared" si="13"/>
        <v>95764.682085151435</v>
      </c>
      <c r="H29" s="139">
        <f t="shared" si="13"/>
        <v>97083.360362271793</v>
      </c>
      <c r="I29" s="139">
        <f t="shared" si="13"/>
        <v>98978.452642142336</v>
      </c>
      <c r="J29" s="139">
        <f t="shared" si="13"/>
        <v>98407.680869784293</v>
      </c>
      <c r="K29" s="139">
        <f t="shared" si="13"/>
        <v>97986.965298542869</v>
      </c>
      <c r="L29" s="139">
        <f t="shared" si="13"/>
        <v>98010.318290147043</v>
      </c>
      <c r="M29" s="139">
        <f t="shared" si="13"/>
        <v>98443.703252591367</v>
      </c>
      <c r="N29" s="139">
        <f t="shared" si="13"/>
        <v>99157.79338104176</v>
      </c>
      <c r="O29" s="139">
        <f t="shared" si="13"/>
        <v>100201.42954482333</v>
      </c>
      <c r="P29" s="139">
        <f t="shared" si="13"/>
        <v>103348.3214102526</v>
      </c>
      <c r="Q29" s="139">
        <f t="shared" si="13"/>
        <v>103421.65534673652</v>
      </c>
      <c r="R29" s="139">
        <f t="shared" ref="R29:W29" si="14">SUM(R30:R33)</f>
        <v>104414.35119549742</v>
      </c>
      <c r="S29" s="139">
        <f t="shared" si="14"/>
        <v>105872.30463898767</v>
      </c>
      <c r="T29" s="139">
        <f t="shared" si="14"/>
        <v>107325.96291711493</v>
      </c>
      <c r="U29" s="139">
        <f t="shared" si="14"/>
        <v>108570.22029721955</v>
      </c>
      <c r="V29" s="139">
        <f t="shared" si="14"/>
        <v>109724.74222222216</v>
      </c>
      <c r="W29" s="139">
        <f t="shared" si="14"/>
        <v>110826.27731476596</v>
      </c>
      <c r="X29" s="139">
        <f t="shared" ref="X29:Y29" si="15">SUM(X30:X33)</f>
        <v>111874.17726778287</v>
      </c>
      <c r="Y29" s="139">
        <f t="shared" si="15"/>
        <v>112883.31753708611</v>
      </c>
      <c r="DA29" s="169" t="s">
        <v>269</v>
      </c>
    </row>
    <row r="30" spans="1:105" ht="12" customHeight="1" x14ac:dyDescent="0.25">
      <c r="A30" s="131" t="s">
        <v>52</v>
      </c>
      <c r="B30" s="140">
        <v>16999.930505595461</v>
      </c>
      <c r="C30" s="140">
        <v>15983.633992792973</v>
      </c>
      <c r="D30" s="140">
        <v>15151.101467332197</v>
      </c>
      <c r="E30" s="140">
        <v>13366.39857924062</v>
      </c>
      <c r="F30" s="140">
        <v>10793.78643126419</v>
      </c>
      <c r="G30" s="140">
        <v>9598.5267346906257</v>
      </c>
      <c r="H30" s="140">
        <v>8697.0091505894743</v>
      </c>
      <c r="I30" s="140">
        <v>8382.1213998701423</v>
      </c>
      <c r="J30" s="140">
        <v>7736.927802413993</v>
      </c>
      <c r="K30" s="140">
        <v>7430.1126348959142</v>
      </c>
      <c r="L30" s="140">
        <v>7263.8090345654609</v>
      </c>
      <c r="M30" s="140">
        <v>6696.2022206242636</v>
      </c>
      <c r="N30" s="140">
        <v>6138.4640826851864</v>
      </c>
      <c r="O30" s="140">
        <v>5506.259723138005</v>
      </c>
      <c r="P30" s="140">
        <v>5425.9175665457024</v>
      </c>
      <c r="Q30" s="140">
        <v>5367.1494537438784</v>
      </c>
      <c r="R30" s="140">
        <v>5024.9417069176197</v>
      </c>
      <c r="S30" s="140">
        <v>4731.9340243582183</v>
      </c>
      <c r="T30" s="140">
        <v>5142.0379412028196</v>
      </c>
      <c r="U30" s="140">
        <v>5442.6089142957089</v>
      </c>
      <c r="V30" s="140">
        <v>5545.7007617268464</v>
      </c>
      <c r="W30" s="140">
        <v>5495.3903816410211</v>
      </c>
      <c r="X30" s="140">
        <v>5283.3403271909247</v>
      </c>
      <c r="Y30" s="140">
        <v>5011.1978601965047</v>
      </c>
      <c r="DA30" s="170" t="s">
        <v>270</v>
      </c>
    </row>
    <row r="31" spans="1:105" ht="12" customHeight="1" x14ac:dyDescent="0.25">
      <c r="A31" s="131" t="s">
        <v>149</v>
      </c>
      <c r="B31" s="140">
        <v>6270.7153082250215</v>
      </c>
      <c r="C31" s="140">
        <v>9084.4586054813808</v>
      </c>
      <c r="D31" s="140">
        <v>13665.410630352948</v>
      </c>
      <c r="E31" s="140">
        <v>19275.986124913994</v>
      </c>
      <c r="F31" s="140">
        <v>25591.495645818592</v>
      </c>
      <c r="G31" s="140">
        <v>31358.39184215225</v>
      </c>
      <c r="H31" s="140">
        <v>36556.758289513578</v>
      </c>
      <c r="I31" s="140">
        <v>40690.596388454345</v>
      </c>
      <c r="J31" s="140">
        <v>43835.254930615731</v>
      </c>
      <c r="K31" s="140">
        <v>45964.310877950775</v>
      </c>
      <c r="L31" s="140">
        <v>48362.934331591146</v>
      </c>
      <c r="M31" s="140">
        <v>51664.531294621163</v>
      </c>
      <c r="N31" s="140">
        <v>55105.445555421909</v>
      </c>
      <c r="O31" s="140">
        <v>57895.532702397657</v>
      </c>
      <c r="P31" s="140">
        <v>60014.522584808954</v>
      </c>
      <c r="Q31" s="140">
        <v>59826.96281205456</v>
      </c>
      <c r="R31" s="140">
        <v>59272.64841174586</v>
      </c>
      <c r="S31" s="140">
        <v>59280.72110343157</v>
      </c>
      <c r="T31" s="140">
        <v>59333.59024707738</v>
      </c>
      <c r="U31" s="140">
        <v>59798.462653465416</v>
      </c>
      <c r="V31" s="140">
        <v>60329.71996278876</v>
      </c>
      <c r="W31" s="140">
        <v>60764.595739107412</v>
      </c>
      <c r="X31" s="140">
        <v>60536.57875547601</v>
      </c>
      <c r="Y31" s="140">
        <v>59990.245396011458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61959.826496654387</v>
      </c>
      <c r="C33" s="152">
        <v>61820.898874416758</v>
      </c>
      <c r="D33" s="152">
        <v>60016.324816037122</v>
      </c>
      <c r="E33" s="152">
        <v>59479.140756779729</v>
      </c>
      <c r="F33" s="152">
        <v>57174.284891198797</v>
      </c>
      <c r="G33" s="152">
        <v>54807.76350830857</v>
      </c>
      <c r="H33" s="152">
        <v>51829.59292216874</v>
      </c>
      <c r="I33" s="152">
        <v>49905.734853817841</v>
      </c>
      <c r="J33" s="152">
        <v>46835.49813675457</v>
      </c>
      <c r="K33" s="152">
        <v>44592.541785696187</v>
      </c>
      <c r="L33" s="152">
        <v>42383.574923990433</v>
      </c>
      <c r="M33" s="152">
        <v>40082.969737345935</v>
      </c>
      <c r="N33" s="152">
        <v>37913.88374293466</v>
      </c>
      <c r="O33" s="152">
        <v>36799.637119287661</v>
      </c>
      <c r="P33" s="152">
        <v>37907.881258897934</v>
      </c>
      <c r="Q33" s="152">
        <v>38227.543080938078</v>
      </c>
      <c r="R33" s="152">
        <v>40116.761076833944</v>
      </c>
      <c r="S33" s="152">
        <v>41859.649511197887</v>
      </c>
      <c r="T33" s="152">
        <v>42850.334728834729</v>
      </c>
      <c r="U33" s="152">
        <v>43329.148729458437</v>
      </c>
      <c r="V33" s="152">
        <v>43849.321497706565</v>
      </c>
      <c r="W33" s="152">
        <v>44566.291194017525</v>
      </c>
      <c r="X33" s="152">
        <v>46054.258185115934</v>
      </c>
      <c r="Y33" s="152">
        <v>47881.874280878161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2706.9046176858474</v>
      </c>
      <c r="C3" s="125">
        <f t="shared" si="0"/>
        <v>2858.6259089788405</v>
      </c>
      <c r="D3" s="125">
        <f t="shared" si="0"/>
        <v>2610.4907444733676</v>
      </c>
      <c r="E3" s="125">
        <f t="shared" si="0"/>
        <v>2706.5141837012834</v>
      </c>
      <c r="F3" s="125">
        <f t="shared" si="0"/>
        <v>3153.6353226866531</v>
      </c>
      <c r="G3" s="125">
        <f t="shared" si="0"/>
        <v>3091.7751664614316</v>
      </c>
      <c r="H3" s="125">
        <f t="shared" si="0"/>
        <v>2756.3314491668079</v>
      </c>
      <c r="I3" s="125">
        <f t="shared" si="0"/>
        <v>2352.5647910025441</v>
      </c>
      <c r="J3" s="125">
        <f t="shared" si="0"/>
        <v>2290.0654307484892</v>
      </c>
      <c r="K3" s="125">
        <f t="shared" si="0"/>
        <v>2448.6112011564319</v>
      </c>
      <c r="L3" s="125">
        <f t="shared" si="0"/>
        <v>2590.8544962048659</v>
      </c>
      <c r="M3" s="125">
        <f t="shared" si="0"/>
        <v>2596.4692236092487</v>
      </c>
      <c r="N3" s="125">
        <f t="shared" si="0"/>
        <v>1902.5193236652472</v>
      </c>
      <c r="O3" s="125">
        <f t="shared" si="0"/>
        <v>1892.6682890895643</v>
      </c>
      <c r="P3" s="125">
        <f t="shared" si="0"/>
        <v>1670.795475329508</v>
      </c>
      <c r="Q3" s="125">
        <f t="shared" si="0"/>
        <v>1773.9450709368048</v>
      </c>
      <c r="R3" s="125">
        <f t="shared" ref="R3:W3" si="1">SUM(R4,R16,R19,R29)</f>
        <v>1766.6282792231991</v>
      </c>
      <c r="S3" s="125">
        <f t="shared" si="1"/>
        <v>1740.4168250308192</v>
      </c>
      <c r="T3" s="125">
        <f t="shared" si="1"/>
        <v>1692.7351223997257</v>
      </c>
      <c r="U3" s="125">
        <f t="shared" si="1"/>
        <v>1653.5448501385397</v>
      </c>
      <c r="V3" s="125">
        <f t="shared" si="1"/>
        <v>1623.2645698741642</v>
      </c>
      <c r="W3" s="125">
        <f t="shared" si="1"/>
        <v>1705.6023148875624</v>
      </c>
      <c r="X3" s="125">
        <f t="shared" ref="X3:Y3" si="2">SUM(X4,X16,X19,X29)</f>
        <v>1513.7465040723041</v>
      </c>
      <c r="Y3" s="125">
        <f t="shared" si="2"/>
        <v>1247.9017975874697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2290.2197264806841</v>
      </c>
      <c r="C4" s="130">
        <f t="shared" si="3"/>
        <v>2436.9036378656697</v>
      </c>
      <c r="D4" s="130">
        <f t="shared" si="3"/>
        <v>2175.6467246486595</v>
      </c>
      <c r="E4" s="130">
        <f t="shared" si="3"/>
        <v>2256.9746129291257</v>
      </c>
      <c r="F4" s="130">
        <f t="shared" si="3"/>
        <v>2700.5401133373302</v>
      </c>
      <c r="G4" s="130">
        <f t="shared" si="3"/>
        <v>2632.1440681225508</v>
      </c>
      <c r="H4" s="130">
        <f t="shared" si="3"/>
        <v>2288.3056739933286</v>
      </c>
      <c r="I4" s="130">
        <f t="shared" si="3"/>
        <v>1880.3980800070522</v>
      </c>
      <c r="J4" s="130">
        <f t="shared" si="3"/>
        <v>1820.4814267004149</v>
      </c>
      <c r="K4" s="130">
        <f t="shared" si="3"/>
        <v>1975.8561864118856</v>
      </c>
      <c r="L4" s="130">
        <f t="shared" si="3"/>
        <v>2112.7853520605117</v>
      </c>
      <c r="M4" s="130">
        <f t="shared" si="3"/>
        <v>2117.7315902195342</v>
      </c>
      <c r="N4" s="130">
        <f t="shared" si="3"/>
        <v>1421.5938188698578</v>
      </c>
      <c r="O4" s="130">
        <f t="shared" si="3"/>
        <v>1415.6502006111857</v>
      </c>
      <c r="P4" s="130">
        <f t="shared" si="3"/>
        <v>1196.366824445985</v>
      </c>
      <c r="Q4" s="130">
        <f t="shared" si="3"/>
        <v>1291.9859220969217</v>
      </c>
      <c r="R4" s="130">
        <f t="shared" ref="R4:W4" si="4">SUM(R5:R15)</f>
        <v>1294.8272308487387</v>
      </c>
      <c r="S4" s="130">
        <f t="shared" si="4"/>
        <v>1268.4659145698533</v>
      </c>
      <c r="T4" s="130">
        <f t="shared" si="4"/>
        <v>1216.2779894799105</v>
      </c>
      <c r="U4" s="130">
        <f t="shared" si="4"/>
        <v>1182.4401850072313</v>
      </c>
      <c r="V4" s="130">
        <f t="shared" si="4"/>
        <v>1187.7483673045876</v>
      </c>
      <c r="W4" s="130">
        <f t="shared" si="4"/>
        <v>1249.7651338733467</v>
      </c>
      <c r="X4" s="130">
        <f t="shared" ref="X4:Y4" si="5">SUM(X5:X15)</f>
        <v>1058.913842119983</v>
      </c>
      <c r="Y4" s="130">
        <f t="shared" si="5"/>
        <v>802.07703032968573</v>
      </c>
      <c r="DA4" s="155" t="s">
        <v>214</v>
      </c>
    </row>
    <row r="5" spans="1:105" ht="12" customHeight="1" x14ac:dyDescent="0.25">
      <c r="A5" s="131" t="s">
        <v>29</v>
      </c>
      <c r="B5" s="132">
        <v>23.16956147893379</v>
      </c>
      <c r="C5" s="132">
        <v>13.376268271711091</v>
      </c>
      <c r="D5" s="132">
        <v>10.530266552020636</v>
      </c>
      <c r="E5" s="132">
        <v>9.8524505588993971</v>
      </c>
      <c r="F5" s="132">
        <v>6.1796216680997418</v>
      </c>
      <c r="G5" s="132">
        <v>2.3913155631986238</v>
      </c>
      <c r="H5" s="132">
        <v>4.3846947549441095</v>
      </c>
      <c r="I5" s="132">
        <v>3.6223559759243336</v>
      </c>
      <c r="J5" s="132">
        <v>3.4360275150472912</v>
      </c>
      <c r="K5" s="132">
        <v>2.8388650042992256</v>
      </c>
      <c r="L5" s="132">
        <v>2.7337919174548575</v>
      </c>
      <c r="M5" s="132">
        <v>3.0481513327601029</v>
      </c>
      <c r="N5" s="132">
        <v>0.85270851246775581</v>
      </c>
      <c r="O5" s="132">
        <v>2.450558899398108</v>
      </c>
      <c r="P5" s="132">
        <v>2.2905417024935515</v>
      </c>
      <c r="Q5" s="132">
        <v>2.9263112639724853</v>
      </c>
      <c r="R5" s="132">
        <v>2.8895098882201182</v>
      </c>
      <c r="S5" s="132">
        <v>1.4721410146173706</v>
      </c>
      <c r="T5" s="132">
        <v>1.5094582975064483</v>
      </c>
      <c r="U5" s="132">
        <v>1.4860705073086853</v>
      </c>
      <c r="V5" s="132">
        <v>1.2000859845227863</v>
      </c>
      <c r="W5" s="132">
        <v>1.1941530524505595</v>
      </c>
      <c r="X5" s="132">
        <v>1.4377472055030076</v>
      </c>
      <c r="Y5" s="132">
        <v>0.55520206362854696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33.051504729148753</v>
      </c>
      <c r="C7" s="132">
        <v>34.900171969045573</v>
      </c>
      <c r="D7" s="132">
        <v>16.403955288048152</v>
      </c>
      <c r="E7" s="132">
        <v>12.20017196904557</v>
      </c>
      <c r="F7" s="132">
        <v>11.063370593293207</v>
      </c>
      <c r="G7" s="132">
        <v>12.066552020636284</v>
      </c>
      <c r="H7" s="132">
        <v>9.0712811693895077</v>
      </c>
      <c r="I7" s="132">
        <v>0</v>
      </c>
      <c r="J7" s="132">
        <v>0</v>
      </c>
      <c r="K7" s="132">
        <v>0</v>
      </c>
      <c r="L7" s="132">
        <v>0</v>
      </c>
      <c r="M7" s="132">
        <v>0</v>
      </c>
      <c r="N7" s="132">
        <v>11.779879621668099</v>
      </c>
      <c r="O7" s="132">
        <v>6.8071367153912288</v>
      </c>
      <c r="P7" s="132">
        <v>14.832416165090283</v>
      </c>
      <c r="Q7" s="132">
        <v>25.867067927773014</v>
      </c>
      <c r="R7" s="132">
        <v>32.516251074806533</v>
      </c>
      <c r="S7" s="132">
        <v>29.523903697334486</v>
      </c>
      <c r="T7" s="132">
        <v>33.697076526225295</v>
      </c>
      <c r="U7" s="132">
        <v>29.768271711092016</v>
      </c>
      <c r="V7" s="132">
        <v>30.762166809974204</v>
      </c>
      <c r="W7" s="132">
        <v>39.104471195184821</v>
      </c>
      <c r="X7" s="132">
        <v>27.759587274290588</v>
      </c>
      <c r="Y7" s="132">
        <v>24.727773000859823</v>
      </c>
      <c r="DA7" s="156" t="s">
        <v>277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1.2769080048187509E-3</v>
      </c>
      <c r="S8" s="132">
        <v>7.5496848912236358E-3</v>
      </c>
      <c r="T8" s="132">
        <v>2.001512604586303E-2</v>
      </c>
      <c r="U8" s="132">
        <v>2.4735007294683611E-2</v>
      </c>
      <c r="V8" s="132">
        <v>4.5734417613670711E-2</v>
      </c>
      <c r="W8" s="132">
        <v>3.8823490388363878E-2</v>
      </c>
      <c r="X8" s="132">
        <v>4.5918109831033137E-2</v>
      </c>
      <c r="Y8" s="132">
        <v>5.1624036357115023E-2</v>
      </c>
      <c r="DA8" s="156" t="s">
        <v>278</v>
      </c>
    </row>
    <row r="9" spans="1:105" ht="12" customHeight="1" x14ac:dyDescent="0.25">
      <c r="A9" s="131" t="s">
        <v>78</v>
      </c>
      <c r="B9" s="132">
        <v>1665.8379174585857</v>
      </c>
      <c r="C9" s="132">
        <v>1802.9263784274926</v>
      </c>
      <c r="D9" s="132">
        <v>1647.0808162506094</v>
      </c>
      <c r="E9" s="132">
        <v>1735.1174037563228</v>
      </c>
      <c r="F9" s="132">
        <v>2221.5161973416789</v>
      </c>
      <c r="G9" s="132">
        <v>2087.59860238171</v>
      </c>
      <c r="H9" s="132">
        <v>1757.4890389547452</v>
      </c>
      <c r="I9" s="132">
        <v>1306.7386413902477</v>
      </c>
      <c r="J9" s="132">
        <v>1205.8230232260228</v>
      </c>
      <c r="K9" s="132">
        <v>1323.5401649799082</v>
      </c>
      <c r="L9" s="132">
        <v>1456.9664642259388</v>
      </c>
      <c r="M9" s="132">
        <v>1456.8963302793863</v>
      </c>
      <c r="N9" s="132">
        <v>1110.8555634360789</v>
      </c>
      <c r="O9" s="132">
        <v>1114.1098106168326</v>
      </c>
      <c r="P9" s="132">
        <v>943.16776996331009</v>
      </c>
      <c r="Q9" s="132">
        <v>967.40873436881895</v>
      </c>
      <c r="R9" s="132">
        <v>935.71395958946812</v>
      </c>
      <c r="S9" s="132">
        <v>882.34136765880078</v>
      </c>
      <c r="T9" s="132">
        <v>812.67601873891351</v>
      </c>
      <c r="U9" s="132">
        <v>775.59781635103036</v>
      </c>
      <c r="V9" s="132">
        <v>797.86900120951236</v>
      </c>
      <c r="W9" s="132">
        <v>838.60605094622179</v>
      </c>
      <c r="X9" s="132">
        <v>661.01822085276501</v>
      </c>
      <c r="Y9" s="132">
        <v>482.48152440819445</v>
      </c>
      <c r="DA9" s="156" t="s">
        <v>279</v>
      </c>
    </row>
    <row r="10" spans="1:105" ht="12" customHeight="1" x14ac:dyDescent="0.25">
      <c r="A10" s="131" t="s">
        <v>128</v>
      </c>
      <c r="B10" s="132">
        <v>54.743508168529672</v>
      </c>
      <c r="C10" s="132">
        <v>47.267583834909715</v>
      </c>
      <c r="D10" s="132">
        <v>50.611435941530509</v>
      </c>
      <c r="E10" s="132">
        <v>59.902579535683572</v>
      </c>
      <c r="F10" s="132">
        <v>54.647979363714526</v>
      </c>
      <c r="G10" s="132">
        <v>34.083319002579529</v>
      </c>
      <c r="H10" s="132">
        <v>32.626311263972482</v>
      </c>
      <c r="I10" s="132">
        <v>29.473602751504739</v>
      </c>
      <c r="J10" s="132">
        <v>29.163112639724844</v>
      </c>
      <c r="K10" s="132">
        <v>31.073860705073084</v>
      </c>
      <c r="L10" s="132">
        <v>32.721926053310391</v>
      </c>
      <c r="M10" s="132">
        <v>32.602493551160784</v>
      </c>
      <c r="N10" s="132">
        <v>30.253673954808971</v>
      </c>
      <c r="O10" s="132">
        <v>28.935554055751926</v>
      </c>
      <c r="P10" s="132">
        <v>24.321325726719699</v>
      </c>
      <c r="Q10" s="132">
        <v>30.092838962202134</v>
      </c>
      <c r="R10" s="132">
        <v>26.005317988940995</v>
      </c>
      <c r="S10" s="132">
        <v>26.415355942876925</v>
      </c>
      <c r="T10" s="132">
        <v>24.194823632314336</v>
      </c>
      <c r="U10" s="132">
        <v>26.667760116118163</v>
      </c>
      <c r="V10" s="132">
        <v>23.443723554914833</v>
      </c>
      <c r="W10" s="132">
        <v>19.36437134636687</v>
      </c>
      <c r="X10" s="132">
        <v>21.152505506291931</v>
      </c>
      <c r="Y10" s="132">
        <v>23.008691947847229</v>
      </c>
      <c r="DA10" s="156" t="s">
        <v>280</v>
      </c>
    </row>
    <row r="11" spans="1:105" ht="12" customHeight="1" x14ac:dyDescent="0.25">
      <c r="A11" s="131" t="s">
        <v>25</v>
      </c>
      <c r="B11" s="132">
        <v>79.010232158211522</v>
      </c>
      <c r="C11" s="132">
        <v>77.744368013757509</v>
      </c>
      <c r="D11" s="132">
        <v>77.529406706792756</v>
      </c>
      <c r="E11" s="132">
        <v>76.359071367153902</v>
      </c>
      <c r="F11" s="132">
        <v>66.638005159071369</v>
      </c>
      <c r="G11" s="132">
        <v>65.061650902837471</v>
      </c>
      <c r="H11" s="132">
        <v>65.68263112639724</v>
      </c>
      <c r="I11" s="132">
        <v>66.2558899398108</v>
      </c>
      <c r="J11" s="132">
        <v>75.618572656921685</v>
      </c>
      <c r="K11" s="132">
        <v>77.672656921754026</v>
      </c>
      <c r="L11" s="132">
        <v>78.198108340498663</v>
      </c>
      <c r="M11" s="132">
        <v>82.115219260533138</v>
      </c>
      <c r="N11" s="132">
        <v>82.115219260533081</v>
      </c>
      <c r="O11" s="132">
        <v>84.718658641444435</v>
      </c>
      <c r="P11" s="132">
        <v>22.499312123817724</v>
      </c>
      <c r="Q11" s="132">
        <v>19.5614789337919</v>
      </c>
      <c r="R11" s="132">
        <v>16.504213241616497</v>
      </c>
      <c r="S11" s="132">
        <v>22.80980223559758</v>
      </c>
      <c r="T11" s="132">
        <v>21.830524505588983</v>
      </c>
      <c r="U11" s="132">
        <v>24.051762682717101</v>
      </c>
      <c r="V11" s="132">
        <v>21.949957007738593</v>
      </c>
      <c r="W11" s="132">
        <v>29.593035253654342</v>
      </c>
      <c r="X11" s="132">
        <v>33.414531384350823</v>
      </c>
      <c r="Y11" s="132">
        <v>37.689853826311278</v>
      </c>
      <c r="DA11" s="156" t="s">
        <v>281</v>
      </c>
    </row>
    <row r="12" spans="1:105" ht="12" customHeight="1" x14ac:dyDescent="0.25">
      <c r="A12" s="131" t="s">
        <v>162</v>
      </c>
      <c r="B12" s="132">
        <v>246.23972897311012</v>
      </c>
      <c r="C12" s="132">
        <v>277.19431446435101</v>
      </c>
      <c r="D12" s="132">
        <v>222.78812663765848</v>
      </c>
      <c r="E12" s="132">
        <v>234.89076792577313</v>
      </c>
      <c r="F12" s="132">
        <v>180.72372521787608</v>
      </c>
      <c r="G12" s="132">
        <v>211.08956910886693</v>
      </c>
      <c r="H12" s="132">
        <v>179.27123525230621</v>
      </c>
      <c r="I12" s="132">
        <v>191.42285914803284</v>
      </c>
      <c r="J12" s="132">
        <v>219.26912608477949</v>
      </c>
      <c r="K12" s="132">
        <v>200.99638138945141</v>
      </c>
      <c r="L12" s="132">
        <v>199.0453082005117</v>
      </c>
      <c r="M12" s="132">
        <v>183.10221921488875</v>
      </c>
      <c r="N12" s="132">
        <v>124.55126971795171</v>
      </c>
      <c r="O12" s="132">
        <v>118.80332256989851</v>
      </c>
      <c r="P12" s="132">
        <v>110.53648442133441</v>
      </c>
      <c r="Q12" s="132">
        <v>141.94606133731472</v>
      </c>
      <c r="R12" s="132">
        <v>158.45990856104874</v>
      </c>
      <c r="S12" s="132">
        <v>160.33714869525869</v>
      </c>
      <c r="T12" s="132">
        <v>150.69221140603455</v>
      </c>
      <c r="U12" s="132">
        <v>143.37010090273375</v>
      </c>
      <c r="V12" s="132">
        <v>143.38978157801242</v>
      </c>
      <c r="W12" s="132">
        <v>153.36653851058938</v>
      </c>
      <c r="X12" s="132">
        <v>133.16763871024079</v>
      </c>
      <c r="Y12" s="132">
        <v>99.875544690295854</v>
      </c>
      <c r="DA12" s="156" t="s">
        <v>282</v>
      </c>
    </row>
    <row r="13" spans="1:105" ht="12" customHeight="1" x14ac:dyDescent="0.25">
      <c r="A13" s="131" t="s">
        <v>77</v>
      </c>
      <c r="B13" s="132">
        <v>7.0798491312674657E-3</v>
      </c>
      <c r="C13" s="132">
        <v>8.5539630542302049E-3</v>
      </c>
      <c r="D13" s="132">
        <v>9.1073470849292477E-3</v>
      </c>
      <c r="E13" s="132">
        <v>9.6132784626909613E-3</v>
      </c>
      <c r="F13" s="132">
        <v>1.7487217290356703E-2</v>
      </c>
      <c r="G13" s="132">
        <v>3.1990172516242664E-2</v>
      </c>
      <c r="H13" s="132">
        <v>4.7054402274047176E-2</v>
      </c>
      <c r="I13" s="132">
        <v>8.0050170936331183E-2</v>
      </c>
      <c r="J13" s="132">
        <v>8.8046127361797968E-2</v>
      </c>
      <c r="K13" s="132">
        <v>0.11206159867395458</v>
      </c>
      <c r="L13" s="132">
        <v>0.12095407640459599</v>
      </c>
      <c r="M13" s="132">
        <v>0.13690045659942515</v>
      </c>
      <c r="N13" s="132">
        <v>0.25016525953861268</v>
      </c>
      <c r="O13" s="132">
        <v>0.36221390237754741</v>
      </c>
      <c r="P13" s="132">
        <v>0.51832698593463233</v>
      </c>
      <c r="Q13" s="132">
        <v>0.42834162000005088</v>
      </c>
      <c r="R13" s="132">
        <v>0.44458793422513637</v>
      </c>
      <c r="S13" s="132">
        <v>0.51525506643882368</v>
      </c>
      <c r="T13" s="132">
        <v>0.79228343304303672</v>
      </c>
      <c r="U13" s="132">
        <v>0.9236570701627872</v>
      </c>
      <c r="V13" s="132">
        <v>1.5477798896848891</v>
      </c>
      <c r="W13" s="132">
        <v>1.2194269317729773</v>
      </c>
      <c r="X13" s="132">
        <v>7.1711829094934663</v>
      </c>
      <c r="Y13" s="132">
        <v>8.1365032461242954</v>
      </c>
      <c r="DA13" s="156" t="s">
        <v>283</v>
      </c>
    </row>
    <row r="14" spans="1:105" ht="12" customHeight="1" x14ac:dyDescent="0.25">
      <c r="A14" s="60" t="s">
        <v>76</v>
      </c>
      <c r="B14" s="65">
        <v>169.92610965121258</v>
      </c>
      <c r="C14" s="65">
        <v>164.08257799308231</v>
      </c>
      <c r="D14" s="65">
        <v>133.3219924460368</v>
      </c>
      <c r="E14" s="65">
        <v>110.50466364281347</v>
      </c>
      <c r="F14" s="65">
        <v>137.42415927126149</v>
      </c>
      <c r="G14" s="65">
        <v>198.94693243380107</v>
      </c>
      <c r="H14" s="65">
        <v>222.27009752050901</v>
      </c>
      <c r="I14" s="65">
        <v>269.70185293625013</v>
      </c>
      <c r="J14" s="65">
        <v>274.87368564775574</v>
      </c>
      <c r="K14" s="65">
        <v>326.40571696820444</v>
      </c>
      <c r="L14" s="65">
        <v>328.48727460363125</v>
      </c>
      <c r="M14" s="65">
        <v>345.21619873880371</v>
      </c>
      <c r="N14" s="65">
        <v>49.46331774598368</v>
      </c>
      <c r="O14" s="65">
        <v>47.845091628885697</v>
      </c>
      <c r="P14" s="65">
        <v>68.349547873290049</v>
      </c>
      <c r="Q14" s="65">
        <v>93.424507971814663</v>
      </c>
      <c r="R14" s="65">
        <v>112.10917459365382</v>
      </c>
      <c r="S14" s="65">
        <v>135.26648965690941</v>
      </c>
      <c r="T14" s="65">
        <v>161.63703468791243</v>
      </c>
      <c r="U14" s="65">
        <v>171.58558915131201</v>
      </c>
      <c r="V14" s="65">
        <v>158.20330299026304</v>
      </c>
      <c r="W14" s="65">
        <v>157.2575403534789</v>
      </c>
      <c r="X14" s="65">
        <v>165.68245243279111</v>
      </c>
      <c r="Y14" s="65">
        <v>119.45499243133517</v>
      </c>
      <c r="DA14" s="109" t="s">
        <v>284</v>
      </c>
    </row>
    <row r="15" spans="1:105" ht="12" customHeight="1" x14ac:dyDescent="0.25">
      <c r="A15" s="133" t="s">
        <v>80</v>
      </c>
      <c r="B15" s="134">
        <v>18.234084013820677</v>
      </c>
      <c r="C15" s="134">
        <v>19.403420928265554</v>
      </c>
      <c r="D15" s="134">
        <v>17.371617478877724</v>
      </c>
      <c r="E15" s="134">
        <v>18.137890894970752</v>
      </c>
      <c r="F15" s="134">
        <v>22.329567505044825</v>
      </c>
      <c r="G15" s="134">
        <v>20.874136536405484</v>
      </c>
      <c r="H15" s="134">
        <v>17.46332954879097</v>
      </c>
      <c r="I15" s="134">
        <v>13.102827694344985</v>
      </c>
      <c r="J15" s="134">
        <v>12.209832802800863</v>
      </c>
      <c r="K15" s="134">
        <v>13.216478844521468</v>
      </c>
      <c r="L15" s="134">
        <v>14.51152464276143</v>
      </c>
      <c r="M15" s="134">
        <v>14.614077385401778</v>
      </c>
      <c r="N15" s="134">
        <v>11.472021360827036</v>
      </c>
      <c r="O15" s="134">
        <v>11.61785358120566</v>
      </c>
      <c r="P15" s="134">
        <v>9.8510994839945401</v>
      </c>
      <c r="Q15" s="134">
        <v>10.330579711233797</v>
      </c>
      <c r="R15" s="134">
        <v>10.18303106875396</v>
      </c>
      <c r="S15" s="134">
        <v>9.7769009171280761</v>
      </c>
      <c r="T15" s="134">
        <v>9.2285431263261444</v>
      </c>
      <c r="U15" s="134">
        <v>8.9644215074618003</v>
      </c>
      <c r="V15" s="134">
        <v>9.3368338623509377</v>
      </c>
      <c r="W15" s="134">
        <v>10.020722793239022</v>
      </c>
      <c r="X15" s="134">
        <v>8.0640577344252744</v>
      </c>
      <c r="Y15" s="134">
        <v>6.0953206787319534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15.002268364963568</v>
      </c>
      <c r="C16" s="130">
        <f t="shared" si="6"/>
        <v>13.771994287502919</v>
      </c>
      <c r="D16" s="130">
        <f t="shared" si="6"/>
        <v>14.913320830375799</v>
      </c>
      <c r="E16" s="130">
        <f t="shared" si="6"/>
        <v>17.340576965809841</v>
      </c>
      <c r="F16" s="130">
        <f t="shared" si="6"/>
        <v>14.191036359795262</v>
      </c>
      <c r="G16" s="130">
        <f t="shared" si="6"/>
        <v>14.315221470207588</v>
      </c>
      <c r="H16" s="130">
        <f t="shared" si="6"/>
        <v>16.272139419359789</v>
      </c>
      <c r="I16" s="130">
        <f t="shared" si="6"/>
        <v>18.124900975667039</v>
      </c>
      <c r="J16" s="130">
        <f t="shared" si="6"/>
        <v>15.454209704621711</v>
      </c>
      <c r="K16" s="130">
        <f t="shared" si="6"/>
        <v>16.105235096184458</v>
      </c>
      <c r="L16" s="130">
        <f t="shared" si="6"/>
        <v>17.318622302901993</v>
      </c>
      <c r="M16" s="130">
        <f t="shared" si="6"/>
        <v>17.088539339742031</v>
      </c>
      <c r="N16" s="130">
        <f t="shared" si="6"/>
        <v>21.921839411610563</v>
      </c>
      <c r="O16" s="130">
        <f t="shared" si="6"/>
        <v>17.899767554918487</v>
      </c>
      <c r="P16" s="130">
        <f t="shared" si="6"/>
        <v>16.10553801139282</v>
      </c>
      <c r="Q16" s="130">
        <f t="shared" si="6"/>
        <v>23.115869106962712</v>
      </c>
      <c r="R16" s="130">
        <f t="shared" ref="R16:W16" si="7">SUM(R17:R18)</f>
        <v>16.119898829146059</v>
      </c>
      <c r="S16" s="130">
        <f t="shared" si="7"/>
        <v>19.164484198726974</v>
      </c>
      <c r="T16" s="130">
        <f t="shared" si="7"/>
        <v>18.49289953572103</v>
      </c>
      <c r="U16" s="130">
        <f t="shared" si="7"/>
        <v>20.067052735514658</v>
      </c>
      <c r="V16" s="130">
        <f t="shared" si="7"/>
        <v>16.423645492412781</v>
      </c>
      <c r="W16" s="130">
        <f t="shared" si="7"/>
        <v>20.670670328649432</v>
      </c>
      <c r="X16" s="130">
        <f t="shared" ref="X16:Y16" si="8">SUM(X17:X18)</f>
        <v>21.028513866235688</v>
      </c>
      <c r="Y16" s="130">
        <f t="shared" si="8"/>
        <v>18.658630248583403</v>
      </c>
      <c r="DA16" s="155" t="s">
        <v>215</v>
      </c>
    </row>
    <row r="17" spans="1:105" ht="12.95" customHeight="1" x14ac:dyDescent="0.25">
      <c r="A17" s="131" t="s">
        <v>73</v>
      </c>
      <c r="B17" s="132">
        <v>5.8518954065849699E-2</v>
      </c>
      <c r="C17" s="132">
        <v>5.9975249199674806E-2</v>
      </c>
      <c r="D17" s="132">
        <v>7.4799053125503584E-2</v>
      </c>
      <c r="E17" s="132">
        <v>9.5957993200861208E-2</v>
      </c>
      <c r="F17" s="132">
        <v>7.7587767633432322E-2</v>
      </c>
      <c r="G17" s="132">
        <v>8.3851369231617789E-2</v>
      </c>
      <c r="H17" s="132">
        <v>0.10677836747831203</v>
      </c>
      <c r="I17" s="132">
        <v>0.13086876944557796</v>
      </c>
      <c r="J17" s="132">
        <v>0.11443707218090821</v>
      </c>
      <c r="K17" s="132">
        <v>0.12588994942033624</v>
      </c>
      <c r="L17" s="132">
        <v>0.15223851608899752</v>
      </c>
      <c r="M17" s="132">
        <v>0.16983901952667707</v>
      </c>
      <c r="N17" s="132">
        <v>0.24830352208806653</v>
      </c>
      <c r="O17" s="132">
        <v>0.22762576127103096</v>
      </c>
      <c r="P17" s="132">
        <v>0.21894057800024416</v>
      </c>
      <c r="Q17" s="132">
        <v>0.34578899498934551</v>
      </c>
      <c r="R17" s="132">
        <v>0.25966241577120563</v>
      </c>
      <c r="S17" s="132">
        <v>0.35815256823215719</v>
      </c>
      <c r="T17" s="132">
        <v>0.37122498253209046</v>
      </c>
      <c r="U17" s="132">
        <v>0.47242449676459547</v>
      </c>
      <c r="V17" s="132">
        <v>0.37458383421708258</v>
      </c>
      <c r="W17" s="132">
        <v>0.49169130942228262</v>
      </c>
      <c r="X17" s="132">
        <v>0.54929080868957414</v>
      </c>
      <c r="Y17" s="132">
        <v>0.50008038330812554</v>
      </c>
      <c r="DA17" s="156" t="s">
        <v>286</v>
      </c>
    </row>
    <row r="18" spans="1:105" ht="12" customHeight="1" x14ac:dyDescent="0.25">
      <c r="A18" s="131" t="s">
        <v>72</v>
      </c>
      <c r="B18" s="132">
        <v>14.943749410897718</v>
      </c>
      <c r="C18" s="132">
        <v>13.712019038303243</v>
      </c>
      <c r="D18" s="132">
        <v>14.838521777250296</v>
      </c>
      <c r="E18" s="132">
        <v>17.244618972608979</v>
      </c>
      <c r="F18" s="132">
        <v>14.113448592161831</v>
      </c>
      <c r="G18" s="132">
        <v>14.231370100975971</v>
      </c>
      <c r="H18" s="132">
        <v>16.165361051881476</v>
      </c>
      <c r="I18" s="132">
        <v>17.994032206221462</v>
      </c>
      <c r="J18" s="132">
        <v>15.339772632440802</v>
      </c>
      <c r="K18" s="132">
        <v>15.979345146764123</v>
      </c>
      <c r="L18" s="132">
        <v>17.166383786812997</v>
      </c>
      <c r="M18" s="132">
        <v>16.918700320215354</v>
      </c>
      <c r="N18" s="132">
        <v>21.673535889522498</v>
      </c>
      <c r="O18" s="132">
        <v>17.672141793647455</v>
      </c>
      <c r="P18" s="132">
        <v>15.886597433392577</v>
      </c>
      <c r="Q18" s="132">
        <v>22.770080111973368</v>
      </c>
      <c r="R18" s="132">
        <v>15.860236413374853</v>
      </c>
      <c r="S18" s="132">
        <v>18.806331630494817</v>
      </c>
      <c r="T18" s="132">
        <v>18.121674553188939</v>
      </c>
      <c r="U18" s="132">
        <v>19.594628238750062</v>
      </c>
      <c r="V18" s="132">
        <v>16.049061658195697</v>
      </c>
      <c r="W18" s="132">
        <v>20.17897901922715</v>
      </c>
      <c r="X18" s="132">
        <v>20.479223057546115</v>
      </c>
      <c r="Y18" s="132">
        <v>18.158549865275276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202.94294453229287</v>
      </c>
      <c r="C19" s="130">
        <f t="shared" si="9"/>
        <v>206.0552204985546</v>
      </c>
      <c r="D19" s="130">
        <f t="shared" si="9"/>
        <v>212.9140233565243</v>
      </c>
      <c r="E19" s="130">
        <f t="shared" si="9"/>
        <v>217.14319676786988</v>
      </c>
      <c r="F19" s="130">
        <f t="shared" si="9"/>
        <v>223.77268393284396</v>
      </c>
      <c r="G19" s="130">
        <f t="shared" si="9"/>
        <v>224.68541876490607</v>
      </c>
      <c r="H19" s="130">
        <f t="shared" si="9"/>
        <v>225.60247859067377</v>
      </c>
      <c r="I19" s="130">
        <f t="shared" si="9"/>
        <v>227.48896310718666</v>
      </c>
      <c r="J19" s="130">
        <f t="shared" si="9"/>
        <v>227.91479397887085</v>
      </c>
      <c r="K19" s="130">
        <f t="shared" si="9"/>
        <v>229.08271821051608</v>
      </c>
      <c r="L19" s="130">
        <f t="shared" si="9"/>
        <v>227.4434813971092</v>
      </c>
      <c r="M19" s="130">
        <f t="shared" si="9"/>
        <v>227.33076579682034</v>
      </c>
      <c r="N19" s="130">
        <f t="shared" si="9"/>
        <v>225.14004026503858</v>
      </c>
      <c r="O19" s="130">
        <f t="shared" si="9"/>
        <v>224.66295393760089</v>
      </c>
      <c r="P19" s="130">
        <f t="shared" si="9"/>
        <v>224.63042140182284</v>
      </c>
      <c r="Q19" s="130">
        <f t="shared" si="9"/>
        <v>223.99749796295055</v>
      </c>
      <c r="R19" s="130">
        <f t="shared" ref="R19:W19" si="10">SUM(R20:R27)</f>
        <v>224.08724064766031</v>
      </c>
      <c r="S19" s="130">
        <f t="shared" si="10"/>
        <v>222.75329499286511</v>
      </c>
      <c r="T19" s="130">
        <f t="shared" si="10"/>
        <v>222.85787417276208</v>
      </c>
      <c r="U19" s="130">
        <f t="shared" si="10"/>
        <v>217.30074241837974</v>
      </c>
      <c r="V19" s="130">
        <f t="shared" si="10"/>
        <v>195.73979874690002</v>
      </c>
      <c r="W19" s="130">
        <f t="shared" si="10"/>
        <v>199.10175968174775</v>
      </c>
      <c r="X19" s="130">
        <f t="shared" ref="X19:Y19" si="11">SUM(X20:X27)</f>
        <v>197.86529223076204</v>
      </c>
      <c r="Y19" s="130">
        <f t="shared" si="11"/>
        <v>194.34985132133511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289</v>
      </c>
    </row>
    <row r="22" spans="1:105" ht="12" customHeight="1" x14ac:dyDescent="0.25">
      <c r="A22" s="131" t="s">
        <v>161</v>
      </c>
      <c r="B22" s="132">
        <v>0</v>
      </c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290</v>
      </c>
    </row>
    <row r="23" spans="1:105" ht="12" customHeight="1" x14ac:dyDescent="0.25">
      <c r="A23" s="131" t="s">
        <v>149</v>
      </c>
      <c r="B23" s="132">
        <v>94.541222889697991</v>
      </c>
      <c r="C23" s="132">
        <v>95.97878373852474</v>
      </c>
      <c r="D23" s="132">
        <v>100.92771478440054</v>
      </c>
      <c r="E23" s="132">
        <v>105.40938992860623</v>
      </c>
      <c r="F23" s="132">
        <v>111.43976578324343</v>
      </c>
      <c r="G23" s="132">
        <v>110.51034905688221</v>
      </c>
      <c r="H23" s="132">
        <v>111.32640564435856</v>
      </c>
      <c r="I23" s="132">
        <v>117.3189343208807</v>
      </c>
      <c r="J23" s="132">
        <v>122.85770266467371</v>
      </c>
      <c r="K23" s="132">
        <v>130.97795235525297</v>
      </c>
      <c r="L23" s="132">
        <v>134.3632782345596</v>
      </c>
      <c r="M23" s="132">
        <v>135.09277911946492</v>
      </c>
      <c r="N23" s="132">
        <v>133.58608574904039</v>
      </c>
      <c r="O23" s="132">
        <v>145.79046555354222</v>
      </c>
      <c r="P23" s="132">
        <v>147.79062770941553</v>
      </c>
      <c r="Q23" s="132">
        <v>147.12875996367529</v>
      </c>
      <c r="R23" s="132">
        <v>147.28780103499437</v>
      </c>
      <c r="S23" s="132">
        <v>146.36270983590961</v>
      </c>
      <c r="T23" s="132">
        <v>148.35829061854082</v>
      </c>
      <c r="U23" s="132">
        <v>142.60662225307772</v>
      </c>
      <c r="V23" s="132">
        <v>130.12358878187536</v>
      </c>
      <c r="W23" s="132">
        <v>128.31011073660486</v>
      </c>
      <c r="X23" s="132">
        <v>120.11945344535754</v>
      </c>
      <c r="Y23" s="132">
        <v>114.56938613213181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4.9999803874094155</v>
      </c>
      <c r="O24" s="132">
        <v>5.0999575521586333</v>
      </c>
      <c r="P24" s="132">
        <v>5.1999984349312038</v>
      </c>
      <c r="Q24" s="132">
        <v>5.1130939698701008</v>
      </c>
      <c r="R24" s="132">
        <v>5.0208213059859315</v>
      </c>
      <c r="S24" s="132">
        <v>4.968994873976059</v>
      </c>
      <c r="T24" s="132">
        <v>4.8249528079264081</v>
      </c>
      <c r="U24" s="132">
        <v>4.7883017927382081</v>
      </c>
      <c r="V24" s="132">
        <v>4.4534389558332386</v>
      </c>
      <c r="W24" s="132">
        <v>3.899257200494695</v>
      </c>
      <c r="X24" s="132">
        <v>4.4756974171818715</v>
      </c>
      <c r="Y24" s="132">
        <v>5.103431869865596</v>
      </c>
      <c r="DA24" s="156" t="s">
        <v>292</v>
      </c>
    </row>
    <row r="25" spans="1:105" ht="12" customHeight="1" x14ac:dyDescent="0.25">
      <c r="A25" s="131" t="s">
        <v>162</v>
      </c>
      <c r="B25" s="132">
        <v>15.893633021730807</v>
      </c>
      <c r="C25" s="132">
        <v>15.821850625932683</v>
      </c>
      <c r="D25" s="132">
        <v>15.842827790544423</v>
      </c>
      <c r="E25" s="132">
        <v>15.92126990741686</v>
      </c>
      <c r="F25" s="132">
        <v>16.156928264497108</v>
      </c>
      <c r="G25" s="132">
        <v>17.27096399517449</v>
      </c>
      <c r="H25" s="132">
        <v>17.585514532732542</v>
      </c>
      <c r="I25" s="132">
        <v>18.092790035114067</v>
      </c>
      <c r="J25" s="132">
        <v>19.433453450904082</v>
      </c>
      <c r="K25" s="132">
        <v>19.93603477563882</v>
      </c>
      <c r="L25" s="132">
        <v>20.263032298198524</v>
      </c>
      <c r="M25" s="132">
        <v>20.46613848072591</v>
      </c>
      <c r="N25" s="132">
        <v>20.92972770251264</v>
      </c>
      <c r="O25" s="132">
        <v>20.49160434325708</v>
      </c>
      <c r="P25" s="132">
        <v>20.398855217530656</v>
      </c>
      <c r="Q25" s="132">
        <v>20.922898249959619</v>
      </c>
      <c r="R25" s="132">
        <v>21.008879057179922</v>
      </c>
      <c r="S25" s="132">
        <v>21.161905474990466</v>
      </c>
      <c r="T25" s="132">
        <v>20.823093839021404</v>
      </c>
      <c r="U25" s="132">
        <v>21.146924032777743</v>
      </c>
      <c r="V25" s="132">
        <v>17.592333641248256</v>
      </c>
      <c r="W25" s="132">
        <v>18.244209554758861</v>
      </c>
      <c r="X25" s="132">
        <v>15.94388321581264</v>
      </c>
      <c r="Y25" s="132">
        <v>14.651024527244962</v>
      </c>
      <c r="DA25" s="156" t="s">
        <v>293</v>
      </c>
    </row>
    <row r="26" spans="1:105" ht="12" customHeight="1" x14ac:dyDescent="0.25">
      <c r="A26" s="131" t="s">
        <v>24</v>
      </c>
      <c r="B26" s="65">
        <v>92.508088620864086</v>
      </c>
      <c r="C26" s="65">
        <v>94.254586134097195</v>
      </c>
      <c r="D26" s="65">
        <v>96.143480781579356</v>
      </c>
      <c r="E26" s="65">
        <v>95.812536931846793</v>
      </c>
      <c r="F26" s="65">
        <v>96.175989885103434</v>
      </c>
      <c r="G26" s="65">
        <v>96.880202015514882</v>
      </c>
      <c r="H26" s="65">
        <v>96.642751018913714</v>
      </c>
      <c r="I26" s="65">
        <v>92.005613643711229</v>
      </c>
      <c r="J26" s="65">
        <v>85.528109058477924</v>
      </c>
      <c r="K26" s="65">
        <v>78.049298577474687</v>
      </c>
      <c r="L26" s="65">
        <v>72.65001695205531</v>
      </c>
      <c r="M26" s="65">
        <v>71.580790586999271</v>
      </c>
      <c r="N26" s="65">
        <v>65.433188816445877</v>
      </c>
      <c r="O26" s="65">
        <v>53.089868879012698</v>
      </c>
      <c r="P26" s="65">
        <v>51.025978732980683</v>
      </c>
      <c r="Q26" s="65">
        <v>50.6177844724808</v>
      </c>
      <c r="R26" s="65">
        <v>50.554777942535367</v>
      </c>
      <c r="S26" s="65">
        <v>50.02081980368974</v>
      </c>
      <c r="T26" s="65">
        <v>48.612671902974213</v>
      </c>
      <c r="U26" s="65">
        <v>48.496125638152371</v>
      </c>
      <c r="V26" s="65">
        <v>43.307668666309468</v>
      </c>
      <c r="W26" s="65">
        <v>48.385413488255608</v>
      </c>
      <c r="X26" s="65">
        <v>57.039671737964596</v>
      </c>
      <c r="Y26" s="65">
        <v>59.715518680312869</v>
      </c>
      <c r="DA26" s="109" t="s">
        <v>294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2.3903697334479789E-2</v>
      </c>
      <c r="H27" s="145">
        <v>4.7807394668959592E-2</v>
      </c>
      <c r="I27" s="145">
        <v>7.1625107480653469E-2</v>
      </c>
      <c r="J27" s="145">
        <v>9.5528804815133289E-2</v>
      </c>
      <c r="K27" s="145">
        <v>0.11943250214961314</v>
      </c>
      <c r="L27" s="145">
        <v>0.16715391229578669</v>
      </c>
      <c r="M27" s="145">
        <v>0.19105760963026652</v>
      </c>
      <c r="N27" s="145">
        <v>0.19105760963026658</v>
      </c>
      <c r="O27" s="145">
        <v>0.19105760963026666</v>
      </c>
      <c r="P27" s="145">
        <v>0.21496130696474636</v>
      </c>
      <c r="Q27" s="145">
        <v>0.21496130696474641</v>
      </c>
      <c r="R27" s="145">
        <v>0.21496130696474636</v>
      </c>
      <c r="S27" s="145">
        <v>0.23886500429922614</v>
      </c>
      <c r="T27" s="145">
        <v>0.23886500429922625</v>
      </c>
      <c r="U27" s="145">
        <v>0.26276870163370586</v>
      </c>
      <c r="V27" s="145">
        <v>0.26276870163370575</v>
      </c>
      <c r="W27" s="145">
        <v>0.26276870163370591</v>
      </c>
      <c r="X27" s="145">
        <v>0.28658641444539995</v>
      </c>
      <c r="Y27" s="145">
        <v>0.31049011177987984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198.73967830790639</v>
      </c>
      <c r="C29" s="130">
        <f t="shared" si="12"/>
        <v>201.89505632711339</v>
      </c>
      <c r="D29" s="130">
        <f t="shared" si="12"/>
        <v>207.01667563780813</v>
      </c>
      <c r="E29" s="130">
        <f t="shared" si="12"/>
        <v>215.05579703847786</v>
      </c>
      <c r="F29" s="130">
        <f t="shared" si="12"/>
        <v>215.13148905668368</v>
      </c>
      <c r="G29" s="130">
        <f t="shared" si="12"/>
        <v>220.63045810376713</v>
      </c>
      <c r="H29" s="130">
        <f t="shared" si="12"/>
        <v>226.15115716344553</v>
      </c>
      <c r="I29" s="130">
        <f t="shared" si="12"/>
        <v>226.5528469126383</v>
      </c>
      <c r="J29" s="130">
        <f t="shared" si="12"/>
        <v>226.21500036458224</v>
      </c>
      <c r="K29" s="130">
        <f t="shared" si="12"/>
        <v>227.56706143784612</v>
      </c>
      <c r="L29" s="130">
        <f t="shared" si="12"/>
        <v>233.30704044434282</v>
      </c>
      <c r="M29" s="130">
        <f t="shared" si="12"/>
        <v>234.31832825315237</v>
      </c>
      <c r="N29" s="130">
        <f t="shared" si="12"/>
        <v>233.86362511874029</v>
      </c>
      <c r="O29" s="130">
        <f t="shared" si="12"/>
        <v>234.4553669858592</v>
      </c>
      <c r="P29" s="130">
        <f t="shared" si="12"/>
        <v>233.69269147030752</v>
      </c>
      <c r="Q29" s="130">
        <f t="shared" si="12"/>
        <v>234.84578176996979</v>
      </c>
      <c r="R29" s="130">
        <f t="shared" ref="R29:W29" si="13">SUM(R30:R33)</f>
        <v>231.59390889765405</v>
      </c>
      <c r="S29" s="130">
        <f t="shared" si="13"/>
        <v>230.03313126937365</v>
      </c>
      <c r="T29" s="130">
        <f t="shared" si="13"/>
        <v>235.10635921133178</v>
      </c>
      <c r="U29" s="130">
        <f t="shared" si="13"/>
        <v>233.73686997741396</v>
      </c>
      <c r="V29" s="130">
        <f t="shared" si="13"/>
        <v>223.35275833026373</v>
      </c>
      <c r="W29" s="130">
        <f t="shared" si="13"/>
        <v>236.06475100381834</v>
      </c>
      <c r="X29" s="130">
        <f t="shared" ref="X29:Y29" si="14">SUM(X30:X33)</f>
        <v>235.93885585532348</v>
      </c>
      <c r="Y29" s="130">
        <f t="shared" si="14"/>
        <v>232.81628568786545</v>
      </c>
      <c r="DA29" s="155" t="s">
        <v>217</v>
      </c>
    </row>
    <row r="30" spans="1:105" ht="12" customHeight="1" x14ac:dyDescent="0.25">
      <c r="A30" s="131" t="s">
        <v>52</v>
      </c>
      <c r="B30" s="132">
        <v>51.968099742046427</v>
      </c>
      <c r="C30" s="132">
        <v>41.80042992261393</v>
      </c>
      <c r="D30" s="132">
        <v>46.319346517626819</v>
      </c>
      <c r="E30" s="132">
        <v>41.80042992261393</v>
      </c>
      <c r="F30" s="132">
        <v>23.574118658641435</v>
      </c>
      <c r="G30" s="132">
        <v>25.819260533104043</v>
      </c>
      <c r="H30" s="132">
        <v>23.574118658641442</v>
      </c>
      <c r="I30" s="132">
        <v>23.574118658641432</v>
      </c>
      <c r="J30" s="132">
        <v>19.083748925193465</v>
      </c>
      <c r="K30" s="132">
        <v>19.083748925193458</v>
      </c>
      <c r="L30" s="132">
        <v>21.328976784178845</v>
      </c>
      <c r="M30" s="132">
        <v>17.961220980223548</v>
      </c>
      <c r="N30" s="132">
        <v>16.838607050730879</v>
      </c>
      <c r="O30" s="132">
        <v>12.348323301805669</v>
      </c>
      <c r="P30" s="132">
        <v>13.470937231298379</v>
      </c>
      <c r="Q30" s="132">
        <v>15.716079105760969</v>
      </c>
      <c r="R30" s="132">
        <v>12.127601031814274</v>
      </c>
      <c r="S30" s="132">
        <v>9.9183147033533885</v>
      </c>
      <c r="T30" s="132">
        <v>13.224419604471208</v>
      </c>
      <c r="U30" s="132">
        <v>12.122355975924327</v>
      </c>
      <c r="V30" s="132">
        <v>17.632588134135862</v>
      </c>
      <c r="W30" s="132">
        <v>12.122355975924316</v>
      </c>
      <c r="X30" s="132">
        <v>12.122355975924343</v>
      </c>
      <c r="Y30" s="132">
        <v>12.105073086844367</v>
      </c>
      <c r="DA30" s="156" t="s">
        <v>296</v>
      </c>
    </row>
    <row r="31" spans="1:105" ht="12" customHeight="1" x14ac:dyDescent="0.25">
      <c r="A31" s="131" t="s">
        <v>149</v>
      </c>
      <c r="B31" s="132">
        <v>12.692177327057397</v>
      </c>
      <c r="C31" s="132">
        <v>27.088172988909651</v>
      </c>
      <c r="D31" s="132">
        <v>33.816927865433101</v>
      </c>
      <c r="E31" s="132">
        <v>50.105279276298013</v>
      </c>
      <c r="F31" s="132">
        <v>71.511676966429462</v>
      </c>
      <c r="G31" s="132">
        <v>83.721814561048575</v>
      </c>
      <c r="H31" s="132">
        <v>98.305722003323169</v>
      </c>
      <c r="I31" s="132">
        <v>107.09083324943489</v>
      </c>
      <c r="J31" s="132">
        <v>115.47018527443934</v>
      </c>
      <c r="K31" s="132">
        <v>120.24369692866036</v>
      </c>
      <c r="L31" s="132">
        <v>126.34544808618119</v>
      </c>
      <c r="M31" s="132">
        <v>136.06787875273039</v>
      </c>
      <c r="N31" s="132">
        <v>144.53807824722139</v>
      </c>
      <c r="O31" s="132">
        <v>152.60735172269713</v>
      </c>
      <c r="P31" s="132">
        <v>153.27425246294487</v>
      </c>
      <c r="Q31" s="132">
        <v>148.52548709383993</v>
      </c>
      <c r="R31" s="132">
        <v>145.52775576973224</v>
      </c>
      <c r="S31" s="132">
        <v>144.34664329601796</v>
      </c>
      <c r="T31" s="132">
        <v>143.8004178598494</v>
      </c>
      <c r="U31" s="132">
        <v>143.85927893396482</v>
      </c>
      <c r="V31" s="132">
        <v>136.93532907406279</v>
      </c>
      <c r="W31" s="132">
        <v>147.86097613989014</v>
      </c>
      <c r="X31" s="132">
        <v>144.84347103959107</v>
      </c>
      <c r="Y31" s="132">
        <v>139.37554497122068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134.07940123880257</v>
      </c>
      <c r="C33" s="68">
        <v>133.00645341558982</v>
      </c>
      <c r="D33" s="68">
        <v>126.88040125474824</v>
      </c>
      <c r="E33" s="68">
        <v>123.1500878395659</v>
      </c>
      <c r="F33" s="68">
        <v>120.04569343161279</v>
      </c>
      <c r="G33" s="68">
        <v>111.08938300961452</v>
      </c>
      <c r="H33" s="68">
        <v>104.27131650148091</v>
      </c>
      <c r="I33" s="68">
        <v>95.887895004561983</v>
      </c>
      <c r="J33" s="68">
        <v>91.661066164949446</v>
      </c>
      <c r="K33" s="68">
        <v>88.239615583992318</v>
      </c>
      <c r="L33" s="68">
        <v>85.632615573982775</v>
      </c>
      <c r="M33" s="68">
        <v>80.289228520198435</v>
      </c>
      <c r="N33" s="68">
        <v>72.486939820788024</v>
      </c>
      <c r="O33" s="68">
        <v>69.499691961356419</v>
      </c>
      <c r="P33" s="68">
        <v>66.947501776064257</v>
      </c>
      <c r="Q33" s="68">
        <v>70.604215570368908</v>
      </c>
      <c r="R33" s="68">
        <v>73.938552096107543</v>
      </c>
      <c r="S33" s="68">
        <v>75.768173270002293</v>
      </c>
      <c r="T33" s="68">
        <v>78.081521747011138</v>
      </c>
      <c r="U33" s="68">
        <v>77.755235067524808</v>
      </c>
      <c r="V33" s="68">
        <v>68.784841122065089</v>
      </c>
      <c r="W33" s="68">
        <v>76.081418888003881</v>
      </c>
      <c r="X33" s="68">
        <v>78.973028839808066</v>
      </c>
      <c r="Y33" s="68">
        <v>81.335667629800412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1547.5329564498447</v>
      </c>
      <c r="C3" s="125">
        <f t="shared" si="0"/>
        <v>1641.1602646355479</v>
      </c>
      <c r="D3" s="125">
        <f t="shared" si="0"/>
        <v>1510.9902967368316</v>
      </c>
      <c r="E3" s="125">
        <f t="shared" si="0"/>
        <v>1577.0579830783422</v>
      </c>
      <c r="F3" s="125">
        <f t="shared" si="0"/>
        <v>1805.7375456302989</v>
      </c>
      <c r="G3" s="125">
        <f t="shared" si="0"/>
        <v>1807.6375347777978</v>
      </c>
      <c r="H3" s="125">
        <f t="shared" si="0"/>
        <v>1644.1206912104003</v>
      </c>
      <c r="I3" s="125">
        <f t="shared" si="0"/>
        <v>1458.8780303152914</v>
      </c>
      <c r="J3" s="125">
        <f t="shared" si="0"/>
        <v>1441.4549698596711</v>
      </c>
      <c r="K3" s="125">
        <f t="shared" si="0"/>
        <v>1545.0357610299382</v>
      </c>
      <c r="L3" s="125">
        <f t="shared" si="0"/>
        <v>1642.283902544692</v>
      </c>
      <c r="M3" s="125">
        <f t="shared" si="0"/>
        <v>1666.8829275457049</v>
      </c>
      <c r="N3" s="125">
        <f t="shared" si="0"/>
        <v>1243.562354231115</v>
      </c>
      <c r="O3" s="125">
        <f t="shared" si="0"/>
        <v>1248.4775856361307</v>
      </c>
      <c r="P3" s="125">
        <f t="shared" si="0"/>
        <v>1113.4141132847233</v>
      </c>
      <c r="Q3" s="125">
        <f t="shared" si="0"/>
        <v>1213.4454216135155</v>
      </c>
      <c r="R3" s="125">
        <f t="shared" ref="R3:W3" si="1">SUM(R4,R16,R19,R29)</f>
        <v>1211.4516000384569</v>
      </c>
      <c r="S3" s="125">
        <f t="shared" si="1"/>
        <v>1226.9899464327534</v>
      </c>
      <c r="T3" s="125">
        <f t="shared" si="1"/>
        <v>1217.1363539482606</v>
      </c>
      <c r="U3" s="125">
        <f t="shared" si="1"/>
        <v>1215.4725525987049</v>
      </c>
      <c r="V3" s="125">
        <f t="shared" si="1"/>
        <v>1198.8339039273883</v>
      </c>
      <c r="W3" s="125">
        <f t="shared" si="1"/>
        <v>1286.7930876965534</v>
      </c>
      <c r="X3" s="125">
        <f t="shared" ref="X3:Y3" si="2">SUM(X4,X16,X19,X29)</f>
        <v>1190.5340740762881</v>
      </c>
      <c r="Y3" s="125">
        <f t="shared" si="2"/>
        <v>1005.7680741811594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1252.3487174749716</v>
      </c>
      <c r="C4" s="130">
        <f t="shared" si="3"/>
        <v>1342.6397241155487</v>
      </c>
      <c r="D4" s="130">
        <f t="shared" si="3"/>
        <v>1202.4072643318925</v>
      </c>
      <c r="E4" s="130">
        <f t="shared" si="3"/>
        <v>1254.6658585157827</v>
      </c>
      <c r="F4" s="130">
        <f t="shared" si="3"/>
        <v>1483.5377595308009</v>
      </c>
      <c r="G4" s="130">
        <f t="shared" si="3"/>
        <v>1479.9695382072275</v>
      </c>
      <c r="H4" s="130">
        <f t="shared" si="3"/>
        <v>1306.2214403500661</v>
      </c>
      <c r="I4" s="130">
        <f t="shared" si="3"/>
        <v>1113.4896791501808</v>
      </c>
      <c r="J4" s="130">
        <f t="shared" si="3"/>
        <v>1099.8196971618092</v>
      </c>
      <c r="K4" s="130">
        <f t="shared" si="3"/>
        <v>1199.0570339253422</v>
      </c>
      <c r="L4" s="130">
        <f t="shared" si="3"/>
        <v>1288.5538101277448</v>
      </c>
      <c r="M4" s="130">
        <f t="shared" si="3"/>
        <v>1311.0127330189455</v>
      </c>
      <c r="N4" s="130">
        <f t="shared" si="3"/>
        <v>873.1460297759744</v>
      </c>
      <c r="O4" s="130">
        <f t="shared" si="3"/>
        <v>886.68942307191469</v>
      </c>
      <c r="P4" s="130">
        <f t="shared" si="3"/>
        <v>754.46070806298951</v>
      </c>
      <c r="Q4" s="130">
        <f t="shared" si="3"/>
        <v>827.37591462801106</v>
      </c>
      <c r="R4" s="130">
        <f t="shared" ref="R4:W4" si="4">SUM(R5:R15)</f>
        <v>844.38148995243466</v>
      </c>
      <c r="S4" s="130">
        <f t="shared" si="4"/>
        <v>845.76638660034553</v>
      </c>
      <c r="T4" s="130">
        <f t="shared" si="4"/>
        <v>829.00692910389955</v>
      </c>
      <c r="U4" s="130">
        <f t="shared" si="4"/>
        <v>821.15647684712621</v>
      </c>
      <c r="V4" s="130">
        <f t="shared" si="4"/>
        <v>837.44928863961525</v>
      </c>
      <c r="W4" s="130">
        <f t="shared" si="4"/>
        <v>892.18803206802215</v>
      </c>
      <c r="X4" s="130">
        <f t="shared" ref="X4:Y4" si="5">SUM(X5:X15)</f>
        <v>789.90663558404742</v>
      </c>
      <c r="Y4" s="130">
        <f t="shared" si="5"/>
        <v>614.05714146599792</v>
      </c>
      <c r="DA4" s="155" t="s">
        <v>302</v>
      </c>
    </row>
    <row r="5" spans="1:105" ht="12" customHeight="1" x14ac:dyDescent="0.25">
      <c r="A5" s="131" t="s">
        <v>29</v>
      </c>
      <c r="B5" s="132">
        <v>12.230555372241389</v>
      </c>
      <c r="C5" s="132">
        <v>7.0609532217459368</v>
      </c>
      <c r="D5" s="132">
        <v>5.5586295090672753</v>
      </c>
      <c r="E5" s="132">
        <v>5.2008296411846837</v>
      </c>
      <c r="F5" s="132">
        <v>3.262047279570464</v>
      </c>
      <c r="G5" s="132">
        <v>1.2623077667997906</v>
      </c>
      <c r="H5" s="132">
        <v>2.3145561921609628</v>
      </c>
      <c r="I5" s="132">
        <v>1.9121391391802378</v>
      </c>
      <c r="J5" s="132">
        <v>1.8137816212680753</v>
      </c>
      <c r="K5" s="132">
        <v>1.4985564427263274</v>
      </c>
      <c r="L5" s="132">
        <v>1.4430913357172537</v>
      </c>
      <c r="M5" s="132">
        <v>1.6484616487621488</v>
      </c>
      <c r="N5" s="132">
        <v>0.51333898765377239</v>
      </c>
      <c r="O5" s="132">
        <v>1.6240085756903748</v>
      </c>
      <c r="P5" s="132">
        <v>1.5202012579104833</v>
      </c>
      <c r="Q5" s="132">
        <v>1.9447713845838981</v>
      </c>
      <c r="R5" s="132">
        <v>1.9203589672197487</v>
      </c>
      <c r="S5" s="132">
        <v>0.97838017788333131</v>
      </c>
      <c r="T5" s="132">
        <v>1.0031811239262816</v>
      </c>
      <c r="U5" s="132">
        <v>0.98763767387171453</v>
      </c>
      <c r="V5" s="132">
        <v>0.79757328092504265</v>
      </c>
      <c r="W5" s="132">
        <v>0.79363027337443548</v>
      </c>
      <c r="X5" s="132">
        <v>0.95552216309719984</v>
      </c>
      <c r="Y5" s="132">
        <v>0.36898550368510413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14.976281848957898</v>
      </c>
      <c r="C7" s="132">
        <v>15.813949055232259</v>
      </c>
      <c r="D7" s="132">
        <v>7.4329522920283626</v>
      </c>
      <c r="E7" s="132">
        <v>5.5281360262258756</v>
      </c>
      <c r="F7" s="132">
        <v>5.0130291362652573</v>
      </c>
      <c r="G7" s="132">
        <v>5.4675902197816724</v>
      </c>
      <c r="H7" s="132">
        <v>4.1103745392901692</v>
      </c>
      <c r="I7" s="132">
        <v>0</v>
      </c>
      <c r="J7" s="132">
        <v>0</v>
      </c>
      <c r="K7" s="132">
        <v>0</v>
      </c>
      <c r="L7" s="132">
        <v>0</v>
      </c>
      <c r="M7" s="132">
        <v>0</v>
      </c>
      <c r="N7" s="132">
        <v>6.8318317646235256</v>
      </c>
      <c r="O7" s="132">
        <v>4.0046954969607658</v>
      </c>
      <c r="P7" s="132">
        <v>8.985759472353978</v>
      </c>
      <c r="Q7" s="132">
        <v>16.058912995957296</v>
      </c>
      <c r="R7" s="132">
        <v>20.482683969316312</v>
      </c>
      <c r="S7" s="132">
        <v>18.68977963187945</v>
      </c>
      <c r="T7" s="132">
        <v>21.42265513198555</v>
      </c>
      <c r="U7" s="132">
        <v>18.963778758602668</v>
      </c>
      <c r="V7" s="132">
        <v>19.66270599224038</v>
      </c>
      <c r="W7" s="132">
        <v>25.120239326479947</v>
      </c>
      <c r="X7" s="132">
        <v>17.895866616142992</v>
      </c>
      <c r="Y7" s="132">
        <v>16.00039383089365</v>
      </c>
      <c r="DA7" s="156" t="s">
        <v>305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3.4489334466028506E-3</v>
      </c>
      <c r="S8" s="132">
        <v>2.0722999655630101E-2</v>
      </c>
      <c r="T8" s="132">
        <v>5.5711294060244637E-2</v>
      </c>
      <c r="U8" s="132">
        <v>6.9399051362935449E-2</v>
      </c>
      <c r="V8" s="132">
        <v>0.12930407531512481</v>
      </c>
      <c r="W8" s="132">
        <v>0.11025069205890257</v>
      </c>
      <c r="X8" s="132">
        <v>0.13118243430907306</v>
      </c>
      <c r="Y8" s="132">
        <v>0.14857466748469531</v>
      </c>
      <c r="DA8" s="156" t="s">
        <v>306</v>
      </c>
    </row>
    <row r="9" spans="1:105" ht="12" customHeight="1" x14ac:dyDescent="0.25">
      <c r="A9" s="131" t="s">
        <v>78</v>
      </c>
      <c r="B9" s="132">
        <v>815.88468325162705</v>
      </c>
      <c r="C9" s="132">
        <v>892.21078986616556</v>
      </c>
      <c r="D9" s="132">
        <v>825.0719101278861</v>
      </c>
      <c r="E9" s="132">
        <v>880.65703402565805</v>
      </c>
      <c r="F9" s="132">
        <v>1139.7305365612669</v>
      </c>
      <c r="G9" s="132">
        <v>1079.9362493068675</v>
      </c>
      <c r="H9" s="132">
        <v>914.8287661424439</v>
      </c>
      <c r="I9" s="132">
        <v>684.3141580397853</v>
      </c>
      <c r="J9" s="132">
        <v>635.71157037687249</v>
      </c>
      <c r="K9" s="132">
        <v>706.12422591032919</v>
      </c>
      <c r="L9" s="132">
        <v>791.29790079705151</v>
      </c>
      <c r="M9" s="132">
        <v>808.80196574069453</v>
      </c>
      <c r="N9" s="132">
        <v>634.05030131941351</v>
      </c>
      <c r="O9" s="132">
        <v>652.10298725014218</v>
      </c>
      <c r="P9" s="132">
        <v>559.99939052802085</v>
      </c>
      <c r="Q9" s="132">
        <v>578.99765760743003</v>
      </c>
      <c r="R9" s="132">
        <v>567.45487454031422</v>
      </c>
      <c r="S9" s="132">
        <v>545.71815667124065</v>
      </c>
      <c r="T9" s="132">
        <v>513.8193071041751</v>
      </c>
      <c r="U9" s="132">
        <v>501.72342873059523</v>
      </c>
      <c r="V9" s="132">
        <v>526.72781751009961</v>
      </c>
      <c r="W9" s="132">
        <v>562.21699246130424</v>
      </c>
      <c r="X9" s="132">
        <v>448.65301195120333</v>
      </c>
      <c r="Y9" s="132">
        <v>331.92875259633576</v>
      </c>
      <c r="DA9" s="156" t="s">
        <v>307</v>
      </c>
    </row>
    <row r="10" spans="1:105" ht="12" customHeight="1" x14ac:dyDescent="0.25">
      <c r="A10" s="131" t="s">
        <v>128</v>
      </c>
      <c r="B10" s="132">
        <v>24.445504318661268</v>
      </c>
      <c r="C10" s="132">
        <v>21.438218914530214</v>
      </c>
      <c r="D10" s="132">
        <v>23.307813950545434</v>
      </c>
      <c r="E10" s="132">
        <v>27.917965642223116</v>
      </c>
      <c r="F10" s="132">
        <v>25.66960137625319</v>
      </c>
      <c r="G10" s="132">
        <v>16.081069260145519</v>
      </c>
      <c r="H10" s="132">
        <v>15.421953612508526</v>
      </c>
      <c r="I10" s="132">
        <v>14.147016606844016</v>
      </c>
      <c r="J10" s="132">
        <v>14.329219914551329</v>
      </c>
      <c r="K10" s="132">
        <v>15.590481231758876</v>
      </c>
      <c r="L10" s="132">
        <v>16.798437287908701</v>
      </c>
      <c r="M10" s="132">
        <v>17.122791009342052</v>
      </c>
      <c r="N10" s="132">
        <v>16.230386027806723</v>
      </c>
      <c r="O10" s="132">
        <v>15.738379266575583</v>
      </c>
      <c r="P10" s="132">
        <v>13.231446240291872</v>
      </c>
      <c r="Q10" s="132">
        <v>16.375046834965794</v>
      </c>
      <c r="R10" s="132">
        <v>14.153143279923029</v>
      </c>
      <c r="S10" s="132">
        <v>14.380777652259216</v>
      </c>
      <c r="T10" s="132">
        <v>13.175109847595929</v>
      </c>
      <c r="U10" s="132">
        <v>14.525377410385738</v>
      </c>
      <c r="V10" s="132">
        <v>12.770306885336224</v>
      </c>
      <c r="W10" s="132">
        <v>10.55072599661337</v>
      </c>
      <c r="X10" s="132">
        <v>11.547225963922738</v>
      </c>
      <c r="Y10" s="132">
        <v>12.625820648219308</v>
      </c>
      <c r="DA10" s="156" t="s">
        <v>308</v>
      </c>
    </row>
    <row r="11" spans="1:105" ht="12" customHeight="1" x14ac:dyDescent="0.25">
      <c r="A11" s="131" t="s">
        <v>25</v>
      </c>
      <c r="B11" s="132">
        <v>58.988483924519798</v>
      </c>
      <c r="C11" s="132">
        <v>58.35083227214691</v>
      </c>
      <c r="D11" s="132">
        <v>58.533853942812904</v>
      </c>
      <c r="E11" s="132">
        <v>57.820836152757963</v>
      </c>
      <c r="F11" s="132">
        <v>50.519984041314061</v>
      </c>
      <c r="G11" s="132">
        <v>49.589965967492802</v>
      </c>
      <c r="H11" s="132">
        <v>50.56639352568957</v>
      </c>
      <c r="I11" s="132">
        <v>51.528043861684985</v>
      </c>
      <c r="J11" s="132">
        <v>59.264997343504582</v>
      </c>
      <c r="K11" s="132">
        <v>61.199568946379706</v>
      </c>
      <c r="L11" s="132">
        <v>61.9742871593158</v>
      </c>
      <c r="M11" s="132">
        <v>65.471945556330326</v>
      </c>
      <c r="N11" s="132">
        <v>65.835438247449943</v>
      </c>
      <c r="O11" s="132">
        <v>68.186648898100202</v>
      </c>
      <c r="P11" s="132">
        <v>18.112895114340922</v>
      </c>
      <c r="Q11" s="132">
        <v>15.747839041562408</v>
      </c>
      <c r="R11" s="132">
        <v>13.287715687978183</v>
      </c>
      <c r="S11" s="132">
        <v>18.397066999232429</v>
      </c>
      <c r="T11" s="132">
        <v>17.634884240437678</v>
      </c>
      <c r="U11" s="132">
        <v>19.452960066843648</v>
      </c>
      <c r="V11" s="132">
        <v>17.77270535978348</v>
      </c>
      <c r="W11" s="132">
        <v>24.041025904301229</v>
      </c>
      <c r="X11" s="132">
        <v>27.256994367615185</v>
      </c>
      <c r="Y11" s="132">
        <v>30.856665742170026</v>
      </c>
      <c r="DA11" s="156" t="s">
        <v>309</v>
      </c>
    </row>
    <row r="12" spans="1:105" ht="12" customHeight="1" x14ac:dyDescent="0.25">
      <c r="A12" s="131" t="s">
        <v>162</v>
      </c>
      <c r="B12" s="132">
        <v>191.03233905547003</v>
      </c>
      <c r="C12" s="132">
        <v>215.6337733321821</v>
      </c>
      <c r="D12" s="132">
        <v>173.5193129226642</v>
      </c>
      <c r="E12" s="132">
        <v>183.21161350647245</v>
      </c>
      <c r="F12" s="132">
        <v>141.0311612508377</v>
      </c>
      <c r="G12" s="132">
        <v>165.21195612363178</v>
      </c>
      <c r="H12" s="132">
        <v>141.10787339941535</v>
      </c>
      <c r="I12" s="132">
        <v>151.74517152318384</v>
      </c>
      <c r="J12" s="132">
        <v>174.72963643575667</v>
      </c>
      <c r="K12" s="132">
        <v>160.65985146931848</v>
      </c>
      <c r="L12" s="132">
        <v>159.59211145502121</v>
      </c>
      <c r="M12" s="132">
        <v>147.36102353859144</v>
      </c>
      <c r="N12" s="132">
        <v>100.83734059191291</v>
      </c>
      <c r="O12" s="132">
        <v>96.794383661859285</v>
      </c>
      <c r="P12" s="132">
        <v>90.350518641241749</v>
      </c>
      <c r="Q12" s="132">
        <v>116.57596949386669</v>
      </c>
      <c r="R12" s="132">
        <v>130.72159412427015</v>
      </c>
      <c r="S12" s="132">
        <v>132.77607746409021</v>
      </c>
      <c r="T12" s="132">
        <v>125.12172938748824</v>
      </c>
      <c r="U12" s="132">
        <v>119.38178247669622</v>
      </c>
      <c r="V12" s="132">
        <v>119.8313735970053</v>
      </c>
      <c r="W12" s="132">
        <v>128.80526737899933</v>
      </c>
      <c r="X12" s="132">
        <v>112.47164270171132</v>
      </c>
      <c r="Y12" s="132">
        <v>84.799805654497121</v>
      </c>
      <c r="DA12" s="156" t="s">
        <v>310</v>
      </c>
    </row>
    <row r="13" spans="1:105" ht="12" customHeight="1" x14ac:dyDescent="0.25">
      <c r="A13" s="131" t="s">
        <v>77</v>
      </c>
      <c r="B13" s="132">
        <v>1.0737925990553366E-2</v>
      </c>
      <c r="C13" s="132">
        <v>1.3067708171478887E-2</v>
      </c>
      <c r="D13" s="132">
        <v>1.4239883531378946E-2</v>
      </c>
      <c r="E13" s="132">
        <v>1.565969204355917E-2</v>
      </c>
      <c r="F13" s="132">
        <v>3.0246424399879918E-2</v>
      </c>
      <c r="G13" s="132">
        <v>5.9055306025740148E-2</v>
      </c>
      <c r="H13" s="132">
        <v>9.1395751493771077E-2</v>
      </c>
      <c r="I13" s="132">
        <v>0.16235059456768802</v>
      </c>
      <c r="J13" s="132">
        <v>0.18351446770750607</v>
      </c>
      <c r="K13" s="132">
        <v>0.23933463423770449</v>
      </c>
      <c r="L13" s="132">
        <v>0.27016002590620553</v>
      </c>
      <c r="M13" s="132">
        <v>0.32645782547525598</v>
      </c>
      <c r="N13" s="132">
        <v>0.646483966500216</v>
      </c>
      <c r="O13" s="132">
        <v>0.98727884019135459</v>
      </c>
      <c r="P13" s="132">
        <v>1.4744944561650672</v>
      </c>
      <c r="Q13" s="132">
        <v>1.2340381092641588</v>
      </c>
      <c r="R13" s="132">
        <v>1.3202760662015571</v>
      </c>
      <c r="S13" s="132">
        <v>1.6007919838326274</v>
      </c>
      <c r="T13" s="132">
        <v>2.6196139202307194</v>
      </c>
      <c r="U13" s="132">
        <v>3.1719422952260907</v>
      </c>
      <c r="V13" s="132">
        <v>5.6440038691287437</v>
      </c>
      <c r="W13" s="132">
        <v>4.6112843388728608</v>
      </c>
      <c r="X13" s="132">
        <v>27.674396658962134</v>
      </c>
      <c r="Y13" s="132">
        <v>31.70920007845325</v>
      </c>
      <c r="DA13" s="156" t="s">
        <v>311</v>
      </c>
    </row>
    <row r="14" spans="1:105" ht="12" customHeight="1" x14ac:dyDescent="0.25">
      <c r="A14" s="60" t="s">
        <v>76</v>
      </c>
      <c r="B14" s="65">
        <v>116.54604776368322</v>
      </c>
      <c r="C14" s="65">
        <v>112.71471881710846</v>
      </c>
      <c r="D14" s="65">
        <v>91.596934224479057</v>
      </c>
      <c r="E14" s="65">
        <v>76.175892934246235</v>
      </c>
      <c r="F14" s="65">
        <v>95.95158595584877</v>
      </c>
      <c r="G14" s="65">
        <v>141.48720772007709</v>
      </c>
      <c r="H14" s="65">
        <v>160.31679763827265</v>
      </c>
      <c r="I14" s="65">
        <v>196.57797169058969</v>
      </c>
      <c r="J14" s="65">
        <v>201.57714419934771</v>
      </c>
      <c r="K14" s="65">
        <v>240.5285364460706</v>
      </c>
      <c r="L14" s="65">
        <v>242.66629742406261</v>
      </c>
      <c r="M14" s="65">
        <v>255.66601031434803</v>
      </c>
      <c r="N14" s="65">
        <v>36.728887509786659</v>
      </c>
      <c r="O14" s="65">
        <v>35.633187501189276</v>
      </c>
      <c r="P14" s="65">
        <v>50.934902868669987</v>
      </c>
      <c r="Q14" s="65">
        <v>70.111099449146835</v>
      </c>
      <c r="R14" s="65">
        <v>84.854363315010843</v>
      </c>
      <c r="S14" s="65">
        <v>103.42773210314395</v>
      </c>
      <c r="T14" s="65">
        <v>124.92619392767365</v>
      </c>
      <c r="U14" s="65">
        <v>133.9157488760801</v>
      </c>
      <c r="V14" s="65">
        <v>124.7766642074305</v>
      </c>
      <c r="W14" s="65">
        <v>125.91789290277885</v>
      </c>
      <c r="X14" s="65">
        <v>135.25673499265818</v>
      </c>
      <c r="Y14" s="65">
        <v>99.52362206552705</v>
      </c>
      <c r="DA14" s="109" t="s">
        <v>312</v>
      </c>
    </row>
    <row r="15" spans="1:105" ht="12" customHeight="1" x14ac:dyDescent="0.25">
      <c r="A15" s="133" t="s">
        <v>80</v>
      </c>
      <c r="B15" s="134">
        <v>18.234084013820677</v>
      </c>
      <c r="C15" s="134">
        <v>19.403420928265554</v>
      </c>
      <c r="D15" s="134">
        <v>17.371617478877724</v>
      </c>
      <c r="E15" s="134">
        <v>18.137890894970752</v>
      </c>
      <c r="F15" s="134">
        <v>22.329567505044825</v>
      </c>
      <c r="G15" s="134">
        <v>20.874136536405484</v>
      </c>
      <c r="H15" s="134">
        <v>17.46332954879097</v>
      </c>
      <c r="I15" s="134">
        <v>13.102827694344985</v>
      </c>
      <c r="J15" s="134">
        <v>12.209832802800863</v>
      </c>
      <c r="K15" s="134">
        <v>13.216478844521468</v>
      </c>
      <c r="L15" s="134">
        <v>14.51152464276143</v>
      </c>
      <c r="M15" s="134">
        <v>14.614077385401778</v>
      </c>
      <c r="N15" s="134">
        <v>11.472021360827036</v>
      </c>
      <c r="O15" s="134">
        <v>11.61785358120566</v>
      </c>
      <c r="P15" s="134">
        <v>9.8510994839945401</v>
      </c>
      <c r="Q15" s="134">
        <v>10.330579711233797</v>
      </c>
      <c r="R15" s="134">
        <v>10.18303106875396</v>
      </c>
      <c r="S15" s="134">
        <v>9.7769009171280761</v>
      </c>
      <c r="T15" s="134">
        <v>9.2285431263261444</v>
      </c>
      <c r="U15" s="134">
        <v>8.9644215074618003</v>
      </c>
      <c r="V15" s="134">
        <v>9.3368338623509377</v>
      </c>
      <c r="W15" s="134">
        <v>10.020722793239022</v>
      </c>
      <c r="X15" s="134">
        <v>8.0640577344252744</v>
      </c>
      <c r="Y15" s="134">
        <v>6.0953206787319534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25.921684923311155</v>
      </c>
      <c r="C16" s="130">
        <f t="shared" si="6"/>
        <v>24.627339721419261</v>
      </c>
      <c r="D16" s="130">
        <f t="shared" si="6"/>
        <v>27.844630243001831</v>
      </c>
      <c r="E16" s="130">
        <f t="shared" si="6"/>
        <v>33.824822375937536</v>
      </c>
      <c r="F16" s="130">
        <f t="shared" si="6"/>
        <v>29.078469578605944</v>
      </c>
      <c r="G16" s="130">
        <f t="shared" si="6"/>
        <v>30.796960566490476</v>
      </c>
      <c r="H16" s="130">
        <f t="shared" si="6"/>
        <v>37.01738367478238</v>
      </c>
      <c r="I16" s="130">
        <f t="shared" si="6"/>
        <v>43.677431823951224</v>
      </c>
      <c r="J16" s="130">
        <f t="shared" si="6"/>
        <v>39.566126573961483</v>
      </c>
      <c r="K16" s="130">
        <f t="shared" si="6"/>
        <v>41.996681265603449</v>
      </c>
      <c r="L16" s="130">
        <f t="shared" si="6"/>
        <v>46.311164815728361</v>
      </c>
      <c r="M16" s="130">
        <f t="shared" si="6"/>
        <v>47.215925163036523</v>
      </c>
      <c r="N16" s="130">
        <f t="shared" si="6"/>
        <v>62.785169293204483</v>
      </c>
      <c r="O16" s="130">
        <f t="shared" si="6"/>
        <v>53.021658722509649</v>
      </c>
      <c r="P16" s="130">
        <f t="shared" si="6"/>
        <v>49.576857723809034</v>
      </c>
      <c r="Q16" s="130">
        <f t="shared" si="6"/>
        <v>73.841698001342394</v>
      </c>
      <c r="R16" s="130">
        <f t="shared" ref="R16:W16" si="7">SUM(R17:R18)</f>
        <v>53.513282978363939</v>
      </c>
      <c r="S16" s="130">
        <f t="shared" si="7"/>
        <v>65.708974810461726</v>
      </c>
      <c r="T16" s="130">
        <f t="shared" si="7"/>
        <v>65.401918485633971</v>
      </c>
      <c r="U16" s="130">
        <f t="shared" si="7"/>
        <v>72.596046432049405</v>
      </c>
      <c r="V16" s="130">
        <f t="shared" si="7"/>
        <v>60.849532903793666</v>
      </c>
      <c r="W16" s="130">
        <f t="shared" si="7"/>
        <v>78.009021273796975</v>
      </c>
      <c r="X16" s="130">
        <f t="shared" ref="X16:Y16" si="8">SUM(X17:X18)</f>
        <v>80.489696835397766</v>
      </c>
      <c r="Y16" s="130">
        <f t="shared" si="8"/>
        <v>72.246793540049907</v>
      </c>
      <c r="DA16" s="155" t="s">
        <v>314</v>
      </c>
    </row>
    <row r="17" spans="1:105" ht="12.95" customHeight="1" x14ac:dyDescent="0.25">
      <c r="A17" s="131" t="s">
        <v>73</v>
      </c>
      <c r="B17" s="132">
        <v>6.238937333812649E-2</v>
      </c>
      <c r="C17" s="132">
        <v>6.5048455152704784E-2</v>
      </c>
      <c r="D17" s="132">
        <v>8.2778918777249702E-2</v>
      </c>
      <c r="E17" s="132">
        <v>0.10793041217459225</v>
      </c>
      <c r="F17" s="132">
        <v>8.8212374527345386E-2</v>
      </c>
      <c r="G17" s="132">
        <v>9.6847026583248619E-2</v>
      </c>
      <c r="H17" s="132">
        <v>0.12575371911516034</v>
      </c>
      <c r="I17" s="132">
        <v>0.15687674967656373</v>
      </c>
      <c r="J17" s="132">
        <v>0.13918955911423575</v>
      </c>
      <c r="K17" s="132">
        <v>0.15456418558919155</v>
      </c>
      <c r="L17" s="132">
        <v>0.18961140450749323</v>
      </c>
      <c r="M17" s="132">
        <v>0.21489483485758504</v>
      </c>
      <c r="N17" s="132">
        <v>0.3192132716063022</v>
      </c>
      <c r="O17" s="132">
        <v>0.29650773074107301</v>
      </c>
      <c r="P17" s="132">
        <v>0.28845225304778432</v>
      </c>
      <c r="Q17" s="132">
        <v>0.46199579942051522</v>
      </c>
      <c r="R17" s="132">
        <v>0.35174301575519457</v>
      </c>
      <c r="S17" s="132">
        <v>0.49370255876698432</v>
      </c>
      <c r="T17" s="132">
        <v>0.51956047818514206</v>
      </c>
      <c r="U17" s="132">
        <v>0.6758712014721564</v>
      </c>
      <c r="V17" s="132">
        <v>0.54584103163340891</v>
      </c>
      <c r="W17" s="132">
        <v>0.72588720476199498</v>
      </c>
      <c r="X17" s="132">
        <v>0.81978162368938379</v>
      </c>
      <c r="Y17" s="132">
        <v>0.75314681896928759</v>
      </c>
      <c r="DA17" s="156" t="s">
        <v>315</v>
      </c>
    </row>
    <row r="18" spans="1:105" ht="12" customHeight="1" x14ac:dyDescent="0.25">
      <c r="A18" s="131" t="s">
        <v>72</v>
      </c>
      <c r="B18" s="132">
        <v>25.859295549973027</v>
      </c>
      <c r="C18" s="132">
        <v>24.562291266266556</v>
      </c>
      <c r="D18" s="132">
        <v>27.76185132422458</v>
      </c>
      <c r="E18" s="132">
        <v>33.716891963762947</v>
      </c>
      <c r="F18" s="132">
        <v>28.990257204078599</v>
      </c>
      <c r="G18" s="132">
        <v>30.700113539907228</v>
      </c>
      <c r="H18" s="132">
        <v>36.89162995566722</v>
      </c>
      <c r="I18" s="132">
        <v>43.520555074274661</v>
      </c>
      <c r="J18" s="132">
        <v>39.426937014847248</v>
      </c>
      <c r="K18" s="132">
        <v>41.842117080014255</v>
      </c>
      <c r="L18" s="132">
        <v>46.121553411220866</v>
      </c>
      <c r="M18" s="132">
        <v>47.001030328178935</v>
      </c>
      <c r="N18" s="132">
        <v>62.465956021598181</v>
      </c>
      <c r="O18" s="132">
        <v>52.725150991768579</v>
      </c>
      <c r="P18" s="132">
        <v>49.288405470761248</v>
      </c>
      <c r="Q18" s="132">
        <v>73.379702201921873</v>
      </c>
      <c r="R18" s="132">
        <v>53.161539962608742</v>
      </c>
      <c r="S18" s="132">
        <v>65.215272251694742</v>
      </c>
      <c r="T18" s="132">
        <v>64.882358007448829</v>
      </c>
      <c r="U18" s="132">
        <v>71.920175230577243</v>
      </c>
      <c r="V18" s="132">
        <v>60.303691872160258</v>
      </c>
      <c r="W18" s="132">
        <v>77.283134069034986</v>
      </c>
      <c r="X18" s="132">
        <v>79.669915211708386</v>
      </c>
      <c r="Y18" s="132">
        <v>71.493646721080623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120.29880232836119</v>
      </c>
      <c r="C19" s="130">
        <f t="shared" si="9"/>
        <v>122.77408696593133</v>
      </c>
      <c r="D19" s="130">
        <f t="shared" si="9"/>
        <v>127.42597139154738</v>
      </c>
      <c r="E19" s="130">
        <f t="shared" si="9"/>
        <v>130.5984904896078</v>
      </c>
      <c r="F19" s="130">
        <f t="shared" si="9"/>
        <v>135.17237386172997</v>
      </c>
      <c r="G19" s="130">
        <f t="shared" si="9"/>
        <v>137.00857811909125</v>
      </c>
      <c r="H19" s="130">
        <f t="shared" si="9"/>
        <v>138.59608174839806</v>
      </c>
      <c r="I19" s="130">
        <f t="shared" si="9"/>
        <v>140.53479202325479</v>
      </c>
      <c r="J19" s="130">
        <f t="shared" si="9"/>
        <v>141.59620119766825</v>
      </c>
      <c r="K19" s="130">
        <f t="shared" si="9"/>
        <v>143.01446528743571</v>
      </c>
      <c r="L19" s="130">
        <f t="shared" si="9"/>
        <v>143.15536126395469</v>
      </c>
      <c r="M19" s="130">
        <f t="shared" si="9"/>
        <v>144.75311593069088</v>
      </c>
      <c r="N19" s="130">
        <f t="shared" si="9"/>
        <v>145.51709622466009</v>
      </c>
      <c r="O19" s="130">
        <f t="shared" si="9"/>
        <v>146.6798196273773</v>
      </c>
      <c r="P19" s="130">
        <f t="shared" si="9"/>
        <v>148.09312581871697</v>
      </c>
      <c r="Q19" s="130">
        <f t="shared" si="9"/>
        <v>149.22695768145832</v>
      </c>
      <c r="R19" s="130">
        <f t="shared" ref="R19:W19" si="10">SUM(R20:R27)</f>
        <v>151.47195266794239</v>
      </c>
      <c r="S19" s="130">
        <f t="shared" si="10"/>
        <v>153.50936525027623</v>
      </c>
      <c r="T19" s="130">
        <f t="shared" si="10"/>
        <v>156.49807910262047</v>
      </c>
      <c r="U19" s="130">
        <f t="shared" si="10"/>
        <v>155.80539401983086</v>
      </c>
      <c r="V19" s="130">
        <f t="shared" si="10"/>
        <v>142.78756984134296</v>
      </c>
      <c r="W19" s="130">
        <f t="shared" si="10"/>
        <v>148.32263073176208</v>
      </c>
      <c r="X19" s="130">
        <f t="shared" ref="X19:Y19" si="11">SUM(X20:X27)</f>
        <v>150.5846714076132</v>
      </c>
      <c r="Y19" s="130">
        <f t="shared" si="11"/>
        <v>150.65255653975345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319</v>
      </c>
    </row>
    <row r="22" spans="1:105" ht="12" customHeight="1" x14ac:dyDescent="0.25">
      <c r="A22" s="131" t="s">
        <v>161</v>
      </c>
      <c r="B22" s="132">
        <v>0</v>
      </c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320</v>
      </c>
    </row>
    <row r="23" spans="1:105" ht="12" customHeight="1" x14ac:dyDescent="0.25">
      <c r="A23" s="131" t="s">
        <v>149</v>
      </c>
      <c r="B23" s="132">
        <v>48.799361100193487</v>
      </c>
      <c r="C23" s="132">
        <v>49.995794217724665</v>
      </c>
      <c r="D23" s="132">
        <v>53.218218614334823</v>
      </c>
      <c r="E23" s="132">
        <v>56.271292799433411</v>
      </c>
      <c r="F23" s="132">
        <v>60.207218899137025</v>
      </c>
      <c r="G23" s="132">
        <v>60.404445627027492</v>
      </c>
      <c r="H23" s="132">
        <v>61.616358045436961</v>
      </c>
      <c r="I23" s="132">
        <v>65.922612445013641</v>
      </c>
      <c r="J23" s="132">
        <v>69.932997649993197</v>
      </c>
      <c r="K23" s="132">
        <v>75.619639174429324</v>
      </c>
      <c r="L23" s="132">
        <v>78.7263698231897</v>
      </c>
      <c r="M23" s="132">
        <v>80.465714472566134</v>
      </c>
      <c r="N23" s="132">
        <v>80.95794345514895</v>
      </c>
      <c r="O23" s="132">
        <v>90.278857707713897</v>
      </c>
      <c r="P23" s="132">
        <v>92.945906643995087</v>
      </c>
      <c r="Q23" s="132">
        <v>93.582047225226631</v>
      </c>
      <c r="R23" s="132">
        <v>95.133517135882741</v>
      </c>
      <c r="S23" s="132">
        <v>96.43284651854492</v>
      </c>
      <c r="T23" s="132">
        <v>99.834608862517058</v>
      </c>
      <c r="U23" s="132">
        <v>97.858968401383933</v>
      </c>
      <c r="V23" s="132">
        <v>90.981613834567824</v>
      </c>
      <c r="W23" s="132">
        <v>91.214872619421982</v>
      </c>
      <c r="X23" s="132">
        <v>86.745164092930082</v>
      </c>
      <c r="Y23" s="132">
        <v>84.228087137833441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3.5307426947943745</v>
      </c>
      <c r="O24" s="132">
        <v>3.6106266975527705</v>
      </c>
      <c r="P24" s="132">
        <v>3.6886736550683801</v>
      </c>
      <c r="Q24" s="132">
        <v>3.6270720514126302</v>
      </c>
      <c r="R24" s="132">
        <v>3.5616847218854586</v>
      </c>
      <c r="S24" s="132">
        <v>3.5249898852860295</v>
      </c>
      <c r="T24" s="132">
        <v>3.4229081069928786</v>
      </c>
      <c r="U24" s="132">
        <v>3.3998426286811223</v>
      </c>
      <c r="V24" s="132">
        <v>3.1732789331868543</v>
      </c>
      <c r="W24" s="132">
        <v>2.7926514579540713</v>
      </c>
      <c r="X24" s="132">
        <v>3.2470795450509566</v>
      </c>
      <c r="Y24" s="132">
        <v>3.7766589575308167</v>
      </c>
      <c r="DA24" s="156" t="s">
        <v>322</v>
      </c>
    </row>
    <row r="25" spans="1:105" ht="12" customHeight="1" x14ac:dyDescent="0.25">
      <c r="A25" s="131" t="s">
        <v>162</v>
      </c>
      <c r="B25" s="132">
        <v>12.24213405703845</v>
      </c>
      <c r="C25" s="132">
        <v>12.215885467590997</v>
      </c>
      <c r="D25" s="132">
        <v>12.265242667177725</v>
      </c>
      <c r="E25" s="132">
        <v>12.366339144174587</v>
      </c>
      <c r="F25" s="132">
        <v>12.594995043386103</v>
      </c>
      <c r="G25" s="132">
        <v>13.521074862507062</v>
      </c>
      <c r="H25" s="132">
        <v>13.825126690754725</v>
      </c>
      <c r="I25" s="132">
        <v>14.284510268835959</v>
      </c>
      <c r="J25" s="132">
        <v>15.408134138730395</v>
      </c>
      <c r="K25" s="132">
        <v>15.870606325682379</v>
      </c>
      <c r="L25" s="132">
        <v>16.197246630611961</v>
      </c>
      <c r="M25" s="132">
        <v>16.429621045366797</v>
      </c>
      <c r="N25" s="132">
        <v>16.883211796908334</v>
      </c>
      <c r="O25" s="132">
        <v>16.60604693483981</v>
      </c>
      <c r="P25" s="132">
        <v>16.561688109958705</v>
      </c>
      <c r="Q25" s="132">
        <v>17.033012163880151</v>
      </c>
      <c r="R25" s="132">
        <v>17.160861863521475</v>
      </c>
      <c r="S25" s="132">
        <v>17.36243049871868</v>
      </c>
      <c r="T25" s="132">
        <v>17.160659123206944</v>
      </c>
      <c r="U25" s="132">
        <v>17.51631215867506</v>
      </c>
      <c r="V25" s="132">
        <v>14.63404833570605</v>
      </c>
      <c r="W25" s="132">
        <v>15.247549838051661</v>
      </c>
      <c r="X25" s="132">
        <v>13.374016452055784</v>
      </c>
      <c r="Y25" s="132">
        <v>12.345803961955163</v>
      </c>
      <c r="DA25" s="156" t="s">
        <v>323</v>
      </c>
    </row>
    <row r="26" spans="1:105" ht="12" customHeight="1" x14ac:dyDescent="0.25">
      <c r="A26" s="131" t="s">
        <v>24</v>
      </c>
      <c r="B26" s="65">
        <v>59.257307171129256</v>
      </c>
      <c r="C26" s="65">
        <v>60.562407280615666</v>
      </c>
      <c r="D26" s="65">
        <v>61.942510110034831</v>
      </c>
      <c r="E26" s="65">
        <v>61.960858545999805</v>
      </c>
      <c r="F26" s="65">
        <v>62.370159919206841</v>
      </c>
      <c r="G26" s="65">
        <v>63.059153932222216</v>
      </c>
      <c r="H26" s="65">
        <v>63.106789617537437</v>
      </c>
      <c r="I26" s="65">
        <v>60.256044201924546</v>
      </c>
      <c r="J26" s="65">
        <v>56.159540604129546</v>
      </c>
      <c r="K26" s="65">
        <v>51.4047872851744</v>
      </c>
      <c r="L26" s="65">
        <v>48.064590897857258</v>
      </c>
      <c r="M26" s="65">
        <v>47.666722803127691</v>
      </c>
      <c r="N26" s="65">
        <v>43.954140668178184</v>
      </c>
      <c r="O26" s="65">
        <v>35.993230677640568</v>
      </c>
      <c r="P26" s="65">
        <v>34.681896102730036</v>
      </c>
      <c r="Q26" s="65">
        <v>34.769864933974169</v>
      </c>
      <c r="R26" s="65">
        <v>35.400927639687971</v>
      </c>
      <c r="S26" s="65">
        <v>35.950233343427385</v>
      </c>
      <c r="T26" s="65">
        <v>35.841038005604375</v>
      </c>
      <c r="U26" s="65">
        <v>36.767502129457021</v>
      </c>
      <c r="V26" s="65">
        <v>33.735860036248511</v>
      </c>
      <c r="W26" s="65">
        <v>38.804788114700642</v>
      </c>
      <c r="X26" s="65">
        <v>46.931824903130995</v>
      </c>
      <c r="Y26" s="65">
        <v>49.991516370654153</v>
      </c>
      <c r="DA26" s="109" t="s">
        <v>324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2.3903697334479789E-2</v>
      </c>
      <c r="H27" s="145">
        <v>4.7807394668959592E-2</v>
      </c>
      <c r="I27" s="145">
        <v>7.1625107480653469E-2</v>
      </c>
      <c r="J27" s="145">
        <v>9.5528804815133289E-2</v>
      </c>
      <c r="K27" s="145">
        <v>0.11943250214961314</v>
      </c>
      <c r="L27" s="145">
        <v>0.16715391229578669</v>
      </c>
      <c r="M27" s="145">
        <v>0.19105760963026652</v>
      </c>
      <c r="N27" s="145">
        <v>0.19105760963026658</v>
      </c>
      <c r="O27" s="145">
        <v>0.19105760963026666</v>
      </c>
      <c r="P27" s="145">
        <v>0.21496130696474636</v>
      </c>
      <c r="Q27" s="145">
        <v>0.21496130696474641</v>
      </c>
      <c r="R27" s="145">
        <v>0.21496130696474636</v>
      </c>
      <c r="S27" s="145">
        <v>0.23886500429922614</v>
      </c>
      <c r="T27" s="145">
        <v>0.23886500429922625</v>
      </c>
      <c r="U27" s="145">
        <v>0.26276870163370586</v>
      </c>
      <c r="V27" s="145">
        <v>0.26276870163370575</v>
      </c>
      <c r="W27" s="145">
        <v>0.26276870163370591</v>
      </c>
      <c r="X27" s="145">
        <v>0.28658641444539995</v>
      </c>
      <c r="Y27" s="145">
        <v>0.31049011177987984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148.96375172320052</v>
      </c>
      <c r="C29" s="130">
        <f t="shared" si="12"/>
        <v>151.11911383264879</v>
      </c>
      <c r="D29" s="130">
        <f t="shared" si="12"/>
        <v>153.31243077038999</v>
      </c>
      <c r="E29" s="130">
        <f t="shared" si="12"/>
        <v>157.9688116970143</v>
      </c>
      <c r="F29" s="130">
        <f t="shared" si="12"/>
        <v>157.94894265916193</v>
      </c>
      <c r="G29" s="130">
        <f t="shared" si="12"/>
        <v>159.86245788498854</v>
      </c>
      <c r="H29" s="130">
        <f t="shared" si="12"/>
        <v>162.28578543715355</v>
      </c>
      <c r="I29" s="130">
        <f t="shared" si="12"/>
        <v>161.17612731790473</v>
      </c>
      <c r="J29" s="130">
        <f t="shared" si="12"/>
        <v>160.47294492623206</v>
      </c>
      <c r="K29" s="130">
        <f t="shared" si="12"/>
        <v>160.96758055155675</v>
      </c>
      <c r="L29" s="130">
        <f t="shared" si="12"/>
        <v>164.26356633726425</v>
      </c>
      <c r="M29" s="130">
        <f t="shared" si="12"/>
        <v>163.90115343303196</v>
      </c>
      <c r="N29" s="130">
        <f t="shared" si="12"/>
        <v>162.11405893727607</v>
      </c>
      <c r="O29" s="130">
        <f t="shared" si="12"/>
        <v>162.08668421432915</v>
      </c>
      <c r="P29" s="130">
        <f t="shared" si="12"/>
        <v>161.28342167920783</v>
      </c>
      <c r="Q29" s="130">
        <f t="shared" si="12"/>
        <v>163.00085130270375</v>
      </c>
      <c r="R29" s="130">
        <f t="shared" ref="R29:W29" si="13">SUM(R30:R33)</f>
        <v>162.08487443971615</v>
      </c>
      <c r="S29" s="130">
        <f t="shared" si="13"/>
        <v>162.00521977166972</v>
      </c>
      <c r="T29" s="130">
        <f t="shared" si="13"/>
        <v>166.2294272561067</v>
      </c>
      <c r="U29" s="130">
        <f t="shared" si="13"/>
        <v>165.91463529969838</v>
      </c>
      <c r="V29" s="130">
        <f t="shared" si="13"/>
        <v>157.74751254263617</v>
      </c>
      <c r="W29" s="130">
        <f t="shared" si="13"/>
        <v>168.27340362297221</v>
      </c>
      <c r="X29" s="130">
        <f t="shared" ref="X29:Y29" si="14">SUM(X30:X33)</f>
        <v>169.55307024922979</v>
      </c>
      <c r="Y29" s="130">
        <f t="shared" si="14"/>
        <v>168.81158263535809</v>
      </c>
      <c r="DA29" s="155" t="s">
        <v>326</v>
      </c>
    </row>
    <row r="30" spans="1:105" ht="12" customHeight="1" x14ac:dyDescent="0.25">
      <c r="A30" s="131" t="s">
        <v>52</v>
      </c>
      <c r="B30" s="132">
        <v>31.735840350276582</v>
      </c>
      <c r="C30" s="132">
        <v>25.538891370574742</v>
      </c>
      <c r="D30" s="132">
        <v>28.318638661598563</v>
      </c>
      <c r="E30" s="132">
        <v>25.559682095042341</v>
      </c>
      <c r="F30" s="132">
        <v>14.417566237550178</v>
      </c>
      <c r="G30" s="132">
        <v>15.793280917818832</v>
      </c>
      <c r="H30" s="132">
        <v>14.436522117924254</v>
      </c>
      <c r="I30" s="132">
        <v>14.465908912466674</v>
      </c>
      <c r="J30" s="132">
        <v>11.734542262520522</v>
      </c>
      <c r="K30" s="132">
        <v>11.764637059565425</v>
      </c>
      <c r="L30" s="132">
        <v>13.170942684493092</v>
      </c>
      <c r="M30" s="132">
        <v>11.091630954187954</v>
      </c>
      <c r="N30" s="132">
        <v>10.398759113471389</v>
      </c>
      <c r="O30" s="132">
        <v>7.6261740378853586</v>
      </c>
      <c r="P30" s="132">
        <v>8.3200205952185193</v>
      </c>
      <c r="Q30" s="132">
        <v>9.7072873264847459</v>
      </c>
      <c r="R30" s="132">
        <v>7.4916242539269104</v>
      </c>
      <c r="S30" s="132">
        <v>6.1293915005751103</v>
      </c>
      <c r="T30" s="132">
        <v>8.1843945695790712</v>
      </c>
      <c r="U30" s="132">
        <v>7.5141262889999343</v>
      </c>
      <c r="V30" s="132">
        <v>10.943438876765262</v>
      </c>
      <c r="W30" s="132">
        <v>7.5308260776704348</v>
      </c>
      <c r="X30" s="132">
        <v>7.5340963327715746</v>
      </c>
      <c r="Y30" s="132">
        <v>7.5239635435551637</v>
      </c>
      <c r="DA30" s="156" t="s">
        <v>327</v>
      </c>
    </row>
    <row r="31" spans="1:105" ht="12" customHeight="1" x14ac:dyDescent="0.25">
      <c r="A31" s="131" t="s">
        <v>149</v>
      </c>
      <c r="B31" s="132">
        <v>7.9168464767421964</v>
      </c>
      <c r="C31" s="132">
        <v>16.962281544952866</v>
      </c>
      <c r="D31" s="132">
        <v>21.232396489748329</v>
      </c>
      <c r="E31" s="132">
        <v>31.507139386729161</v>
      </c>
      <c r="F31" s="132">
        <v>45.009645158490784</v>
      </c>
      <c r="G31" s="132">
        <v>52.725180749391569</v>
      </c>
      <c r="H31" s="132">
        <v>61.935326058416898</v>
      </c>
      <c r="I31" s="132">
        <v>67.491662639216031</v>
      </c>
      <c r="J31" s="132">
        <v>72.79217234611815</v>
      </c>
      <c r="K31" s="132">
        <v>75.82000175824912</v>
      </c>
      <c r="L31" s="132">
        <v>79.682966764686626</v>
      </c>
      <c r="M31" s="132">
        <v>85.825731506202644</v>
      </c>
      <c r="N31" s="132">
        <v>91.181682503177583</v>
      </c>
      <c r="O31" s="132">
        <v>96.286990974774611</v>
      </c>
      <c r="P31" s="132">
        <v>96.722446790558067</v>
      </c>
      <c r="Q31" s="132">
        <v>93.7412737846292</v>
      </c>
      <c r="R31" s="132">
        <v>91.873457603574806</v>
      </c>
      <c r="S31" s="132">
        <v>91.167010306019861</v>
      </c>
      <c r="T31" s="132">
        <v>90.875708877831087</v>
      </c>
      <c r="U31" s="132">
        <v>90.983022560197654</v>
      </c>
      <c r="V31" s="132">
        <v>86.681300627993181</v>
      </c>
      <c r="W31" s="132">
        <v>93.68694812874692</v>
      </c>
      <c r="X31" s="132">
        <v>91.867493309739345</v>
      </c>
      <c r="Y31" s="132">
        <v>88.490205480336087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109.31106489618175</v>
      </c>
      <c r="C33" s="68">
        <v>108.6179409171212</v>
      </c>
      <c r="D33" s="68">
        <v>103.76139561904309</v>
      </c>
      <c r="E33" s="68">
        <v>100.90199021524279</v>
      </c>
      <c r="F33" s="68">
        <v>98.521731263120969</v>
      </c>
      <c r="G33" s="68">
        <v>91.343996217778127</v>
      </c>
      <c r="H33" s="68">
        <v>85.913937260812418</v>
      </c>
      <c r="I33" s="68">
        <v>79.218555766222039</v>
      </c>
      <c r="J33" s="68">
        <v>75.94623031759339</v>
      </c>
      <c r="K33" s="68">
        <v>73.382941733742186</v>
      </c>
      <c r="L33" s="68">
        <v>71.409656888084527</v>
      </c>
      <c r="M33" s="68">
        <v>66.983790972641373</v>
      </c>
      <c r="N33" s="68">
        <v>60.533617320627108</v>
      </c>
      <c r="O33" s="68">
        <v>58.17351920166918</v>
      </c>
      <c r="P33" s="68">
        <v>56.240954293431244</v>
      </c>
      <c r="Q33" s="68">
        <v>59.552290191589805</v>
      </c>
      <c r="R33" s="68">
        <v>62.719792582214438</v>
      </c>
      <c r="S33" s="68">
        <v>64.708817965074758</v>
      </c>
      <c r="T33" s="68">
        <v>67.169323808696547</v>
      </c>
      <c r="U33" s="68">
        <v>67.417486450500803</v>
      </c>
      <c r="V33" s="68">
        <v>60.122773037877735</v>
      </c>
      <c r="W33" s="68">
        <v>67.055629416554851</v>
      </c>
      <c r="X33" s="68">
        <v>70.151480606718891</v>
      </c>
      <c r="Y33" s="68">
        <v>72.797413611466823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0.57169836954685238</v>
      </c>
      <c r="C3" s="126">
        <f>IF(SER_hh_tes!C3=0,"",SER_hh_tes!C3/SER_hh_fec!C3)</f>
        <v>0.57410809140178953</v>
      </c>
      <c r="D3" s="126">
        <f>IF(SER_hh_tes!D3=0,"",SER_hh_tes!D3/SER_hh_fec!D3)</f>
        <v>0.57881465388671749</v>
      </c>
      <c r="E3" s="126">
        <f>IF(SER_hh_tes!E3=0,"",SER_hh_tes!E3/SER_hh_fec!E3)</f>
        <v>0.5826897167491073</v>
      </c>
      <c r="F3" s="126">
        <f>IF(SER_hh_tes!F3=0,"",SER_hh_tes!F3/SER_hh_fec!F3)</f>
        <v>0.57258920606329022</v>
      </c>
      <c r="G3" s="126">
        <f>IF(SER_hh_tes!G3=0,"",SER_hh_tes!G3/SER_hh_fec!G3)</f>
        <v>0.5846600860199862</v>
      </c>
      <c r="H3" s="126">
        <f>IF(SER_hh_tes!H3=0,"",SER_hh_tes!H3/SER_hh_fec!H3)</f>
        <v>0.5964887465574541</v>
      </c>
      <c r="I3" s="126">
        <f>IF(SER_hh_tes!I3=0,"",SER_hh_tes!I3/SER_hh_fec!I3)</f>
        <v>0.62012236002800647</v>
      </c>
      <c r="J3" s="126">
        <f>IF(SER_hh_tes!J3=0,"",SER_hh_tes!J3/SER_hh_fec!J3)</f>
        <v>0.62943833416521344</v>
      </c>
      <c r="K3" s="126">
        <f>IF(SER_hh_tes!K3=0,"",SER_hh_tes!K3/SER_hh_fec!K3)</f>
        <v>0.63098451902051556</v>
      </c>
      <c r="L3" s="126">
        <f>IF(SER_hh_tes!L3=0,"",SER_hh_tes!L3/SER_hh_fec!L3)</f>
        <v>0.6338773192204894</v>
      </c>
      <c r="M3" s="126">
        <f>IF(SER_hh_tes!M3=0,"",SER_hh_tes!M3/SER_hh_fec!M3)</f>
        <v>0.64198062214218632</v>
      </c>
      <c r="N3" s="126">
        <f>IF(SER_hh_tes!N3=0,"",SER_hh_tes!N3/SER_hh_fec!N3)</f>
        <v>0.65363980211005879</v>
      </c>
      <c r="O3" s="126">
        <f>IF(SER_hh_tes!O3=0,"",SER_hh_tes!O3/SER_hh_fec!O3)</f>
        <v>0.65963887746895655</v>
      </c>
      <c r="P3" s="126">
        <f>IF(SER_hh_tes!P3=0,"",SER_hh_tes!P3/SER_hh_fec!P3)</f>
        <v>0.66639761103323547</v>
      </c>
      <c r="Q3" s="126">
        <f>IF(SER_hh_tes!Q3=0,"",SER_hh_tes!Q3/SER_hh_fec!Q3)</f>
        <v>0.68403776503220903</v>
      </c>
      <c r="R3" s="126">
        <f>IF(SER_hh_tes!R3=0,"",SER_hh_tes!R3/SER_hh_fec!R3)</f>
        <v>0.68574222109200134</v>
      </c>
      <c r="S3" s="126">
        <f>IF(SER_hh_tes!S3=0,"",SER_hh_tes!S3/SER_hh_fec!S3)</f>
        <v>0.70499775041592461</v>
      </c>
      <c r="T3" s="126">
        <f>IF(SER_hh_tes!T3=0,"",SER_hh_tes!T3/SER_hh_fec!T3)</f>
        <v>0.71903532799790504</v>
      </c>
      <c r="U3" s="126">
        <f>IF(SER_hh_tes!U3=0,"",SER_hh_tes!U3/SER_hh_fec!U3)</f>
        <v>0.73507081014274778</v>
      </c>
      <c r="V3" s="126">
        <f>IF(SER_hh_tes!V3=0,"",SER_hh_tes!V3/SER_hh_fec!V3)</f>
        <v>0.73853266200488943</v>
      </c>
      <c r="W3" s="126">
        <f>IF(SER_hh_tes!W3=0,"",SER_hh_tes!W3/SER_hh_fec!W3)</f>
        <v>0.75445083327140183</v>
      </c>
      <c r="X3" s="126">
        <f>IF(SER_hh_tes!X3=0,"",SER_hh_tes!X3/SER_hh_fec!X3)</f>
        <v>0.78648179921373562</v>
      </c>
      <c r="Y3" s="126">
        <f>IF(SER_hh_tes!Y3=0,"",SER_hh_tes!Y3/SER_hh_fec!Y3)</f>
        <v>0.80596732541421123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0.54682470113879444</v>
      </c>
      <c r="C4" s="135">
        <f>IF(SER_hh_tes!C4=0,"",SER_hh_tes!C4/SER_hh_fec!C4)</f>
        <v>0.55096135245277167</v>
      </c>
      <c r="D4" s="135">
        <f>IF(SER_hh_tes!D4=0,"",SER_hh_tes!D4/SER_hh_fec!D4)</f>
        <v>0.55266659366587501</v>
      </c>
      <c r="E4" s="135">
        <f>IF(SER_hh_tes!E4=0,"",SER_hh_tes!E4/SER_hh_fec!E4)</f>
        <v>0.55590605730715947</v>
      </c>
      <c r="F4" s="135">
        <f>IF(SER_hh_tes!F4=0,"",SER_hh_tes!F4/SER_hh_fec!F4)</f>
        <v>0.54934853668862682</v>
      </c>
      <c r="G4" s="135">
        <f>IF(SER_hh_tes!G4=0,"",SER_hh_tes!G4/SER_hh_fec!G4)</f>
        <v>0.56226767984734838</v>
      </c>
      <c r="H4" s="135">
        <f>IF(SER_hh_tes!H4=0,"",SER_hh_tes!H4/SER_hh_fec!H4)</f>
        <v>0.57082471769192245</v>
      </c>
      <c r="I4" s="135">
        <f>IF(SER_hh_tes!I4=0,"",SER_hh_tes!I4/SER_hh_fec!I4)</f>
        <v>0.59215635826750301</v>
      </c>
      <c r="J4" s="135">
        <f>IF(SER_hh_tes!J4=0,"",SER_hh_tes!J4/SER_hh_fec!J4)</f>
        <v>0.60413673055440609</v>
      </c>
      <c r="K4" s="135">
        <f>IF(SER_hh_tes!K4=0,"",SER_hh_tes!K4/SER_hh_fec!K4)</f>
        <v>0.60685440679911284</v>
      </c>
      <c r="L4" s="135">
        <f>IF(SER_hh_tes!L4=0,"",SER_hh_tes!L4/SER_hh_fec!L4)</f>
        <v>0.60988391881412463</v>
      </c>
      <c r="M4" s="135">
        <f>IF(SER_hh_tes!M4=0,"",SER_hh_tes!M4/SER_hh_fec!M4)</f>
        <v>0.61906463457110716</v>
      </c>
      <c r="N4" s="135">
        <f>IF(SER_hh_tes!N4=0,"",SER_hh_tes!N4/SER_hh_fec!N4)</f>
        <v>0.61420218503067925</v>
      </c>
      <c r="O4" s="135">
        <f>IF(SER_hh_tes!O4=0,"",SER_hh_tes!O4/SER_hh_fec!O4)</f>
        <v>0.6263478242641437</v>
      </c>
      <c r="P4" s="135">
        <f>IF(SER_hh_tes!P4=0,"",SER_hh_tes!P4/SER_hh_fec!P4)</f>
        <v>0.63062657092014074</v>
      </c>
      <c r="Q4" s="135">
        <f>IF(SER_hh_tes!Q4=0,"",SER_hh_tes!Q4/SER_hh_fec!Q4)</f>
        <v>0.64039081268405895</v>
      </c>
      <c r="R4" s="135">
        <f>IF(SER_hh_tes!R4=0,"",SER_hh_tes!R4/SER_hh_fec!R4)</f>
        <v>0.65211903938640214</v>
      </c>
      <c r="S4" s="135">
        <f>IF(SER_hh_tes!S4=0,"",SER_hh_tes!S4/SER_hh_fec!S4)</f>
        <v>0.6667631955149157</v>
      </c>
      <c r="T4" s="135">
        <f>IF(SER_hh_tes!T4=0,"",SER_hh_tes!T4/SER_hh_fec!T4)</f>
        <v>0.68159330044144684</v>
      </c>
      <c r="U4" s="135">
        <f>IF(SER_hh_tes!U4=0,"",SER_hh_tes!U4/SER_hh_fec!U4)</f>
        <v>0.69445921008013134</v>
      </c>
      <c r="V4" s="135">
        <f>IF(SER_hh_tes!V4=0,"",SER_hh_tes!V4/SER_hh_fec!V4)</f>
        <v>0.70507298657886408</v>
      </c>
      <c r="W4" s="135">
        <f>IF(SER_hh_tes!W4=0,"",SER_hh_tes!W4/SER_hh_fec!W4)</f>
        <v>0.71388455949551077</v>
      </c>
      <c r="X4" s="135">
        <f>IF(SER_hh_tes!X4=0,"",SER_hh_tes!X4/SER_hh_fec!X4)</f>
        <v>0.74595930675778721</v>
      </c>
      <c r="Y4" s="135">
        <f>IF(SER_hh_tes!Y4=0,"",SER_hh_tes!Y4/SER_hh_fec!Y4)</f>
        <v>0.76558375099408582</v>
      </c>
      <c r="DA4" s="162" t="s">
        <v>240</v>
      </c>
    </row>
    <row r="5" spans="1:105" ht="12" customHeight="1" x14ac:dyDescent="0.25">
      <c r="A5" s="131" t="s">
        <v>29</v>
      </c>
      <c r="B5" s="136">
        <f>IF(SER_hh_tes!B5=0,"",SER_hh_tes!B5/SER_hh_fec!B5)</f>
        <v>0.52787168127293405</v>
      </c>
      <c r="C5" s="136">
        <f>IF(SER_hh_tes!C5=0,"",SER_hh_tes!C5/SER_hh_fec!C5)</f>
        <v>0.52787168127293405</v>
      </c>
      <c r="D5" s="136">
        <f>IF(SER_hh_tes!D5=0,"",SER_hh_tes!D5/SER_hh_fec!D5)</f>
        <v>0.52787168127293405</v>
      </c>
      <c r="E5" s="136">
        <f>IF(SER_hh_tes!E5=0,"",SER_hh_tes!E5/SER_hh_fec!E5)</f>
        <v>0.52787168127293405</v>
      </c>
      <c r="F5" s="136">
        <f>IF(SER_hh_tes!F5=0,"",SER_hh_tes!F5/SER_hh_fec!F5)</f>
        <v>0.52787168127293405</v>
      </c>
      <c r="G5" s="136">
        <f>IF(SER_hh_tes!G5=0,"",SER_hh_tes!G5/SER_hh_fec!G5)</f>
        <v>0.52787168127293405</v>
      </c>
      <c r="H5" s="136">
        <f>IF(SER_hh_tes!H5=0,"",SER_hh_tes!H5/SER_hh_fec!H5)</f>
        <v>0.52787168127293405</v>
      </c>
      <c r="I5" s="136">
        <f>IF(SER_hh_tes!I5=0,"",SER_hh_tes!I5/SER_hh_fec!I5)</f>
        <v>0.52787168127293405</v>
      </c>
      <c r="J5" s="136">
        <f>IF(SER_hh_tes!J5=0,"",SER_hh_tes!J5/SER_hh_fec!J5)</f>
        <v>0.52787168127293405</v>
      </c>
      <c r="K5" s="136">
        <f>IF(SER_hh_tes!K5=0,"",SER_hh_tes!K5/SER_hh_fec!K5)</f>
        <v>0.52787168127293405</v>
      </c>
      <c r="L5" s="136">
        <f>IF(SER_hh_tes!L5=0,"",SER_hh_tes!L5/SER_hh_fec!L5)</f>
        <v>0.52787168127293405</v>
      </c>
      <c r="M5" s="136">
        <f>IF(SER_hh_tes!M5=0,"",SER_hh_tes!M5/SER_hh_fec!M5)</f>
        <v>0.5408070232751423</v>
      </c>
      <c r="N5" s="136">
        <f>IF(SER_hh_tes!N5=0,"",SER_hh_tes!N5/SER_hh_fec!N5)</f>
        <v>0.60200992501899497</v>
      </c>
      <c r="O5" s="136">
        <f>IF(SER_hh_tes!O5=0,"",SER_hh_tes!O5/SER_hh_fec!O5)</f>
        <v>0.66270946439575651</v>
      </c>
      <c r="P5" s="136">
        <f>IF(SER_hh_tes!P5=0,"",SER_hh_tes!P5/SER_hh_fec!P5)</f>
        <v>0.66368634819245909</v>
      </c>
      <c r="Q5" s="136">
        <f>IF(SER_hh_tes!Q5=0,"",SER_hh_tes!Q5/SER_hh_fec!Q5)</f>
        <v>0.66458117717247178</v>
      </c>
      <c r="R5" s="136">
        <f>IF(SER_hh_tes!R5=0,"",SER_hh_tes!R5/SER_hh_fec!R5)</f>
        <v>0.66459677990673094</v>
      </c>
      <c r="S5" s="136">
        <f>IF(SER_hh_tes!S5=0,"",SER_hh_tes!S5/SER_hh_fec!S5)</f>
        <v>0.66459677990673038</v>
      </c>
      <c r="T5" s="136">
        <f>IF(SER_hh_tes!T5=0,"",SER_hh_tes!T5/SER_hh_fec!T5)</f>
        <v>0.66459677990673072</v>
      </c>
      <c r="U5" s="136">
        <f>IF(SER_hh_tes!U5=0,"",SER_hh_tes!U5/SER_hh_fec!U5)</f>
        <v>0.66459677990673105</v>
      </c>
      <c r="V5" s="136">
        <f>IF(SER_hh_tes!V5=0,"",SER_hh_tes!V5/SER_hh_fec!V5)</f>
        <v>0.66459677990673094</v>
      </c>
      <c r="W5" s="136">
        <f>IF(SER_hh_tes!W5=0,"",SER_hh_tes!W5/SER_hh_fec!W5)</f>
        <v>0.66459677990673105</v>
      </c>
      <c r="X5" s="136">
        <f>IF(SER_hh_tes!X5=0,"",SER_hh_tes!X5/SER_hh_fec!X5)</f>
        <v>0.66459677990673094</v>
      </c>
      <c r="Y5" s="136">
        <f>IF(SER_hh_tes!Y5=0,"",SER_hh_tes!Y5/SER_hh_fec!Y5)</f>
        <v>0.66459677990673072</v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0.45311951669631639</v>
      </c>
      <c r="C7" s="136">
        <f>IF(SER_hh_tes!C7=0,"",SER_hh_tes!C7/SER_hh_fec!C7)</f>
        <v>0.45311951669631639</v>
      </c>
      <c r="D7" s="136">
        <f>IF(SER_hh_tes!D7=0,"",SER_hh_tes!D7/SER_hh_fec!D7)</f>
        <v>0.45311951669631639</v>
      </c>
      <c r="E7" s="136">
        <f>IF(SER_hh_tes!E7=0,"",SER_hh_tes!E7/SER_hh_fec!E7)</f>
        <v>0.45311951669631639</v>
      </c>
      <c r="F7" s="136">
        <f>IF(SER_hh_tes!F7=0,"",SER_hh_tes!F7/SER_hh_fec!F7)</f>
        <v>0.45311951669631639</v>
      </c>
      <c r="G7" s="136">
        <f>IF(SER_hh_tes!G7=0,"",SER_hh_tes!G7/SER_hh_fec!G7)</f>
        <v>0.45311951669631634</v>
      </c>
      <c r="H7" s="136">
        <f>IF(SER_hh_tes!H7=0,"",SER_hh_tes!H7/SER_hh_fec!H7)</f>
        <v>0.45311951669631634</v>
      </c>
      <c r="I7" s="136" t="str">
        <f>IF(SER_hh_tes!I7=0,"",SER_hh_tes!I7/SER_hh_fec!I7)</f>
        <v/>
      </c>
      <c r="J7" s="136" t="str">
        <f>IF(SER_hh_tes!J7=0,"",SER_hh_tes!J7/SER_hh_fec!J7)</f>
        <v/>
      </c>
      <c r="K7" s="136" t="str">
        <f>IF(SER_hh_tes!K7=0,"",SER_hh_tes!K7/SER_hh_fec!K7)</f>
        <v/>
      </c>
      <c r="L7" s="136" t="str">
        <f>IF(SER_hh_tes!L7=0,"",SER_hh_tes!L7/SER_hh_fec!L7)</f>
        <v/>
      </c>
      <c r="M7" s="136" t="str">
        <f>IF(SER_hh_tes!M7=0,"",SER_hh_tes!M7/SER_hh_fec!M7)</f>
        <v/>
      </c>
      <c r="N7" s="136">
        <f>IF(SER_hh_tes!N7=0,"",SER_hh_tes!N7/SER_hh_fec!N7)</f>
        <v>0.57995768921585111</v>
      </c>
      <c r="O7" s="136">
        <f>IF(SER_hh_tes!O7=0,"",SER_hh_tes!O7/SER_hh_fec!O7)</f>
        <v>0.58830836876038894</v>
      </c>
      <c r="P7" s="136">
        <f>IF(SER_hh_tes!P7=0,"",SER_hh_tes!P7/SER_hh_fec!P7)</f>
        <v>0.60581899619988733</v>
      </c>
      <c r="Q7" s="136">
        <f>IF(SER_hh_tes!Q7=0,"",SER_hh_tes!Q7/SER_hh_fec!Q7)</f>
        <v>0.62082463465892568</v>
      </c>
      <c r="R7" s="136">
        <f>IF(SER_hh_tes!R7=0,"",SER_hh_tes!R7/SER_hh_fec!R7)</f>
        <v>0.62992144826886942</v>
      </c>
      <c r="S7" s="136">
        <f>IF(SER_hh_tes!S7=0,"",SER_hh_tes!S7/SER_hh_fec!S7)</f>
        <v>0.63303890378042471</v>
      </c>
      <c r="T7" s="136">
        <f>IF(SER_hh_tes!T7=0,"",SER_hh_tes!T7/SER_hh_fec!T7)</f>
        <v>0.63574224652138656</v>
      </c>
      <c r="U7" s="136">
        <f>IF(SER_hh_tes!U7=0,"",SER_hh_tes!U7/SER_hh_fec!U7)</f>
        <v>0.63704668321528846</v>
      </c>
      <c r="V7" s="136">
        <f>IF(SER_hh_tes!V7=0,"",SER_hh_tes!V7/SER_hh_fec!V7)</f>
        <v>0.63918468792208161</v>
      </c>
      <c r="W7" s="136">
        <f>IF(SER_hh_tes!W7=0,"",SER_hh_tes!W7/SER_hh_fec!W7)</f>
        <v>0.64238790498139142</v>
      </c>
      <c r="X7" s="136">
        <f>IF(SER_hh_tes!X7=0,"",SER_hh_tes!X7/SER_hh_fec!X7)</f>
        <v>0.64467336777435325</v>
      </c>
      <c r="Y7" s="136">
        <f>IF(SER_hh_tes!Y7=0,"",SER_hh_tes!Y7/SER_hh_fec!Y7)</f>
        <v>0.64706165938749483</v>
      </c>
      <c r="DA7" s="163" t="s">
        <v>334</v>
      </c>
    </row>
    <row r="8" spans="1:105" ht="12" customHeight="1" x14ac:dyDescent="0.25">
      <c r="A8" s="131" t="s">
        <v>73</v>
      </c>
      <c r="B8" s="136" t="str">
        <f>IF(SER_hh_tes!B8=0,"",SER_hh_tes!B8/SER_hh_fec!B8)</f>
        <v/>
      </c>
      <c r="C8" s="136" t="str">
        <f>IF(SER_hh_tes!C8=0,"",SER_hh_tes!C8/SER_hh_fec!C8)</f>
        <v/>
      </c>
      <c r="D8" s="136" t="str">
        <f>IF(SER_hh_tes!D8=0,"",SER_hh_tes!D8/SER_hh_fec!D8)</f>
        <v/>
      </c>
      <c r="E8" s="136" t="str">
        <f>IF(SER_hh_tes!E8=0,"",SER_hh_tes!E8/SER_hh_fec!E8)</f>
        <v/>
      </c>
      <c r="F8" s="136" t="str">
        <f>IF(SER_hh_tes!F8=0,"",SER_hh_tes!F8/SER_hh_fec!F8)</f>
        <v/>
      </c>
      <c r="G8" s="136" t="str">
        <f>IF(SER_hh_tes!G8=0,"",SER_hh_tes!G8/SER_hh_fec!G8)</f>
        <v/>
      </c>
      <c r="H8" s="136" t="str">
        <f>IF(SER_hh_tes!H8=0,"",SER_hh_tes!H8/SER_hh_fec!H8)</f>
        <v/>
      </c>
      <c r="I8" s="136" t="str">
        <f>IF(SER_hh_tes!I8=0,"",SER_hh_tes!I8/SER_hh_fec!I8)</f>
        <v/>
      </c>
      <c r="J8" s="136" t="str">
        <f>IF(SER_hh_tes!J8=0,"",SER_hh_tes!J8/SER_hh_fec!J8)</f>
        <v/>
      </c>
      <c r="K8" s="136" t="str">
        <f>IF(SER_hh_tes!K8=0,"",SER_hh_tes!K8/SER_hh_fec!K8)</f>
        <v/>
      </c>
      <c r="L8" s="136" t="str">
        <f>IF(SER_hh_tes!L8=0,"",SER_hh_tes!L8/SER_hh_fec!L8)</f>
        <v/>
      </c>
      <c r="M8" s="136" t="str">
        <f>IF(SER_hh_tes!M8=0,"",SER_hh_tes!M8/SER_hh_fec!M8)</f>
        <v/>
      </c>
      <c r="N8" s="136" t="str">
        <f>IF(SER_hh_tes!N8=0,"",SER_hh_tes!N8/SER_hh_fec!N8)</f>
        <v/>
      </c>
      <c r="O8" s="136" t="str">
        <f>IF(SER_hh_tes!O8=0,"",SER_hh_tes!O8/SER_hh_fec!O8)</f>
        <v/>
      </c>
      <c r="P8" s="136" t="str">
        <f>IF(SER_hh_tes!P8=0,"",SER_hh_tes!P8/SER_hh_fec!P8)</f>
        <v/>
      </c>
      <c r="Q8" s="136" t="str">
        <f>IF(SER_hh_tes!Q8=0,"",SER_hh_tes!Q8/SER_hh_fec!Q8)</f>
        <v/>
      </c>
      <c r="R8" s="136">
        <f>IF(SER_hh_tes!R8=0,"",SER_hh_tes!R8/SER_hh_fec!R8)</f>
        <v>2.7010038574332573</v>
      </c>
      <c r="S8" s="136">
        <f>IF(SER_hh_tes!S8=0,"",SER_hh_tes!S8/SER_hh_fec!S8)</f>
        <v>2.7448827274526639</v>
      </c>
      <c r="T8" s="136">
        <f>IF(SER_hh_tes!T8=0,"",SER_hh_tes!T8/SER_hh_fec!T8)</f>
        <v>2.783459566159451</v>
      </c>
      <c r="U8" s="136">
        <f>IF(SER_hh_tes!U8=0,"",SER_hh_tes!U8/SER_hh_fec!U8)</f>
        <v>2.8057016735892231</v>
      </c>
      <c r="V8" s="136">
        <f>IF(SER_hh_tes!V8=0,"",SER_hh_tes!V8/SER_hh_fec!V8)</f>
        <v>2.8272815542855816</v>
      </c>
      <c r="W8" s="136">
        <f>IF(SER_hh_tes!W8=0,"",SER_hh_tes!W8/SER_hh_fec!W8)</f>
        <v>2.8397934074455797</v>
      </c>
      <c r="X8" s="136">
        <f>IF(SER_hh_tes!X8=0,"",SER_hh_tes!X8/SER_hh_fec!X8)</f>
        <v>2.8568779244570552</v>
      </c>
      <c r="Y8" s="136">
        <f>IF(SER_hh_tes!Y8=0,"",SER_hh_tes!Y8/SER_hh_fec!Y8)</f>
        <v>2.8780133823111678</v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0.48977435001380359</v>
      </c>
      <c r="C9" s="136">
        <f>IF(SER_hh_tes!C9=0,"",SER_hh_tes!C9/SER_hh_fec!C9)</f>
        <v>0.49486812137295882</v>
      </c>
      <c r="D9" s="136">
        <f>IF(SER_hh_tes!D9=0,"",SER_hh_tes!D9/SER_hh_fec!D9)</f>
        <v>0.50092982808582986</v>
      </c>
      <c r="E9" s="136">
        <f>IF(SER_hh_tes!E9=0,"",SER_hh_tes!E9/SER_hh_fec!E9)</f>
        <v>0.50754896015632156</v>
      </c>
      <c r="F9" s="136">
        <f>IF(SER_hh_tes!F9=0,"",SER_hh_tes!F9/SER_hh_fec!F9)</f>
        <v>0.51304174055768603</v>
      </c>
      <c r="G9" s="136">
        <f>IF(SER_hh_tes!G9=0,"",SER_hh_tes!G9/SER_hh_fec!G9)</f>
        <v>0.51731029522379657</v>
      </c>
      <c r="H9" s="136">
        <f>IF(SER_hh_tes!H9=0,"",SER_hh_tes!H9/SER_hh_fec!H9)</f>
        <v>0.52053170510043811</v>
      </c>
      <c r="I9" s="136">
        <f>IF(SER_hh_tes!I9=0,"",SER_hh_tes!I9/SER_hh_fec!I9)</f>
        <v>0.52368096906642247</v>
      </c>
      <c r="J9" s="136">
        <f>IF(SER_hh_tes!J9=0,"",SER_hh_tes!J9/SER_hh_fec!J9)</f>
        <v>0.5272013870460931</v>
      </c>
      <c r="K9" s="136">
        <f>IF(SER_hh_tes!K9=0,"",SER_hh_tes!K9/SER_hh_fec!K9)</f>
        <v>0.53351174720190553</v>
      </c>
      <c r="L9" s="136">
        <f>IF(SER_hh_tes!L9=0,"",SER_hh_tes!L9/SER_hh_fec!L9)</f>
        <v>0.54311332499849574</v>
      </c>
      <c r="M9" s="136">
        <f>IF(SER_hh_tes!M9=0,"",SER_hh_tes!M9/SER_hh_fec!M9)</f>
        <v>0.55515409636977542</v>
      </c>
      <c r="N9" s="136">
        <f>IF(SER_hh_tes!N9=0,"",SER_hh_tes!N9/SER_hh_fec!N9)</f>
        <v>0.57077654574477732</v>
      </c>
      <c r="O9" s="136">
        <f>IF(SER_hh_tes!O9=0,"",SER_hh_tes!O9/SER_hh_fec!O9)</f>
        <v>0.58531302842500055</v>
      </c>
      <c r="P9" s="136">
        <f>IF(SER_hh_tes!P9=0,"",SER_hh_tes!P9/SER_hh_fec!P9)</f>
        <v>0.59374313707709203</v>
      </c>
      <c r="Q9" s="136">
        <f>IF(SER_hh_tes!Q9=0,"",SER_hh_tes!Q9/SER_hh_fec!Q9)</f>
        <v>0.5985036490136656</v>
      </c>
      <c r="R9" s="136">
        <f>IF(SER_hh_tes!R9=0,"",SER_hh_tes!R9/SER_hh_fec!R9)</f>
        <v>0.60644053529913933</v>
      </c>
      <c r="S9" s="136">
        <f>IF(SER_hh_tes!S9=0,"",SER_hh_tes!S9/SER_hh_fec!S9)</f>
        <v>0.61848869006249352</v>
      </c>
      <c r="T9" s="136">
        <f>IF(SER_hh_tes!T9=0,"",SER_hh_tes!T9/SER_hh_fec!T9)</f>
        <v>0.63225602239562162</v>
      </c>
      <c r="U9" s="136">
        <f>IF(SER_hh_tes!U9=0,"",SER_hh_tes!U9/SER_hh_fec!U9)</f>
        <v>0.64688607697616129</v>
      </c>
      <c r="V9" s="136">
        <f>IF(SER_hh_tes!V9=0,"",SER_hh_tes!V9/SER_hh_fec!V9)</f>
        <v>0.6601682941831527</v>
      </c>
      <c r="W9" s="136">
        <f>IF(SER_hh_tes!W9=0,"",SER_hh_tes!W9/SER_hh_fec!W9)</f>
        <v>0.67041847817212818</v>
      </c>
      <c r="X9" s="136">
        <f>IF(SER_hh_tes!X9=0,"",SER_hh_tes!X9/SER_hh_fec!X9)</f>
        <v>0.67873017384060308</v>
      </c>
      <c r="Y9" s="136">
        <f>IF(SER_hh_tes!Y9=0,"",SER_hh_tes!Y9/SER_hh_fec!Y9)</f>
        <v>0.68796158154133513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0.44654617755597592</v>
      </c>
      <c r="C10" s="136">
        <f>IF(SER_hh_tes!C10=0,"",SER_hh_tes!C10/SER_hh_fec!C10)</f>
        <v>0.45355013256880095</v>
      </c>
      <c r="D10" s="136">
        <f>IF(SER_hh_tes!D10=0,"",SER_hh_tes!D10/SER_hh_fec!D10)</f>
        <v>0.46052465252066899</v>
      </c>
      <c r="E10" s="136">
        <f>IF(SER_hh_tes!E10=0,"",SER_hh_tes!E10/SER_hh_fec!E10)</f>
        <v>0.46605615081388219</v>
      </c>
      <c r="F10" s="136">
        <f>IF(SER_hh_tes!F10=0,"",SER_hh_tes!F10/SER_hh_fec!F10)</f>
        <v>0.46972645055010831</v>
      </c>
      <c r="G10" s="136">
        <f>IF(SER_hh_tes!G10=0,"",SER_hh_tes!G10/SER_hh_fec!G10)</f>
        <v>0.47181641139257752</v>
      </c>
      <c r="H10" s="136">
        <f>IF(SER_hh_tes!H10=0,"",SER_hh_tes!H10/SER_hh_fec!H10)</f>
        <v>0.47268456086662108</v>
      </c>
      <c r="I10" s="136">
        <f>IF(SER_hh_tes!I10=0,"",SER_hh_tes!I10/SER_hh_fec!I10)</f>
        <v>0.4799893900355211</v>
      </c>
      <c r="J10" s="136">
        <f>IF(SER_hh_tes!J10=0,"",SER_hh_tes!J10/SER_hh_fec!J10)</f>
        <v>0.49134741176538987</v>
      </c>
      <c r="K10" s="136">
        <f>IF(SER_hh_tes!K10=0,"",SER_hh_tes!K10/SER_hh_fec!K10)</f>
        <v>0.5017233416771284</v>
      </c>
      <c r="L10" s="136">
        <f>IF(SER_hh_tes!L10=0,"",SER_hh_tes!L10/SER_hh_fec!L10)</f>
        <v>0.51336945326936978</v>
      </c>
      <c r="M10" s="136">
        <f>IF(SER_hh_tes!M10=0,"",SER_hh_tes!M10/SER_hh_fec!M10)</f>
        <v>0.5251988159271459</v>
      </c>
      <c r="N10" s="136">
        <f>IF(SER_hh_tes!N10=0,"",SER_hh_tes!N10/SER_hh_fec!N10)</f>
        <v>0.53647653015797847</v>
      </c>
      <c r="O10" s="136">
        <f>IF(SER_hh_tes!O10=0,"",SER_hh_tes!O10/SER_hh_fec!O10)</f>
        <v>0.54391145357892479</v>
      </c>
      <c r="P10" s="136">
        <f>IF(SER_hh_tes!P10=0,"",SER_hh_tes!P10/SER_hh_fec!P10)</f>
        <v>0.54402652178436339</v>
      </c>
      <c r="Q10" s="136">
        <f>IF(SER_hh_tes!Q10=0,"",SER_hh_tes!Q10/SER_hh_fec!Q10)</f>
        <v>0.54415094752387894</v>
      </c>
      <c r="R10" s="136">
        <f>IF(SER_hh_tes!R10=0,"",SER_hh_tes!R10/SER_hh_fec!R10)</f>
        <v>0.54424034676068123</v>
      </c>
      <c r="S10" s="136">
        <f>IF(SER_hh_tes!S10=0,"",SER_hh_tes!S10/SER_hh_fec!S10)</f>
        <v>0.54440976238811911</v>
      </c>
      <c r="T10" s="136">
        <f>IF(SER_hh_tes!T10=0,"",SER_hh_tes!T10/SER_hh_fec!T10)</f>
        <v>0.5445425041247004</v>
      </c>
      <c r="U10" s="136">
        <f>IF(SER_hh_tes!U10=0,"",SER_hh_tes!U10/SER_hh_fec!U10)</f>
        <v>0.54467931866563135</v>
      </c>
      <c r="V10" s="136">
        <f>IF(SER_hh_tes!V10=0,"",SER_hh_tes!V10/SER_hh_fec!V10)</f>
        <v>0.54472178258811654</v>
      </c>
      <c r="W10" s="136">
        <f>IF(SER_hh_tes!W10=0,"",SER_hh_tes!W10/SER_hh_fec!W10)</f>
        <v>0.54485249264716717</v>
      </c>
      <c r="X10" s="136">
        <f>IF(SER_hh_tes!X10=0,"",SER_hh_tes!X10/SER_hh_fec!X10)</f>
        <v>0.5459034609629555</v>
      </c>
      <c r="Y10" s="136">
        <f>IF(SER_hh_tes!Y10=0,"",SER_hh_tes!Y10/SER_hh_fec!Y10)</f>
        <v>0.54874134856678036</v>
      </c>
      <c r="DA10" s="163" t="s">
        <v>337</v>
      </c>
    </row>
    <row r="11" spans="1:105" ht="12" customHeight="1" x14ac:dyDescent="0.25">
      <c r="A11" s="131" t="s">
        <v>25</v>
      </c>
      <c r="B11" s="136">
        <f>IF(SER_hh_tes!B11=0,"",SER_hh_tes!B11/SER_hh_fec!B11)</f>
        <v>0.74659297046995365</v>
      </c>
      <c r="C11" s="136">
        <f>IF(SER_hh_tes!C11=0,"",SER_hh_tes!C11/SER_hh_fec!C11)</f>
        <v>0.75054738707016366</v>
      </c>
      <c r="D11" s="136">
        <f>IF(SER_hh_tes!D11=0,"",SER_hh_tes!D11/SER_hh_fec!D11)</f>
        <v>0.75498906065644444</v>
      </c>
      <c r="E11" s="136">
        <f>IF(SER_hh_tes!E11=0,"",SER_hh_tes!E11/SER_hh_fec!E11)</f>
        <v>0.75722288285488215</v>
      </c>
      <c r="F11" s="136">
        <f>IF(SER_hh_tes!F11=0,"",SER_hh_tes!F11/SER_hh_fec!F11)</f>
        <v>0.75812569600062263</v>
      </c>
      <c r="G11" s="136">
        <f>IF(SER_hh_tes!G11=0,"",SER_hh_tes!G11/SER_hh_fec!G11)</f>
        <v>0.76219962572960287</v>
      </c>
      <c r="H11" s="136">
        <f>IF(SER_hh_tes!H11=0,"",SER_hh_tes!H11/SER_hh_fec!H11)</f>
        <v>0.76985943861447115</v>
      </c>
      <c r="I11" s="136">
        <f>IF(SER_hh_tes!I11=0,"",SER_hh_tes!I11/SER_hh_fec!I11)</f>
        <v>0.77771265178831483</v>
      </c>
      <c r="J11" s="136">
        <f>IF(SER_hh_tes!J11=0,"",SER_hh_tes!J11/SER_hh_fec!J11)</f>
        <v>0.78373599581662834</v>
      </c>
      <c r="K11" s="136">
        <f>IF(SER_hh_tes!K11=0,"",SER_hh_tes!K11/SER_hh_fec!K11)</f>
        <v>0.78791651234527749</v>
      </c>
      <c r="L11" s="136">
        <f>IF(SER_hh_tes!L11=0,"",SER_hh_tes!L11/SER_hh_fec!L11)</f>
        <v>0.79252923727337055</v>
      </c>
      <c r="M11" s="136">
        <f>IF(SER_hh_tes!M11=0,"",SER_hh_tes!M11/SER_hh_fec!M11)</f>
        <v>0.79731803855510086</v>
      </c>
      <c r="N11" s="136">
        <f>IF(SER_hh_tes!N11=0,"",SER_hh_tes!N11/SER_hh_fec!N11)</f>
        <v>0.80174465635376235</v>
      </c>
      <c r="O11" s="136">
        <f>IF(SER_hh_tes!O11=0,"",SER_hh_tes!O11/SER_hh_fec!O11)</f>
        <v>0.80485987374619783</v>
      </c>
      <c r="P11" s="136">
        <f>IF(SER_hh_tes!P11=0,"",SER_hh_tes!P11/SER_hh_fec!P11)</f>
        <v>0.80504217260787503</v>
      </c>
      <c r="Q11" s="136">
        <f>IF(SER_hh_tes!Q11=0,"",SER_hh_tes!Q11/SER_hh_fec!Q11)</f>
        <v>0.80504337605877352</v>
      </c>
      <c r="R11" s="136">
        <f>IF(SER_hh_tes!R11=0,"",SER_hh_tes!R11/SER_hh_fec!R11)</f>
        <v>0.8051105189596256</v>
      </c>
      <c r="S11" s="136">
        <f>IF(SER_hh_tes!S11=0,"",SER_hh_tes!S11/SER_hh_fec!S11)</f>
        <v>0.80654215276454611</v>
      </c>
      <c r="T11" s="136">
        <f>IF(SER_hh_tes!T11=0,"",SER_hh_tes!T11/SER_hh_fec!T11)</f>
        <v>0.80780854513700984</v>
      </c>
      <c r="U11" s="136">
        <f>IF(SER_hh_tes!U11=0,"",SER_hh_tes!U11/SER_hh_fec!U11)</f>
        <v>0.80879560984617482</v>
      </c>
      <c r="V11" s="136">
        <f>IF(SER_hh_tes!V11=0,"",SER_hh_tes!V11/SER_hh_fec!V11)</f>
        <v>0.80969203509226018</v>
      </c>
      <c r="W11" s="136">
        <f>IF(SER_hh_tes!W11=0,"",SER_hh_tes!W11/SER_hh_fec!W11)</f>
        <v>0.81238797231292736</v>
      </c>
      <c r="X11" s="136">
        <f>IF(SER_hh_tes!X11=0,"",SER_hh_tes!X11/SER_hh_fec!X11)</f>
        <v>0.81572277803604254</v>
      </c>
      <c r="Y11" s="136">
        <f>IF(SER_hh_tes!Y11=0,"",SER_hh_tes!Y11/SER_hh_fec!Y11)</f>
        <v>0.81869953341737278</v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0.77579820223214735</v>
      </c>
      <c r="C12" s="136">
        <f>IF(SER_hh_tes!C12=0,"",SER_hh_tes!C12/SER_hh_fec!C12)</f>
        <v>0.77791557070307082</v>
      </c>
      <c r="D12" s="136">
        <f>IF(SER_hh_tes!D12=0,"",SER_hh_tes!D12/SER_hh_fec!D12)</f>
        <v>0.77885350328779035</v>
      </c>
      <c r="E12" s="136">
        <f>IF(SER_hh_tes!E12=0,"",SER_hh_tes!E12/SER_hh_fec!E12)</f>
        <v>0.77998643848092142</v>
      </c>
      <c r="F12" s="136">
        <f>IF(SER_hh_tes!F12=0,"",SER_hh_tes!F12/SER_hh_fec!F12)</f>
        <v>0.78036882584626888</v>
      </c>
      <c r="G12" s="136">
        <f>IF(SER_hh_tes!G12=0,"",SER_hh_tes!G12/SER_hh_fec!G12)</f>
        <v>0.78266281380500469</v>
      </c>
      <c r="H12" s="136">
        <f>IF(SER_hh_tes!H12=0,"",SER_hh_tes!H12/SER_hh_fec!H12)</f>
        <v>0.78711943497695114</v>
      </c>
      <c r="I12" s="136">
        <f>IF(SER_hh_tes!I12=0,"",SER_hh_tes!I12/SER_hh_fec!I12)</f>
        <v>0.79272231225966017</v>
      </c>
      <c r="J12" s="136">
        <f>IF(SER_hh_tes!J12=0,"",SER_hh_tes!J12/SER_hh_fec!J12)</f>
        <v>0.79687295496493293</v>
      </c>
      <c r="K12" s="136">
        <f>IF(SER_hh_tes!K12=0,"",SER_hh_tes!K12/SER_hh_fec!K12)</f>
        <v>0.79931713376482783</v>
      </c>
      <c r="L12" s="136">
        <f>IF(SER_hh_tes!L12=0,"",SER_hh_tes!L12/SER_hh_fec!L12)</f>
        <v>0.80178785874346437</v>
      </c>
      <c r="M12" s="136">
        <f>IF(SER_hh_tes!M12=0,"",SER_hh_tes!M12/SER_hh_fec!M12)</f>
        <v>0.80480195254022868</v>
      </c>
      <c r="N12" s="136">
        <f>IF(SER_hh_tes!N12=0,"",SER_hh_tes!N12/SER_hh_fec!N12)</f>
        <v>0.80960507925981506</v>
      </c>
      <c r="O12" s="136">
        <f>IF(SER_hh_tes!O12=0,"",SER_hh_tes!O12/SER_hh_fec!O12)</f>
        <v>0.8147447526554642</v>
      </c>
      <c r="P12" s="136">
        <f>IF(SER_hh_tes!P12=0,"",SER_hh_tes!P12/SER_hh_fec!P12)</f>
        <v>0.81738187272946583</v>
      </c>
      <c r="Q12" s="136">
        <f>IF(SER_hh_tes!Q12=0,"",SER_hh_tes!Q12/SER_hh_fec!Q12)</f>
        <v>0.82126949064715793</v>
      </c>
      <c r="R12" s="136">
        <f>IF(SER_hh_tes!R12=0,"",SER_hh_tes!R12/SER_hh_fec!R12)</f>
        <v>0.82495058410252686</v>
      </c>
      <c r="S12" s="136">
        <f>IF(SER_hh_tes!S12=0,"",SER_hh_tes!S12/SER_hh_fec!S12)</f>
        <v>0.82810551730870663</v>
      </c>
      <c r="T12" s="136">
        <f>IF(SER_hh_tes!T12=0,"",SER_hh_tes!T12/SER_hh_fec!T12)</f>
        <v>0.83031318088731476</v>
      </c>
      <c r="U12" s="136">
        <f>IF(SER_hh_tes!U12=0,"",SER_hh_tes!U12/SER_hh_fec!U12)</f>
        <v>0.83268255881111586</v>
      </c>
      <c r="V12" s="136">
        <f>IF(SER_hh_tes!V12=0,"",SER_hh_tes!V12/SER_hh_fec!V12)</f>
        <v>0.83570371806313148</v>
      </c>
      <c r="W12" s="136">
        <f>IF(SER_hh_tes!W12=0,"",SER_hh_tes!W12/SER_hh_fec!W12)</f>
        <v>0.83985247779525141</v>
      </c>
      <c r="X12" s="136">
        <f>IF(SER_hh_tes!X12=0,"",SER_hh_tes!X12/SER_hh_fec!X12)</f>
        <v>0.84458689656905417</v>
      </c>
      <c r="Y12" s="136">
        <f>IF(SER_hh_tes!Y12=0,"",SER_hh_tes!Y12/SER_hh_fec!Y12)</f>
        <v>0.84905475026397004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1.5166885326878448</v>
      </c>
      <c r="C13" s="136">
        <f>IF(SER_hh_tes!C13=0,"",SER_hh_tes!C13/SER_hh_fec!C13)</f>
        <v>1.5276788184181476</v>
      </c>
      <c r="D13" s="136">
        <f>IF(SER_hh_tes!D13=0,"",SER_hh_tes!D13/SER_hh_fec!D13)</f>
        <v>1.5635599915746015</v>
      </c>
      <c r="E13" s="136">
        <f>IF(SER_hh_tes!E13=0,"",SER_hh_tes!E13/SER_hh_fec!E13)</f>
        <v>1.6289647807804881</v>
      </c>
      <c r="F13" s="136">
        <f>IF(SER_hh_tes!F13=0,"",SER_hh_tes!F13/SER_hh_fec!F13)</f>
        <v>1.7296305008206914</v>
      </c>
      <c r="G13" s="136">
        <f>IF(SER_hh_tes!G13=0,"",SER_hh_tes!G13/SER_hh_fec!G13)</f>
        <v>1.8460452501703595</v>
      </c>
      <c r="H13" s="136">
        <f>IF(SER_hh_tes!H13=0,"",SER_hh_tes!H13/SER_hh_fec!H13)</f>
        <v>1.9423422055491786</v>
      </c>
      <c r="I13" s="136">
        <f>IF(SER_hh_tes!I13=0,"",SER_hh_tes!I13/SER_hh_fec!I13)</f>
        <v>2.0281105295429716</v>
      </c>
      <c r="J13" s="136">
        <f>IF(SER_hh_tes!J13=0,"",SER_hh_tes!J13/SER_hh_fec!J13)</f>
        <v>2.0842991418965071</v>
      </c>
      <c r="K13" s="136">
        <f>IF(SER_hh_tes!K13=0,"",SER_hh_tes!K13/SER_hh_fec!K13)</f>
        <v>2.1357417444494371</v>
      </c>
      <c r="L13" s="136">
        <f>IF(SER_hh_tes!L13=0,"",SER_hh_tes!L13/SER_hh_fec!L13)</f>
        <v>2.2335752042164332</v>
      </c>
      <c r="M13" s="136">
        <f>IF(SER_hh_tes!M13=0,"",SER_hh_tes!M13/SER_hh_fec!M13)</f>
        <v>2.3846364985507784</v>
      </c>
      <c r="N13" s="136">
        <f>IF(SER_hh_tes!N13=0,"",SER_hh_tes!N13/SER_hh_fec!N13)</f>
        <v>2.5842275929621317</v>
      </c>
      <c r="O13" s="136">
        <f>IF(SER_hh_tes!O13=0,"",SER_hh_tes!O13/SER_hh_fec!O13)</f>
        <v>2.7256790358153662</v>
      </c>
      <c r="P13" s="136">
        <f>IF(SER_hh_tes!P13=0,"",SER_hh_tes!P13/SER_hh_fec!P13)</f>
        <v>2.8447186740746311</v>
      </c>
      <c r="Q13" s="136">
        <f>IF(SER_hh_tes!Q13=0,"",SER_hh_tes!Q13/SER_hh_fec!Q13)</f>
        <v>2.8809670871208177</v>
      </c>
      <c r="R13" s="136">
        <f>IF(SER_hh_tes!R13=0,"",SER_hh_tes!R13/SER_hh_fec!R13)</f>
        <v>2.9696623874929049</v>
      </c>
      <c r="S13" s="136">
        <f>IF(SER_hh_tes!S13=0,"",SER_hh_tes!S13/SER_hh_fec!S13)</f>
        <v>3.1067952323040178</v>
      </c>
      <c r="T13" s="136">
        <f>IF(SER_hh_tes!T13=0,"",SER_hh_tes!T13/SER_hh_fec!T13)</f>
        <v>3.3064100686407039</v>
      </c>
      <c r="U13" s="136">
        <f>IF(SER_hh_tes!U13=0,"",SER_hh_tes!U13/SER_hh_fec!U13)</f>
        <v>3.4341125052689319</v>
      </c>
      <c r="V13" s="136">
        <f>IF(SER_hh_tes!V13=0,"",SER_hh_tes!V13/SER_hh_fec!V13)</f>
        <v>3.646515830023997</v>
      </c>
      <c r="W13" s="136">
        <f>IF(SER_hh_tes!W13=0,"",SER_hh_tes!W13/SER_hh_fec!W13)</f>
        <v>3.7815175462529074</v>
      </c>
      <c r="X13" s="136">
        <f>IF(SER_hh_tes!X13=0,"",SER_hh_tes!X13/SER_hh_fec!X13)</f>
        <v>3.8591118101765032</v>
      </c>
      <c r="Y13" s="136">
        <f>IF(SER_hh_tes!Y13=0,"",SER_hh_tes!Y13/SER_hh_fec!Y13)</f>
        <v>3.8971532511287901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0.68586309663008016</v>
      </c>
      <c r="C14" s="137">
        <f>IF(SER_hh_tes!C14=0,"",SER_hh_tes!C14/SER_hh_fec!C14)</f>
        <v>0.68693898033379563</v>
      </c>
      <c r="D14" s="137">
        <f>IF(SER_hh_tes!D14=0,"",SER_hh_tes!D14/SER_hh_fec!D14)</f>
        <v>0.68703544362010405</v>
      </c>
      <c r="E14" s="137">
        <f>IF(SER_hh_tes!E14=0,"",SER_hh_tes!E14/SER_hh_fec!E14)</f>
        <v>0.68934550292348895</v>
      </c>
      <c r="F14" s="137">
        <f>IF(SER_hh_tes!F14=0,"",SER_hh_tes!F14/SER_hh_fec!F14)</f>
        <v>0.69821482965342341</v>
      </c>
      <c r="G14" s="137">
        <f>IF(SER_hh_tes!G14=0,"",SER_hh_tes!G14/SER_hh_fec!G14)</f>
        <v>0.71118064495493793</v>
      </c>
      <c r="H14" s="137">
        <f>IF(SER_hh_tes!H14=0,"",SER_hh_tes!H14/SER_hh_fec!H14)</f>
        <v>0.72127019975541296</v>
      </c>
      <c r="I14" s="137">
        <f>IF(SER_hh_tes!I14=0,"",SER_hh_tes!I14/SER_hh_fec!I14)</f>
        <v>0.72887141690144464</v>
      </c>
      <c r="J14" s="137">
        <f>IF(SER_hh_tes!J14=0,"",SER_hh_tes!J14/SER_hh_fec!J14)</f>
        <v>0.73334464055487714</v>
      </c>
      <c r="K14" s="137">
        <f>IF(SER_hh_tes!K14=0,"",SER_hh_tes!K14/SER_hh_fec!K14)</f>
        <v>0.73690050125409035</v>
      </c>
      <c r="L14" s="137">
        <f>IF(SER_hh_tes!L14=0,"",SER_hh_tes!L14/SER_hh_fec!L14)</f>
        <v>0.73873880720912422</v>
      </c>
      <c r="M14" s="137">
        <f>IF(SER_hh_tes!M14=0,"",SER_hh_tes!M14/SER_hh_fec!M14)</f>
        <v>0.7405967948444655</v>
      </c>
      <c r="N14" s="137">
        <f>IF(SER_hh_tes!N14=0,"",SER_hh_tes!N14/SER_hh_fec!N14)</f>
        <v>0.74254799684901784</v>
      </c>
      <c r="O14" s="137">
        <f>IF(SER_hh_tes!O14=0,"",SER_hh_tes!O14/SER_hh_fec!O14)</f>
        <v>0.74476161060743618</v>
      </c>
      <c r="P14" s="137">
        <f>IF(SER_hh_tes!P14=0,"",SER_hh_tes!P14/SER_hh_fec!P14)</f>
        <v>0.74521199413192551</v>
      </c>
      <c r="Q14" s="137">
        <f>IF(SER_hh_tes!Q14=0,"",SER_hh_tes!Q14/SER_hh_fec!Q14)</f>
        <v>0.75045725122040485</v>
      </c>
      <c r="R14" s="137">
        <f>IF(SER_hh_tes!R14=0,"",SER_hh_tes!R14/SER_hh_fec!R14)</f>
        <v>0.75689044739264544</v>
      </c>
      <c r="S14" s="137">
        <f>IF(SER_hh_tes!S14=0,"",SER_hh_tes!S14/SER_hh_fec!S14)</f>
        <v>0.76462198705295414</v>
      </c>
      <c r="T14" s="137">
        <f>IF(SER_hh_tes!T14=0,"",SER_hh_tes!T14/SER_hh_fec!T14)</f>
        <v>0.77288100569823126</v>
      </c>
      <c r="U14" s="137">
        <f>IF(SER_hh_tes!U14=0,"",SER_hh_tes!U14/SER_hh_fec!U14)</f>
        <v>0.7804603494876664</v>
      </c>
      <c r="V14" s="137">
        <f>IF(SER_hh_tes!V14=0,"",SER_hh_tes!V14/SER_hh_fec!V14)</f>
        <v>0.78871086664423273</v>
      </c>
      <c r="W14" s="137">
        <f>IF(SER_hh_tes!W14=0,"",SER_hh_tes!W14/SER_hh_fec!W14)</f>
        <v>0.80071132118526267</v>
      </c>
      <c r="X14" s="137">
        <f>IF(SER_hh_tes!X14=0,"",SER_hh_tes!X14/SER_hh_fec!X14)</f>
        <v>0.81636125616576638</v>
      </c>
      <c r="Y14" s="137">
        <f>IF(SER_hh_tes!Y14=0,"",SER_hh_tes!Y14/SER_hh_fec!Y14)</f>
        <v>0.83314744775305205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1.7278510351040572</v>
      </c>
      <c r="C16" s="135">
        <f>IF(SER_hh_tes!C16=0,"",SER_hh_tes!C16/SER_hh_fec!C16)</f>
        <v>1.788218845237743</v>
      </c>
      <c r="D16" s="135">
        <f>IF(SER_hh_tes!D16=0,"",SER_hh_tes!D16/SER_hh_fec!D16)</f>
        <v>1.86709791599784</v>
      </c>
      <c r="E16" s="135">
        <f>IF(SER_hh_tes!E16=0,"",SER_hh_tes!E16/SER_hh_fec!E16)</f>
        <v>1.9506168936956041</v>
      </c>
      <c r="F16" s="135">
        <f>IF(SER_hh_tes!F16=0,"",SER_hh_tes!F16/SER_hh_fec!F16)</f>
        <v>2.0490730092827039</v>
      </c>
      <c r="G16" s="135">
        <f>IF(SER_hh_tes!G16=0,"",SER_hh_tes!G16/SER_hh_fec!G16)</f>
        <v>2.1513436331099864</v>
      </c>
      <c r="H16" s="135">
        <f>IF(SER_hh_tes!H16=0,"",SER_hh_tes!H16/SER_hh_fec!H16)</f>
        <v>2.2748934679567041</v>
      </c>
      <c r="I16" s="135">
        <f>IF(SER_hh_tes!I16=0,"",SER_hh_tes!I16/SER_hh_fec!I16)</f>
        <v>2.4098025077537724</v>
      </c>
      <c r="J16" s="135">
        <f>IF(SER_hh_tes!J16=0,"",SER_hh_tes!J16/SER_hh_fec!J16)</f>
        <v>2.5602167519526349</v>
      </c>
      <c r="K16" s="135">
        <f>IF(SER_hh_tes!K16=0,"",SER_hh_tes!K16/SER_hh_fec!K16)</f>
        <v>2.6076416155857927</v>
      </c>
      <c r="L16" s="135">
        <f>IF(SER_hh_tes!L16=0,"",SER_hh_tes!L16/SER_hh_fec!L16)</f>
        <v>2.6740674867635539</v>
      </c>
      <c r="M16" s="135">
        <f>IF(SER_hh_tes!M16=0,"",SER_hh_tes!M16/SER_hh_fec!M16)</f>
        <v>2.7630170270450569</v>
      </c>
      <c r="N16" s="135">
        <f>IF(SER_hh_tes!N16=0,"",SER_hh_tes!N16/SER_hh_fec!N16)</f>
        <v>2.8640465845193304</v>
      </c>
      <c r="O16" s="135">
        <f>IF(SER_hh_tes!O16=0,"",SER_hh_tes!O16/SER_hh_fec!O16)</f>
        <v>2.9621423049116853</v>
      </c>
      <c r="P16" s="135">
        <f>IF(SER_hh_tes!P16=0,"",SER_hh_tes!P16/SER_hh_fec!P16)</f>
        <v>3.0782490897689412</v>
      </c>
      <c r="Q16" s="135">
        <f>IF(SER_hh_tes!Q16=0,"",SER_hh_tes!Q16/SER_hh_fec!Q16)</f>
        <v>3.1944158214280853</v>
      </c>
      <c r="R16" s="135">
        <f>IF(SER_hh_tes!R16=0,"",SER_hh_tes!R16/SER_hh_fec!R16)</f>
        <v>3.3197034017116578</v>
      </c>
      <c r="S16" s="135">
        <f>IF(SER_hh_tes!S16=0,"",SER_hh_tes!S16/SER_hh_fec!S16)</f>
        <v>3.428684755044257</v>
      </c>
      <c r="T16" s="135">
        <f>IF(SER_hh_tes!T16=0,"",SER_hh_tes!T16/SER_hh_fec!T16)</f>
        <v>3.5365962140930423</v>
      </c>
      <c r="U16" s="135">
        <f>IF(SER_hh_tes!U16=0,"",SER_hh_tes!U16/SER_hh_fec!U16)</f>
        <v>3.6176735761285448</v>
      </c>
      <c r="V16" s="135">
        <f>IF(SER_hh_tes!V16=0,"",SER_hh_tes!V16/SER_hh_fec!V16)</f>
        <v>3.7049955158800936</v>
      </c>
      <c r="W16" s="135">
        <f>IF(SER_hh_tes!W16=0,"",SER_hh_tes!W16/SER_hh_fec!W16)</f>
        <v>3.7738989608709939</v>
      </c>
      <c r="X16" s="135">
        <f>IF(SER_hh_tes!X16=0,"",SER_hh_tes!X16/SER_hh_fec!X16)</f>
        <v>3.8276455172914328</v>
      </c>
      <c r="Y16" s="135">
        <f>IF(SER_hh_tes!Y16=0,"",SER_hh_tes!Y16/SER_hh_fec!Y16)</f>
        <v>3.8720309356864506</v>
      </c>
      <c r="DA16" s="162" t="s">
        <v>241</v>
      </c>
    </row>
    <row r="17" spans="1:105" ht="12.95" customHeight="1" x14ac:dyDescent="0.25">
      <c r="A17" s="131" t="s">
        <v>73</v>
      </c>
      <c r="B17" s="136">
        <f>IF(SER_hh_tes!B17=0,"",SER_hh_tes!B17/SER_hh_fec!B17)</f>
        <v>1.0661395839016794</v>
      </c>
      <c r="C17" s="136">
        <f>IF(SER_hh_tes!C17=0,"",SER_hh_tes!C17/SER_hh_fec!C17)</f>
        <v>1.0845883263634273</v>
      </c>
      <c r="D17" s="136">
        <f>IF(SER_hh_tes!D17=0,"",SER_hh_tes!D17/SER_hh_fec!D17)</f>
        <v>1.1066840463656256</v>
      </c>
      <c r="E17" s="136">
        <f>IF(SER_hh_tes!E17=0,"",SER_hh_tes!E17/SER_hh_fec!E17)</f>
        <v>1.1247672921699199</v>
      </c>
      <c r="F17" s="136">
        <f>IF(SER_hh_tes!F17=0,"",SER_hh_tes!F17/SER_hh_fec!F17)</f>
        <v>1.1369366231041678</v>
      </c>
      <c r="G17" s="136">
        <f>IF(SER_hh_tes!G17=0,"",SER_hh_tes!G17/SER_hh_fec!G17)</f>
        <v>1.1549844381876899</v>
      </c>
      <c r="H17" s="136">
        <f>IF(SER_hh_tes!H17=0,"",SER_hh_tes!H17/SER_hh_fec!H17)</f>
        <v>1.1777078268283361</v>
      </c>
      <c r="I17" s="136">
        <f>IF(SER_hh_tes!I17=0,"",SER_hh_tes!I17/SER_hh_fec!I17)</f>
        <v>1.1987332832819311</v>
      </c>
      <c r="J17" s="136">
        <f>IF(SER_hh_tes!J17=0,"",SER_hh_tes!J17/SER_hh_fec!J17)</f>
        <v>1.2162977998440707</v>
      </c>
      <c r="K17" s="136">
        <f>IF(SER_hh_tes!K17=0,"",SER_hh_tes!K17/SER_hh_fec!K17)</f>
        <v>1.2277722431447993</v>
      </c>
      <c r="L17" s="136">
        <f>IF(SER_hh_tes!L17=0,"",SER_hh_tes!L17/SER_hh_fec!L17)</f>
        <v>1.2454890482290815</v>
      </c>
      <c r="M17" s="136">
        <f>IF(SER_hh_tes!M17=0,"",SER_hh_tes!M17/SER_hh_fec!M17)</f>
        <v>1.2652854182535536</v>
      </c>
      <c r="N17" s="136">
        <f>IF(SER_hh_tes!N17=0,"",SER_hh_tes!N17/SER_hh_fec!N17)</f>
        <v>1.2855768976691595</v>
      </c>
      <c r="O17" s="136">
        <f>IF(SER_hh_tes!O17=0,"",SER_hh_tes!O17/SER_hh_fec!O17)</f>
        <v>1.3026106056072679</v>
      </c>
      <c r="P17" s="136">
        <f>IF(SER_hh_tes!P17=0,"",SER_hh_tes!P17/SER_hh_fec!P17)</f>
        <v>1.3174910547987255</v>
      </c>
      <c r="Q17" s="136">
        <f>IF(SER_hh_tes!Q17=0,"",SER_hh_tes!Q17/SER_hh_fec!Q17)</f>
        <v>1.3360627611493254</v>
      </c>
      <c r="R17" s="136">
        <f>IF(SER_hh_tes!R17=0,"",SER_hh_tes!R17/SER_hh_fec!R17)</f>
        <v>1.3546165882748438</v>
      </c>
      <c r="S17" s="136">
        <f>IF(SER_hh_tes!S17=0,"",SER_hh_tes!S17/SER_hh_fec!S17)</f>
        <v>1.3784699665952489</v>
      </c>
      <c r="T17" s="136">
        <f>IF(SER_hh_tes!T17=0,"",SER_hh_tes!T17/SER_hh_fec!T17)</f>
        <v>1.3995838174501867</v>
      </c>
      <c r="U17" s="136">
        <f>IF(SER_hh_tes!U17=0,"",SER_hh_tes!U17/SER_hh_fec!U17)</f>
        <v>1.4306438512415591</v>
      </c>
      <c r="V17" s="136">
        <f>IF(SER_hh_tes!V17=0,"",SER_hh_tes!V17/SER_hh_fec!V17)</f>
        <v>1.457193241599096</v>
      </c>
      <c r="W17" s="136">
        <f>IF(SER_hh_tes!W17=0,"",SER_hh_tes!W17/SER_hh_fec!W17)</f>
        <v>1.4763067616852594</v>
      </c>
      <c r="X17" s="136">
        <f>IF(SER_hh_tes!X17=0,"",SER_hh_tes!X17/SER_hh_fec!X17)</f>
        <v>1.4924364484545283</v>
      </c>
      <c r="Y17" s="136">
        <f>IF(SER_hh_tes!Y17=0,"",SER_hh_tes!Y17/SER_hh_fec!Y17)</f>
        <v>1.5060515151325875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1.7304422631120377</v>
      </c>
      <c r="C18" s="136">
        <f>IF(SER_hh_tes!C18=0,"",SER_hh_tes!C18/SER_hh_fec!C18)</f>
        <v>1.7912964675482212</v>
      </c>
      <c r="D18" s="136">
        <f>IF(SER_hh_tes!D18=0,"",SER_hh_tes!D18/SER_hh_fec!D18)</f>
        <v>1.8709310631459064</v>
      </c>
      <c r="E18" s="136">
        <f>IF(SER_hh_tes!E18=0,"",SER_hh_tes!E18/SER_hh_fec!E18)</f>
        <v>1.9552123486937119</v>
      </c>
      <c r="F18" s="136">
        <f>IF(SER_hh_tes!F18=0,"",SER_hh_tes!F18/SER_hh_fec!F18)</f>
        <v>2.0540874198655374</v>
      </c>
      <c r="G18" s="136">
        <f>IF(SER_hh_tes!G18=0,"",SER_hh_tes!G18/SER_hh_fec!G18)</f>
        <v>2.1572141910498028</v>
      </c>
      <c r="H18" s="136">
        <f>IF(SER_hh_tes!H18=0,"",SER_hh_tes!H18/SER_hh_fec!H18)</f>
        <v>2.2821407970577576</v>
      </c>
      <c r="I18" s="136">
        <f>IF(SER_hh_tes!I18=0,"",SER_hh_tes!I18/SER_hh_fec!I18)</f>
        <v>2.418610491273177</v>
      </c>
      <c r="J18" s="136">
        <f>IF(SER_hh_tes!J18=0,"",SER_hh_tes!J18/SER_hh_fec!J18)</f>
        <v>2.5702425948261136</v>
      </c>
      <c r="K18" s="136">
        <f>IF(SER_hh_tes!K18=0,"",SER_hh_tes!K18/SER_hh_fec!K18)</f>
        <v>2.6185126296297216</v>
      </c>
      <c r="L18" s="136">
        <f>IF(SER_hh_tes!L18=0,"",SER_hh_tes!L18/SER_hh_fec!L18)</f>
        <v>2.686736704946028</v>
      </c>
      <c r="M18" s="136">
        <f>IF(SER_hh_tes!M18=0,"",SER_hh_tes!M18/SER_hh_fec!M18)</f>
        <v>2.7780520630192633</v>
      </c>
      <c r="N18" s="136">
        <f>IF(SER_hh_tes!N18=0,"",SER_hh_tes!N18/SER_hh_fec!N18)</f>
        <v>2.8821303704208092</v>
      </c>
      <c r="O18" s="136">
        <f>IF(SER_hh_tes!O18=0,"",SER_hh_tes!O18/SER_hh_fec!O18)</f>
        <v>2.9835178784453569</v>
      </c>
      <c r="P18" s="136">
        <f>IF(SER_hh_tes!P18=0,"",SER_hh_tes!P18/SER_hh_fec!P18)</f>
        <v>3.1025149140595882</v>
      </c>
      <c r="Q18" s="136">
        <f>IF(SER_hh_tes!Q18=0,"",SER_hh_tes!Q18/SER_hh_fec!Q18)</f>
        <v>3.222636979802985</v>
      </c>
      <c r="R18" s="136">
        <f>IF(SER_hh_tes!R18=0,"",SER_hh_tes!R18/SER_hh_fec!R18)</f>
        <v>3.3518756326846364</v>
      </c>
      <c r="S18" s="136">
        <f>IF(SER_hh_tes!S18=0,"",SER_hh_tes!S18/SER_hh_fec!S18)</f>
        <v>3.4677295675221935</v>
      </c>
      <c r="T18" s="136">
        <f>IF(SER_hh_tes!T18=0,"",SER_hh_tes!T18/SER_hh_fec!T18)</f>
        <v>3.5803732054128097</v>
      </c>
      <c r="U18" s="136">
        <f>IF(SER_hh_tes!U18=0,"",SER_hh_tes!U18/SER_hh_fec!U18)</f>
        <v>3.6704026406762296</v>
      </c>
      <c r="V18" s="136">
        <f>IF(SER_hh_tes!V18=0,"",SER_hh_tes!V18/SER_hh_fec!V18)</f>
        <v>3.7574590438043001</v>
      </c>
      <c r="W18" s="136">
        <f>IF(SER_hh_tes!W18=0,"",SER_hh_tes!W18/SER_hh_fec!W18)</f>
        <v>3.8298832659173314</v>
      </c>
      <c r="X18" s="136">
        <f>IF(SER_hh_tes!X18=0,"",SER_hh_tes!X18/SER_hh_fec!X18)</f>
        <v>3.8902801628674037</v>
      </c>
      <c r="Y18" s="136">
        <f>IF(SER_hh_tes!Y18=0,"",SER_hh_tes!Y18/SER_hh_fec!Y18)</f>
        <v>3.9371892167335694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0.59277154278807109</v>
      </c>
      <c r="C19" s="135">
        <f>IF(SER_hh_tes!C19=0,"",SER_hh_tes!C19/SER_hh_fec!C19)</f>
        <v>0.59583099456969368</v>
      </c>
      <c r="D19" s="135">
        <f>IF(SER_hh_tes!D19=0,"",SER_hh_tes!D19/SER_hh_fec!D19)</f>
        <v>0.59848557357902499</v>
      </c>
      <c r="E19" s="135">
        <f>IF(SER_hh_tes!E19=0,"",SER_hh_tes!E19/SER_hh_fec!E19)</f>
        <v>0.60143947603949122</v>
      </c>
      <c r="F19" s="135">
        <f>IF(SER_hh_tes!F19=0,"",SER_hh_tes!F19/SER_hh_fec!F19)</f>
        <v>0.60406110114090739</v>
      </c>
      <c r="G19" s="135">
        <f>IF(SER_hh_tes!G19=0,"",SER_hh_tes!G19/SER_hh_fec!G19)</f>
        <v>0.60977957035319108</v>
      </c>
      <c r="H19" s="135">
        <f>IF(SER_hh_tes!H19=0,"",SER_hh_tes!H19/SER_hh_fec!H19)</f>
        <v>0.61433758447247622</v>
      </c>
      <c r="I19" s="135">
        <f>IF(SER_hh_tes!I19=0,"",SER_hh_tes!I19/SER_hh_fec!I19)</f>
        <v>0.61776531970493265</v>
      </c>
      <c r="J19" s="135">
        <f>IF(SER_hh_tes!J19=0,"",SER_hh_tes!J19/SER_hh_fec!J19)</f>
        <v>0.62126814466811275</v>
      </c>
      <c r="K19" s="135">
        <f>IF(SER_hh_tes!K19=0,"",SER_hh_tes!K19/SER_hh_fec!K19)</f>
        <v>0.62429181216547402</v>
      </c>
      <c r="L19" s="135">
        <f>IF(SER_hh_tes!L19=0,"",SER_hh_tes!L19/SER_hh_fec!L19)</f>
        <v>0.6294107018789864</v>
      </c>
      <c r="M19" s="135">
        <f>IF(SER_hh_tes!M19=0,"",SER_hh_tes!M19/SER_hh_fec!M19)</f>
        <v>0.63675110328034412</v>
      </c>
      <c r="N19" s="135">
        <f>IF(SER_hh_tes!N19=0,"",SER_hh_tes!N19/SER_hh_fec!N19)</f>
        <v>0.64634036688167484</v>
      </c>
      <c r="O19" s="135">
        <f>IF(SER_hh_tes!O19=0,"",SER_hh_tes!O19/SER_hh_fec!O19)</f>
        <v>0.65288832473963176</v>
      </c>
      <c r="P19" s="135">
        <f>IF(SER_hh_tes!P19=0,"",SER_hh_tes!P19/SER_hh_fec!P19)</f>
        <v>0.65927457596585004</v>
      </c>
      <c r="Q19" s="135">
        <f>IF(SER_hh_tes!Q19=0,"",SER_hh_tes!Q19/SER_hh_fec!Q19)</f>
        <v>0.66619921668116411</v>
      </c>
      <c r="R19" s="135">
        <f>IF(SER_hh_tes!R19=0,"",SER_hh_tes!R19/SER_hh_fec!R19)</f>
        <v>0.67595081375519583</v>
      </c>
      <c r="S19" s="135">
        <f>IF(SER_hh_tes!S19=0,"",SER_hh_tes!S19/SER_hh_fec!S19)</f>
        <v>0.68914520548480873</v>
      </c>
      <c r="T19" s="135">
        <f>IF(SER_hh_tes!T19=0,"",SER_hh_tes!T19/SER_hh_fec!T19)</f>
        <v>0.70223266592456723</v>
      </c>
      <c r="U19" s="135">
        <f>IF(SER_hh_tes!U19=0,"",SER_hh_tes!U19/SER_hh_fec!U19)</f>
        <v>0.71700350530717982</v>
      </c>
      <c r="V19" s="135">
        <f>IF(SER_hh_tes!V19=0,"",SER_hh_tes!V19/SER_hh_fec!V19)</f>
        <v>0.7294764312390728</v>
      </c>
      <c r="W19" s="135">
        <f>IF(SER_hh_tes!W19=0,"",SER_hh_tes!W19/SER_hh_fec!W19)</f>
        <v>0.74495891432022965</v>
      </c>
      <c r="X19" s="135">
        <f>IF(SER_hh_tes!X19=0,"",SER_hh_tes!X19/SER_hh_fec!X19)</f>
        <v>0.76104641551784924</v>
      </c>
      <c r="Y19" s="135">
        <f>IF(SER_hh_tes!Y19=0,"",SER_hh_tes!Y19/SER_hh_fec!Y19)</f>
        <v>0.7751616763043816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 t="str">
        <f>IF(SER_hh_tes!B21=0,"",SER_hh_tes!B21/SER_hh_fec!B21)</f>
        <v/>
      </c>
      <c r="C21" s="136" t="str">
        <f>IF(SER_hh_tes!C21=0,"",SER_hh_tes!C21/SER_hh_fec!C21)</f>
        <v/>
      </c>
      <c r="D21" s="136" t="str">
        <f>IF(SER_hh_tes!D21=0,"",SER_hh_tes!D21/SER_hh_fec!D21)</f>
        <v/>
      </c>
      <c r="E21" s="136" t="str">
        <f>IF(SER_hh_tes!E21=0,"",SER_hh_tes!E21/SER_hh_fec!E21)</f>
        <v/>
      </c>
      <c r="F21" s="136" t="str">
        <f>IF(SER_hh_tes!F21=0,"",SER_hh_tes!F21/SER_hh_fec!F21)</f>
        <v/>
      </c>
      <c r="G21" s="136" t="str">
        <f>IF(SER_hh_tes!G21=0,"",SER_hh_tes!G21/SER_hh_fec!G21)</f>
        <v/>
      </c>
      <c r="H21" s="136" t="str">
        <f>IF(SER_hh_tes!H21=0,"",SER_hh_tes!H21/SER_hh_fec!H21)</f>
        <v/>
      </c>
      <c r="I21" s="136" t="str">
        <f>IF(SER_hh_tes!I21=0,"",SER_hh_tes!I21/SER_hh_fec!I21)</f>
        <v/>
      </c>
      <c r="J21" s="136" t="str">
        <f>IF(SER_hh_tes!J21=0,"",SER_hh_tes!J21/SER_hh_fec!J21)</f>
        <v/>
      </c>
      <c r="K21" s="136" t="str">
        <f>IF(SER_hh_tes!K21=0,"",SER_hh_tes!K21/SER_hh_fec!K21)</f>
        <v/>
      </c>
      <c r="L21" s="136" t="str">
        <f>IF(SER_hh_tes!L21=0,"",SER_hh_tes!L21/SER_hh_fec!L21)</f>
        <v/>
      </c>
      <c r="M21" s="136" t="str">
        <f>IF(SER_hh_tes!M21=0,"",SER_hh_tes!M21/SER_hh_fec!M21)</f>
        <v/>
      </c>
      <c r="N21" s="136" t="str">
        <f>IF(SER_hh_tes!N21=0,"",SER_hh_tes!N21/SER_hh_fec!N21)</f>
        <v/>
      </c>
      <c r="O21" s="136" t="str">
        <f>IF(SER_hh_tes!O21=0,"",SER_hh_tes!O21/SER_hh_fec!O21)</f>
        <v/>
      </c>
      <c r="P21" s="136" t="str">
        <f>IF(SER_hh_tes!P21=0,"",SER_hh_tes!P21/SER_hh_fec!P21)</f>
        <v/>
      </c>
      <c r="Q21" s="136" t="str">
        <f>IF(SER_hh_tes!Q21=0,"",SER_hh_tes!Q21/SER_hh_fec!Q21)</f>
        <v/>
      </c>
      <c r="R21" s="136" t="str">
        <f>IF(SER_hh_tes!R21=0,"",SER_hh_tes!R21/SER_hh_fec!R21)</f>
        <v/>
      </c>
      <c r="S21" s="136" t="str">
        <f>IF(SER_hh_tes!S21=0,"",SER_hh_tes!S21/SER_hh_fec!S21)</f>
        <v/>
      </c>
      <c r="T21" s="136" t="str">
        <f>IF(SER_hh_tes!T21=0,"",SER_hh_tes!T21/SER_hh_fec!T21)</f>
        <v/>
      </c>
      <c r="U21" s="136" t="str">
        <f>IF(SER_hh_tes!U21=0,"",SER_hh_tes!U21/SER_hh_fec!U21)</f>
        <v/>
      </c>
      <c r="V21" s="136" t="str">
        <f>IF(SER_hh_tes!V21=0,"",SER_hh_tes!V21/SER_hh_fec!V21)</f>
        <v/>
      </c>
      <c r="W21" s="136" t="str">
        <f>IF(SER_hh_tes!W21=0,"",SER_hh_tes!W21/SER_hh_fec!W21)</f>
        <v/>
      </c>
      <c r="X21" s="136" t="str">
        <f>IF(SER_hh_tes!X21=0,"",SER_hh_tes!X21/SER_hh_fec!X21)</f>
        <v/>
      </c>
      <c r="Y21" s="136" t="str">
        <f>IF(SER_hh_tes!Y21=0,"",SER_hh_tes!Y21/SER_hh_fec!Y21)</f>
        <v/>
      </c>
      <c r="DA21" s="163" t="s">
        <v>346</v>
      </c>
    </row>
    <row r="22" spans="1:105" ht="12" customHeight="1" x14ac:dyDescent="0.25">
      <c r="A22" s="131" t="s">
        <v>161</v>
      </c>
      <c r="B22" s="136" t="str">
        <f>IF(SER_hh_tes!B22=0,"",SER_hh_tes!B22/SER_hh_fec!B22)</f>
        <v/>
      </c>
      <c r="C22" s="136" t="str">
        <f>IF(SER_hh_tes!C22=0,"",SER_hh_tes!C22/SER_hh_fec!C22)</f>
        <v/>
      </c>
      <c r="D22" s="136" t="str">
        <f>IF(SER_hh_tes!D22=0,"",SER_hh_tes!D22/SER_hh_fec!D22)</f>
        <v/>
      </c>
      <c r="E22" s="136" t="str">
        <f>IF(SER_hh_tes!E22=0,"",SER_hh_tes!E22/SER_hh_fec!E22)</f>
        <v/>
      </c>
      <c r="F22" s="136" t="str">
        <f>IF(SER_hh_tes!F22=0,"",SER_hh_tes!F22/SER_hh_fec!F22)</f>
        <v/>
      </c>
      <c r="G22" s="136" t="str">
        <f>IF(SER_hh_tes!G22=0,"",SER_hh_tes!G22/SER_hh_fec!G22)</f>
        <v/>
      </c>
      <c r="H22" s="136" t="str">
        <f>IF(SER_hh_tes!H22=0,"",SER_hh_tes!H22/SER_hh_fec!H22)</f>
        <v/>
      </c>
      <c r="I22" s="136" t="str">
        <f>IF(SER_hh_tes!I22=0,"",SER_hh_tes!I22/SER_hh_fec!I22)</f>
        <v/>
      </c>
      <c r="J22" s="136" t="str">
        <f>IF(SER_hh_tes!J22=0,"",SER_hh_tes!J22/SER_hh_fec!J22)</f>
        <v/>
      </c>
      <c r="K22" s="136" t="str">
        <f>IF(SER_hh_tes!K22=0,"",SER_hh_tes!K22/SER_hh_fec!K22)</f>
        <v/>
      </c>
      <c r="L22" s="136" t="str">
        <f>IF(SER_hh_tes!L22=0,"",SER_hh_tes!L22/SER_hh_fec!L22)</f>
        <v/>
      </c>
      <c r="M22" s="136" t="str">
        <f>IF(SER_hh_tes!M22=0,"",SER_hh_tes!M22/SER_hh_fec!M22)</f>
        <v/>
      </c>
      <c r="N22" s="136" t="str">
        <f>IF(SER_hh_tes!N22=0,"",SER_hh_tes!N22/SER_hh_fec!N22)</f>
        <v/>
      </c>
      <c r="O22" s="136" t="str">
        <f>IF(SER_hh_tes!O22=0,"",SER_hh_tes!O22/SER_hh_fec!O22)</f>
        <v/>
      </c>
      <c r="P22" s="136" t="str">
        <f>IF(SER_hh_tes!P22=0,"",SER_hh_tes!P22/SER_hh_fec!P22)</f>
        <v/>
      </c>
      <c r="Q22" s="136" t="str">
        <f>IF(SER_hh_tes!Q22=0,"",SER_hh_tes!Q22/SER_hh_fec!Q22)</f>
        <v/>
      </c>
      <c r="R22" s="136" t="str">
        <f>IF(SER_hh_tes!R22=0,"",SER_hh_tes!R22/SER_hh_fec!R22)</f>
        <v/>
      </c>
      <c r="S22" s="136" t="str">
        <f>IF(SER_hh_tes!S22=0,"",SER_hh_tes!S22/SER_hh_fec!S22)</f>
        <v/>
      </c>
      <c r="T22" s="136" t="str">
        <f>IF(SER_hh_tes!T22=0,"",SER_hh_tes!T22/SER_hh_fec!T22)</f>
        <v/>
      </c>
      <c r="U22" s="136" t="str">
        <f>IF(SER_hh_tes!U22=0,"",SER_hh_tes!U22/SER_hh_fec!U22)</f>
        <v/>
      </c>
      <c r="V22" s="136" t="str">
        <f>IF(SER_hh_tes!V22=0,"",SER_hh_tes!V22/SER_hh_fec!V22)</f>
        <v/>
      </c>
      <c r="W22" s="136" t="str">
        <f>IF(SER_hh_tes!W22=0,"",SER_hh_tes!W22/SER_hh_fec!W22)</f>
        <v/>
      </c>
      <c r="X22" s="136" t="str">
        <f>IF(SER_hh_tes!X22=0,"",SER_hh_tes!X22/SER_hh_fec!X22)</f>
        <v/>
      </c>
      <c r="Y22" s="136" t="str">
        <f>IF(SER_hh_tes!Y22=0,"",SER_hh_tes!Y22/SER_hh_fec!Y22)</f>
        <v/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0.51617019125221275</v>
      </c>
      <c r="C23" s="136">
        <f>IF(SER_hh_tes!C23=0,"",SER_hh_tes!C23/SER_hh_fec!C23)</f>
        <v>0.52090464444650952</v>
      </c>
      <c r="D23" s="136">
        <f>IF(SER_hh_tes!D23=0,"",SER_hh_tes!D23/SER_hh_fec!D23)</f>
        <v>0.5272904348227675</v>
      </c>
      <c r="E23" s="136">
        <f>IF(SER_hh_tes!E23=0,"",SER_hh_tes!E23/SER_hh_fec!E23)</f>
        <v>0.53383567476812033</v>
      </c>
      <c r="F23" s="136">
        <f>IF(SER_hh_tes!F23=0,"",SER_hh_tes!F23/SER_hh_fec!F23)</f>
        <v>0.54026691886847134</v>
      </c>
      <c r="G23" s="136">
        <f>IF(SER_hh_tes!G23=0,"",SER_hh_tes!G23/SER_hh_fec!G23)</f>
        <v>0.54659537448330686</v>
      </c>
      <c r="H23" s="136">
        <f>IF(SER_hh_tes!H23=0,"",SER_hh_tes!H23/SER_hh_fec!H23)</f>
        <v>0.55347478155609842</v>
      </c>
      <c r="I23" s="136">
        <f>IF(SER_hh_tes!I23=0,"",SER_hh_tes!I23/SER_hh_fec!I23)</f>
        <v>0.56190940385383792</v>
      </c>
      <c r="J23" s="136">
        <f>IF(SER_hh_tes!J23=0,"",SER_hh_tes!J23/SER_hh_fec!J23)</f>
        <v>0.56921948020522128</v>
      </c>
      <c r="K23" s="136">
        <f>IF(SER_hh_tes!K23=0,"",SER_hh_tes!K23/SER_hh_fec!K23)</f>
        <v>0.57734632290880017</v>
      </c>
      <c r="L23" s="136">
        <f>IF(SER_hh_tes!L23=0,"",SER_hh_tes!L23/SER_hh_fec!L23)</f>
        <v>0.5859217701264785</v>
      </c>
      <c r="M23" s="136">
        <f>IF(SER_hh_tes!M23=0,"",SER_hh_tes!M23/SER_hh_fec!M23)</f>
        <v>0.59563297903146173</v>
      </c>
      <c r="N23" s="136">
        <f>IF(SER_hh_tes!N23=0,"",SER_hh_tes!N23/SER_hh_fec!N23)</f>
        <v>0.60603574841798602</v>
      </c>
      <c r="O23" s="136">
        <f>IF(SER_hh_tes!O23=0,"",SER_hh_tes!O23/SER_hh_fec!O23)</f>
        <v>0.6192370493155368</v>
      </c>
      <c r="P23" s="136">
        <f>IF(SER_hh_tes!P23=0,"",SER_hh_tes!P23/SER_hh_fec!P23)</f>
        <v>0.62890257714274278</v>
      </c>
      <c r="Q23" s="136">
        <f>IF(SER_hh_tes!Q23=0,"",SER_hh_tes!Q23/SER_hh_fec!Q23)</f>
        <v>0.63605543367816841</v>
      </c>
      <c r="R23" s="136">
        <f>IF(SER_hh_tes!R23=0,"",SER_hh_tes!R23/SER_hh_fec!R23)</f>
        <v>0.64590221639115786</v>
      </c>
      <c r="S23" s="136">
        <f>IF(SER_hh_tes!S23=0,"",SER_hh_tes!S23/SER_hh_fec!S23)</f>
        <v>0.65886212838405267</v>
      </c>
      <c r="T23" s="136">
        <f>IF(SER_hh_tes!T23=0,"",SER_hh_tes!T23/SER_hh_fec!T23)</f>
        <v>0.67292908570382515</v>
      </c>
      <c r="U23" s="136">
        <f>IF(SER_hh_tes!U23=0,"",SER_hh_tes!U23/SER_hh_fec!U23)</f>
        <v>0.68621615781431189</v>
      </c>
      <c r="V23" s="136">
        <f>IF(SER_hh_tes!V23=0,"",SER_hh_tes!V23/SER_hh_fec!V23)</f>
        <v>0.6991938562890333</v>
      </c>
      <c r="W23" s="136">
        <f>IF(SER_hh_tes!W23=0,"",SER_hh_tes!W23/SER_hh_fec!W23)</f>
        <v>0.71089388120526198</v>
      </c>
      <c r="X23" s="136">
        <f>IF(SER_hh_tes!X23=0,"",SER_hh_tes!X23/SER_hh_fec!X23)</f>
        <v>0.72215749909643523</v>
      </c>
      <c r="Y23" s="136">
        <f>IF(SER_hh_tes!Y23=0,"",SER_hh_tes!Y23/SER_hh_fec!Y23)</f>
        <v>0.73517097351550764</v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>
        <f>IF(SER_hh_tes!N24=0,"",SER_hh_tes!N24/SER_hh_fec!N24)</f>
        <v>0.70615130885017718</v>
      </c>
      <c r="O24" s="136">
        <f>IF(SER_hh_tes!O24=0,"",SER_hh_tes!O24/SER_hh_fec!O24)</f>
        <v>0.70797191165336637</v>
      </c>
      <c r="P24" s="136">
        <f>IF(SER_hh_tes!P24=0,"",SER_hh_tes!P24/SER_hh_fec!P24)</f>
        <v>0.70936053178200265</v>
      </c>
      <c r="Q24" s="136">
        <f>IF(SER_hh_tes!Q24=0,"",SER_hh_tes!Q24/SER_hh_fec!Q24)</f>
        <v>0.70936933152135606</v>
      </c>
      <c r="R24" s="136">
        <f>IF(SER_hh_tes!R24=0,"",SER_hh_tes!R24/SER_hh_fec!R24)</f>
        <v>0.70938288873956568</v>
      </c>
      <c r="S24" s="136">
        <f>IF(SER_hh_tes!S24=0,"",SER_hh_tes!S24/SER_hh_fec!S24)</f>
        <v>0.70939696552059939</v>
      </c>
      <c r="T24" s="136">
        <f>IF(SER_hh_tes!T24=0,"",SER_hh_tes!T24/SER_hh_fec!T24)</f>
        <v>0.70941794526357693</v>
      </c>
      <c r="U24" s="136">
        <f>IF(SER_hh_tes!U24=0,"",SER_hh_tes!U24/SER_hh_fec!U24)</f>
        <v>0.71003098297547151</v>
      </c>
      <c r="V24" s="136">
        <f>IF(SER_hh_tes!V24=0,"",SER_hh_tes!V24/SER_hh_fec!V24)</f>
        <v>0.71254573480352867</v>
      </c>
      <c r="W24" s="136">
        <f>IF(SER_hh_tes!W24=0,"",SER_hh_tes!W24/SER_hh_fec!W24)</f>
        <v>0.71620088503004375</v>
      </c>
      <c r="X24" s="136">
        <f>IF(SER_hh_tes!X24=0,"",SER_hh_tes!X24/SER_hh_fec!X24)</f>
        <v>0.72549130166522391</v>
      </c>
      <c r="Y24" s="136">
        <f>IF(SER_hh_tes!Y24=0,"",SER_hh_tes!Y24/SER_hh_fec!Y24)</f>
        <v>0.74002339089328895</v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0.7702539778224532</v>
      </c>
      <c r="C25" s="136">
        <f>IF(SER_hh_tes!C25=0,"",SER_hh_tes!C25/SER_hh_fec!C25)</f>
        <v>0.77208954605908386</v>
      </c>
      <c r="D25" s="136">
        <f>IF(SER_hh_tes!D25=0,"",SER_hh_tes!D25/SER_hh_fec!D25)</f>
        <v>0.7741826667142131</v>
      </c>
      <c r="E25" s="136">
        <f>IF(SER_hh_tes!E25=0,"",SER_hh_tes!E25/SER_hh_fec!E25)</f>
        <v>0.77671813970151826</v>
      </c>
      <c r="F25" s="136">
        <f>IF(SER_hh_tes!F25=0,"",SER_hh_tes!F25/SER_hh_fec!F25)</f>
        <v>0.77954143493117301</v>
      </c>
      <c r="G25" s="136">
        <f>IF(SER_hh_tes!G25=0,"",SER_hh_tes!G25/SER_hh_fec!G25)</f>
        <v>0.78287899078967749</v>
      </c>
      <c r="H25" s="136">
        <f>IF(SER_hh_tes!H25=0,"",SER_hh_tes!H25/SER_hh_fec!H25)</f>
        <v>0.78616560607433617</v>
      </c>
      <c r="I25" s="136">
        <f>IF(SER_hh_tes!I25=0,"",SER_hh_tes!I25/SER_hh_fec!I25)</f>
        <v>0.78951395783142964</v>
      </c>
      <c r="J25" s="136">
        <f>IF(SER_hh_tes!J25=0,"",SER_hh_tes!J25/SER_hh_fec!J25)</f>
        <v>0.79286649579071999</v>
      </c>
      <c r="K25" s="136">
        <f>IF(SER_hh_tes!K25=0,"",SER_hh_tes!K25/SER_hh_fec!K25)</f>
        <v>0.79607637648564589</v>
      </c>
      <c r="L25" s="136">
        <f>IF(SER_hh_tes!L25=0,"",SER_hh_tes!L25/SER_hh_fec!L25)</f>
        <v>0.79934959349849966</v>
      </c>
      <c r="M25" s="136">
        <f>IF(SER_hh_tes!M25=0,"",SER_hh_tes!M25/SER_hh_fec!M25)</f>
        <v>0.80277093115731024</v>
      </c>
      <c r="N25" s="136">
        <f>IF(SER_hh_tes!N25=0,"",SER_hh_tes!N25/SER_hh_fec!N25)</f>
        <v>0.80666179880025313</v>
      </c>
      <c r="O25" s="136">
        <f>IF(SER_hh_tes!O25=0,"",SER_hh_tes!O25/SER_hh_fec!O25)</f>
        <v>0.81038295765768864</v>
      </c>
      <c r="P25" s="136">
        <f>IF(SER_hh_tes!P25=0,"",SER_hh_tes!P25/SER_hh_fec!P25)</f>
        <v>0.81189301719861651</v>
      </c>
      <c r="Q25" s="136">
        <f>IF(SER_hh_tes!Q25=0,"",SER_hh_tes!Q25/SER_hh_fec!Q25)</f>
        <v>0.81408473914043078</v>
      </c>
      <c r="R25" s="136">
        <f>IF(SER_hh_tes!R25=0,"",SER_hh_tes!R25/SER_hh_fec!R25)</f>
        <v>0.81683852892934994</v>
      </c>
      <c r="S25" s="136">
        <f>IF(SER_hh_tes!S25=0,"",SER_hh_tes!S25/SER_hh_fec!S25)</f>
        <v>0.82045685910646959</v>
      </c>
      <c r="T25" s="136">
        <f>IF(SER_hh_tes!T25=0,"",SER_hh_tes!T25/SER_hh_fec!T25)</f>
        <v>0.82411668774448654</v>
      </c>
      <c r="U25" s="136">
        <f>IF(SER_hh_tes!U25=0,"",SER_hh_tes!U25/SER_hh_fec!U25)</f>
        <v>0.82831489494759458</v>
      </c>
      <c r="V25" s="136">
        <f>IF(SER_hh_tes!V25=0,"",SER_hh_tes!V25/SER_hh_fec!V25)</f>
        <v>0.83184236009451318</v>
      </c>
      <c r="W25" s="136">
        <f>IF(SER_hh_tes!W25=0,"",SER_hh_tes!W25/SER_hh_fec!W25)</f>
        <v>0.83574735273057943</v>
      </c>
      <c r="X25" s="136">
        <f>IF(SER_hh_tes!X25=0,"",SER_hh_tes!X25/SER_hh_fec!X25)</f>
        <v>0.83881801384444765</v>
      </c>
      <c r="Y25" s="136">
        <f>IF(SER_hh_tes!Y25=0,"",SER_hh_tes!Y25/SER_hh_fec!Y25)</f>
        <v>0.84265806387785203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0.64056352319622445</v>
      </c>
      <c r="C26" s="137">
        <f>IF(SER_hh_tes!C26=0,"",SER_hh_tes!C26/SER_hh_fec!C26)</f>
        <v>0.6425406949901914</v>
      </c>
      <c r="D26" s="137">
        <f>IF(SER_hh_tes!D26=0,"",SER_hh_tes!D26/SER_hh_fec!D26)</f>
        <v>0.64427155753552379</v>
      </c>
      <c r="E26" s="137">
        <f>IF(SER_hh_tes!E26=0,"",SER_hh_tes!E26/SER_hh_fec!E26)</f>
        <v>0.64668842439767249</v>
      </c>
      <c r="F26" s="137">
        <f>IF(SER_hh_tes!F26=0,"",SER_hh_tes!F26/SER_hh_fec!F26)</f>
        <v>0.64850031690567778</v>
      </c>
      <c r="G26" s="137">
        <f>IF(SER_hh_tes!G26=0,"",SER_hh_tes!G26/SER_hh_fec!G26)</f>
        <v>0.65089824980054856</v>
      </c>
      <c r="H26" s="137">
        <f>IF(SER_hh_tes!H26=0,"",SER_hh_tes!H26/SER_hh_fec!H26)</f>
        <v>0.65299041006383363</v>
      </c>
      <c r="I26" s="137">
        <f>IF(SER_hh_tes!I26=0,"",SER_hh_tes!I26/SER_hh_fec!I26)</f>
        <v>0.65491704055433109</v>
      </c>
      <c r="J26" s="137">
        <f>IF(SER_hh_tes!J26=0,"",SER_hh_tes!J26/SER_hh_fec!J26)</f>
        <v>0.65662086093510752</v>
      </c>
      <c r="K26" s="137">
        <f>IF(SER_hh_tes!K26=0,"",SER_hh_tes!K26/SER_hh_fec!K26)</f>
        <v>0.65861946515954994</v>
      </c>
      <c r="L26" s="137">
        <f>IF(SER_hh_tes!L26=0,"",SER_hh_tes!L26/SER_hh_fec!L26)</f>
        <v>0.66159091097772249</v>
      </c>
      <c r="M26" s="137">
        <f>IF(SER_hh_tes!M26=0,"",SER_hh_tes!M26/SER_hh_fec!M26)</f>
        <v>0.66591500893236955</v>
      </c>
      <c r="N26" s="137">
        <f>IF(SER_hh_tes!N26=0,"",SER_hh_tes!N26/SER_hh_fec!N26)</f>
        <v>0.67174077044416969</v>
      </c>
      <c r="O26" s="137">
        <f>IF(SER_hh_tes!O26=0,"",SER_hh_tes!O26/SER_hh_fec!O26)</f>
        <v>0.67796797086966032</v>
      </c>
      <c r="P26" s="137">
        <f>IF(SER_hh_tes!P26=0,"",SER_hh_tes!P26/SER_hh_fec!P26)</f>
        <v>0.67969095280309366</v>
      </c>
      <c r="Q26" s="137">
        <f>IF(SER_hh_tes!Q26=0,"",SER_hh_tes!Q26/SER_hh_fec!Q26)</f>
        <v>0.68691005140450956</v>
      </c>
      <c r="R26" s="137">
        <f>IF(SER_hh_tes!R26=0,"",SER_hh_tes!R26/SER_hh_fec!R26)</f>
        <v>0.70024889991461381</v>
      </c>
      <c r="S26" s="137">
        <f>IF(SER_hh_tes!S26=0,"",SER_hh_tes!S26/SER_hh_fec!S26)</f>
        <v>0.7187054007614555</v>
      </c>
      <c r="T26" s="137">
        <f>IF(SER_hh_tes!T26=0,"",SER_hh_tes!T26/SER_hh_fec!T26)</f>
        <v>0.73727768095403856</v>
      </c>
      <c r="U26" s="137">
        <f>IF(SER_hh_tes!U26=0,"",SER_hh_tes!U26/SER_hh_fec!U26)</f>
        <v>0.75815339154704908</v>
      </c>
      <c r="V26" s="137">
        <f>IF(SER_hh_tes!V26=0,"",SER_hh_tes!V26/SER_hh_fec!V26)</f>
        <v>0.77898120760522027</v>
      </c>
      <c r="W26" s="137">
        <f>IF(SER_hh_tes!W26=0,"",SER_hh_tes!W26/SER_hh_fec!W26)</f>
        <v>0.80199352071507191</v>
      </c>
      <c r="X26" s="137">
        <f>IF(SER_hh_tes!X26=0,"",SER_hh_tes!X26/SER_hh_fec!X26)</f>
        <v>0.82279268924849025</v>
      </c>
      <c r="Y26" s="137">
        <f>IF(SER_hh_tes!Y26=0,"",SER_hh_tes!Y26/SER_hh_fec!Y26)</f>
        <v>0.83716121831384938</v>
      </c>
      <c r="DA26" s="164" t="s">
        <v>351</v>
      </c>
    </row>
    <row r="27" spans="1:105" ht="12" customHeight="1" x14ac:dyDescent="0.25">
      <c r="A27" s="144" t="s">
        <v>26</v>
      </c>
      <c r="B27" s="153" t="str">
        <f>IF(SER_hh_tes!B27=0,"",SER_hh_tes!B27/SER_hh_fec!B27)</f>
        <v/>
      </c>
      <c r="C27" s="153" t="str">
        <f>IF(SER_hh_tes!C27=0,"",SER_hh_tes!C27/SER_hh_fec!C27)</f>
        <v/>
      </c>
      <c r="D27" s="153" t="str">
        <f>IF(SER_hh_tes!D27=0,"",SER_hh_tes!D27/SER_hh_fec!D27)</f>
        <v/>
      </c>
      <c r="E27" s="153" t="str">
        <f>IF(SER_hh_tes!E27=0,"",SER_hh_tes!E27/SER_hh_fec!E27)</f>
        <v/>
      </c>
      <c r="F27" s="153" t="str">
        <f>IF(SER_hh_tes!F27=0,"",SER_hh_tes!F27/SER_hh_fec!F27)</f>
        <v/>
      </c>
      <c r="G27" s="153">
        <f>IF(SER_hh_tes!G27=0,"",SER_hh_tes!G27/SER_hh_fec!G27)</f>
        <v>1</v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0.74954207932455097</v>
      </c>
      <c r="C29" s="135">
        <f>IF(SER_hh_tes!C29=0,"",SER_hh_tes!C29/SER_hh_fec!C29)</f>
        <v>0.74850328968829893</v>
      </c>
      <c r="D29" s="135">
        <f>IF(SER_hh_tes!D29=0,"",SER_hh_tes!D29/SER_hh_fec!D29)</f>
        <v>0.74058010205236835</v>
      </c>
      <c r="E29" s="135">
        <f>IF(SER_hh_tes!E29=0,"",SER_hh_tes!E29/SER_hh_fec!E29)</f>
        <v>0.73454802833680632</v>
      </c>
      <c r="F29" s="135">
        <f>IF(SER_hh_tes!F29=0,"",SER_hh_tes!F29/SER_hh_fec!F29)</f>
        <v>0.73419722678322064</v>
      </c>
      <c r="G29" s="135">
        <f>IF(SER_hh_tes!G29=0,"",SER_hh_tes!G29/SER_hh_fec!G29)</f>
        <v>0.72457111886973413</v>
      </c>
      <c r="H29" s="135">
        <f>IF(SER_hh_tes!H29=0,"",SER_hh_tes!H29/SER_hh_fec!H29)</f>
        <v>0.71759874003149693</v>
      </c>
      <c r="I29" s="135">
        <f>IF(SER_hh_tes!I29=0,"",SER_hh_tes!I29/SER_hh_fec!I29)</f>
        <v>0.71142839083393339</v>
      </c>
      <c r="J29" s="135">
        <f>IF(SER_hh_tes!J29=0,"",SER_hh_tes!J29/SER_hh_fec!J29)</f>
        <v>0.70938242233098525</v>
      </c>
      <c r="K29" s="135">
        <f>IF(SER_hh_tes!K29=0,"",SER_hh_tes!K29/SER_hh_fec!K29)</f>
        <v>0.70734129770147225</v>
      </c>
      <c r="L29" s="135">
        <f>IF(SER_hh_tes!L29=0,"",SER_hh_tes!L29/SER_hh_fec!L29)</f>
        <v>0.70406604971893505</v>
      </c>
      <c r="M29" s="135">
        <f>IF(SER_hh_tes!M29=0,"",SER_hh_tes!M29/SER_hh_fec!M29)</f>
        <v>0.69948072203706047</v>
      </c>
      <c r="N29" s="135">
        <f>IF(SER_hh_tes!N29=0,"",SER_hh_tes!N29/SER_hh_fec!N29)</f>
        <v>0.69319911916599009</v>
      </c>
      <c r="O29" s="135">
        <f>IF(SER_hh_tes!O29=0,"",SER_hh_tes!O29/SER_hh_fec!O29)</f>
        <v>0.69133279522709823</v>
      </c>
      <c r="P29" s="135">
        <f>IF(SER_hh_tes!P29=0,"",SER_hh_tes!P29/SER_hh_fec!P29)</f>
        <v>0.69015175726922617</v>
      </c>
      <c r="Q29" s="135">
        <f>IF(SER_hh_tes!Q29=0,"",SER_hh_tes!Q29/SER_hh_fec!Q29)</f>
        <v>0.69407612976571254</v>
      </c>
      <c r="R29" s="135">
        <f>IF(SER_hh_tes!R29=0,"",SER_hh_tes!R29/SER_hh_fec!R29)</f>
        <v>0.69986674179477093</v>
      </c>
      <c r="S29" s="135">
        <f>IF(SER_hh_tes!S29=0,"",SER_hh_tes!S29/SER_hh_fec!S29)</f>
        <v>0.70426907149282847</v>
      </c>
      <c r="T29" s="135">
        <f>IF(SER_hh_tes!T29=0,"",SER_hh_tes!T29/SER_hh_fec!T29)</f>
        <v>0.70703926433009345</v>
      </c>
      <c r="U29" s="135">
        <f>IF(SER_hh_tes!U29=0,"",SER_hh_tes!U29/SER_hh_fec!U29)</f>
        <v>0.70983510353215018</v>
      </c>
      <c r="V29" s="135">
        <f>IF(SER_hh_tes!V29=0,"",SER_hh_tes!V29/SER_hh_fec!V29)</f>
        <v>0.70627071598274405</v>
      </c>
      <c r="W29" s="135">
        <f>IF(SER_hh_tes!W29=0,"",SER_hh_tes!W29/SER_hh_fec!W29)</f>
        <v>0.71282731923094433</v>
      </c>
      <c r="X29" s="135">
        <f>IF(SER_hh_tes!X29=0,"",SER_hh_tes!X29/SER_hh_fec!X29)</f>
        <v>0.71863139979452506</v>
      </c>
      <c r="Y29" s="135">
        <f>IF(SER_hh_tes!Y29=0,"",SER_hh_tes!Y29/SER_hh_fec!Y29)</f>
        <v>0.72508494041384264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0.61067925338435458</v>
      </c>
      <c r="C30" s="136">
        <f>IF(SER_hh_tes!C30=0,"",SER_hh_tes!C30/SER_hh_fec!C30)</f>
        <v>0.6109719784666201</v>
      </c>
      <c r="D30" s="136">
        <f>IF(SER_hh_tes!D30=0,"",SER_hh_tes!D30/SER_hh_fec!D30)</f>
        <v>0.61137819918987657</v>
      </c>
      <c r="E30" s="136">
        <f>IF(SER_hh_tes!E30=0,"",SER_hh_tes!E30/SER_hh_fec!E30)</f>
        <v>0.61146935910375921</v>
      </c>
      <c r="F30" s="136">
        <f>IF(SER_hh_tes!F30=0,"",SER_hh_tes!F30/SER_hh_fec!F30)</f>
        <v>0.61158452819890297</v>
      </c>
      <c r="G30" s="136">
        <f>IF(SER_hh_tes!G30=0,"",SER_hh_tes!G30/SER_hh_fec!G30)</f>
        <v>0.61168602786162496</v>
      </c>
      <c r="H30" s="136">
        <f>IF(SER_hh_tes!H30=0,"",SER_hh_tes!H30/SER_hh_fec!H30)</f>
        <v>0.61238862529574711</v>
      </c>
      <c r="I30" s="136">
        <f>IF(SER_hh_tes!I30=0,"",SER_hh_tes!I30/SER_hh_fec!I30)</f>
        <v>0.61363519552676837</v>
      </c>
      <c r="J30" s="136">
        <f>IF(SER_hh_tes!J30=0,"",SER_hh_tes!J30/SER_hh_fec!J30)</f>
        <v>0.61489712050388234</v>
      </c>
      <c r="K30" s="136">
        <f>IF(SER_hh_tes!K30=0,"",SER_hh_tes!K30/SER_hh_fec!K30)</f>
        <v>0.61647410609318543</v>
      </c>
      <c r="L30" s="136">
        <f>IF(SER_hh_tes!L30=0,"",SER_hh_tes!L30/SER_hh_fec!L30)</f>
        <v>0.61751404288005396</v>
      </c>
      <c r="M30" s="136">
        <f>IF(SER_hh_tes!M30=0,"",SER_hh_tes!M30/SER_hh_fec!M30)</f>
        <v>0.61753212470357932</v>
      </c>
      <c r="N30" s="136">
        <f>IF(SER_hh_tes!N30=0,"",SER_hh_tes!N30/SER_hh_fec!N30)</f>
        <v>0.61755459238061094</v>
      </c>
      <c r="O30" s="136">
        <f>IF(SER_hh_tes!O30=0,"",SER_hh_tes!O30/SER_hh_fec!O30)</f>
        <v>0.61758781751124048</v>
      </c>
      <c r="P30" s="136">
        <f>IF(SER_hh_tes!P30=0,"",SER_hh_tes!P30/SER_hh_fec!P30)</f>
        <v>0.61762744880792564</v>
      </c>
      <c r="Q30" s="136">
        <f>IF(SER_hh_tes!Q30=0,"",SER_hh_tes!Q30/SER_hh_fec!Q30)</f>
        <v>0.61766597515574939</v>
      </c>
      <c r="R30" s="136">
        <f>IF(SER_hh_tes!R30=0,"",SER_hh_tes!R30/SER_hh_fec!R30)</f>
        <v>0.6177334028613054</v>
      </c>
      <c r="S30" s="136">
        <f>IF(SER_hh_tes!S30=0,"",SER_hh_tes!S30/SER_hh_fec!S30)</f>
        <v>0.61798719680700986</v>
      </c>
      <c r="T30" s="136">
        <f>IF(SER_hh_tes!T30=0,"",SER_hh_tes!T30/SER_hh_fec!T30)</f>
        <v>0.61888497297922307</v>
      </c>
      <c r="U30" s="136">
        <f>IF(SER_hh_tes!U30=0,"",SER_hh_tes!U30/SER_hh_fec!U30)</f>
        <v>0.61985692417574656</v>
      </c>
      <c r="V30" s="136">
        <f>IF(SER_hh_tes!V30=0,"",SER_hh_tes!V30/SER_hh_fec!V30)</f>
        <v>0.62063712902017365</v>
      </c>
      <c r="W30" s="136">
        <f>IF(SER_hh_tes!W30=0,"",SER_hh_tes!W30/SER_hh_fec!W30)</f>
        <v>0.62123452673944579</v>
      </c>
      <c r="X30" s="136">
        <f>IF(SER_hh_tes!X30=0,"",SER_hh_tes!X30/SER_hh_fec!X30)</f>
        <v>0.62150429732757384</v>
      </c>
      <c r="Y30" s="136">
        <f>IF(SER_hh_tes!Y30=0,"",SER_hh_tes!Y30/SER_hh_fec!Y30)</f>
        <v>0.62155457382013723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0.62375794733539769</v>
      </c>
      <c r="C31" s="136">
        <f>IF(SER_hh_tes!C31=0,"",SER_hh_tes!C31/SER_hh_fec!C31)</f>
        <v>0.62618772967440461</v>
      </c>
      <c r="D31" s="136">
        <f>IF(SER_hh_tes!D31=0,"",SER_hh_tes!D31/SER_hh_fec!D31)</f>
        <v>0.62786296183491008</v>
      </c>
      <c r="E31" s="136">
        <f>IF(SER_hh_tes!E31=0,"",SER_hh_tes!E31/SER_hh_fec!E31)</f>
        <v>0.6288187560633639</v>
      </c>
      <c r="F31" s="136">
        <f>IF(SER_hh_tes!F31=0,"",SER_hh_tes!F31/SER_hh_fec!F31)</f>
        <v>0.62940273627788335</v>
      </c>
      <c r="G31" s="136">
        <f>IF(SER_hh_tes!G31=0,"",SER_hh_tes!G31/SER_hh_fec!G31)</f>
        <v>0.62976634018061362</v>
      </c>
      <c r="H31" s="136">
        <f>IF(SER_hh_tes!H31=0,"",SER_hh_tes!H31/SER_hh_fec!H31)</f>
        <v>0.6300276809555726</v>
      </c>
      <c r="I31" s="136">
        <f>IF(SER_hh_tes!I31=0,"",SER_hh_tes!I31/SER_hh_fec!I31)</f>
        <v>0.63022819592798507</v>
      </c>
      <c r="J31" s="136">
        <f>IF(SER_hh_tes!J31=0,"",SER_hh_tes!J31/SER_hh_fec!J31)</f>
        <v>0.63039798691854643</v>
      </c>
      <c r="K31" s="136">
        <f>IF(SER_hh_tes!K31=0,"",SER_hh_tes!K31/SER_hh_fec!K31)</f>
        <v>0.63055281644602568</v>
      </c>
      <c r="L31" s="136">
        <f>IF(SER_hh_tes!L31=0,"",SER_hh_tes!L31/SER_hh_fec!L31)</f>
        <v>0.63067540597374161</v>
      </c>
      <c r="M31" s="136">
        <f>IF(SER_hh_tes!M31=0,"",SER_hh_tes!M31/SER_hh_fec!M31)</f>
        <v>0.63075673915788466</v>
      </c>
      <c r="N31" s="136">
        <f>IF(SER_hh_tes!N31=0,"",SER_hh_tes!N31/SER_hh_fec!N31)</f>
        <v>0.63084886425027908</v>
      </c>
      <c r="O31" s="136">
        <f>IF(SER_hh_tes!O31=0,"",SER_hh_tes!O31/SER_hh_fec!O31)</f>
        <v>0.63094595304777801</v>
      </c>
      <c r="P31" s="136">
        <f>IF(SER_hh_tes!P31=0,"",SER_hh_tes!P31/SER_hh_fec!P31)</f>
        <v>0.63104171272302501</v>
      </c>
      <c r="Q31" s="136">
        <f>IF(SER_hh_tes!Q31=0,"",SER_hh_tes!Q31/SER_hh_fec!Q31)</f>
        <v>0.6311460451592561</v>
      </c>
      <c r="R31" s="136">
        <f>IF(SER_hh_tes!R31=0,"",SER_hh_tes!R31/SER_hh_fec!R31)</f>
        <v>0.63131226835481247</v>
      </c>
      <c r="S31" s="136">
        <f>IF(SER_hh_tes!S31=0,"",SER_hh_tes!S31/SER_hh_fec!S31)</f>
        <v>0.63158386107434239</v>
      </c>
      <c r="T31" s="136">
        <f>IF(SER_hh_tes!T31=0,"",SER_hh_tes!T31/SER_hh_fec!T31)</f>
        <v>0.63195719616336765</v>
      </c>
      <c r="U31" s="136">
        <f>IF(SER_hh_tes!U31=0,"",SER_hh_tes!U31/SER_hh_fec!U31)</f>
        <v>0.63244458914576684</v>
      </c>
      <c r="V31" s="136">
        <f>IF(SER_hh_tes!V31=0,"",SER_hh_tes!V31/SER_hh_fec!V31)</f>
        <v>0.63300903582822488</v>
      </c>
      <c r="W31" s="136">
        <f>IF(SER_hh_tes!W31=0,"",SER_hh_tes!W31/SER_hh_fec!W31)</f>
        <v>0.63361510639636531</v>
      </c>
      <c r="X31" s="136">
        <f>IF(SER_hh_tes!X31=0,"",SER_hh_tes!X31/SER_hh_fec!X31)</f>
        <v>0.63425360252950969</v>
      </c>
      <c r="Y31" s="136">
        <f>IF(SER_hh_tes!Y31=0,"",SER_hh_tes!Y31/SER_hh_fec!Y31)</f>
        <v>0.6349048213487396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0.81527112954131487</v>
      </c>
      <c r="C33" s="149">
        <f>IF(SER_hh_tes!C33=0,"",SER_hh_tes!C33/SER_hh_fec!C33)</f>
        <v>0.81663662271886417</v>
      </c>
      <c r="D33" s="149">
        <f>IF(SER_hh_tes!D33=0,"",SER_hh_tes!D33/SER_hh_fec!D33)</f>
        <v>0.81778899335849975</v>
      </c>
      <c r="E33" s="149">
        <f>IF(SER_hh_tes!E33=0,"",SER_hh_tes!E33/SER_hh_fec!E33)</f>
        <v>0.81934160166164982</v>
      </c>
      <c r="F33" s="149">
        <f>IF(SER_hh_tes!F33=0,"",SER_hh_tes!F33/SER_hh_fec!F33)</f>
        <v>0.82070192146664955</v>
      </c>
      <c r="G33" s="149">
        <f>IF(SER_hh_tes!G33=0,"",SER_hh_tes!G33/SER_hh_fec!G33)</f>
        <v>0.82225676066517106</v>
      </c>
      <c r="H33" s="149">
        <f>IF(SER_hh_tes!H33=0,"",SER_hh_tes!H33/SER_hh_fec!H33)</f>
        <v>0.82394602987094945</v>
      </c>
      <c r="I33" s="149">
        <f>IF(SER_hh_tes!I33=0,"",SER_hh_tes!I33/SER_hh_fec!I33)</f>
        <v>0.82615804385374314</v>
      </c>
      <c r="J33" s="149">
        <f>IF(SER_hh_tes!J33=0,"",SER_hh_tes!J33/SER_hh_fec!J33)</f>
        <v>0.82855495244757149</v>
      </c>
      <c r="K33" s="149">
        <f>IF(SER_hh_tes!K33=0,"",SER_hh_tes!K33/SER_hh_fec!K33)</f>
        <v>0.83163260909598402</v>
      </c>
      <c r="L33" s="149">
        <f>IF(SER_hh_tes!L33=0,"",SER_hh_tes!L33/SER_hh_fec!L33)</f>
        <v>0.83390722576247545</v>
      </c>
      <c r="M33" s="149">
        <f>IF(SER_hh_tes!M33=0,"",SER_hh_tes!M33/SER_hh_fec!M33)</f>
        <v>0.83428116332927771</v>
      </c>
      <c r="N33" s="149">
        <f>IF(SER_hh_tes!N33=0,"",SER_hh_tes!N33/SER_hh_fec!N33)</f>
        <v>0.83509688049028519</v>
      </c>
      <c r="O33" s="149">
        <f>IF(SER_hh_tes!O33=0,"",SER_hh_tes!O33/SER_hh_fec!O33)</f>
        <v>0.83703276316699537</v>
      </c>
      <c r="P33" s="149">
        <f>IF(SER_hh_tes!P33=0,"",SER_hh_tes!P33/SER_hh_fec!P33)</f>
        <v>0.84007547408645911</v>
      </c>
      <c r="Q33" s="149">
        <f>IF(SER_hh_tes!Q33=0,"",SER_hh_tes!Q33/SER_hh_fec!Q33)</f>
        <v>0.84346649432335929</v>
      </c>
      <c r="R33" s="149">
        <f>IF(SER_hh_tes!R33=0,"",SER_hh_tes!R33/SER_hh_fec!R33)</f>
        <v>0.84826914788227625</v>
      </c>
      <c r="S33" s="149">
        <f>IF(SER_hh_tes!S33=0,"",SER_hh_tes!S33/SER_hh_fec!S33)</f>
        <v>0.85403692833510492</v>
      </c>
      <c r="T33" s="149">
        <f>IF(SER_hh_tes!T33=0,"",SER_hh_tes!T33/SER_hh_fec!T33)</f>
        <v>0.86024609031480237</v>
      </c>
      <c r="U33" s="149">
        <f>IF(SER_hh_tes!U33=0,"",SER_hh_tes!U33/SER_hh_fec!U33)</f>
        <v>0.86704755495824282</v>
      </c>
      <c r="V33" s="149">
        <f>IF(SER_hh_tes!V33=0,"",SER_hh_tes!V33/SER_hh_fec!V33)</f>
        <v>0.87407010116057826</v>
      </c>
      <c r="W33" s="149">
        <f>IF(SER_hh_tes!W33=0,"",SER_hh_tes!W33/SER_hh_fec!W33)</f>
        <v>0.88136670420493213</v>
      </c>
      <c r="X33" s="149">
        <f>IF(SER_hh_tes!X33=0,"",SER_hh_tes!X33/SER_hh_fec!X33)</f>
        <v>0.88829669619252993</v>
      </c>
      <c r="Y33" s="149">
        <f>IF(SER_hh_tes!Y33=0,"",SER_hh_tes!Y33/SER_hh_fec!Y33)</f>
        <v>0.89502447982359368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4505.0887349795221</v>
      </c>
      <c r="C3" s="125">
        <f t="shared" si="0"/>
        <v>4804.1788354471137</v>
      </c>
      <c r="D3" s="125">
        <f t="shared" si="0"/>
        <v>4403.8717230732409</v>
      </c>
      <c r="E3" s="125">
        <f t="shared" si="0"/>
        <v>4630.959061361692</v>
      </c>
      <c r="F3" s="125">
        <f t="shared" si="0"/>
        <v>5768.8327222356966</v>
      </c>
      <c r="G3" s="125">
        <f t="shared" si="0"/>
        <v>5473.2181613999992</v>
      </c>
      <c r="H3" s="125">
        <f t="shared" si="0"/>
        <v>4723.6247249684302</v>
      </c>
      <c r="I3" s="125">
        <f t="shared" si="0"/>
        <v>3666.1525491362149</v>
      </c>
      <c r="J3" s="125">
        <f t="shared" si="0"/>
        <v>3451.5217122048962</v>
      </c>
      <c r="K3" s="125">
        <f t="shared" si="0"/>
        <v>3753.5851488000003</v>
      </c>
      <c r="L3" s="125">
        <f t="shared" si="0"/>
        <v>4096.05847008</v>
      </c>
      <c r="M3" s="125">
        <f t="shared" si="0"/>
        <v>4113.4863289199984</v>
      </c>
      <c r="N3" s="125">
        <f t="shared" si="0"/>
        <v>3363.4390911600021</v>
      </c>
      <c r="O3" s="125">
        <f t="shared" si="0"/>
        <v>3389.6008800000027</v>
      </c>
      <c r="P3" s="125">
        <f t="shared" si="0"/>
        <v>3024.7325728799983</v>
      </c>
      <c r="Q3" s="125">
        <f t="shared" si="0"/>
        <v>3122.0633620799981</v>
      </c>
      <c r="R3" s="125">
        <f t="shared" ref="R3:W3" si="1">SUM(R4,R16,R19,R29)</f>
        <v>3039.0845292000004</v>
      </c>
      <c r="S3" s="125">
        <f t="shared" si="1"/>
        <v>2890.6550502051678</v>
      </c>
      <c r="T3" s="125">
        <f t="shared" si="1"/>
        <v>2758.4759836747839</v>
      </c>
      <c r="U3" s="125">
        <f t="shared" si="1"/>
        <v>2645.2934729279982</v>
      </c>
      <c r="V3" s="125">
        <f t="shared" si="1"/>
        <v>2668.6949232945112</v>
      </c>
      <c r="W3" s="125">
        <f t="shared" si="1"/>
        <v>2791.6256268684569</v>
      </c>
      <c r="X3" s="125">
        <f t="shared" ref="X3:Y3" si="2">SUM(X4,X16,X19,X29)</f>
        <v>2316.400911273161</v>
      </c>
      <c r="Y3" s="125">
        <f t="shared" si="2"/>
        <v>1851.8727765589358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4115.789027909077</v>
      </c>
      <c r="C4" s="130">
        <f t="shared" si="3"/>
        <v>4404.5476026404422</v>
      </c>
      <c r="D4" s="130">
        <f t="shared" si="3"/>
        <v>3964.9915943424271</v>
      </c>
      <c r="E4" s="130">
        <f t="shared" si="3"/>
        <v>4155.099556775921</v>
      </c>
      <c r="F4" s="130">
        <f t="shared" si="3"/>
        <v>5276.8645502860836</v>
      </c>
      <c r="G4" s="130">
        <f t="shared" si="3"/>
        <v>4948.7992128669857</v>
      </c>
      <c r="H4" s="130">
        <f t="shared" si="3"/>
        <v>4169.2735263610857</v>
      </c>
      <c r="I4" s="130">
        <f t="shared" si="3"/>
        <v>3077.5916748407249</v>
      </c>
      <c r="J4" s="130">
        <f t="shared" si="3"/>
        <v>2841.9049279905771</v>
      </c>
      <c r="K4" s="130">
        <f t="shared" si="3"/>
        <v>3113.9953442692604</v>
      </c>
      <c r="L4" s="130">
        <f t="shared" si="3"/>
        <v>3427.9467984530397</v>
      </c>
      <c r="M4" s="130">
        <f t="shared" si="3"/>
        <v>3429.616216926117</v>
      </c>
      <c r="N4" s="130">
        <f t="shared" si="3"/>
        <v>2663.2546106046525</v>
      </c>
      <c r="O4" s="130">
        <f t="shared" si="3"/>
        <v>2655.1996107051859</v>
      </c>
      <c r="P4" s="130">
        <f t="shared" si="3"/>
        <v>2279.8675494496861</v>
      </c>
      <c r="Q4" s="130">
        <f t="shared" si="3"/>
        <v>2382.8159588011845</v>
      </c>
      <c r="R4" s="130">
        <f t="shared" ref="R4:W4" si="4">SUM(R5:R15)</f>
        <v>2317.8519065045966</v>
      </c>
      <c r="S4" s="130">
        <f t="shared" si="4"/>
        <v>2179.8854230474603</v>
      </c>
      <c r="T4" s="130">
        <f t="shared" si="4"/>
        <v>2034.401052211073</v>
      </c>
      <c r="U4" s="130">
        <f t="shared" si="4"/>
        <v>1937.3414135450269</v>
      </c>
      <c r="V4" s="130">
        <f t="shared" si="4"/>
        <v>1991.5164381624877</v>
      </c>
      <c r="W4" s="130">
        <f t="shared" si="4"/>
        <v>2107.8744647720628</v>
      </c>
      <c r="X4" s="130">
        <f t="shared" ref="X4:Y4" si="5">SUM(X5:X15)</f>
        <v>1658.6254284575459</v>
      </c>
      <c r="Y4" s="130">
        <f t="shared" si="5"/>
        <v>1221.9156934217704</v>
      </c>
      <c r="DA4" s="155" t="s">
        <v>234</v>
      </c>
    </row>
    <row r="5" spans="1:105" ht="12" customHeight="1" x14ac:dyDescent="0.25">
      <c r="A5" s="131" t="s">
        <v>29</v>
      </c>
      <c r="B5" s="132">
        <v>96.694138779521396</v>
      </c>
      <c r="C5" s="132">
        <v>57.228382647114209</v>
      </c>
      <c r="D5" s="132">
        <v>45.045152113240718</v>
      </c>
      <c r="E5" s="132">
        <v>42.320448521692285</v>
      </c>
      <c r="F5" s="132">
        <v>27.139718715695697</v>
      </c>
      <c r="G5" s="132">
        <v>10.295229119999998</v>
      </c>
      <c r="H5" s="132">
        <v>17.938406368430893</v>
      </c>
      <c r="I5" s="132">
        <v>14.841613416213397</v>
      </c>
      <c r="J5" s="132">
        <v>13.983263164897004</v>
      </c>
      <c r="K5" s="132">
        <v>11.541509759999999</v>
      </c>
      <c r="L5" s="132">
        <v>11.112969119999999</v>
      </c>
      <c r="M5" s="132">
        <v>12.39496368</v>
      </c>
      <c r="N5" s="132">
        <v>3.4296952799999998</v>
      </c>
      <c r="O5" s="132">
        <v>9.8564399999999974</v>
      </c>
      <c r="P5" s="132">
        <v>9.1774240800000015</v>
      </c>
      <c r="Q5" s="132">
        <v>11.700271440000003</v>
      </c>
      <c r="R5" s="132">
        <v>11.551090319999993</v>
      </c>
      <c r="S5" s="132">
        <v>6.3272470057446695</v>
      </c>
      <c r="T5" s="132">
        <v>6.4748258102451413</v>
      </c>
      <c r="U5" s="132">
        <v>6.342593112874229</v>
      </c>
      <c r="V5" s="132">
        <v>5.0424079480208892</v>
      </c>
      <c r="W5" s="132">
        <v>5.0103712060171182</v>
      </c>
      <c r="X5" s="132">
        <v>6.0817247705013715</v>
      </c>
      <c r="Y5" s="132">
        <v>2.4649861375996731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106.38345096000003</v>
      </c>
      <c r="C7" s="132">
        <v>112.61511756000003</v>
      </c>
      <c r="D7" s="132">
        <v>53.158381919999997</v>
      </c>
      <c r="E7" s="132">
        <v>38.116677599999989</v>
      </c>
      <c r="F7" s="132">
        <v>34.378777800000002</v>
      </c>
      <c r="G7" s="132">
        <v>37.318861800000008</v>
      </c>
      <c r="H7" s="132">
        <v>28.065152880000007</v>
      </c>
      <c r="I7" s="132">
        <v>0</v>
      </c>
      <c r="J7" s="132">
        <v>0</v>
      </c>
      <c r="K7" s="132">
        <v>0</v>
      </c>
      <c r="L7" s="132">
        <v>0</v>
      </c>
      <c r="M7" s="132">
        <v>0</v>
      </c>
      <c r="N7" s="132">
        <v>37.342080000000017</v>
      </c>
      <c r="O7" s="132">
        <v>21.781896839999998</v>
      </c>
      <c r="P7" s="132">
        <v>46.679674680000005</v>
      </c>
      <c r="Q7" s="132">
        <v>80.91378576000001</v>
      </c>
      <c r="R7" s="132">
        <v>100.82385504</v>
      </c>
      <c r="S7" s="132">
        <v>91.311737399999998</v>
      </c>
      <c r="T7" s="132">
        <v>104.03069400000007</v>
      </c>
      <c r="U7" s="132">
        <v>91.487256480000042</v>
      </c>
      <c r="V7" s="132">
        <v>94.564749599999999</v>
      </c>
      <c r="W7" s="132">
        <v>119.55094127999989</v>
      </c>
      <c r="X7" s="132">
        <v>85.02107759999987</v>
      </c>
      <c r="Y7" s="132">
        <v>75.674005199999939</v>
      </c>
      <c r="DA7" s="156" t="s">
        <v>360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2.9916746658512736E-3</v>
      </c>
      <c r="S8" s="132">
        <v>1.767636788321381E-2</v>
      </c>
      <c r="T8" s="132">
        <v>4.6865030023042036E-2</v>
      </c>
      <c r="U8" s="132">
        <v>5.7893613271866651E-2</v>
      </c>
      <c r="V8" s="132">
        <v>0.10705489996115861</v>
      </c>
      <c r="W8" s="132">
        <v>9.0893530724174429E-2</v>
      </c>
      <c r="X8" s="132">
        <v>0.10747963450954617</v>
      </c>
      <c r="Y8" s="132">
        <v>0.120564382213856</v>
      </c>
      <c r="DA8" s="156" t="s">
        <v>361</v>
      </c>
    </row>
    <row r="9" spans="1:105" ht="12" customHeight="1" x14ac:dyDescent="0.25">
      <c r="A9" s="131" t="s">
        <v>78</v>
      </c>
      <c r="B9" s="132">
        <v>3912.711438169556</v>
      </c>
      <c r="C9" s="132">
        <v>4234.7041024333275</v>
      </c>
      <c r="D9" s="132">
        <v>3866.7880603091862</v>
      </c>
      <c r="E9" s="132">
        <v>4074.6624306542285</v>
      </c>
      <c r="F9" s="132">
        <v>5215.3460537703877</v>
      </c>
      <c r="G9" s="132">
        <v>4901.1851219469854</v>
      </c>
      <c r="H9" s="132">
        <v>4123.2699671126547</v>
      </c>
      <c r="I9" s="132">
        <v>3062.7500614245114</v>
      </c>
      <c r="J9" s="132">
        <v>2827.9216648256802</v>
      </c>
      <c r="K9" s="132">
        <v>3102.4538345092606</v>
      </c>
      <c r="L9" s="132">
        <v>3416.8338293330398</v>
      </c>
      <c r="M9" s="132">
        <v>3417.2212532461172</v>
      </c>
      <c r="N9" s="132">
        <v>2605.1793803818059</v>
      </c>
      <c r="O9" s="132">
        <v>2607.8785596908137</v>
      </c>
      <c r="P9" s="132">
        <v>2213.0541285569439</v>
      </c>
      <c r="Q9" s="132">
        <v>2268.0778921343062</v>
      </c>
      <c r="R9" s="132">
        <v>2192.2892932169725</v>
      </c>
      <c r="S9" s="132">
        <v>2065.859812433458</v>
      </c>
      <c r="T9" s="132">
        <v>1902.8651595765268</v>
      </c>
      <c r="U9" s="132">
        <v>1815.328352216892</v>
      </c>
      <c r="V9" s="132">
        <v>1867.6478364307804</v>
      </c>
      <c r="W9" s="132">
        <v>1963.3439470451299</v>
      </c>
      <c r="X9" s="132">
        <v>1547.2326069787432</v>
      </c>
      <c r="Y9" s="132">
        <v>1126.8023778201957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17.303454942846585</v>
      </c>
      <c r="O10" s="132">
        <v>15.682714174371943</v>
      </c>
      <c r="P10" s="132">
        <v>10.956322132742127</v>
      </c>
      <c r="Q10" s="132">
        <v>22.124009466878487</v>
      </c>
      <c r="R10" s="132">
        <v>13.184676252958255</v>
      </c>
      <c r="S10" s="132">
        <v>16.368949840374743</v>
      </c>
      <c r="T10" s="132">
        <v>20.983507794278079</v>
      </c>
      <c r="U10" s="132">
        <v>24.125318121988705</v>
      </c>
      <c r="V10" s="132">
        <v>24.154389283725266</v>
      </c>
      <c r="W10" s="132">
        <v>19.878311710191706</v>
      </c>
      <c r="X10" s="132">
        <v>20.182539473791813</v>
      </c>
      <c r="Y10" s="132">
        <v>16.853759881761146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0.13744901501130666</v>
      </c>
      <c r="C16" s="130">
        <f t="shared" si="6"/>
        <v>0.14086955344890037</v>
      </c>
      <c r="D16" s="130">
        <f t="shared" si="6"/>
        <v>0.17560285002076187</v>
      </c>
      <c r="E16" s="130">
        <f t="shared" si="6"/>
        <v>0.22534292432896028</v>
      </c>
      <c r="F16" s="130">
        <f t="shared" si="6"/>
        <v>0.18214904677809046</v>
      </c>
      <c r="G16" s="130">
        <f t="shared" si="6"/>
        <v>0.19686307648607235</v>
      </c>
      <c r="H16" s="130">
        <f t="shared" si="6"/>
        <v>0.25051424276449191</v>
      </c>
      <c r="I16" s="130">
        <f t="shared" si="6"/>
        <v>0.30673182759144624</v>
      </c>
      <c r="J16" s="130">
        <f t="shared" si="6"/>
        <v>0.26838024274392247</v>
      </c>
      <c r="K16" s="130">
        <f t="shared" si="6"/>
        <v>0.2950932405676015</v>
      </c>
      <c r="L16" s="130">
        <f t="shared" si="6"/>
        <v>0.35702517845989568</v>
      </c>
      <c r="M16" s="130">
        <f t="shared" si="6"/>
        <v>0.39836568676492257</v>
      </c>
      <c r="N16" s="130">
        <f t="shared" si="6"/>
        <v>0.58232162408144772</v>
      </c>
      <c r="O16" s="130">
        <f t="shared" si="6"/>
        <v>0.53282031698774845</v>
      </c>
      <c r="P16" s="130">
        <f t="shared" si="6"/>
        <v>0.51372339628498165</v>
      </c>
      <c r="Q16" s="130">
        <f t="shared" si="6"/>
        <v>0.81069805038546838</v>
      </c>
      <c r="R16" s="130">
        <f t="shared" ref="R16:W16" si="7">SUM(R17:R18)</f>
        <v>0.60836447731935206</v>
      </c>
      <c r="S16" s="130">
        <f t="shared" si="7"/>
        <v>0.83855639614163524</v>
      </c>
      <c r="T16" s="130">
        <f t="shared" si="7"/>
        <v>0.86921610744817646</v>
      </c>
      <c r="U16" s="130">
        <f t="shared" si="7"/>
        <v>1.1057349120622344</v>
      </c>
      <c r="V16" s="130">
        <f t="shared" si="7"/>
        <v>0.87682399802091693</v>
      </c>
      <c r="W16" s="130">
        <f t="shared" si="7"/>
        <v>1.1511473773408765</v>
      </c>
      <c r="X16" s="130">
        <f t="shared" ref="X16:Y16" si="8">SUM(X17:X18)</f>
        <v>1.2857144071184901</v>
      </c>
      <c r="Y16" s="130">
        <f t="shared" si="8"/>
        <v>1.1679033009688868</v>
      </c>
      <c r="DA16" s="155" t="s">
        <v>235</v>
      </c>
    </row>
    <row r="17" spans="1:105" ht="12.95" customHeight="1" x14ac:dyDescent="0.25">
      <c r="A17" s="131" t="s">
        <v>73</v>
      </c>
      <c r="B17" s="132">
        <v>0.13744901501130666</v>
      </c>
      <c r="C17" s="132">
        <v>0.14086955344890037</v>
      </c>
      <c r="D17" s="132">
        <v>0.17560285002076187</v>
      </c>
      <c r="E17" s="132">
        <v>0.22534292432896028</v>
      </c>
      <c r="F17" s="132">
        <v>0.18214904677809046</v>
      </c>
      <c r="G17" s="132">
        <v>0.19686307648607235</v>
      </c>
      <c r="H17" s="132">
        <v>0.25051424276449191</v>
      </c>
      <c r="I17" s="132">
        <v>0.30673182759144624</v>
      </c>
      <c r="J17" s="132">
        <v>0.26838024274392247</v>
      </c>
      <c r="K17" s="132">
        <v>0.2950932405676015</v>
      </c>
      <c r="L17" s="132">
        <v>0.35702517845989568</v>
      </c>
      <c r="M17" s="132">
        <v>0.39836568676492257</v>
      </c>
      <c r="N17" s="132">
        <v>0.58232162408144772</v>
      </c>
      <c r="O17" s="132">
        <v>0.53282031698774845</v>
      </c>
      <c r="P17" s="132">
        <v>0.51372339628498165</v>
      </c>
      <c r="Q17" s="132">
        <v>0.81069805038546838</v>
      </c>
      <c r="R17" s="132">
        <v>0.60836447731935206</v>
      </c>
      <c r="S17" s="132">
        <v>0.83855639614163524</v>
      </c>
      <c r="T17" s="132">
        <v>0.86921610744817646</v>
      </c>
      <c r="U17" s="132">
        <v>1.1057349120622344</v>
      </c>
      <c r="V17" s="132">
        <v>0.87682399802091693</v>
      </c>
      <c r="W17" s="132">
        <v>1.1511473773408765</v>
      </c>
      <c r="X17" s="132">
        <v>1.2857144071184901</v>
      </c>
      <c r="Y17" s="132">
        <v>1.1679033009688868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222.05793270896365</v>
      </c>
      <c r="C19" s="130">
        <f t="shared" si="9"/>
        <v>225.43446815537149</v>
      </c>
      <c r="D19" s="130">
        <f t="shared" si="9"/>
        <v>236.94410051536326</v>
      </c>
      <c r="E19" s="130">
        <f t="shared" si="9"/>
        <v>247.53810897777925</v>
      </c>
      <c r="F19" s="130">
        <f t="shared" si="9"/>
        <v>261.6217443772004</v>
      </c>
      <c r="G19" s="130">
        <f t="shared" si="9"/>
        <v>259.45202205099184</v>
      </c>
      <c r="H19" s="130">
        <f t="shared" si="9"/>
        <v>261.18445962712161</v>
      </c>
      <c r="I19" s="130">
        <f t="shared" si="9"/>
        <v>274.97355776917584</v>
      </c>
      <c r="J19" s="130">
        <f t="shared" si="9"/>
        <v>288.1284835038507</v>
      </c>
      <c r="K19" s="130">
        <f t="shared" si="9"/>
        <v>307.01981040892281</v>
      </c>
      <c r="L19" s="130">
        <f t="shared" si="9"/>
        <v>315.10470952112229</v>
      </c>
      <c r="M19" s="130">
        <f t="shared" si="9"/>
        <v>316.86668870844812</v>
      </c>
      <c r="N19" s="130">
        <f t="shared" si="9"/>
        <v>316.14591475012571</v>
      </c>
      <c r="O19" s="130">
        <f t="shared" si="9"/>
        <v>344.026551465924</v>
      </c>
      <c r="P19" s="130">
        <f t="shared" si="9"/>
        <v>349.11926140072421</v>
      </c>
      <c r="Q19" s="130">
        <f t="shared" si="9"/>
        <v>348.70067504254132</v>
      </c>
      <c r="R19" s="130">
        <f t="shared" ref="R19:W19" si="10">SUM(R20:R27)</f>
        <v>347.62693764485175</v>
      </c>
      <c r="S19" s="130">
        <f t="shared" si="10"/>
        <v>345.76381176273429</v>
      </c>
      <c r="T19" s="130">
        <f t="shared" si="10"/>
        <v>351.56261377930116</v>
      </c>
      <c r="U19" s="130">
        <f t="shared" si="10"/>
        <v>338.11025610896309</v>
      </c>
      <c r="V19" s="130">
        <f t="shared" si="10"/>
        <v>309.18109616733136</v>
      </c>
      <c r="W19" s="130">
        <f t="shared" si="10"/>
        <v>304.40229421135507</v>
      </c>
      <c r="X19" s="130">
        <f t="shared" ref="X19:Y19" si="11">SUM(X20:X27)</f>
        <v>285.43174964068646</v>
      </c>
      <c r="Y19" s="130">
        <f t="shared" si="11"/>
        <v>271.30715247697651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372</v>
      </c>
    </row>
    <row r="22" spans="1:105" ht="12" customHeight="1" x14ac:dyDescent="0.25">
      <c r="A22" s="131" t="s">
        <v>161</v>
      </c>
      <c r="B22" s="132">
        <v>0</v>
      </c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373</v>
      </c>
    </row>
    <row r="23" spans="1:105" ht="12" customHeight="1" x14ac:dyDescent="0.25">
      <c r="A23" s="131" t="s">
        <v>149</v>
      </c>
      <c r="B23" s="132">
        <v>222.05793270896365</v>
      </c>
      <c r="C23" s="132">
        <v>225.43446815537149</v>
      </c>
      <c r="D23" s="132">
        <v>236.94410051536326</v>
      </c>
      <c r="E23" s="132">
        <v>247.53810897777925</v>
      </c>
      <c r="F23" s="132">
        <v>261.6217443772004</v>
      </c>
      <c r="G23" s="132">
        <v>259.45202205099184</v>
      </c>
      <c r="H23" s="132">
        <v>261.18445962712161</v>
      </c>
      <c r="I23" s="132">
        <v>274.97355776917584</v>
      </c>
      <c r="J23" s="132">
        <v>288.1284835038507</v>
      </c>
      <c r="K23" s="132">
        <v>307.01981040892281</v>
      </c>
      <c r="L23" s="132">
        <v>315.10470952112229</v>
      </c>
      <c r="M23" s="132">
        <v>316.86668870844812</v>
      </c>
      <c r="N23" s="132">
        <v>313.28619809297231</v>
      </c>
      <c r="O23" s="132">
        <v>341.26243724029592</v>
      </c>
      <c r="P23" s="132">
        <v>346.77675513346634</v>
      </c>
      <c r="Q23" s="132">
        <v>344.94157010941979</v>
      </c>
      <c r="R23" s="132">
        <v>345.08138509780997</v>
      </c>
      <c r="S23" s="132">
        <v>342.68464720310902</v>
      </c>
      <c r="T23" s="132">
        <v>347.37806437357926</v>
      </c>
      <c r="U23" s="132">
        <v>333.77845983095182</v>
      </c>
      <c r="V23" s="132">
        <v>304.59265705105662</v>
      </c>
      <c r="W23" s="132">
        <v>300.39954872154675</v>
      </c>
      <c r="X23" s="132">
        <v>281.16128911447828</v>
      </c>
      <c r="Y23" s="132">
        <v>267.56891235873763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2.8597166571534083</v>
      </c>
      <c r="O24" s="132">
        <v>2.7641142256280546</v>
      </c>
      <c r="P24" s="132">
        <v>2.3425062672578782</v>
      </c>
      <c r="Q24" s="132">
        <v>3.7591049331215167</v>
      </c>
      <c r="R24" s="132">
        <v>2.5455525470417562</v>
      </c>
      <c r="S24" s="132">
        <v>3.0791645596252679</v>
      </c>
      <c r="T24" s="132">
        <v>4.1845494057219232</v>
      </c>
      <c r="U24" s="132">
        <v>4.3317962780112707</v>
      </c>
      <c r="V24" s="132">
        <v>4.5884391162747526</v>
      </c>
      <c r="W24" s="132">
        <v>4.0027454898082979</v>
      </c>
      <c r="X24" s="132">
        <v>4.2704605262081952</v>
      </c>
      <c r="Y24" s="132">
        <v>3.7382401182388656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167.10432534647032</v>
      </c>
      <c r="C29" s="130">
        <f t="shared" si="12"/>
        <v>174.05589509785148</v>
      </c>
      <c r="D29" s="130">
        <f t="shared" si="12"/>
        <v>201.76042536543014</v>
      </c>
      <c r="E29" s="130">
        <f t="shared" si="12"/>
        <v>228.09605268366278</v>
      </c>
      <c r="F29" s="130">
        <f t="shared" si="12"/>
        <v>230.16427852563405</v>
      </c>
      <c r="G29" s="130">
        <f t="shared" si="12"/>
        <v>264.77006340553532</v>
      </c>
      <c r="H29" s="130">
        <f t="shared" si="12"/>
        <v>292.91622473745844</v>
      </c>
      <c r="I29" s="130">
        <f t="shared" si="12"/>
        <v>313.28058469872241</v>
      </c>
      <c r="J29" s="130">
        <f t="shared" si="12"/>
        <v>321.21992046772425</v>
      </c>
      <c r="K29" s="130">
        <f t="shared" si="12"/>
        <v>332.27490088124995</v>
      </c>
      <c r="L29" s="130">
        <f t="shared" si="12"/>
        <v>352.64993692737784</v>
      </c>
      <c r="M29" s="130">
        <f t="shared" si="12"/>
        <v>366.60505759866811</v>
      </c>
      <c r="N29" s="130">
        <f t="shared" si="12"/>
        <v>383.45624418114244</v>
      </c>
      <c r="O29" s="130">
        <f t="shared" si="12"/>
        <v>389.84189751190479</v>
      </c>
      <c r="P29" s="130">
        <f t="shared" si="12"/>
        <v>395.23203863330309</v>
      </c>
      <c r="Q29" s="130">
        <f t="shared" si="12"/>
        <v>389.73603018588722</v>
      </c>
      <c r="R29" s="130">
        <f t="shared" ref="R29:W29" si="13">SUM(R30:R33)</f>
        <v>372.99732057323251</v>
      </c>
      <c r="S29" s="130">
        <f t="shared" si="13"/>
        <v>364.16725899883176</v>
      </c>
      <c r="T29" s="130">
        <f t="shared" si="13"/>
        <v>371.64310157696178</v>
      </c>
      <c r="U29" s="130">
        <f t="shared" si="13"/>
        <v>368.73606836194591</v>
      </c>
      <c r="V29" s="130">
        <f t="shared" si="13"/>
        <v>367.12056496667111</v>
      </c>
      <c r="W29" s="130">
        <f t="shared" si="13"/>
        <v>378.19772050769814</v>
      </c>
      <c r="X29" s="130">
        <f t="shared" ref="X29:Y29" si="14">SUM(X30:X33)</f>
        <v>371.05801876780998</v>
      </c>
      <c r="Y29" s="130">
        <f t="shared" si="14"/>
        <v>357.48202735922013</v>
      </c>
      <c r="DA29" s="155" t="s">
        <v>237</v>
      </c>
    </row>
    <row r="30" spans="1:105" ht="12" customHeight="1" x14ac:dyDescent="0.25">
      <c r="A30" s="131" t="s">
        <v>52</v>
      </c>
      <c r="B30" s="132">
        <v>137.29300524000001</v>
      </c>
      <c r="C30" s="132">
        <v>110.43133524000002</v>
      </c>
      <c r="D30" s="132">
        <v>122.36972904</v>
      </c>
      <c r="E30" s="132">
        <v>110.43133524000002</v>
      </c>
      <c r="F30" s="132">
        <v>62.279775719999982</v>
      </c>
      <c r="G30" s="132">
        <v>68.211150480000015</v>
      </c>
      <c r="H30" s="132">
        <v>62.279775720000004</v>
      </c>
      <c r="I30" s="132">
        <v>62.279775719999975</v>
      </c>
      <c r="J30" s="132">
        <v>50.416799040000008</v>
      </c>
      <c r="K30" s="132">
        <v>50.416799039999987</v>
      </c>
      <c r="L30" s="132">
        <v>56.348400959999999</v>
      </c>
      <c r="M30" s="132">
        <v>47.451225239999978</v>
      </c>
      <c r="N30" s="132">
        <v>44.485424280000032</v>
      </c>
      <c r="O30" s="132">
        <v>32.622674759999988</v>
      </c>
      <c r="P30" s="132">
        <v>35.588475720000041</v>
      </c>
      <c r="Q30" s="132">
        <v>41.519850480000024</v>
      </c>
      <c r="R30" s="132">
        <v>32.03955504000001</v>
      </c>
      <c r="S30" s="132">
        <v>26.202905999999984</v>
      </c>
      <c r="T30" s="132">
        <v>34.937208000000041</v>
      </c>
      <c r="U30" s="132">
        <v>32.025698279999979</v>
      </c>
      <c r="V30" s="132">
        <v>46.583019720000024</v>
      </c>
      <c r="W30" s="132">
        <v>32.025698279999951</v>
      </c>
      <c r="X30" s="132">
        <v>32.025698280000022</v>
      </c>
      <c r="Y30" s="132">
        <v>31.980039120000004</v>
      </c>
      <c r="DA30" s="156" t="s">
        <v>379</v>
      </c>
    </row>
    <row r="31" spans="1:105" ht="12" customHeight="1" x14ac:dyDescent="0.25">
      <c r="A31" s="131" t="s">
        <v>149</v>
      </c>
      <c r="B31" s="132">
        <v>29.811320106470319</v>
      </c>
      <c r="C31" s="132">
        <v>63.624559857851452</v>
      </c>
      <c r="D31" s="132">
        <v>79.390696325430142</v>
      </c>
      <c r="E31" s="132">
        <v>117.66471744366275</v>
      </c>
      <c r="F31" s="132">
        <v>167.88450280563407</v>
      </c>
      <c r="G31" s="132">
        <v>196.55891292553531</v>
      </c>
      <c r="H31" s="132">
        <v>230.63644901745843</v>
      </c>
      <c r="I31" s="132">
        <v>251.00080897872243</v>
      </c>
      <c r="J31" s="132">
        <v>270.80312142772425</v>
      </c>
      <c r="K31" s="132">
        <v>281.85810184124995</v>
      </c>
      <c r="L31" s="132">
        <v>296.30153596737784</v>
      </c>
      <c r="M31" s="132">
        <v>319.15383235866813</v>
      </c>
      <c r="N31" s="132">
        <v>338.97081990114242</v>
      </c>
      <c r="O31" s="132">
        <v>357.21922275190479</v>
      </c>
      <c r="P31" s="132">
        <v>359.64356291330307</v>
      </c>
      <c r="Q31" s="132">
        <v>348.21617970588721</v>
      </c>
      <c r="R31" s="132">
        <v>340.95776553323253</v>
      </c>
      <c r="S31" s="132">
        <v>337.96435299883177</v>
      </c>
      <c r="T31" s="132">
        <v>336.70589357696173</v>
      </c>
      <c r="U31" s="132">
        <v>336.71037008194594</v>
      </c>
      <c r="V31" s="132">
        <v>320.53754524667107</v>
      </c>
      <c r="W31" s="132">
        <v>346.17202222769816</v>
      </c>
      <c r="X31" s="132">
        <v>339.03232048780995</v>
      </c>
      <c r="Y31" s="132">
        <v>325.50198823922011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369366.72824019229</v>
      </c>
      <c r="C3" s="125">
        <f>IF(SER_hh_fec!C3=0,0,11630*1000*SER_hh_fec!C3/SER_hh_num!C3)</f>
        <v>382624.06730630499</v>
      </c>
      <c r="D3" s="125">
        <f>IF(SER_hh_fec!D3=0,0,11630*1000*SER_hh_fec!D3/SER_hh_num!D3)</f>
        <v>341765.59494223999</v>
      </c>
      <c r="E3" s="125">
        <f>IF(SER_hh_fec!E3=0,0,11630*1000*SER_hh_fec!E3/SER_hh_num!E3)</f>
        <v>341687.35047482647</v>
      </c>
      <c r="F3" s="125">
        <f>IF(SER_hh_fec!F3=0,0,11630*1000*SER_hh_fec!F3/SER_hh_num!F3)</f>
        <v>392015.26889580302</v>
      </c>
      <c r="G3" s="125">
        <f>IF(SER_hh_fec!G3=0,0,11630*1000*SER_hh_fec!G3/SER_hh_num!G3)</f>
        <v>375476.05654842703</v>
      </c>
      <c r="H3" s="125">
        <f>IF(SER_hh_fec!H3=0,0,11630*1000*SER_hh_fec!H3/SER_hh_num!H3)</f>
        <v>330191.85403338715</v>
      </c>
      <c r="I3" s="125">
        <f>IF(SER_hh_fec!I3=0,0,11630*1000*SER_hh_fec!I3/SER_hh_num!I3)</f>
        <v>276427.11912542378</v>
      </c>
      <c r="J3" s="125">
        <f>IF(SER_hh_fec!J3=0,0,11630*1000*SER_hh_fec!J3/SER_hh_num!J3)</f>
        <v>270644.12781810219</v>
      </c>
      <c r="K3" s="125">
        <f>IF(SER_hh_fec!K3=0,0,11630*1000*SER_hh_fec!K3/SER_hh_num!K3)</f>
        <v>290623.84147407388</v>
      </c>
      <c r="L3" s="125">
        <f>IF(SER_hh_fec!L3=0,0,11630*1000*SER_hh_fec!L3/SER_hh_num!L3)</f>
        <v>307433.32249632874</v>
      </c>
      <c r="M3" s="125">
        <f>IF(SER_hh_fec!M3=0,0,11630*1000*SER_hh_fec!M3/SER_hh_num!M3)</f>
        <v>306743.20523167291</v>
      </c>
      <c r="N3" s="125">
        <f>IF(SER_hh_fec!N3=0,0,11630*1000*SER_hh_fec!N3/SER_hh_num!N3)</f>
        <v>223142.31670323981</v>
      </c>
      <c r="O3" s="125">
        <f>IF(SER_hh_fec!O3=0,0,11630*1000*SER_hh_fec!O3/SER_hh_num!O3)</f>
        <v>219674.83200691344</v>
      </c>
      <c r="P3" s="125">
        <f>IF(SER_hh_fec!P3=0,0,11630*1000*SER_hh_fec!P3/SER_hh_num!P3)</f>
        <v>188018.06466645232</v>
      </c>
      <c r="Q3" s="125">
        <f>IF(SER_hh_fec!Q3=0,0,11630*1000*SER_hh_fec!Q3/SER_hh_num!Q3)</f>
        <v>199484.15161047835</v>
      </c>
      <c r="R3" s="125">
        <f>IF(SER_hh_fec!R3=0,0,11630*1000*SER_hh_fec!R3/SER_hh_num!R3)</f>
        <v>196772.63376274065</v>
      </c>
      <c r="S3" s="125">
        <f>IF(SER_hh_fec!S3=0,0,11630*1000*SER_hh_fec!S3/SER_hh_num!S3)</f>
        <v>191183.59370874232</v>
      </c>
      <c r="T3" s="125">
        <f>IF(SER_hh_fec!T3=0,0,11630*1000*SER_hh_fec!T3/SER_hh_num!T3)</f>
        <v>183427.28020723377</v>
      </c>
      <c r="U3" s="125">
        <f>IF(SER_hh_fec!U3=0,0,11630*1000*SER_hh_fec!U3/SER_hh_num!U3)</f>
        <v>177127.08470578396</v>
      </c>
      <c r="V3" s="125">
        <f>IF(SER_hh_fec!V3=0,0,11630*1000*SER_hh_fec!V3/SER_hh_num!V3)</f>
        <v>172053.87376898411</v>
      </c>
      <c r="W3" s="125">
        <f>IF(SER_hh_fec!W3=0,0,11630*1000*SER_hh_fec!W3/SER_hh_num!W3)</f>
        <v>178984.22109590683</v>
      </c>
      <c r="X3" s="125">
        <f>IF(SER_hh_fec!X3=0,0,11630*1000*SER_hh_fec!X3/SER_hh_num!X3)</f>
        <v>157363.1402018872</v>
      </c>
      <c r="Y3" s="125">
        <f>IF(SER_hh_fec!Y3=0,0,11630*1000*SER_hh_fec!Y3/SER_hh_num!Y3)</f>
        <v>128567.25176573767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312508.59812138893</v>
      </c>
      <c r="C4" s="130">
        <f>IF(SER_hh_fec!C4=0,0,11630*1000*SER_hh_fec!C4/SER_hh_num!C4)</f>
        <v>326176.98546179209</v>
      </c>
      <c r="D4" s="130">
        <f>IF(SER_hh_fec!D4=0,0,11630*1000*SER_hh_fec!D4/SER_hh_num!D4)</f>
        <v>284835.79143418436</v>
      </c>
      <c r="E4" s="130">
        <f>IF(SER_hh_fec!E4=0,0,11630*1000*SER_hh_fec!E4/SER_hh_num!E4)</f>
        <v>284934.65145121689</v>
      </c>
      <c r="F4" s="130">
        <f>IF(SER_hh_fec!F4=0,0,11630*1000*SER_hh_fec!F4/SER_hh_num!F4)</f>
        <v>335692.89101948077</v>
      </c>
      <c r="G4" s="130">
        <f>IF(SER_hh_fec!G4=0,0,11630*1000*SER_hh_fec!G4/SER_hh_num!G4)</f>
        <v>319656.83846834087</v>
      </c>
      <c r="H4" s="130">
        <f>IF(SER_hh_fec!H4=0,0,11630*1000*SER_hh_fec!H4/SER_hh_num!H4)</f>
        <v>274125.19394914416</v>
      </c>
      <c r="I4" s="130">
        <f>IF(SER_hh_fec!I4=0,0,11630*1000*SER_hh_fec!I4/SER_hh_num!I4)</f>
        <v>220947.37881536433</v>
      </c>
      <c r="J4" s="130">
        <f>IF(SER_hh_fec!J4=0,0,11630*1000*SER_hh_fec!J4/SER_hh_num!J4)</f>
        <v>215147.82998027804</v>
      </c>
      <c r="K4" s="130">
        <f>IF(SER_hh_fec!K4=0,0,11630*1000*SER_hh_fec!K4/SER_hh_num!K4)</f>
        <v>234512.90054710922</v>
      </c>
      <c r="L4" s="130">
        <f>IF(SER_hh_fec!L4=0,0,11630*1000*SER_hh_fec!L4/SER_hh_num!L4)</f>
        <v>250705.17138534741</v>
      </c>
      <c r="M4" s="130">
        <f>IF(SER_hh_fec!M4=0,0,11630*1000*SER_hh_fec!M4/SER_hh_num!M4)</f>
        <v>250185.8176856511</v>
      </c>
      <c r="N4" s="130">
        <f>IF(SER_hh_fec!N4=0,0,11630*1000*SER_hh_fec!N4/SER_hh_num!N4)</f>
        <v>166735.61955864853</v>
      </c>
      <c r="O4" s="130">
        <f>IF(SER_hh_fec!O4=0,0,11630*1000*SER_hh_fec!O4/SER_hh_num!O4)</f>
        <v>164309.15115580469</v>
      </c>
      <c r="P4" s="130">
        <f>IF(SER_hh_fec!P4=0,0,11630*1000*SER_hh_fec!P4/SER_hh_num!P4)</f>
        <v>134629.62899101808</v>
      </c>
      <c r="Q4" s="130">
        <f>IF(SER_hh_fec!Q4=0,0,11630*1000*SER_hh_fec!Q4/SER_hh_num!Q4)</f>
        <v>145286.75086093883</v>
      </c>
      <c r="R4" s="130">
        <f>IF(SER_hh_fec!R4=0,0,11630*1000*SER_hh_fec!R4/SER_hh_num!R4)</f>
        <v>144221.94384539922</v>
      </c>
      <c r="S4" s="130">
        <f>IF(SER_hh_fec!S4=0,0,11630*1000*SER_hh_fec!S4/SER_hh_num!S4)</f>
        <v>139340.11011426343</v>
      </c>
      <c r="T4" s="130">
        <f>IF(SER_hh_fec!T4=0,0,11630*1000*SER_hh_fec!T4/SER_hh_num!T4)</f>
        <v>131797.68094487471</v>
      </c>
      <c r="U4" s="130">
        <f>IF(SER_hh_fec!U4=0,0,11630*1000*SER_hh_fec!U4/SER_hh_num!U4)</f>
        <v>126662.53521442186</v>
      </c>
      <c r="V4" s="130">
        <f>IF(SER_hh_fec!V4=0,0,11630*1000*SER_hh_fec!V4/SER_hh_num!V4)</f>
        <v>125892.42163609983</v>
      </c>
      <c r="W4" s="130">
        <f>IF(SER_hh_fec!W4=0,0,11630*1000*SER_hh_fec!W4/SER_hh_num!W4)</f>
        <v>131149.11787270219</v>
      </c>
      <c r="X4" s="130">
        <f>IF(SER_hh_fec!X4=0,0,11630*1000*SER_hh_fec!X4/SER_hh_num!X4)</f>
        <v>110080.52335775149</v>
      </c>
      <c r="Y4" s="130">
        <f>IF(SER_hh_fec!Y4=0,0,11630*1000*SER_hh_fec!Y4/SER_hh_num!Y4)</f>
        <v>82635.380198403655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377255.2051303116</v>
      </c>
      <c r="C5" s="132">
        <f>IF(SER_hh_fec!C5=0,0,11630*1000*SER_hh_fec!C5/SER_hh_num!C5)</f>
        <v>285684.66702978656</v>
      </c>
      <c r="D5" s="132">
        <f>IF(SER_hh_fec!D5=0,0,11630*1000*SER_hh_fec!D5/SER_hh_num!D5)</f>
        <v>278301.54749743565</v>
      </c>
      <c r="E5" s="132">
        <f>IF(SER_hh_fec!E5=0,0,11630*1000*SER_hh_fec!E5/SER_hh_num!E5)</f>
        <v>344081.31760965136</v>
      </c>
      <c r="F5" s="132">
        <f>IF(SER_hh_fec!F5=0,0,11630*1000*SER_hh_fec!F5/SER_hh_num!F5)</f>
        <v>305249.68981125054</v>
      </c>
      <c r="G5" s="132">
        <f>IF(SER_hh_fec!G5=0,0,11630*1000*SER_hh_fec!G5/SER_hh_num!G5)</f>
        <v>168653.73292312978</v>
      </c>
      <c r="H5" s="132">
        <f>IF(SER_hh_fec!H5=0,0,11630*1000*SER_hh_fec!H5/SER_hh_num!H5)</f>
        <v>324105.99299398437</v>
      </c>
      <c r="I5" s="132">
        <f>IF(SER_hh_fec!I5=0,0,11630*1000*SER_hh_fec!I5/SER_hh_num!I5)</f>
        <v>268957.08894840785</v>
      </c>
      <c r="J5" s="132">
        <f>IF(SER_hh_fec!J5=0,0,11630*1000*SER_hh_fec!J5/SER_hh_num!J5)</f>
        <v>261348.77054583098</v>
      </c>
      <c r="K5" s="132">
        <f>IF(SER_hh_fec!K5=0,0,11630*1000*SER_hh_fec!K5/SER_hh_num!K5)</f>
        <v>246547.37689489446</v>
      </c>
      <c r="L5" s="132">
        <f>IF(SER_hh_fec!L5=0,0,11630*1000*SER_hh_fec!L5/SER_hh_num!L5)</f>
        <v>273630.83990023826</v>
      </c>
      <c r="M5" s="132">
        <f>IF(SER_hh_fec!M5=0,0,11630*1000*SER_hh_fec!M5/SER_hh_num!M5)</f>
        <v>309126.22166983923</v>
      </c>
      <c r="N5" s="132">
        <f>IF(SER_hh_fec!N5=0,0,11630*1000*SER_hh_fec!N5/SER_hh_num!N5)</f>
        <v>84366.463705711707</v>
      </c>
      <c r="O5" s="132">
        <f>IF(SER_hh_fec!O5=0,0,11630*1000*SER_hh_fec!O5/SER_hh_num!O5)</f>
        <v>172993.2601251934</v>
      </c>
      <c r="P5" s="132">
        <f>IF(SER_hh_fec!P5=0,0,11630*1000*SER_hh_fec!P5/SER_hh_num!P5)</f>
        <v>133319.99266639006</v>
      </c>
      <c r="Q5" s="132">
        <f>IF(SER_hh_fec!Q5=0,0,11630*1000*SER_hh_fec!Q5/SER_hh_num!Q5)</f>
        <v>155586.85810659375</v>
      </c>
      <c r="R5" s="132">
        <f>IF(SER_hh_fec!R5=0,0,11630*1000*SER_hh_fec!R5/SER_hh_num!R5)</f>
        <v>165101.23281913687</v>
      </c>
      <c r="S5" s="132">
        <f>IF(SER_hh_fec!S5=0,0,11630*1000*SER_hh_fec!S5/SER_hh_num!S5)</f>
        <v>106269.41065614994</v>
      </c>
      <c r="T5" s="132">
        <f>IF(SER_hh_fec!T5=0,0,11630*1000*SER_hh_fec!T5/SER_hh_num!T5)</f>
        <v>127347.1707082322</v>
      </c>
      <c r="U5" s="132">
        <f>IF(SER_hh_fec!U5=0,0,11630*1000*SER_hh_fec!U5/SER_hh_num!U5)</f>
        <v>141455.96130567769</v>
      </c>
      <c r="V5" s="132">
        <f>IF(SER_hh_fec!V5=0,0,11630*1000*SER_hh_fec!V5/SER_hh_num!V5)</f>
        <v>121300.84775559092</v>
      </c>
      <c r="W5" s="132">
        <f>IF(SER_hh_fec!W5=0,0,11630*1000*SER_hh_fec!W5/SER_hh_num!W5)</f>
        <v>128483.41726799608</v>
      </c>
      <c r="X5" s="132">
        <f>IF(SER_hh_fec!X5=0,0,11630*1000*SER_hh_fec!X5/SER_hh_num!X5)</f>
        <v>166985.1353671031</v>
      </c>
      <c r="Y5" s="132">
        <f>IF(SER_hh_fec!Y5=0,0,11630*1000*SER_hh_fec!Y5/SER_hh_num!Y5)</f>
        <v>70919.708049565641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369287.72675789718</v>
      </c>
      <c r="C7" s="132">
        <f>IF(SER_hh_fec!C7=0,0,11630*1000*SER_hh_fec!C7/SER_hh_num!C7)</f>
        <v>440443.38463810744</v>
      </c>
      <c r="D7" s="132">
        <f>IF(SER_hh_fec!D7=0,0,11630*1000*SER_hh_fec!D7/SER_hh_num!D7)</f>
        <v>292860.21388208558</v>
      </c>
      <c r="E7" s="132">
        <f>IF(SER_hh_fec!E7=0,0,11630*1000*SER_hh_fec!E7/SER_hh_num!E7)</f>
        <v>294301.58474204427</v>
      </c>
      <c r="F7" s="132">
        <f>IF(SER_hh_fec!F7=0,0,11630*1000*SER_hh_fec!F7/SER_hh_num!F7)</f>
        <v>347170.55858784617</v>
      </c>
      <c r="G7" s="132">
        <f>IF(SER_hh_fec!G7=0,0,11630*1000*SER_hh_fec!G7/SER_hh_num!G7)</f>
        <v>449735.19121824054</v>
      </c>
      <c r="H7" s="132">
        <f>IF(SER_hh_fec!H7=0,0,11630*1000*SER_hh_fec!H7/SER_hh_num!H7)</f>
        <v>461436.82590837311</v>
      </c>
      <c r="I7" s="132">
        <f>IF(SER_hh_fec!I7=0,0,11630*1000*SER_hh_fec!I7/SER_hh_num!I7)</f>
        <v>0</v>
      </c>
      <c r="J7" s="132">
        <f>IF(SER_hh_fec!J7=0,0,11630*1000*SER_hh_fec!J7/SER_hh_num!J7)</f>
        <v>0</v>
      </c>
      <c r="K7" s="132">
        <f>IF(SER_hh_fec!K7=0,0,11630*1000*SER_hh_fec!K7/SER_hh_num!K7)</f>
        <v>0</v>
      </c>
      <c r="L7" s="132">
        <f>IF(SER_hh_fec!L7=0,0,11630*1000*SER_hh_fec!L7/SER_hh_num!L7)</f>
        <v>0</v>
      </c>
      <c r="M7" s="132">
        <f>IF(SER_hh_fec!M7=0,0,11630*1000*SER_hh_fec!M7/SER_hh_num!M7)</f>
        <v>0</v>
      </c>
      <c r="N7" s="132">
        <f>IF(SER_hh_fec!N7=0,0,11630*1000*SER_hh_fec!N7/SER_hh_num!N7)</f>
        <v>257232.62602260729</v>
      </c>
      <c r="O7" s="132">
        <f>IF(SER_hh_fec!O7=0,0,11630*1000*SER_hh_fec!O7/SER_hh_num!O7)</f>
        <v>99464.179892466535</v>
      </c>
      <c r="P7" s="132">
        <f>IF(SER_hh_fec!P7=0,0,11630*1000*SER_hh_fec!P7/SER_hh_num!P7)</f>
        <v>129058.17016202402</v>
      </c>
      <c r="Q7" s="132">
        <f>IF(SER_hh_fec!Q7=0,0,11630*1000*SER_hh_fec!Q7/SER_hh_num!Q7)</f>
        <v>161339.99320851071</v>
      </c>
      <c r="R7" s="132">
        <f>IF(SER_hh_fec!R7=0,0,11630*1000*SER_hh_fec!R7/SER_hh_num!R7)</f>
        <v>163020.51246267755</v>
      </c>
      <c r="S7" s="132">
        <f>IF(SER_hh_fec!S7=0,0,11630*1000*SER_hh_fec!S7/SER_hh_num!S7)</f>
        <v>138017.05671156116</v>
      </c>
      <c r="T7" s="132">
        <f>IF(SER_hh_fec!T7=0,0,11630*1000*SER_hh_fec!T7/SER_hh_num!T7)</f>
        <v>148950.78744720056</v>
      </c>
      <c r="U7" s="132">
        <f>IF(SER_hh_fec!U7=0,0,11630*1000*SER_hh_fec!U7/SER_hh_num!U7)</f>
        <v>130123.72917795717</v>
      </c>
      <c r="V7" s="132">
        <f>IF(SER_hh_fec!V7=0,0,11630*1000*SER_hh_fec!V7/SER_hh_num!V7)</f>
        <v>131070.84841515221</v>
      </c>
      <c r="W7" s="132">
        <f>IF(SER_hh_fec!W7=0,0,11630*1000*SER_hh_fec!W7/SER_hh_num!W7)</f>
        <v>159023.19654857385</v>
      </c>
      <c r="X7" s="132">
        <f>IF(SER_hh_fec!X7=0,0,11630*1000*SER_hh_fec!X7/SER_hh_num!X7)</f>
        <v>112221.60293774777</v>
      </c>
      <c r="Y7" s="132">
        <f>IF(SER_hh_fec!Y7=0,0,11630*1000*SER_hh_fec!Y7/SER_hh_num!Y7)</f>
        <v>100897.40498946799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0</v>
      </c>
      <c r="C8" s="132">
        <f>IF(SER_hh_fec!C8=0,0,11630*1000*SER_hh_fec!C8/SER_hh_num!C8)</f>
        <v>0</v>
      </c>
      <c r="D8" s="132">
        <f>IF(SER_hh_fec!D8=0,0,11630*1000*SER_hh_fec!D8/SER_hh_num!D8)</f>
        <v>0</v>
      </c>
      <c r="E8" s="132">
        <f>IF(SER_hh_fec!E8=0,0,11630*1000*SER_hh_fec!E8/SER_hh_num!E8)</f>
        <v>0</v>
      </c>
      <c r="F8" s="132">
        <f>IF(SER_hh_fec!F8=0,0,11630*1000*SER_hh_fec!F8/SER_hh_num!F8)</f>
        <v>0</v>
      </c>
      <c r="G8" s="132">
        <f>IF(SER_hh_fec!G8=0,0,11630*1000*SER_hh_fec!G8/SER_hh_num!G8)</f>
        <v>0</v>
      </c>
      <c r="H8" s="132">
        <f>IF(SER_hh_fec!H8=0,0,11630*1000*SER_hh_fec!H8/SER_hh_num!H8)</f>
        <v>0</v>
      </c>
      <c r="I8" s="132">
        <f>IF(SER_hh_fec!I8=0,0,11630*1000*SER_hh_fec!I8/SER_hh_num!I8)</f>
        <v>0</v>
      </c>
      <c r="J8" s="132">
        <f>IF(SER_hh_fec!J8=0,0,11630*1000*SER_hh_fec!J8/SER_hh_num!J8)</f>
        <v>0</v>
      </c>
      <c r="K8" s="132">
        <f>IF(SER_hh_fec!K8=0,0,11630*1000*SER_hh_fec!K8/SER_hh_num!K8)</f>
        <v>0</v>
      </c>
      <c r="L8" s="132">
        <f>IF(SER_hh_fec!L8=0,0,11630*1000*SER_hh_fec!L8/SER_hh_num!L8)</f>
        <v>0</v>
      </c>
      <c r="M8" s="132">
        <f>IF(SER_hh_fec!M8=0,0,11630*1000*SER_hh_fec!M8/SER_hh_num!M8)</f>
        <v>0</v>
      </c>
      <c r="N8" s="132">
        <f>IF(SER_hh_fec!N8=0,0,11630*1000*SER_hh_fec!N8/SER_hh_num!N8)</f>
        <v>0</v>
      </c>
      <c r="O8" s="132">
        <f>IF(SER_hh_fec!O8=0,0,11630*1000*SER_hh_fec!O8/SER_hh_num!O8)</f>
        <v>0</v>
      </c>
      <c r="P8" s="132">
        <f>IF(SER_hh_fec!P8=0,0,11630*1000*SER_hh_fec!P8/SER_hh_num!P8)</f>
        <v>0</v>
      </c>
      <c r="Q8" s="132">
        <f>IF(SER_hh_fec!Q8=0,0,11630*1000*SER_hh_fec!Q8/SER_hh_num!Q8)</f>
        <v>0</v>
      </c>
      <c r="R8" s="132">
        <f>IF(SER_hh_fec!R8=0,0,11630*1000*SER_hh_fec!R8/SER_hh_num!R8)</f>
        <v>10485.22681822678</v>
      </c>
      <c r="S8" s="132">
        <f>IF(SER_hh_fec!S8=0,0,11630*1000*SER_hh_fec!S8/SER_hh_num!S8)</f>
        <v>25108.461399160482</v>
      </c>
      <c r="T8" s="132">
        <f>IF(SER_hh_fec!T8=0,0,11630*1000*SER_hh_fec!T8/SER_hh_num!T8)</f>
        <v>33236.470454823182</v>
      </c>
      <c r="U8" s="132">
        <f>IF(SER_hh_fec!U8=0,0,11630*1000*SER_hh_fec!U8/SER_hh_num!U8)</f>
        <v>28284.898314402377</v>
      </c>
      <c r="V8" s="132">
        <f>IF(SER_hh_fec!V8=0,0,11630*1000*SER_hh_fec!V8/SER_hh_num!V8)</f>
        <v>38031.989681367173</v>
      </c>
      <c r="W8" s="132">
        <f>IF(SER_hh_fec!W8=0,0,11630*1000*SER_hh_fec!W8/SER_hh_num!W8)</f>
        <v>27708.191827952851</v>
      </c>
      <c r="X8" s="132">
        <f>IF(SER_hh_fec!X8=0,0,11630*1000*SER_hh_fec!X8/SER_hh_num!X8)</f>
        <v>27220.02811976512</v>
      </c>
      <c r="Y8" s="132">
        <f>IF(SER_hh_fec!Y8=0,0,11630*1000*SER_hh_fec!Y8/SER_hh_num!Y8)</f>
        <v>24507.539638713504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341215.76248010481</v>
      </c>
      <c r="C9" s="132">
        <f>IF(SER_hh_fec!C9=0,0,11630*1000*SER_hh_fec!C9/SER_hh_num!C9)</f>
        <v>355665.17870442802</v>
      </c>
      <c r="D9" s="132">
        <f>IF(SER_hh_fec!D9=0,0,11630*1000*SER_hh_fec!D9/SER_hh_num!D9)</f>
        <v>306719.4279283323</v>
      </c>
      <c r="E9" s="132">
        <f>IF(SER_hh_fec!E9=0,0,11630*1000*SER_hh_fec!E9/SER_hh_num!E9)</f>
        <v>300964.8827495955</v>
      </c>
      <c r="F9" s="132">
        <f>IF(SER_hh_fec!F9=0,0,11630*1000*SER_hh_fec!F9/SER_hh_num!F9)</f>
        <v>370204.55032767495</v>
      </c>
      <c r="G9" s="132">
        <f>IF(SER_hh_fec!G9=0,0,11630*1000*SER_hh_fec!G9/SER_hh_num!G9)</f>
        <v>347127.67409910017</v>
      </c>
      <c r="H9" s="132">
        <f>IF(SER_hh_fec!H9=0,0,11630*1000*SER_hh_fec!H9/SER_hh_num!H9)</f>
        <v>302777.73467598524</v>
      </c>
      <c r="I9" s="132">
        <f>IF(SER_hh_fec!I9=0,0,11630*1000*SER_hh_fec!I9/SER_hh_num!I9)</f>
        <v>236818.40943944582</v>
      </c>
      <c r="J9" s="132">
        <f>IF(SER_hh_fec!J9=0,0,11630*1000*SER_hh_fec!J9/SER_hh_num!J9)</f>
        <v>231864.59495556602</v>
      </c>
      <c r="K9" s="132">
        <f>IF(SER_hh_fec!K9=0,0,11630*1000*SER_hh_fec!K9/SER_hh_num!K9)</f>
        <v>259027.52696595795</v>
      </c>
      <c r="L9" s="132">
        <f>IF(SER_hh_fec!L9=0,0,11630*1000*SER_hh_fec!L9/SER_hh_num!L9)</f>
        <v>275421.81732700992</v>
      </c>
      <c r="M9" s="132">
        <f>IF(SER_hh_fec!M9=0,0,11630*1000*SER_hh_fec!M9/SER_hh_num!M9)</f>
        <v>260033.12762589261</v>
      </c>
      <c r="N9" s="132">
        <f>IF(SER_hh_fec!N9=0,0,11630*1000*SER_hh_fec!N9/SER_hh_num!N9)</f>
        <v>182841.17425723004</v>
      </c>
      <c r="O9" s="132">
        <f>IF(SER_hh_fec!O9=0,0,11630*1000*SER_hh_fec!O9/SER_hh_num!O9)</f>
        <v>176629.73457031176</v>
      </c>
      <c r="P9" s="132">
        <f>IF(SER_hh_fec!P9=0,0,11630*1000*SER_hh_fec!P9/SER_hh_num!P9)</f>
        <v>143850.97387298633</v>
      </c>
      <c r="Q9" s="132">
        <f>IF(SER_hh_fec!Q9=0,0,11630*1000*SER_hh_fec!Q9/SER_hh_num!Q9)</f>
        <v>152873.78592343428</v>
      </c>
      <c r="R9" s="132">
        <f>IF(SER_hh_fec!R9=0,0,11630*1000*SER_hh_fec!R9/SER_hh_num!R9)</f>
        <v>152438.56364765984</v>
      </c>
      <c r="S9" s="132">
        <f>IF(SER_hh_fec!S9=0,0,11630*1000*SER_hh_fec!S9/SER_hh_num!S9)</f>
        <v>147415.70502179899</v>
      </c>
      <c r="T9" s="132">
        <f>IF(SER_hh_fec!T9=0,0,11630*1000*SER_hh_fec!T9/SER_hh_num!T9)</f>
        <v>137720.38818788907</v>
      </c>
      <c r="U9" s="132">
        <f>IF(SER_hh_fec!U9=0,0,11630*1000*SER_hh_fec!U9/SER_hh_num!U9)</f>
        <v>131503.04463316491</v>
      </c>
      <c r="V9" s="132">
        <f>IF(SER_hh_fec!V9=0,0,11630*1000*SER_hh_fec!V9/SER_hh_num!V9)</f>
        <v>134558.47301637632</v>
      </c>
      <c r="W9" s="132">
        <f>IF(SER_hh_fec!W9=0,0,11630*1000*SER_hh_fec!W9/SER_hh_num!W9)</f>
        <v>143049.5890494668</v>
      </c>
      <c r="X9" s="132">
        <f>IF(SER_hh_fec!X9=0,0,11630*1000*SER_hh_fec!X9/SER_hh_num!X9)</f>
        <v>116517.8194048029</v>
      </c>
      <c r="Y9" s="132">
        <f>IF(SER_hh_fec!Y9=0,0,11630*1000*SER_hh_fec!Y9/SER_hh_num!Y9)</f>
        <v>88816.427776045748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388876.69625188777</v>
      </c>
      <c r="C10" s="132">
        <f>IF(SER_hh_fec!C10=0,0,11630*1000*SER_hh_fec!C10/SER_hh_num!C10)</f>
        <v>332122.04887407407</v>
      </c>
      <c r="D10" s="132">
        <f>IF(SER_hh_fec!D10=0,0,11630*1000*SER_hh_fec!D10/SER_hh_num!D10)</f>
        <v>352287.01584486832</v>
      </c>
      <c r="E10" s="132">
        <f>IF(SER_hh_fec!E10=0,0,11630*1000*SER_hh_fec!E10/SER_hh_num!E10)</f>
        <v>422936.52811919444</v>
      </c>
      <c r="F10" s="132">
        <f>IF(SER_hh_fec!F10=0,0,11630*1000*SER_hh_fec!F10/SER_hh_num!F10)</f>
        <v>405624.14454560116</v>
      </c>
      <c r="G10" s="132">
        <f>IF(SER_hh_fec!G10=0,0,11630*1000*SER_hh_fec!G10/SER_hh_num!G10)</f>
        <v>302161.36820544972</v>
      </c>
      <c r="H10" s="132">
        <f>IF(SER_hh_fec!H10=0,0,11630*1000*SER_hh_fec!H10/SER_hh_num!H10)</f>
        <v>311267.47381842131</v>
      </c>
      <c r="I10" s="132">
        <f>IF(SER_hh_fec!I10=0,0,11630*1000*SER_hh_fec!I10/SER_hh_num!I10)</f>
        <v>278478.0947129472</v>
      </c>
      <c r="J10" s="132">
        <f>IF(SER_hh_fec!J10=0,0,11630*1000*SER_hh_fec!J10/SER_hh_num!J10)</f>
        <v>266529.14993876393</v>
      </c>
      <c r="K10" s="132">
        <f>IF(SER_hh_fec!K10=0,0,11630*1000*SER_hh_fec!K10/SER_hh_num!K10)</f>
        <v>280826.73767362529</v>
      </c>
      <c r="L10" s="132">
        <f>IF(SER_hh_fec!L10=0,0,11630*1000*SER_hh_fec!L10/SER_hh_num!L10)</f>
        <v>282541.56533344201</v>
      </c>
      <c r="M10" s="132">
        <f>IF(SER_hh_fec!M10=0,0,11630*1000*SER_hh_fec!M10/SER_hh_num!M10)</f>
        <v>260446.18060996145</v>
      </c>
      <c r="N10" s="132">
        <f>IF(SER_hh_fec!N10=0,0,11630*1000*SER_hh_fec!N10/SER_hh_num!N10)</f>
        <v>210321.30357811414</v>
      </c>
      <c r="O10" s="132">
        <f>IF(SER_hh_fec!O10=0,0,11630*1000*SER_hh_fec!O10/SER_hh_num!O10)</f>
        <v>187956.25921015165</v>
      </c>
      <c r="P10" s="132">
        <f>IF(SER_hh_fec!P10=0,0,11630*1000*SER_hh_fec!P10/SER_hh_num!P10)</f>
        <v>151705.77380513793</v>
      </c>
      <c r="Q10" s="132">
        <f>IF(SER_hh_fec!Q10=0,0,11630*1000*SER_hh_fec!Q10/SER_hh_num!Q10)</f>
        <v>183767.69918901144</v>
      </c>
      <c r="R10" s="132">
        <f>IF(SER_hh_fec!R10=0,0,11630*1000*SER_hh_fec!R10/SER_hh_num!R10)</f>
        <v>164731.09772393608</v>
      </c>
      <c r="S10" s="132">
        <f>IF(SER_hh_fec!S10=0,0,11630*1000*SER_hh_fec!S10/SER_hh_num!S10)</f>
        <v>168567.12424370807</v>
      </c>
      <c r="T10" s="132">
        <f>IF(SER_hh_fec!T10=0,0,11630*1000*SER_hh_fec!T10/SER_hh_num!T10)</f>
        <v>157826.45743659261</v>
      </c>
      <c r="U10" s="132">
        <f>IF(SER_hh_fec!U10=0,0,11630*1000*SER_hh_fec!U10/SER_hh_num!U10)</f>
        <v>175319.13727182391</v>
      </c>
      <c r="V10" s="132">
        <f>IF(SER_hh_fec!V10=0,0,11630*1000*SER_hh_fec!V10/SER_hh_num!V10)</f>
        <v>163978.44836580465</v>
      </c>
      <c r="W10" s="132">
        <f>IF(SER_hh_fec!W10=0,0,11630*1000*SER_hh_fec!W10/SER_hh_num!W10)</f>
        <v>138769.31065704298</v>
      </c>
      <c r="X10" s="132">
        <f>IF(SER_hh_fec!X10=0,0,11630*1000*SER_hh_fec!X10/SER_hh_num!X10)</f>
        <v>141438.70700369086</v>
      </c>
      <c r="Y10" s="132">
        <f>IF(SER_hh_fec!Y10=0,0,11630*1000*SER_hh_fec!Y10/SER_hh_num!Y10)</f>
        <v>126875.93242206538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232357.3703922811</v>
      </c>
      <c r="C11" s="132">
        <f>IF(SER_hh_fec!C11=0,0,11630*1000*SER_hh_fec!C11/SER_hh_num!C11)</f>
        <v>226478.60096609249</v>
      </c>
      <c r="D11" s="132">
        <f>IF(SER_hh_fec!D11=0,0,11630*1000*SER_hh_fec!D11/SER_hh_num!D11)</f>
        <v>221342.7397466421</v>
      </c>
      <c r="E11" s="132">
        <f>IF(SER_hh_fec!E11=0,0,11630*1000*SER_hh_fec!E11/SER_hh_num!E11)</f>
        <v>226709.50693083575</v>
      </c>
      <c r="F11" s="132">
        <f>IF(SER_hh_fec!F11=0,0,11630*1000*SER_hh_fec!F11/SER_hh_num!F11)</f>
        <v>215871.28380760507</v>
      </c>
      <c r="G11" s="132">
        <f>IF(SER_hh_fec!G11=0,0,11630*1000*SER_hh_fec!G11/SER_hh_num!G11)</f>
        <v>211884.12113737399</v>
      </c>
      <c r="H11" s="132">
        <f>IF(SER_hh_fec!H11=0,0,11630*1000*SER_hh_fec!H11/SER_hh_num!H11)</f>
        <v>194497.73409726433</v>
      </c>
      <c r="I11" s="132">
        <f>IF(SER_hh_fec!I11=0,0,11630*1000*SER_hh_fec!I11/SER_hh_num!I11)</f>
        <v>171806.7641238239</v>
      </c>
      <c r="J11" s="132">
        <f>IF(SER_hh_fec!J11=0,0,11630*1000*SER_hh_fec!J11/SER_hh_num!J11)</f>
        <v>179263.06298716372</v>
      </c>
      <c r="K11" s="132">
        <f>IF(SER_hh_fec!K11=0,0,11630*1000*SER_hh_fec!K11/SER_hh_num!K11)</f>
        <v>181583.03302763344</v>
      </c>
      <c r="L11" s="132">
        <f>IF(SER_hh_fec!L11=0,0,11630*1000*SER_hh_fec!L11/SER_hh_num!L11)</f>
        <v>175948.38112749509</v>
      </c>
      <c r="M11" s="132">
        <f>IF(SER_hh_fec!M11=0,0,11630*1000*SER_hh_fec!M11/SER_hh_num!M11)</f>
        <v>173666.83887640969</v>
      </c>
      <c r="N11" s="132">
        <f>IF(SER_hh_fec!N11=0,0,11630*1000*SER_hh_fec!N11/SER_hh_num!N11)</f>
        <v>165788.21107175114</v>
      </c>
      <c r="O11" s="132">
        <f>IF(SER_hh_fec!O11=0,0,11630*1000*SER_hh_fec!O11/SER_hh_num!O11)</f>
        <v>176383.81879748317</v>
      </c>
      <c r="P11" s="132">
        <f>IF(SER_hh_fec!P11=0,0,11630*1000*SER_hh_fec!P11/SER_hh_num!P11)</f>
        <v>67877.692841627388</v>
      </c>
      <c r="Q11" s="132">
        <f>IF(SER_hh_fec!Q11=0,0,11630*1000*SER_hh_fec!Q11/SER_hh_num!Q11)</f>
        <v>86708.779611350765</v>
      </c>
      <c r="R11" s="132">
        <f>IF(SER_hh_fec!R11=0,0,11630*1000*SER_hh_fec!R11/SER_hh_num!R11)</f>
        <v>96165.733471205531</v>
      </c>
      <c r="S11" s="132">
        <f>IF(SER_hh_fec!S11=0,0,11630*1000*SER_hh_fec!S11/SER_hh_num!S11)</f>
        <v>122297.23852661089</v>
      </c>
      <c r="T11" s="132">
        <f>IF(SER_hh_fec!T11=0,0,11630*1000*SER_hh_fec!T11/SER_hh_num!T11)</f>
        <v>110650.01755095214</v>
      </c>
      <c r="U11" s="132">
        <f>IF(SER_hh_fec!U11=0,0,11630*1000*SER_hh_fec!U11/SER_hh_num!U11)</f>
        <v>112340.55097347969</v>
      </c>
      <c r="V11" s="132">
        <f>IF(SER_hh_fec!V11=0,0,11630*1000*SER_hh_fec!V11/SER_hh_num!V11)</f>
        <v>95680.729894621312</v>
      </c>
      <c r="W11" s="132">
        <f>IF(SER_hh_fec!W11=0,0,11630*1000*SER_hh_fec!W11/SER_hh_num!W11)</f>
        <v>105259.87444907638</v>
      </c>
      <c r="X11" s="132">
        <f>IF(SER_hh_fec!X11=0,0,11630*1000*SER_hh_fec!X11/SER_hh_num!X11)</f>
        <v>94527.531042828094</v>
      </c>
      <c r="Y11" s="132">
        <f>IF(SER_hh_fec!Y11=0,0,11630*1000*SER_hh_fec!Y11/SER_hh_num!Y11)</f>
        <v>86142.540964221524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213953.17207833662</v>
      </c>
      <c r="C12" s="132">
        <f>IF(SER_hh_fec!C12=0,0,11630*1000*SER_hh_fec!C12/SER_hh_num!C12)</f>
        <v>238828.17560000901</v>
      </c>
      <c r="D12" s="132">
        <f>IF(SER_hh_fec!D12=0,0,11630*1000*SER_hh_fec!D12/SER_hh_num!D12)</f>
        <v>201476.34773150779</v>
      </c>
      <c r="E12" s="132">
        <f>IF(SER_hh_fec!E12=0,0,11630*1000*SER_hh_fec!E12/SER_hh_num!E12)</f>
        <v>223082.76185521978</v>
      </c>
      <c r="F12" s="132">
        <f>IF(SER_hh_fec!F12=0,0,11630*1000*SER_hh_fec!F12/SER_hh_num!F12)</f>
        <v>195217.52720122327</v>
      </c>
      <c r="G12" s="132">
        <f>IF(SER_hh_fec!G12=0,0,11630*1000*SER_hh_fec!G12/SER_hh_num!G12)</f>
        <v>225310.97551209325</v>
      </c>
      <c r="H12" s="132">
        <f>IF(SER_hh_fec!H12=0,0,11630*1000*SER_hh_fec!H12/SER_hh_num!H12)</f>
        <v>180747.5652119125</v>
      </c>
      <c r="I12" s="132">
        <f>IF(SER_hh_fec!I12=0,0,11630*1000*SER_hh_fec!I12/SER_hh_num!I12)</f>
        <v>170475.62908899842</v>
      </c>
      <c r="J12" s="132">
        <f>IF(SER_hh_fec!J12=0,0,11630*1000*SER_hh_fec!J12/SER_hh_num!J12)</f>
        <v>183459.69253367078</v>
      </c>
      <c r="K12" s="132">
        <f>IF(SER_hh_fec!K12=0,0,11630*1000*SER_hh_fec!K12/SER_hh_num!K12)</f>
        <v>175512.19246040279</v>
      </c>
      <c r="L12" s="132">
        <f>IF(SER_hh_fec!L12=0,0,11630*1000*SER_hh_fec!L12/SER_hh_num!L12)</f>
        <v>185850.39843243052</v>
      </c>
      <c r="M12" s="132">
        <f>IF(SER_hh_fec!M12=0,0,11630*1000*SER_hh_fec!M12/SER_hh_num!M12)</f>
        <v>183584.54220224265</v>
      </c>
      <c r="N12" s="132">
        <f>IF(SER_hh_fec!N12=0,0,11630*1000*SER_hh_fec!N12/SER_hh_num!N12)</f>
        <v>126174.76026286454</v>
      </c>
      <c r="O12" s="132">
        <f>IF(SER_hh_fec!O12=0,0,11630*1000*SER_hh_fec!O12/SER_hh_num!O12)</f>
        <v>117561.81469120525</v>
      </c>
      <c r="P12" s="132">
        <f>IF(SER_hh_fec!P12=0,0,11630*1000*SER_hh_fec!P12/SER_hh_num!P12)</f>
        <v>99913.217258577279</v>
      </c>
      <c r="Q12" s="132">
        <f>IF(SER_hh_fec!Q12=0,0,11630*1000*SER_hh_fec!Q12/SER_hh_num!Q12)</f>
        <v>115033.75503553846</v>
      </c>
      <c r="R12" s="132">
        <f>IF(SER_hh_fec!R12=0,0,11630*1000*SER_hh_fec!R12/SER_hh_num!R12)</f>
        <v>117947.31139867177</v>
      </c>
      <c r="S12" s="132">
        <f>IF(SER_hh_fec!S12=0,0,11630*1000*SER_hh_fec!S12/SER_hh_num!S12)</f>
        <v>114954.02098923687</v>
      </c>
      <c r="T12" s="132">
        <f>IF(SER_hh_fec!T12=0,0,11630*1000*SER_hh_fec!T12/SER_hh_num!T12)</f>
        <v>108104.96014671233</v>
      </c>
      <c r="U12" s="132">
        <f>IF(SER_hh_fec!U12=0,0,11630*1000*SER_hh_fec!U12/SER_hh_num!U12)</f>
        <v>104087.18149687408</v>
      </c>
      <c r="V12" s="132">
        <f>IF(SER_hh_fec!V12=0,0,11630*1000*SER_hh_fec!V12/SER_hh_num!V12)</f>
        <v>104797.20825521491</v>
      </c>
      <c r="W12" s="132">
        <f>IF(SER_hh_fec!W12=0,0,11630*1000*SER_hh_fec!W12/SER_hh_num!W12)</f>
        <v>111995.00552335491</v>
      </c>
      <c r="X12" s="132">
        <f>IF(SER_hh_fec!X12=0,0,11630*1000*SER_hh_fec!X12/SER_hh_num!X12)</f>
        <v>97254.397905381426</v>
      </c>
      <c r="Y12" s="132">
        <f>IF(SER_hh_fec!Y12=0,0,11630*1000*SER_hh_fec!Y12/SER_hh_num!Y12)</f>
        <v>73681.790672003292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107060.81993344825</v>
      </c>
      <c r="C13" s="132">
        <f>IF(SER_hh_fec!C13=0,0,11630*1000*SER_hh_fec!C13/SER_hh_num!C13)</f>
        <v>114539.66026235641</v>
      </c>
      <c r="D13" s="132">
        <f>IF(SER_hh_fec!D13=0,0,11630*1000*SER_hh_fec!D13/SER_hh_num!D13)</f>
        <v>97734.846119548194</v>
      </c>
      <c r="E13" s="132">
        <f>IF(SER_hh_fec!E13=0,0,11630*1000*SER_hh_fec!E13/SER_hh_num!E13)</f>
        <v>73626.063522281052</v>
      </c>
      <c r="F13" s="132">
        <f>IF(SER_hh_fec!F13=0,0,11630*1000*SER_hh_fec!F13/SER_hh_num!F13)</f>
        <v>80015.648857422013</v>
      </c>
      <c r="G13" s="132">
        <f>IF(SER_hh_fec!G13=0,0,11630*1000*SER_hh_fec!G13/SER_hh_num!G13)</f>
        <v>77080.525069416602</v>
      </c>
      <c r="H13" s="132">
        <f>IF(SER_hh_fec!H13=0,0,11630*1000*SER_hh_fec!H13/SER_hh_num!H13)</f>
        <v>66733.175265103957</v>
      </c>
      <c r="I13" s="132">
        <f>IF(SER_hh_fec!I13=0,0,11630*1000*SER_hh_fec!I13/SER_hh_num!I13)</f>
        <v>73000.315766809115</v>
      </c>
      <c r="J13" s="132">
        <f>IF(SER_hh_fec!J13=0,0,11630*1000*SER_hh_fec!J13/SER_hh_num!J13)</f>
        <v>63600.144106633183</v>
      </c>
      <c r="K13" s="132">
        <f>IF(SER_hh_fec!K13=0,0,11630*1000*SER_hh_fec!K13/SER_hh_num!K13)</f>
        <v>68192.558505954585</v>
      </c>
      <c r="L13" s="132">
        <f>IF(SER_hh_fec!L13=0,0,11630*1000*SER_hh_fec!L13/SER_hh_num!L13)</f>
        <v>54066.782804911301</v>
      </c>
      <c r="M13" s="132">
        <f>IF(SER_hh_fec!M13=0,0,11630*1000*SER_hh_fec!M13/SER_hh_num!M13)</f>
        <v>38170.669044484726</v>
      </c>
      <c r="N13" s="132">
        <f>IF(SER_hh_fec!N13=0,0,11630*1000*SER_hh_fec!N13/SER_hh_num!N13)</f>
        <v>36904.592697811233</v>
      </c>
      <c r="O13" s="132">
        <f>IF(SER_hh_fec!O13=0,0,11630*1000*SER_hh_fec!O13/SER_hh_num!O13)</f>
        <v>35825.905465137024</v>
      </c>
      <c r="P13" s="132">
        <f>IF(SER_hh_fec!P13=0,0,11630*1000*SER_hh_fec!P13/SER_hh_num!P13)</f>
        <v>38243.608127587686</v>
      </c>
      <c r="Q13" s="132">
        <f>IF(SER_hh_fec!Q13=0,0,11630*1000*SER_hh_fec!Q13/SER_hh_num!Q13)</f>
        <v>30027.483374533782</v>
      </c>
      <c r="R13" s="132">
        <f>IF(SER_hh_fec!R13=0,0,11630*1000*SER_hh_fec!R13/SER_hh_num!R13)</f>
        <v>27187.691456932771</v>
      </c>
      <c r="S13" s="132">
        <f>IF(SER_hh_fec!S13=0,0,11630*1000*SER_hh_fec!S13/SER_hh_num!S13)</f>
        <v>25221.105496515869</v>
      </c>
      <c r="T13" s="132">
        <f>IF(SER_hh_fec!T13=0,0,11630*1000*SER_hh_fec!T13/SER_hh_num!T13)</f>
        <v>26374.461638335182</v>
      </c>
      <c r="U13" s="132">
        <f>IF(SER_hh_fec!U13=0,0,11630*1000*SER_hh_fec!U13/SER_hh_num!U13)</f>
        <v>23332.592766208458</v>
      </c>
      <c r="V13" s="132">
        <f>IF(SER_hh_fec!V13=0,0,11630*1000*SER_hh_fec!V13/SER_hh_num!V13)</f>
        <v>19560.143846668085</v>
      </c>
      <c r="W13" s="132">
        <f>IF(SER_hh_fec!W13=0,0,11630*1000*SER_hh_fec!W13/SER_hh_num!W13)</f>
        <v>7517.0084155247296</v>
      </c>
      <c r="X13" s="132">
        <f>IF(SER_hh_fec!X13=0,0,11630*1000*SER_hh_fec!X13/SER_hh_num!X13)</f>
        <v>23412.916303622922</v>
      </c>
      <c r="Y13" s="132">
        <f>IF(SER_hh_fec!Y13=0,0,11630*1000*SER_hh_fec!Y13/SER_hh_num!Y13)</f>
        <v>18214.555481521347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256014.36470583917</v>
      </c>
      <c r="C14" s="65">
        <f>IF(SER_hh_fec!C14=0,0,11630*1000*SER_hh_fec!C14/SER_hh_num!C14)</f>
        <v>260627.30794601067</v>
      </c>
      <c r="D14" s="65">
        <f>IF(SER_hh_fec!D14=0,0,11630*1000*SER_hh_fec!D14/SER_hh_num!D14)</f>
        <v>232025.11006411043</v>
      </c>
      <c r="E14" s="65">
        <f>IF(SER_hh_fec!E14=0,0,11630*1000*SER_hh_fec!E14/SER_hh_num!E14)</f>
        <v>199379.35170050204</v>
      </c>
      <c r="F14" s="65">
        <f>IF(SER_hh_fec!F14=0,0,11630*1000*SER_hh_fec!F14/SER_hh_num!F14)</f>
        <v>220800.8788221725</v>
      </c>
      <c r="G14" s="65">
        <f>IF(SER_hh_fec!G14=0,0,11630*1000*SER_hh_fec!G14/SER_hh_num!G14)</f>
        <v>241971.1129487635</v>
      </c>
      <c r="H14" s="65">
        <f>IF(SER_hh_fec!H14=0,0,11630*1000*SER_hh_fec!H14/SER_hh_num!H14)</f>
        <v>206788.15158577482</v>
      </c>
      <c r="I14" s="65">
        <f>IF(SER_hh_fec!I14=0,0,11630*1000*SER_hh_fec!I14/SER_hh_num!I14)</f>
        <v>197757.33422166936</v>
      </c>
      <c r="J14" s="65">
        <f>IF(SER_hh_fec!J14=0,0,11630*1000*SER_hh_fec!J14/SER_hh_num!J14)</f>
        <v>180835.62111987409</v>
      </c>
      <c r="K14" s="65">
        <f>IF(SER_hh_fec!K14=0,0,11630*1000*SER_hh_fec!K14/SER_hh_num!K14)</f>
        <v>201615.57860621877</v>
      </c>
      <c r="L14" s="65">
        <f>IF(SER_hh_fec!L14=0,0,11630*1000*SER_hh_fec!L14/SER_hh_num!L14)</f>
        <v>219878.54318981647</v>
      </c>
      <c r="M14" s="65">
        <f>IF(SER_hh_fec!M14=0,0,11630*1000*SER_hh_fec!M14/SER_hh_num!M14)</f>
        <v>275496.2983157555</v>
      </c>
      <c r="N14" s="65">
        <f>IF(SER_hh_fec!N14=0,0,11630*1000*SER_hh_fec!N14/SER_hh_num!N14)</f>
        <v>64950.581925797953</v>
      </c>
      <c r="O14" s="65">
        <f>IF(SER_hh_fec!O14=0,0,11630*1000*SER_hh_fec!O14/SER_hh_num!O14)</f>
        <v>83844.60322594321</v>
      </c>
      <c r="P14" s="65">
        <f>IF(SER_hh_fec!P14=0,0,11630*1000*SER_hh_fec!P14/SER_hh_num!P14)</f>
        <v>116633.5008142272</v>
      </c>
      <c r="Q14" s="65">
        <f>IF(SER_hh_fec!Q14=0,0,11630*1000*SER_hh_fec!Q14/SER_hh_num!Q14)</f>
        <v>124931.98814821948</v>
      </c>
      <c r="R14" s="65">
        <f>IF(SER_hh_fec!R14=0,0,11630*1000*SER_hh_fec!R14/SER_hh_num!R14)</f>
        <v>120119.86843778868</v>
      </c>
      <c r="S14" s="65">
        <f>IF(SER_hh_fec!S14=0,0,11630*1000*SER_hh_fec!S14/SER_hh_num!S14)</f>
        <v>119548.76519116438</v>
      </c>
      <c r="T14" s="65">
        <f>IF(SER_hh_fec!T14=0,0,11630*1000*SER_hh_fec!T14/SER_hh_num!T14)</f>
        <v>122993.01088986133</v>
      </c>
      <c r="U14" s="65">
        <f>IF(SER_hh_fec!U14=0,0,11630*1000*SER_hh_fec!U14/SER_hh_num!U14)</f>
        <v>121341.94179609955</v>
      </c>
      <c r="V14" s="65">
        <f>IF(SER_hh_fec!V14=0,0,11630*1000*SER_hh_fec!V14/SER_hh_num!V14)</f>
        <v>109898.84358730611</v>
      </c>
      <c r="W14" s="65">
        <f>IF(SER_hh_fec!W14=0,0,11630*1000*SER_hh_fec!W14/SER_hh_num!W14)</f>
        <v>107852.01961767524</v>
      </c>
      <c r="X14" s="65">
        <f>IF(SER_hh_fec!X14=0,0,11630*1000*SER_hh_fec!X14/SER_hh_num!X14)</f>
        <v>109718.16693618475</v>
      </c>
      <c r="Y14" s="65">
        <f>IF(SER_hh_fec!Y14=0,0,11630*1000*SER_hh_fec!Y14/SER_hh_num!Y14)</f>
        <v>74763.074961809602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2735.9202168328611</v>
      </c>
      <c r="C15" s="134">
        <f>IF(SER_hh_fec!C15=0,0,11630*1000*SER_hh_fec!C15/SER_hh_num!C15)</f>
        <v>2836.1496139070214</v>
      </c>
      <c r="D15" s="134">
        <f>IF(SER_hh_fec!D15=0,0,11630*1000*SER_hh_fec!D15/SER_hh_num!D15)</f>
        <v>2459.330905228117</v>
      </c>
      <c r="E15" s="134">
        <f>IF(SER_hh_fec!E15=0,0,11630*1000*SER_hh_fec!E15/SER_hh_num!E15)</f>
        <v>2462.1621817668747</v>
      </c>
      <c r="F15" s="134">
        <f>IF(SER_hh_fec!F15=0,0,11630*1000*SER_hh_fec!F15/SER_hh_num!F15)</f>
        <v>3008.537735189253</v>
      </c>
      <c r="G15" s="134">
        <f>IF(SER_hh_fec!G15=0,0,11630*1000*SER_hh_fec!G15/SER_hh_num!G15)</f>
        <v>2816.3867691371411</v>
      </c>
      <c r="H15" s="134">
        <f>IF(SER_hh_fec!H15=0,0,11630*1000*SER_hh_fec!H15/SER_hh_num!H15)</f>
        <v>2401.4173565132983</v>
      </c>
      <c r="I15" s="134">
        <f>IF(SER_hh_fec!I15=0,0,11630*1000*SER_hh_fec!I15/SER_hh_num!I15)</f>
        <v>1833.6618650143791</v>
      </c>
      <c r="J15" s="134">
        <f>IF(SER_hh_fec!J15=0,0,11630*1000*SER_hh_fec!J15/SER_hh_num!J15)</f>
        <v>1759.3080537941476</v>
      </c>
      <c r="K15" s="134">
        <f>IF(SER_hh_fec!K15=0,0,11630*1000*SER_hh_fec!K15/SER_hh_num!K15)</f>
        <v>1942.2379024935619</v>
      </c>
      <c r="L15" s="134">
        <f>IF(SER_hh_fec!L15=0,0,11630*1000*SER_hh_fec!L15/SER_hh_num!L15)</f>
        <v>2093.6572225480791</v>
      </c>
      <c r="M15" s="134">
        <f>IF(SER_hh_fec!M15=0,0,11630*1000*SER_hh_fec!M15/SER_hh_num!M15)</f>
        <v>2027.4863687213981</v>
      </c>
      <c r="N15" s="134">
        <f>IF(SER_hh_fec!N15=0,0,11630*1000*SER_hh_fec!N15/SER_hh_num!N15)</f>
        <v>1478.790858666152</v>
      </c>
      <c r="O15" s="134">
        <f>IF(SER_hh_fec!O15=0,0,11630*1000*SER_hh_fec!O15/SER_hh_num!O15)</f>
        <v>1445.901968131235</v>
      </c>
      <c r="P15" s="134">
        <f>IF(SER_hh_fec!P15=0,0,11630*1000*SER_hh_fec!P15/SER_hh_num!P15)</f>
        <v>1188.7724773131833</v>
      </c>
      <c r="Q15" s="134">
        <f>IF(SER_hh_fec!Q15=0,0,11630*1000*SER_hh_fec!Q15/SER_hh_num!Q15)</f>
        <v>1270.5812172885553</v>
      </c>
      <c r="R15" s="134">
        <f>IF(SER_hh_fec!R15=0,0,11630*1000*SER_hh_fec!R15/SER_hh_num!R15)</f>
        <v>1268.3832922793031</v>
      </c>
      <c r="S15" s="134">
        <f>IF(SER_hh_fec!S15=0,0,11630*1000*SER_hh_fec!S15/SER_hh_num!S15)</f>
        <v>1229.5707839998072</v>
      </c>
      <c r="T15" s="134">
        <f>IF(SER_hh_fec!T15=0,0,11630*1000*SER_hh_fec!T15/SER_hh_num!T15)</f>
        <v>1170.520688244397</v>
      </c>
      <c r="U15" s="134">
        <f>IF(SER_hh_fec!U15=0,0,11630*1000*SER_hh_fec!U15/SER_hh_num!U15)</f>
        <v>1137.3707906399407</v>
      </c>
      <c r="V15" s="134">
        <f>IF(SER_hh_fec!V15=0,0,11630*1000*SER_hh_fec!V15/SER_hh_num!V15)</f>
        <v>1179.4941284990189</v>
      </c>
      <c r="W15" s="134">
        <f>IF(SER_hh_fec!W15=0,0,11630*1000*SER_hh_fec!W15/SER_hh_num!W15)</f>
        <v>1266.9967346262276</v>
      </c>
      <c r="X15" s="134">
        <f>IF(SER_hh_fec!X15=0,0,11630*1000*SER_hh_fec!X15/SER_hh_num!X15)</f>
        <v>1033.445092718621</v>
      </c>
      <c r="Y15" s="134">
        <f>IF(SER_hh_fec!Y15=0,0,11630*1000*SER_hh_fec!Y15/SER_hh_num!Y15)</f>
        <v>795.55365915438608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12619.229587068536</v>
      </c>
      <c r="C16" s="130">
        <f>IF(SER_hh_fec!C16=0,0,11630*1000*SER_hh_fec!C16/SER_hh_num!C16)</f>
        <v>11165.401820977087</v>
      </c>
      <c r="D16" s="130">
        <f>IF(SER_hh_fec!D16=0,0,11630*1000*SER_hh_fec!D16/SER_hh_num!D16)</f>
        <v>11327.918614229671</v>
      </c>
      <c r="E16" s="130">
        <f>IF(SER_hh_fec!E16=0,0,11630*1000*SER_hh_fec!E16/SER_hh_num!E16)</f>
        <v>12460.657401346511</v>
      </c>
      <c r="F16" s="130">
        <f>IF(SER_hh_fec!F16=0,0,11630*1000*SER_hh_fec!F16/SER_hh_num!F16)</f>
        <v>9511.7860241676135</v>
      </c>
      <c r="G16" s="130">
        <f>IF(SER_hh_fec!G16=0,0,11630*1000*SER_hh_fec!G16/SER_hh_num!G16)</f>
        <v>9084.8210296474099</v>
      </c>
      <c r="H16" s="130">
        <f>IF(SER_hh_fec!H16=0,0,11630*1000*SER_hh_fec!H16/SER_hh_num!H16)</f>
        <v>9553.7817914428506</v>
      </c>
      <c r="I16" s="130">
        <f>IF(SER_hh_fec!I16=0,0,11630*1000*SER_hh_fec!I16/SER_hh_num!I16)</f>
        <v>9890.4947232455161</v>
      </c>
      <c r="J16" s="130">
        <f>IF(SER_hh_fec!J16=0,0,11630*1000*SER_hh_fec!J16/SER_hh_num!J16)</f>
        <v>8009.8455297358341</v>
      </c>
      <c r="K16" s="130">
        <f>IF(SER_hh_fec!K16=0,0,11630*1000*SER_hh_fec!K16/SER_hh_num!K16)</f>
        <v>7974.4275208719382</v>
      </c>
      <c r="L16" s="130">
        <f>IF(SER_hh_fec!L16=0,0,11630*1000*SER_hh_fec!L16/SER_hh_num!L16)</f>
        <v>8205.338463559352</v>
      </c>
      <c r="M16" s="130">
        <f>IF(SER_hh_fec!M16=0,0,11630*1000*SER_hh_fec!M16/SER_hh_num!M16)</f>
        <v>7875.29321482459</v>
      </c>
      <c r="N16" s="130">
        <f>IF(SER_hh_fec!N16=0,0,11630*1000*SER_hh_fec!N16/SER_hh_num!N16)</f>
        <v>9713.3523294192928</v>
      </c>
      <c r="O16" s="130">
        <f>IF(SER_hh_fec!O16=0,0,11630*1000*SER_hh_fec!O16/SER_hh_num!O16)</f>
        <v>7781.1421503391939</v>
      </c>
      <c r="P16" s="130">
        <f>IF(SER_hh_fec!P16=0,0,11630*1000*SER_hh_fec!P16/SER_hh_num!P16)</f>
        <v>6677.9956477055921</v>
      </c>
      <c r="Q16" s="130">
        <f>IF(SER_hh_fec!Q16=0,0,11630*1000*SER_hh_fec!Q16/SER_hh_num!Q16)</f>
        <v>9405.8578832091316</v>
      </c>
      <c r="R16" s="130">
        <f>IF(SER_hh_fec!R16=0,0,11630*1000*SER_hh_fec!R16/SER_hh_num!R16)</f>
        <v>6378.7543682917176</v>
      </c>
      <c r="S16" s="130">
        <f>IF(SER_hh_fec!S16=0,0,11630*1000*SER_hh_fec!S16/SER_hh_num!S16)</f>
        <v>7452.1177764563909</v>
      </c>
      <c r="T16" s="130">
        <f>IF(SER_hh_fec!T16=0,0,11630*1000*SER_hh_fec!T16/SER_hh_num!T16)</f>
        <v>6900.6338702503244</v>
      </c>
      <c r="U16" s="130">
        <f>IF(SER_hh_fec!U16=0,0,11630*1000*SER_hh_fec!U16/SER_hh_num!U16)</f>
        <v>7231.698465771804</v>
      </c>
      <c r="V16" s="130">
        <f>IF(SER_hh_fec!V16=0,0,11630*1000*SER_hh_fec!V16/SER_hh_num!V16)</f>
        <v>5714.1432711376456</v>
      </c>
      <c r="W16" s="130">
        <f>IF(SER_hh_fec!W16=0,0,11630*1000*SER_hh_fec!W16/SER_hh_num!W16)</f>
        <v>7093.3940150491007</v>
      </c>
      <c r="X16" s="130">
        <f>IF(SER_hh_fec!X16=0,0,11630*1000*SER_hh_fec!X16/SER_hh_num!X16)</f>
        <v>7156.7976771249214</v>
      </c>
      <c r="Y16" s="130">
        <f>IF(SER_hh_fec!Y16=0,0,11630*1000*SER_hh_fec!Y16/SER_hh_num!Y16)</f>
        <v>6250.2897637604046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20451.495501589892</v>
      </c>
      <c r="C17" s="132">
        <f>IF(SER_hh_fec!C17=0,0,11630*1000*SER_hh_fec!C17/SER_hh_num!C17)</f>
        <v>18408.995805688439</v>
      </c>
      <c r="D17" s="132">
        <f>IF(SER_hh_fec!D17=0,0,11630*1000*SER_hh_fec!D17/SER_hh_num!D17)</f>
        <v>19111.446764483368</v>
      </c>
      <c r="E17" s="132">
        <f>IF(SER_hh_fec!E17=0,0,11630*1000*SER_hh_fec!E17/SER_hh_num!E17)</f>
        <v>21609.775642327008</v>
      </c>
      <c r="F17" s="132">
        <f>IF(SER_hh_fec!F17=0,0,11630*1000*SER_hh_fec!F17/SER_hh_num!F17)</f>
        <v>17142.858815631684</v>
      </c>
      <c r="G17" s="132">
        <f>IF(SER_hh_fec!G17=0,0,11630*1000*SER_hh_fec!G17/SER_hh_num!G17)</f>
        <v>16921.935251998148</v>
      </c>
      <c r="H17" s="132">
        <f>IF(SER_hh_fec!H17=0,0,11630*1000*SER_hh_fec!H17/SER_hh_num!H17)</f>
        <v>18454.352850968218</v>
      </c>
      <c r="I17" s="132">
        <f>IF(SER_hh_fec!I17=0,0,11630*1000*SER_hh_fec!I17/SER_hh_num!I17)</f>
        <v>19882.770687527325</v>
      </c>
      <c r="J17" s="132">
        <f>IF(SER_hh_fec!J17=0,0,11630*1000*SER_hh_fec!J17/SER_hh_num!J17)</f>
        <v>16860.131382635729</v>
      </c>
      <c r="K17" s="132">
        <f>IF(SER_hh_fec!K17=0,0,11630*1000*SER_hh_fec!K17/SER_hh_num!K17)</f>
        <v>16936.731694336857</v>
      </c>
      <c r="L17" s="132">
        <f>IF(SER_hh_fec!L17=0,0,11630*1000*SER_hh_fec!L17/SER_hh_num!L17)</f>
        <v>17616.878152796231</v>
      </c>
      <c r="M17" s="132">
        <f>IF(SER_hh_fec!M17=0,0,11630*1000*SER_hh_fec!M17/SER_hh_num!M17)</f>
        <v>17197.360320145646</v>
      </c>
      <c r="N17" s="132">
        <f>IF(SER_hh_fec!N17=0,0,11630*1000*SER_hh_fec!N17/SER_hh_num!N17)</f>
        <v>21639.696243565875</v>
      </c>
      <c r="O17" s="132">
        <f>IF(SER_hh_fec!O17=0,0,11630*1000*SER_hh_fec!O17/SER_hh_num!O17)</f>
        <v>17694.351823052566</v>
      </c>
      <c r="P17" s="132">
        <f>IF(SER_hh_fec!P17=0,0,11630*1000*SER_hh_fec!P17/SER_hh_num!P17)</f>
        <v>15602.788306730057</v>
      </c>
      <c r="Q17" s="132">
        <f>IF(SER_hh_fec!Q17=0,0,11630*1000*SER_hh_fec!Q17/SER_hh_num!Q17)</f>
        <v>22488.630107753197</v>
      </c>
      <c r="R17" s="132">
        <f>IF(SER_hh_fec!R17=0,0,11630*1000*SER_hh_fec!R17/SER_hh_num!R17)</f>
        <v>15632.152122148036</v>
      </c>
      <c r="S17" s="132">
        <f>IF(SER_hh_fec!S17=0,0,11630*1000*SER_hh_fec!S17/SER_hh_num!S17)</f>
        <v>18535.741243628807</v>
      </c>
      <c r="T17" s="132">
        <f>IF(SER_hh_fec!T17=0,0,11630*1000*SER_hh_fec!T17/SER_hh_num!T17)</f>
        <v>17437.151899073353</v>
      </c>
      <c r="U17" s="132">
        <f>IF(SER_hh_fec!U17=0,0,11630*1000*SER_hh_fec!U17/SER_hh_num!U17)</f>
        <v>18286.818503042014</v>
      </c>
      <c r="V17" s="132">
        <f>IF(SER_hh_fec!V17=0,0,11630*1000*SER_hh_fec!V17/SER_hh_num!V17)</f>
        <v>12796.664846235091</v>
      </c>
      <c r="W17" s="132">
        <f>IF(SER_hh_fec!W17=0,0,11630*1000*SER_hh_fec!W17/SER_hh_num!W17)</f>
        <v>16081.446008896679</v>
      </c>
      <c r="X17" s="132">
        <f>IF(SER_hh_fec!X17=0,0,11630*1000*SER_hh_fec!X17/SER_hh_num!X17)</f>
        <v>17700.587429476225</v>
      </c>
      <c r="Y17" s="132">
        <f>IF(SER_hh_fec!Y17=0,0,11630*1000*SER_hh_fec!Y17/SER_hh_num!Y17)</f>
        <v>16069.380814078342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12600.33308769251</v>
      </c>
      <c r="C18" s="132">
        <f>IF(SER_hh_fec!C18=0,0,11630*1000*SER_hh_fec!C18/SER_hh_num!C18)</f>
        <v>11146.218569978593</v>
      </c>
      <c r="D18" s="132">
        <f>IF(SER_hh_fec!D18=0,0,11630*1000*SER_hh_fec!D18/SER_hh_num!D18)</f>
        <v>11304.710073955266</v>
      </c>
      <c r="E18" s="132">
        <f>IF(SER_hh_fec!E18=0,0,11630*1000*SER_hh_fec!E18/SER_hh_num!E18)</f>
        <v>12431.370357219062</v>
      </c>
      <c r="F18" s="132">
        <f>IF(SER_hh_fec!F18=0,0,11630*1000*SER_hh_fec!F18/SER_hh_num!F18)</f>
        <v>9488.5659800546109</v>
      </c>
      <c r="G18" s="132">
        <f>IF(SER_hh_fec!G18=0,0,11630*1000*SER_hh_fec!G18/SER_hh_num!G18)</f>
        <v>9060.0979546515737</v>
      </c>
      <c r="H18" s="132">
        <f>IF(SER_hh_fec!H18=0,0,11630*1000*SER_hh_fec!H18/SER_hh_num!H18)</f>
        <v>9523.4421205112831</v>
      </c>
      <c r="I18" s="132">
        <f>IF(SER_hh_fec!I18=0,0,11630*1000*SER_hh_fec!I18/SER_hh_num!I18)</f>
        <v>9854.47597825312</v>
      </c>
      <c r="J18" s="132">
        <f>IF(SER_hh_fec!J18=0,0,11630*1000*SER_hh_fec!J18/SER_hh_num!J18)</f>
        <v>7978.6012211699344</v>
      </c>
      <c r="K18" s="132">
        <f>IF(SER_hh_fec!K18=0,0,11630*1000*SER_hh_fec!K18/SER_hh_num!K18)</f>
        <v>7941.3208966797356</v>
      </c>
      <c r="L18" s="132">
        <f>IF(SER_hh_fec!L18=0,0,11630*1000*SER_hh_fec!L18/SER_hh_num!L18)</f>
        <v>8166.6464610774901</v>
      </c>
      <c r="M18" s="132">
        <f>IF(SER_hh_fec!M18=0,0,11630*1000*SER_hh_fec!M18/SER_hh_num!M18)</f>
        <v>7832.6715093610765</v>
      </c>
      <c r="N18" s="132">
        <f>IF(SER_hh_fec!N18=0,0,11630*1000*SER_hh_fec!N18/SER_hh_num!N18)</f>
        <v>9652.4063757894419</v>
      </c>
      <c r="O18" s="132">
        <f>IF(SER_hh_fec!O18=0,0,11630*1000*SER_hh_fec!O18/SER_hh_num!O18)</f>
        <v>7725.3937409154787</v>
      </c>
      <c r="P18" s="132">
        <f>IF(SER_hh_fec!P18=0,0,11630*1000*SER_hh_fec!P18/SER_hh_num!P18)</f>
        <v>6625.7647725963025</v>
      </c>
      <c r="Q18" s="132">
        <f>IF(SER_hh_fec!Q18=0,0,11630*1000*SER_hh_fec!Q18/SER_hh_num!Q18)</f>
        <v>9323.4892494978376</v>
      </c>
      <c r="R18" s="132">
        <f>IF(SER_hh_fec!R18=0,0,11630*1000*SER_hh_fec!R18/SER_hh_num!R18)</f>
        <v>6317.5293166056008</v>
      </c>
      <c r="S18" s="132">
        <f>IF(SER_hh_fec!S18=0,0,11630*1000*SER_hh_fec!S18/SER_hh_num!S18)</f>
        <v>7368.2108467262597</v>
      </c>
      <c r="T18" s="132">
        <f>IF(SER_hh_fec!T18=0,0,11630*1000*SER_hh_fec!T18/SER_hh_num!T18)</f>
        <v>6816.2602667996834</v>
      </c>
      <c r="U18" s="132">
        <f>IF(SER_hh_fec!U18=0,0,11630*1000*SER_hh_fec!U18/SER_hh_num!U18)</f>
        <v>7127.8077669789382</v>
      </c>
      <c r="V18" s="132">
        <f>IF(SER_hh_fec!V18=0,0,11630*1000*SER_hh_fec!V18/SER_hh_num!V18)</f>
        <v>5641.2701462099294</v>
      </c>
      <c r="W18" s="132">
        <f>IF(SER_hh_fec!W18=0,0,11630*1000*SER_hh_fec!W18/SER_hh_num!W18)</f>
        <v>6998.089534815982</v>
      </c>
      <c r="X18" s="132">
        <f>IF(SER_hh_fec!X18=0,0,11630*1000*SER_hh_fec!X18/SER_hh_num!X18)</f>
        <v>7044.2509850650449</v>
      </c>
      <c r="Y18" s="132">
        <f>IF(SER_hh_fec!Y18=0,0,11630*1000*SER_hh_fec!Y18/SER_hh_num!Y18)</f>
        <v>6146.850961448813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27692.284002754408</v>
      </c>
      <c r="C19" s="130">
        <f>IF(SER_hh_fec!C19=0,0,11630*1000*SER_hh_fec!C19/SER_hh_num!C19)</f>
        <v>27580.274253170232</v>
      </c>
      <c r="D19" s="130">
        <f>IF(SER_hh_fec!D19=0,0,11630*1000*SER_hh_fec!D19/SER_hh_num!D19)</f>
        <v>27874.715900848067</v>
      </c>
      <c r="E19" s="130">
        <f>IF(SER_hh_fec!E19=0,0,11630*1000*SER_hh_fec!E19/SER_hh_num!E19)</f>
        <v>27413.521061168853</v>
      </c>
      <c r="F19" s="130">
        <f>IF(SER_hh_fec!F19=0,0,11630*1000*SER_hh_fec!F19/SER_hh_num!F19)</f>
        <v>27816.250101085468</v>
      </c>
      <c r="G19" s="130">
        <f>IF(SER_hh_fec!G19=0,0,11630*1000*SER_hh_fec!G19/SER_hh_num!G19)</f>
        <v>27286.587950162713</v>
      </c>
      <c r="H19" s="130">
        <f>IF(SER_hh_fec!H19=0,0,11630*1000*SER_hh_fec!H19/SER_hh_num!H19)</f>
        <v>27025.813859541391</v>
      </c>
      <c r="I19" s="130">
        <f>IF(SER_hh_fec!I19=0,0,11630*1000*SER_hh_fec!I19/SER_hh_num!I19)</f>
        <v>26730.026286651766</v>
      </c>
      <c r="J19" s="130">
        <f>IF(SER_hh_fec!J19=0,0,11630*1000*SER_hh_fec!J19/SER_hh_num!J19)</f>
        <v>26935.387873652628</v>
      </c>
      <c r="K19" s="130">
        <f>IF(SER_hh_fec!K19=0,0,11630*1000*SER_hh_fec!K19/SER_hh_num!K19)</f>
        <v>27189.657365865176</v>
      </c>
      <c r="L19" s="130">
        <f>IF(SER_hh_fec!L19=0,0,11630*1000*SER_hh_fec!L19/SER_hh_num!L19)</f>
        <v>26988.665426202355</v>
      </c>
      <c r="M19" s="130">
        <f>IF(SER_hh_fec!M19=0,0,11630*1000*SER_hh_fec!M19/SER_hh_num!M19)</f>
        <v>26856.535449842737</v>
      </c>
      <c r="N19" s="130">
        <f>IF(SER_hh_fec!N19=0,0,11630*1000*SER_hh_fec!N19/SER_hh_num!N19)</f>
        <v>26406.181289457934</v>
      </c>
      <c r="O19" s="130">
        <f>IF(SER_hh_fec!O19=0,0,11630*1000*SER_hh_fec!O19/SER_hh_num!O19)</f>
        <v>26075.777223572408</v>
      </c>
      <c r="P19" s="130">
        <f>IF(SER_hh_fec!P19=0,0,11630*1000*SER_hh_fec!P19/SER_hh_num!P19)</f>
        <v>25278.125133090296</v>
      </c>
      <c r="Q19" s="130">
        <f>IF(SER_hh_fec!Q19=0,0,11630*1000*SER_hh_fec!Q19/SER_hh_num!Q19)</f>
        <v>25189.027313236849</v>
      </c>
      <c r="R19" s="130">
        <f>IF(SER_hh_fec!R19=0,0,11630*1000*SER_hh_fec!R19/SER_hh_num!R19)</f>
        <v>24959.544151672813</v>
      </c>
      <c r="S19" s="130">
        <f>IF(SER_hh_fec!S19=0,0,11630*1000*SER_hh_fec!S19/SER_hh_num!S19)</f>
        <v>24469.296570058952</v>
      </c>
      <c r="T19" s="130">
        <f>IF(SER_hh_fec!T19=0,0,11630*1000*SER_hh_fec!T19/SER_hh_num!T19)</f>
        <v>24149.20869268915</v>
      </c>
      <c r="U19" s="130">
        <f>IF(SER_hh_fec!U19=0,0,11630*1000*SER_hh_fec!U19/SER_hh_num!U19)</f>
        <v>23277.171469370947</v>
      </c>
      <c r="V19" s="130">
        <f>IF(SER_hh_fec!V19=0,0,11630*1000*SER_hh_fec!V19/SER_hh_num!V19)</f>
        <v>20746.951082518968</v>
      </c>
      <c r="W19" s="130">
        <f>IF(SER_hh_fec!W19=0,0,11630*1000*SER_hh_fec!W19/SER_hh_num!W19)</f>
        <v>20893.541867531574</v>
      </c>
      <c r="X19" s="130">
        <f>IF(SER_hh_fec!X19=0,0,11630*1000*SER_hh_fec!X19/SER_hh_num!X19)</f>
        <v>20569.298517705811</v>
      </c>
      <c r="Y19" s="130">
        <f>IF(SER_hh_fec!Y19=0,0,11630*1000*SER_hh_fec!Y19/SER_hh_num!Y19)</f>
        <v>20023.23124605673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0</v>
      </c>
      <c r="C21" s="132">
        <f>IF(SER_hh_fec!C21=0,0,11630*1000*SER_hh_fec!C21/SER_hh_num!C21)</f>
        <v>0</v>
      </c>
      <c r="D21" s="132">
        <f>IF(SER_hh_fec!D21=0,0,11630*1000*SER_hh_fec!D21/SER_hh_num!D21)</f>
        <v>0</v>
      </c>
      <c r="E21" s="132">
        <f>IF(SER_hh_fec!E21=0,0,11630*1000*SER_hh_fec!E21/SER_hh_num!E21)</f>
        <v>0</v>
      </c>
      <c r="F21" s="132">
        <f>IF(SER_hh_fec!F21=0,0,11630*1000*SER_hh_fec!F21/SER_hh_num!F21)</f>
        <v>0</v>
      </c>
      <c r="G21" s="132">
        <f>IF(SER_hh_fec!G21=0,0,11630*1000*SER_hh_fec!G21/SER_hh_num!G21)</f>
        <v>0</v>
      </c>
      <c r="H21" s="132">
        <f>IF(SER_hh_fec!H21=0,0,11630*1000*SER_hh_fec!H21/SER_hh_num!H21)</f>
        <v>0</v>
      </c>
      <c r="I21" s="132">
        <f>IF(SER_hh_fec!I21=0,0,11630*1000*SER_hh_fec!I21/SER_hh_num!I21)</f>
        <v>0</v>
      </c>
      <c r="J21" s="132">
        <f>IF(SER_hh_fec!J21=0,0,11630*1000*SER_hh_fec!J21/SER_hh_num!J21)</f>
        <v>0</v>
      </c>
      <c r="K21" s="132">
        <f>IF(SER_hh_fec!K21=0,0,11630*1000*SER_hh_fec!K21/SER_hh_num!K21)</f>
        <v>0</v>
      </c>
      <c r="L21" s="132">
        <f>IF(SER_hh_fec!L21=0,0,11630*1000*SER_hh_fec!L21/SER_hh_num!L21)</f>
        <v>0</v>
      </c>
      <c r="M21" s="132">
        <f>IF(SER_hh_fec!M21=0,0,11630*1000*SER_hh_fec!M21/SER_hh_num!M21)</f>
        <v>0</v>
      </c>
      <c r="N21" s="132">
        <f>IF(SER_hh_fec!N21=0,0,11630*1000*SER_hh_fec!N21/SER_hh_num!N21)</f>
        <v>0</v>
      </c>
      <c r="O21" s="132">
        <f>IF(SER_hh_fec!O21=0,0,11630*1000*SER_hh_fec!O21/SER_hh_num!O21)</f>
        <v>0</v>
      </c>
      <c r="P21" s="132">
        <f>IF(SER_hh_fec!P21=0,0,11630*1000*SER_hh_fec!P21/SER_hh_num!P21)</f>
        <v>0</v>
      </c>
      <c r="Q21" s="132">
        <f>IF(SER_hh_fec!Q21=0,0,11630*1000*SER_hh_fec!Q21/SER_hh_num!Q21)</f>
        <v>0</v>
      </c>
      <c r="R21" s="132">
        <f>IF(SER_hh_fec!R21=0,0,11630*1000*SER_hh_fec!R21/SER_hh_num!R21)</f>
        <v>0</v>
      </c>
      <c r="S21" s="132">
        <f>IF(SER_hh_fec!S21=0,0,11630*1000*SER_hh_fec!S21/SER_hh_num!S21)</f>
        <v>0</v>
      </c>
      <c r="T21" s="132">
        <f>IF(SER_hh_fec!T21=0,0,11630*1000*SER_hh_fec!T21/SER_hh_num!T21)</f>
        <v>0</v>
      </c>
      <c r="U21" s="132">
        <f>IF(SER_hh_fec!U21=0,0,11630*1000*SER_hh_fec!U21/SER_hh_num!U21)</f>
        <v>0</v>
      </c>
      <c r="V21" s="132">
        <f>IF(SER_hh_fec!V21=0,0,11630*1000*SER_hh_fec!V21/SER_hh_num!V21)</f>
        <v>0</v>
      </c>
      <c r="W21" s="132">
        <f>IF(SER_hh_fec!W21=0,0,11630*1000*SER_hh_fec!W21/SER_hh_num!W21)</f>
        <v>0</v>
      </c>
      <c r="X21" s="132">
        <f>IF(SER_hh_fec!X21=0,0,11630*1000*SER_hh_fec!X21/SER_hh_num!X21)</f>
        <v>0</v>
      </c>
      <c r="Y21" s="132">
        <f>IF(SER_hh_fec!Y21=0,0,11630*1000*SER_hh_fec!Y21/SER_hh_num!Y21)</f>
        <v>0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0</v>
      </c>
      <c r="C22" s="132">
        <f>IF(SER_hh_fec!C22=0,0,11630*1000*SER_hh_fec!C22/SER_hh_num!C22)</f>
        <v>0</v>
      </c>
      <c r="D22" s="132">
        <f>IF(SER_hh_fec!D22=0,0,11630*1000*SER_hh_fec!D22/SER_hh_num!D22)</f>
        <v>0</v>
      </c>
      <c r="E22" s="132">
        <f>IF(SER_hh_fec!E22=0,0,11630*1000*SER_hh_fec!E22/SER_hh_num!E22)</f>
        <v>0</v>
      </c>
      <c r="F22" s="132">
        <f>IF(SER_hh_fec!F22=0,0,11630*1000*SER_hh_fec!F22/SER_hh_num!F22)</f>
        <v>0</v>
      </c>
      <c r="G22" s="132">
        <f>IF(SER_hh_fec!G22=0,0,11630*1000*SER_hh_fec!G22/SER_hh_num!G22)</f>
        <v>0</v>
      </c>
      <c r="H22" s="132">
        <f>IF(SER_hh_fec!H22=0,0,11630*1000*SER_hh_fec!H22/SER_hh_num!H22)</f>
        <v>0</v>
      </c>
      <c r="I22" s="132">
        <f>IF(SER_hh_fec!I22=0,0,11630*1000*SER_hh_fec!I22/SER_hh_num!I22)</f>
        <v>0</v>
      </c>
      <c r="J22" s="132">
        <f>IF(SER_hh_fec!J22=0,0,11630*1000*SER_hh_fec!J22/SER_hh_num!J22)</f>
        <v>0</v>
      </c>
      <c r="K22" s="132">
        <f>IF(SER_hh_fec!K22=0,0,11630*1000*SER_hh_fec!K22/SER_hh_num!K22)</f>
        <v>0</v>
      </c>
      <c r="L22" s="132">
        <f>IF(SER_hh_fec!L22=0,0,11630*1000*SER_hh_fec!L22/SER_hh_num!L22)</f>
        <v>0</v>
      </c>
      <c r="M22" s="132">
        <f>IF(SER_hh_fec!M22=0,0,11630*1000*SER_hh_fec!M22/SER_hh_num!M22)</f>
        <v>0</v>
      </c>
      <c r="N22" s="132">
        <f>IF(SER_hh_fec!N22=0,0,11630*1000*SER_hh_fec!N22/SER_hh_num!N22)</f>
        <v>0</v>
      </c>
      <c r="O22" s="132">
        <f>IF(SER_hh_fec!O22=0,0,11630*1000*SER_hh_fec!O22/SER_hh_num!O22)</f>
        <v>0</v>
      </c>
      <c r="P22" s="132">
        <f>IF(SER_hh_fec!P22=0,0,11630*1000*SER_hh_fec!P22/SER_hh_num!P22)</f>
        <v>0</v>
      </c>
      <c r="Q22" s="132">
        <f>IF(SER_hh_fec!Q22=0,0,11630*1000*SER_hh_fec!Q22/SER_hh_num!Q22)</f>
        <v>0</v>
      </c>
      <c r="R22" s="132">
        <f>IF(SER_hh_fec!R22=0,0,11630*1000*SER_hh_fec!R22/SER_hh_num!R22)</f>
        <v>0</v>
      </c>
      <c r="S22" s="132">
        <f>IF(SER_hh_fec!S22=0,0,11630*1000*SER_hh_fec!S22/SER_hh_num!S22)</f>
        <v>0</v>
      </c>
      <c r="T22" s="132">
        <f>IF(SER_hh_fec!T22=0,0,11630*1000*SER_hh_fec!T22/SER_hh_num!T22)</f>
        <v>0</v>
      </c>
      <c r="U22" s="132">
        <f>IF(SER_hh_fec!U22=0,0,11630*1000*SER_hh_fec!U22/SER_hh_num!U22)</f>
        <v>0</v>
      </c>
      <c r="V22" s="132">
        <f>IF(SER_hh_fec!V22=0,0,11630*1000*SER_hh_fec!V22/SER_hh_num!V22)</f>
        <v>0</v>
      </c>
      <c r="W22" s="132">
        <f>IF(SER_hh_fec!W22=0,0,11630*1000*SER_hh_fec!W22/SER_hh_num!W22)</f>
        <v>0</v>
      </c>
      <c r="X22" s="132">
        <f>IF(SER_hh_fec!X22=0,0,11630*1000*SER_hh_fec!X22/SER_hh_num!X22)</f>
        <v>0</v>
      </c>
      <c r="Y22" s="132">
        <f>IF(SER_hh_fec!Y22=0,0,11630*1000*SER_hh_fec!Y22/SER_hh_num!Y22)</f>
        <v>0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31555.814812993998</v>
      </c>
      <c r="C23" s="132">
        <f>IF(SER_hh_fec!C23=0,0,11630*1000*SER_hh_fec!C23/SER_hh_num!C23)</f>
        <v>31346.169764330793</v>
      </c>
      <c r="D23" s="132">
        <f>IF(SER_hh_fec!D23=0,0,11630*1000*SER_hh_fec!D23/SER_hh_num!D23)</f>
        <v>31317.942864306551</v>
      </c>
      <c r="E23" s="132">
        <f>IF(SER_hh_fec!E23=0,0,11630*1000*SER_hh_fec!E23/SER_hh_num!E23)</f>
        <v>31120.761365810988</v>
      </c>
      <c r="F23" s="132">
        <f>IF(SER_hh_fec!F23=0,0,11630*1000*SER_hh_fec!F23/SER_hh_num!F23)</f>
        <v>31550.557486070888</v>
      </c>
      <c r="G23" s="132">
        <f>IF(SER_hh_fec!G23=0,0,11630*1000*SER_hh_fec!G23/SER_hh_num!G23)</f>
        <v>30263.046465764008</v>
      </c>
      <c r="H23" s="132">
        <f>IF(SER_hh_fec!H23=0,0,11630*1000*SER_hh_fec!H23/SER_hh_num!H23)</f>
        <v>29339.14195964739</v>
      </c>
      <c r="I23" s="132">
        <f>IF(SER_hh_fec!I23=0,0,11630*1000*SER_hh_fec!I23/SER_hh_num!I23)</f>
        <v>28878.801892865773</v>
      </c>
      <c r="J23" s="132">
        <f>IF(SER_hh_fec!J23=0,0,11630*1000*SER_hh_fec!J23/SER_hh_num!J23)</f>
        <v>29192.644550332403</v>
      </c>
      <c r="K23" s="132">
        <f>IF(SER_hh_fec!K23=0,0,11630*1000*SER_hh_fec!K23/SER_hh_num!K23)</f>
        <v>29799.501557914744</v>
      </c>
      <c r="L23" s="132">
        <f>IF(SER_hh_fec!L23=0,0,11630*1000*SER_hh_fec!L23/SER_hh_num!L23)</f>
        <v>29338.665004805353</v>
      </c>
      <c r="M23" s="132">
        <f>IF(SER_hh_fec!M23=0,0,11630*1000*SER_hh_fec!M23/SER_hh_num!M23)</f>
        <v>28252.427649697445</v>
      </c>
      <c r="N23" s="132">
        <f>IF(SER_hh_fec!N23=0,0,11630*1000*SER_hh_fec!N23/SER_hh_num!N23)</f>
        <v>27317.296692578264</v>
      </c>
      <c r="O23" s="132">
        <f>IF(SER_hh_fec!O23=0,0,11630*1000*SER_hh_fec!O23/SER_hh_num!O23)</f>
        <v>28216.398490843541</v>
      </c>
      <c r="P23" s="132">
        <f>IF(SER_hh_fec!P23=0,0,11630*1000*SER_hh_fec!P23/SER_hh_num!P23)</f>
        <v>26738.967561676887</v>
      </c>
      <c r="Q23" s="132">
        <f>IF(SER_hh_fec!Q23=0,0,11630*1000*SER_hh_fec!Q23/SER_hh_num!Q23)</f>
        <v>26417.300230480327</v>
      </c>
      <c r="R23" s="132">
        <f>IF(SER_hh_fec!R23=0,0,11630*1000*SER_hh_fec!R23/SER_hh_num!R23)</f>
        <v>26115.780318604753</v>
      </c>
      <c r="S23" s="132">
        <f>IF(SER_hh_fec!S23=0,0,11630*1000*SER_hh_fec!S23/SER_hh_num!S23)</f>
        <v>25510.29833996766</v>
      </c>
      <c r="T23" s="132">
        <f>IF(SER_hh_fec!T23=0,0,11630*1000*SER_hh_fec!T23/SER_hh_num!T23)</f>
        <v>25372.273328550327</v>
      </c>
      <c r="U23" s="132">
        <f>IF(SER_hh_fec!U23=0,0,11630*1000*SER_hh_fec!U23/SER_hh_num!U23)</f>
        <v>24205.577033589634</v>
      </c>
      <c r="V23" s="132">
        <f>IF(SER_hh_fec!V23=0,0,11630*1000*SER_hh_fec!V23/SER_hh_num!V23)</f>
        <v>22060.442325428576</v>
      </c>
      <c r="W23" s="132">
        <f>IF(SER_hh_fec!W23=0,0,11630*1000*SER_hh_fec!W23/SER_hh_num!W23)</f>
        <v>22162.778744915915</v>
      </c>
      <c r="X23" s="132">
        <f>IF(SER_hh_fec!X23=0,0,11630*1000*SER_hh_fec!X23/SER_hh_num!X23)</f>
        <v>21464.858776260826</v>
      </c>
      <c r="Y23" s="132">
        <f>IF(SER_hh_fec!Y23=0,0,11630*1000*SER_hh_fec!Y23/SER_hh_num!Y23)</f>
        <v>20843.749523284761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33931.359197292149</v>
      </c>
      <c r="O24" s="132">
        <f>IF(SER_hh_fec!O24=0,0,11630*1000*SER_hh_fec!O24/SER_hh_num!O24)</f>
        <v>26538.854361665773</v>
      </c>
      <c r="P24" s="132">
        <f>IF(SER_hh_fec!P24=0,0,11630*1000*SER_hh_fec!P24/SER_hh_num!P24)</f>
        <v>24065.762277757138</v>
      </c>
      <c r="Q24" s="132">
        <f>IF(SER_hh_fec!Q24=0,0,11630*1000*SER_hh_fec!Q24/SER_hh_num!Q24)</f>
        <v>23764.371468088011</v>
      </c>
      <c r="R24" s="132">
        <f>IF(SER_hh_fec!R24=0,0,11630*1000*SER_hh_fec!R24/SER_hh_num!R24)</f>
        <v>23694.582973971388</v>
      </c>
      <c r="S24" s="132">
        <f>IF(SER_hh_fec!S24=0,0,11630*1000*SER_hh_fec!S24/SER_hh_num!S24)</f>
        <v>23855.842065844616</v>
      </c>
      <c r="T24" s="132">
        <f>IF(SER_hh_fec!T24=0,0,11630*1000*SER_hh_fec!T24/SER_hh_num!T24)</f>
        <v>23482.610552860766</v>
      </c>
      <c r="U24" s="132">
        <f>IF(SER_hh_fec!U24=0,0,11630*1000*SER_hh_fec!U24/SER_hh_num!U24)</f>
        <v>23617.863618298208</v>
      </c>
      <c r="V24" s="132">
        <f>IF(SER_hh_fec!V24=0,0,11630*1000*SER_hh_fec!V24/SER_hh_num!V24)</f>
        <v>22097.88318992651</v>
      </c>
      <c r="W24" s="132">
        <f>IF(SER_hh_fec!W24=0,0,11630*1000*SER_hh_fec!W24/SER_hh_num!W24)</f>
        <v>19496.497540230626</v>
      </c>
      <c r="X24" s="132">
        <f>IF(SER_hh_fec!X24=0,0,11630*1000*SER_hh_fec!X24/SER_hh_num!X24)</f>
        <v>21363.159283329773</v>
      </c>
      <c r="Y24" s="132">
        <f>IF(SER_hh_fec!Y24=0,0,11630*1000*SER_hh_fec!Y24/SER_hh_num!Y24)</f>
        <v>22047.451334905316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21334.423357656808</v>
      </c>
      <c r="C25" s="132">
        <f>IF(SER_hh_fec!C25=0,0,11630*1000*SER_hh_fec!C25/SER_hh_num!C25)</f>
        <v>21325.221088353315</v>
      </c>
      <c r="D25" s="132">
        <f>IF(SER_hh_fec!D25=0,0,11630*1000*SER_hh_fec!D25/SER_hh_num!D25)</f>
        <v>21342.834809170959</v>
      </c>
      <c r="E25" s="132">
        <f>IF(SER_hh_fec!E25=0,0,11630*1000*SER_hh_fec!E25/SER_hh_num!E25)</f>
        <v>21155.693196001848</v>
      </c>
      <c r="F25" s="132">
        <f>IF(SER_hh_fec!F25=0,0,11630*1000*SER_hh_fec!F25/SER_hh_num!F25)</f>
        <v>21005.769648218873</v>
      </c>
      <c r="G25" s="132">
        <f>IF(SER_hh_fec!G25=0,0,11630*1000*SER_hh_fec!G25/SER_hh_num!G25)</f>
        <v>21506.872031091214</v>
      </c>
      <c r="H25" s="132">
        <f>IF(SER_hh_fec!H25=0,0,11630*1000*SER_hh_fec!H25/SER_hh_num!H25)</f>
        <v>21042.725066846167</v>
      </c>
      <c r="I25" s="132">
        <f>IF(SER_hh_fec!I25=0,0,11630*1000*SER_hh_fec!I25/SER_hh_num!I25)</f>
        <v>20758.903381016604</v>
      </c>
      <c r="J25" s="132">
        <f>IF(SER_hh_fec!J25=0,0,11630*1000*SER_hh_fec!J25/SER_hh_num!J25)</f>
        <v>21424.323129992958</v>
      </c>
      <c r="K25" s="132">
        <f>IF(SER_hh_fec!K25=0,0,11630*1000*SER_hh_fec!K25/SER_hh_num!K25)</f>
        <v>21399.235775663452</v>
      </c>
      <c r="L25" s="132">
        <f>IF(SER_hh_fec!L25=0,0,11630*1000*SER_hh_fec!L25/SER_hh_num!L25)</f>
        <v>21289.023436293737</v>
      </c>
      <c r="M25" s="132">
        <f>IF(SER_hh_fec!M25=0,0,11630*1000*SER_hh_fec!M25/SER_hh_num!M25)</f>
        <v>21226.189891974787</v>
      </c>
      <c r="N25" s="132">
        <f>IF(SER_hh_fec!N25=0,0,11630*1000*SER_hh_fec!N25/SER_hh_num!N25)</f>
        <v>21400.476904994477</v>
      </c>
      <c r="O25" s="132">
        <f>IF(SER_hh_fec!O25=0,0,11630*1000*SER_hh_fec!O25/SER_hh_num!O25)</f>
        <v>20809.086368954071</v>
      </c>
      <c r="P25" s="132">
        <f>IF(SER_hh_fec!P25=0,0,11630*1000*SER_hh_fec!P25/SER_hh_num!P25)</f>
        <v>20466.801106357561</v>
      </c>
      <c r="Q25" s="132">
        <f>IF(SER_hh_fec!Q25=0,0,11630*1000*SER_hh_fec!Q25/SER_hh_num!Q25)</f>
        <v>20732.824611023952</v>
      </c>
      <c r="R25" s="132">
        <f>IF(SER_hh_fec!R25=0,0,11630*1000*SER_hh_fec!R25/SER_hh_num!R25)</f>
        <v>20660.874536161427</v>
      </c>
      <c r="S25" s="132">
        <f>IF(SER_hh_fec!S25=0,0,11630*1000*SER_hh_fec!S25/SER_hh_num!S25)</f>
        <v>20653.32332469241</v>
      </c>
      <c r="T25" s="132">
        <f>IF(SER_hh_fec!T25=0,0,11630*1000*SER_hh_fec!T25/SER_hh_num!T25)</f>
        <v>20424.175782846331</v>
      </c>
      <c r="U25" s="132">
        <f>IF(SER_hh_fec!U25=0,0,11630*1000*SER_hh_fec!U25/SER_hh_num!U25)</f>
        <v>20792.39949842092</v>
      </c>
      <c r="V25" s="132">
        <f>IF(SER_hh_fec!V25=0,0,11630*1000*SER_hh_fec!V25/SER_hh_num!V25)</f>
        <v>17955.618485525887</v>
      </c>
      <c r="W25" s="132">
        <f>IF(SER_hh_fec!W25=0,0,11630*1000*SER_hh_fec!W25/SER_hh_num!W25)</f>
        <v>19386.051901035346</v>
      </c>
      <c r="X25" s="132">
        <f>IF(SER_hh_fec!X25=0,0,11630*1000*SER_hh_fec!X25/SER_hh_num!X25)</f>
        <v>18297.41188760984</v>
      </c>
      <c r="Y25" s="132">
        <f>IF(SER_hh_fec!Y25=0,0,11630*1000*SER_hh_fec!Y25/SER_hh_num!Y25)</f>
        <v>17966.297105515638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25786.04385923054</v>
      </c>
      <c r="C26" s="65">
        <f>IF(SER_hh_fec!C26=0,0,11630*1000*SER_hh_fec!C26/SER_hh_num!C26)</f>
        <v>25701.505492183358</v>
      </c>
      <c r="D26" s="65">
        <f>IF(SER_hh_fec!D26=0,0,11630*1000*SER_hh_fec!D26/SER_hh_num!D26)</f>
        <v>26173.834510554228</v>
      </c>
      <c r="E26" s="65">
        <f>IF(SER_hh_fec!E26=0,0,11630*1000*SER_hh_fec!E26/SER_hh_num!E26)</f>
        <v>25338.243351044166</v>
      </c>
      <c r="F26" s="65">
        <f>IF(SER_hh_fec!F26=0,0,11630*1000*SER_hh_fec!F26/SER_hh_num!F26)</f>
        <v>25692.099506187293</v>
      </c>
      <c r="G26" s="65">
        <f>IF(SER_hh_fec!G26=0,0,11630*1000*SER_hh_fec!G26/SER_hh_num!G26)</f>
        <v>25632.55315768833</v>
      </c>
      <c r="H26" s="65">
        <f>IF(SER_hh_fec!H26=0,0,11630*1000*SER_hh_fec!H26/SER_hh_num!H26)</f>
        <v>25996.745375963368</v>
      </c>
      <c r="I26" s="65">
        <f>IF(SER_hh_fec!I26=0,0,11630*1000*SER_hh_fec!I26/SER_hh_num!I26)</f>
        <v>25724.40358705214</v>
      </c>
      <c r="J26" s="65">
        <f>IF(SER_hh_fec!J26=0,0,11630*1000*SER_hh_fec!J26/SER_hh_num!J26)</f>
        <v>25561.70114760736</v>
      </c>
      <c r="K26" s="65">
        <f>IF(SER_hh_fec!K26=0,0,11630*1000*SER_hh_fec!K26/SER_hh_num!K26)</f>
        <v>25189.934700741207</v>
      </c>
      <c r="L26" s="65">
        <f>IF(SER_hh_fec!L26=0,0,11630*1000*SER_hh_fec!L26/SER_hh_num!L26)</f>
        <v>25087.804551854224</v>
      </c>
      <c r="M26" s="65">
        <f>IF(SER_hh_fec!M26=0,0,11630*1000*SER_hh_fec!M26/SER_hh_num!M26)</f>
        <v>26328.007693806139</v>
      </c>
      <c r="N26" s="65">
        <f>IF(SER_hh_fec!N26=0,0,11630*1000*SER_hh_fec!N26/SER_hh_num!N26)</f>
        <v>26063.682598851297</v>
      </c>
      <c r="O26" s="65">
        <f>IF(SER_hh_fec!O26=0,0,11630*1000*SER_hh_fec!O26/SER_hh_num!O26)</f>
        <v>23367.128445626618</v>
      </c>
      <c r="P26" s="65">
        <f>IF(SER_hh_fec!P26=0,0,11630*1000*SER_hh_fec!P26/SER_hh_num!P26)</f>
        <v>23772.392199200553</v>
      </c>
      <c r="Q26" s="65">
        <f>IF(SER_hh_fec!Q26=0,0,11630*1000*SER_hh_fec!Q26/SER_hh_num!Q26)</f>
        <v>24116.03414815892</v>
      </c>
      <c r="R26" s="65">
        <f>IF(SER_hh_fec!R26=0,0,11630*1000*SER_hh_fec!R26/SER_hh_num!R26)</f>
        <v>23965.559884769475</v>
      </c>
      <c r="S26" s="65">
        <f>IF(SER_hh_fec!S26=0,0,11630*1000*SER_hh_fec!S26/SER_hh_num!S26)</f>
        <v>23450.20588363834</v>
      </c>
      <c r="T26" s="65">
        <f>IF(SER_hh_fec!T26=0,0,11630*1000*SER_hh_fec!T26/SER_hh_num!T26)</f>
        <v>22546.466955796448</v>
      </c>
      <c r="U26" s="65">
        <f>IF(SER_hh_fec!U26=0,0,11630*1000*SER_hh_fec!U26/SER_hh_num!U26)</f>
        <v>21804.936210849788</v>
      </c>
      <c r="V26" s="65">
        <f>IF(SER_hh_fec!V26=0,0,11630*1000*SER_hh_fec!V26/SER_hh_num!V26)</f>
        <v>18391.023646759604</v>
      </c>
      <c r="W26" s="65">
        <f>IF(SER_hh_fec!W26=0,0,11630*1000*SER_hh_fec!W26/SER_hh_num!W26)</f>
        <v>18618.328462647263</v>
      </c>
      <c r="X26" s="65">
        <f>IF(SER_hh_fec!X26=0,0,11630*1000*SER_hh_fec!X26/SER_hh_num!X26)</f>
        <v>19384.958649321667</v>
      </c>
      <c r="Y26" s="65">
        <f>IF(SER_hh_fec!Y26=0,0,11630*1000*SER_hh_fec!Y26/SER_hh_num!Y26)</f>
        <v>18881.253688979061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0</v>
      </c>
      <c r="C27" s="145">
        <f>IF(SER_hh_fec!C27=0,0,11630*1000*SER_hh_fec!C27/SER_hh_num!C19)</f>
        <v>0</v>
      </c>
      <c r="D27" s="145">
        <f>IF(SER_hh_fec!D27=0,0,11630*1000*SER_hh_fec!D27/SER_hh_num!D19)</f>
        <v>0</v>
      </c>
      <c r="E27" s="145">
        <f>IF(SER_hh_fec!E27=0,0,11630*1000*SER_hh_fec!E27/SER_hh_num!E19)</f>
        <v>0</v>
      </c>
      <c r="F27" s="145">
        <f>IF(SER_hh_fec!F27=0,0,11630*1000*SER_hh_fec!F27/SER_hh_num!F19)</f>
        <v>0</v>
      </c>
      <c r="G27" s="145">
        <f>IF(SER_hh_fec!G27=0,0,11630*1000*SER_hh_fec!G27/SER_hh_num!G19)</f>
        <v>2.9029491243213186</v>
      </c>
      <c r="H27" s="145">
        <f>IF(SER_hh_fec!H27=0,0,11630*1000*SER_hh_fec!H27/SER_hh_num!H19)</f>
        <v>5.7270370321469724</v>
      </c>
      <c r="I27" s="145">
        <f>IF(SER_hh_fec!I27=0,0,11630*1000*SER_hh_fec!I27/SER_hh_num!I19)</f>
        <v>8.4159731513657885</v>
      </c>
      <c r="J27" s="145">
        <f>IF(SER_hh_fec!J27=0,0,11630*1000*SER_hh_fec!J27/SER_hh_num!J19)</f>
        <v>11.289769153996266</v>
      </c>
      <c r="K27" s="145">
        <f>IF(SER_hh_fec!K27=0,0,11630*1000*SER_hh_fec!K27/SER_hh_num!K19)</f>
        <v>14.175354811408328</v>
      </c>
      <c r="L27" s="145">
        <f>IF(SER_hh_fec!L27=0,0,11630*1000*SER_hh_fec!L27/SER_hh_num!L19)</f>
        <v>19.834646330246937</v>
      </c>
      <c r="M27" s="145">
        <f>IF(SER_hh_fec!M27=0,0,11630*1000*SER_hh_fec!M27/SER_hh_num!M19)</f>
        <v>22.571276034777853</v>
      </c>
      <c r="N27" s="145">
        <f>IF(SER_hh_fec!N27=0,0,11630*1000*SER_hh_fec!N27/SER_hh_num!N19)</f>
        <v>22.408727788660453</v>
      </c>
      <c r="O27" s="145">
        <f>IF(SER_hh_fec!O27=0,0,11630*1000*SER_hh_fec!O27/SER_hh_num!O19)</f>
        <v>22.175332329026606</v>
      </c>
      <c r="P27" s="145">
        <f>IF(SER_hh_fec!P27=0,0,11630*1000*SER_hh_fec!P27/SER_hh_num!P19)</f>
        <v>24.190039720877262</v>
      </c>
      <c r="Q27" s="145">
        <f>IF(SER_hh_fec!Q27=0,0,11630*1000*SER_hh_fec!Q27/SER_hh_num!Q19)</f>
        <v>24.172887115550193</v>
      </c>
      <c r="R27" s="145">
        <f>IF(SER_hh_fec!R27=0,0,11630*1000*SER_hh_fec!R27/SER_hh_num!R19)</f>
        <v>23.943068853812935</v>
      </c>
      <c r="S27" s="145">
        <f>IF(SER_hh_fec!S27=0,0,11630*1000*SER_hh_fec!S27/SER_hh_num!S19)</f>
        <v>26.239156779222434</v>
      </c>
      <c r="T27" s="145">
        <f>IF(SER_hh_fec!T27=0,0,11630*1000*SER_hh_fec!T27/SER_hh_num!T19)</f>
        <v>25.883764976284272</v>
      </c>
      <c r="U27" s="145">
        <f>IF(SER_hh_fec!U27=0,0,11630*1000*SER_hh_fec!U27/SER_hh_num!U19)</f>
        <v>28.147681672137708</v>
      </c>
      <c r="V27" s="145">
        <f>IF(SER_hh_fec!V27=0,0,11630*1000*SER_hh_fec!V27/SER_hh_num!V19)</f>
        <v>27.851512230584909</v>
      </c>
      <c r="W27" s="145">
        <f>IF(SER_hh_fec!W27=0,0,11630*1000*SER_hh_fec!W27/SER_hh_num!W19)</f>
        <v>27.574687827151575</v>
      </c>
      <c r="X27" s="145">
        <f>IF(SER_hh_fec!X27=0,0,11630*1000*SER_hh_fec!X27/SER_hh_num!X19)</f>
        <v>29.792397865166944</v>
      </c>
      <c r="Y27" s="145">
        <f>IF(SER_hh_fec!Y27=0,0,11630*1000*SER_hh_fec!Y27/SER_hh_num!Y19)</f>
        <v>31.988783451670447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0</v>
      </c>
      <c r="C28" s="146">
        <f>IF(SER_hh_fec!C27=0,0,11630*1000*SER_hh_fec!C27/SER_hh_num!C27)</f>
        <v>0</v>
      </c>
      <c r="D28" s="146">
        <f>IF(SER_hh_fec!D27=0,0,11630*1000*SER_hh_fec!D27/SER_hh_num!D27)</f>
        <v>0</v>
      </c>
      <c r="E28" s="146">
        <f>IF(SER_hh_fec!E27=0,0,11630*1000*SER_hh_fec!E27/SER_hh_num!E27)</f>
        <v>0</v>
      </c>
      <c r="F28" s="146">
        <f>IF(SER_hh_fec!F27=0,0,11630*1000*SER_hh_fec!F27/SER_hh_num!F27)</f>
        <v>0</v>
      </c>
      <c r="G28" s="146">
        <f>IF(SER_hh_fec!G27=0,0,11630*1000*SER_hh_fec!G27/SER_hh_num!G27)</f>
        <v>13257.015516937836</v>
      </c>
      <c r="H28" s="146">
        <f>IF(SER_hh_fec!H27=0,0,11630*1000*SER_hh_fec!H27/SER_hh_num!H27)</f>
        <v>12054.217837140797</v>
      </c>
      <c r="I28" s="146">
        <f>IF(SER_hh_fec!I27=0,0,11630*1000*SER_hh_fec!I27/SER_hh_num!I27)</f>
        <v>12835.2862009043</v>
      </c>
      <c r="J28" s="146">
        <f>IF(SER_hh_fec!J27=0,0,11630*1000*SER_hh_fec!J27/SER_hh_num!J27)</f>
        <v>12463.400519552019</v>
      </c>
      <c r="K28" s="146">
        <f>IF(SER_hh_fec!K27=0,0,11630*1000*SER_hh_fec!K27/SER_hh_num!K27)</f>
        <v>12966.824800534567</v>
      </c>
      <c r="L28" s="146">
        <f>IF(SER_hh_fec!L27=0,0,11630*1000*SER_hh_fec!L27/SER_hh_num!L27)</f>
        <v>13137.699452633424</v>
      </c>
      <c r="M28" s="146">
        <f>IF(SER_hh_fec!M27=0,0,11630*1000*SER_hh_fec!M27/SER_hh_num!M27)</f>
        <v>12629.667392360188</v>
      </c>
      <c r="N28" s="146">
        <f>IF(SER_hh_fec!N27=0,0,11630*1000*SER_hh_fec!N27/SER_hh_num!N27)</f>
        <v>14363.884737469763</v>
      </c>
      <c r="O28" s="146">
        <f>IF(SER_hh_fec!O27=0,0,11630*1000*SER_hh_fec!O27/SER_hh_num!O27)</f>
        <v>14121.276866101365</v>
      </c>
      <c r="P28" s="146">
        <f>IF(SER_hh_fec!P27=0,0,11630*1000*SER_hh_fec!P27/SER_hh_num!P27)</f>
        <v>13740.972756548612</v>
      </c>
      <c r="Q28" s="146">
        <f>IF(SER_hh_fec!Q27=0,0,11630*1000*SER_hh_fec!Q27/SER_hh_num!Q27)</f>
        <v>12310.077090953782</v>
      </c>
      <c r="R28" s="146">
        <f>IF(SER_hh_fec!R27=0,0,11630*1000*SER_hh_fec!R27/SER_hh_num!R27)</f>
        <v>12511.622891115127</v>
      </c>
      <c r="S28" s="146">
        <f>IF(SER_hh_fec!S27=0,0,11630*1000*SER_hh_fec!S27/SER_hh_num!S27)</f>
        <v>12753.689430163893</v>
      </c>
      <c r="T28" s="146">
        <f>IF(SER_hh_fec!T27=0,0,11630*1000*SER_hh_fec!T27/SER_hh_num!T27)</f>
        <v>12715.544971129386</v>
      </c>
      <c r="U28" s="146">
        <f>IF(SER_hh_fec!U27=0,0,11630*1000*SER_hh_fec!U27/SER_hh_num!U27)</f>
        <v>12588.416172048281</v>
      </c>
      <c r="V28" s="146">
        <f>IF(SER_hh_fec!V27=0,0,11630*1000*SER_hh_fec!V27/SER_hh_num!V27)</f>
        <v>11089.635044379236</v>
      </c>
      <c r="W28" s="146">
        <f>IF(SER_hh_fec!W27=0,0,11630*1000*SER_hh_fec!W27/SER_hh_num!W27)</f>
        <v>12247.820999140427</v>
      </c>
      <c r="X28" s="146">
        <f>IF(SER_hh_fec!X27=0,0,11630*1000*SER_hh_fec!X27/SER_hh_num!X27)</f>
        <v>11699.190268534903</v>
      </c>
      <c r="Y28" s="146">
        <f>IF(SER_hh_fec!Y27=0,0,11630*1000*SER_hh_fec!Y27/SER_hh_num!Y27)</f>
        <v>10628.212519447914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27118.733430236851</v>
      </c>
      <c r="C29" s="130">
        <f>IF(SER_hh_fec!C29=0,0,11630*1000*SER_hh_fec!C29/SER_hh_num!C29)</f>
        <v>27023.440660170498</v>
      </c>
      <c r="D29" s="130">
        <f>IF(SER_hh_fec!D29=0,0,11630*1000*SER_hh_fec!D29/SER_hh_num!D29)</f>
        <v>27102.634806159145</v>
      </c>
      <c r="E29" s="130">
        <f>IF(SER_hh_fec!E29=0,0,11630*1000*SER_hh_fec!E29/SER_hh_num!E29)</f>
        <v>27149.994608134555</v>
      </c>
      <c r="F29" s="130">
        <f>IF(SER_hh_fec!F29=0,0,11630*1000*SER_hh_fec!F29/SER_hh_num!F29)</f>
        <v>26742.099165309824</v>
      </c>
      <c r="G29" s="130">
        <f>IF(SER_hh_fec!G29=0,0,11630*1000*SER_hh_fec!G29/SER_hh_num!G29)</f>
        <v>26794.139257573606</v>
      </c>
      <c r="H29" s="130">
        <f>IF(SER_hh_fec!H29=0,0,11630*1000*SER_hh_fec!H29/SER_hh_num!H29)</f>
        <v>27091.542237478905</v>
      </c>
      <c r="I29" s="130">
        <f>IF(SER_hh_fec!I29=0,0,11630*1000*SER_hh_fec!I29/SER_hh_num!I29)</f>
        <v>26620.032332897405</v>
      </c>
      <c r="J29" s="130">
        <f>IF(SER_hh_fec!J29=0,0,11630*1000*SER_hh_fec!J29/SER_hh_num!J29)</f>
        <v>26734.503150433386</v>
      </c>
      <c r="K29" s="130">
        <f>IF(SER_hh_fec!K29=0,0,11630*1000*SER_hh_fec!K29/SER_hh_num!K29)</f>
        <v>27009.765191304556</v>
      </c>
      <c r="L29" s="130">
        <f>IF(SER_hh_fec!L29=0,0,11630*1000*SER_hh_fec!L29/SER_hh_num!L29)</f>
        <v>27684.441064002549</v>
      </c>
      <c r="M29" s="130">
        <f>IF(SER_hh_fec!M29=0,0,11630*1000*SER_hh_fec!M29/SER_hh_num!M29)</f>
        <v>27682.036204915199</v>
      </c>
      <c r="N29" s="130">
        <f>IF(SER_hh_fec!N29=0,0,11630*1000*SER_hh_fec!N29/SER_hh_num!N29)</f>
        <v>27429.351414459386</v>
      </c>
      <c r="O29" s="130">
        <f>IF(SER_hh_fec!O29=0,0,11630*1000*SER_hh_fec!O29/SER_hh_num!O29)</f>
        <v>27212.345476825703</v>
      </c>
      <c r="P29" s="130">
        <f>IF(SER_hh_fec!P29=0,0,11630*1000*SER_hh_fec!P29/SER_hh_num!P29)</f>
        <v>26297.921095504647</v>
      </c>
      <c r="Q29" s="130">
        <f>IF(SER_hh_fec!Q29=0,0,11630*1000*SER_hh_fec!Q29/SER_hh_num!Q29)</f>
        <v>26408.941462286642</v>
      </c>
      <c r="R29" s="130">
        <f>IF(SER_hh_fec!R29=0,0,11630*1000*SER_hh_fec!R29/SER_hh_num!R29)</f>
        <v>25795.660554713704</v>
      </c>
      <c r="S29" s="130">
        <f>IF(SER_hh_fec!S29=0,0,11630*1000*SER_hh_fec!S29/SER_hh_num!S29)</f>
        <v>25268.981588577197</v>
      </c>
      <c r="T29" s="130">
        <f>IF(SER_hh_fec!T29=0,0,11630*1000*SER_hh_fec!T29/SER_hh_num!T29)</f>
        <v>25476.472638213439</v>
      </c>
      <c r="U29" s="130">
        <f>IF(SER_hh_fec!U29=0,0,11630*1000*SER_hh_fec!U29/SER_hh_num!U29)</f>
        <v>25037.803095504452</v>
      </c>
      <c r="V29" s="130">
        <f>IF(SER_hh_fec!V29=0,0,11630*1000*SER_hh_fec!V29/SER_hh_num!V29)</f>
        <v>23673.717766592174</v>
      </c>
      <c r="W29" s="130">
        <f>IF(SER_hh_fec!W29=0,0,11630*1000*SER_hh_fec!W29/SER_hh_num!W29)</f>
        <v>24772.401642409215</v>
      </c>
      <c r="X29" s="130">
        <f>IF(SER_hh_fec!X29=0,0,11630*1000*SER_hh_fec!X29/SER_hh_num!X29)</f>
        <v>24527.276629971791</v>
      </c>
      <c r="Y29" s="130">
        <f>IF(SER_hh_fec!Y29=0,0,11630*1000*SER_hh_fec!Y29/SER_hh_num!Y29)</f>
        <v>23986.302507988537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35552.43945268292</v>
      </c>
      <c r="C30" s="132">
        <f>IF(SER_hh_fec!C30=0,0,11630*1000*SER_hh_fec!C30/SER_hh_num!C30)</f>
        <v>30414.798050255671</v>
      </c>
      <c r="D30" s="132">
        <f>IF(SER_hh_fec!D30=0,0,11630*1000*SER_hh_fec!D30/SER_hh_num!D30)</f>
        <v>35554.77475756441</v>
      </c>
      <c r="E30" s="132">
        <f>IF(SER_hh_fec!E30=0,0,11630*1000*SER_hh_fec!E30/SER_hh_num!E30)</f>
        <v>36370.230703356654</v>
      </c>
      <c r="F30" s="132">
        <f>IF(SER_hh_fec!F30=0,0,11630*1000*SER_hh_fec!F30/SER_hh_num!F30)</f>
        <v>25400.446983634534</v>
      </c>
      <c r="G30" s="132">
        <f>IF(SER_hh_fec!G30=0,0,11630*1000*SER_hh_fec!G30/SER_hh_num!G30)</f>
        <v>31283.759299721154</v>
      </c>
      <c r="H30" s="132">
        <f>IF(SER_hh_fec!H30=0,0,11630*1000*SER_hh_fec!H30/SER_hh_num!H30)</f>
        <v>31524.285562171364</v>
      </c>
      <c r="I30" s="132">
        <f>IF(SER_hh_fec!I30=0,0,11630*1000*SER_hh_fec!I30/SER_hh_num!I30)</f>
        <v>32708.545596135995</v>
      </c>
      <c r="J30" s="132">
        <f>IF(SER_hh_fec!J30=0,0,11630*1000*SER_hh_fec!J30/SER_hh_num!J30)</f>
        <v>28686.321711668475</v>
      </c>
      <c r="K30" s="132">
        <f>IF(SER_hh_fec!K30=0,0,11630*1000*SER_hh_fec!K30/SER_hh_num!K30)</f>
        <v>29870.87960923072</v>
      </c>
      <c r="L30" s="132">
        <f>IF(SER_hh_fec!L30=0,0,11630*1000*SER_hh_fec!L30/SER_hh_num!L30)</f>
        <v>34149.576182358891</v>
      </c>
      <c r="M30" s="132">
        <f>IF(SER_hh_fec!M30=0,0,11630*1000*SER_hh_fec!M30/SER_hh_num!M30)</f>
        <v>31195.145116230651</v>
      </c>
      <c r="N30" s="132">
        <f>IF(SER_hh_fec!N30=0,0,11630*1000*SER_hh_fec!N30/SER_hh_num!N30)</f>
        <v>31902.605824865506</v>
      </c>
      <c r="O30" s="132">
        <f>IF(SER_hh_fec!O30=0,0,11630*1000*SER_hh_fec!O30/SER_hh_num!O30)</f>
        <v>26081.406838934279</v>
      </c>
      <c r="P30" s="132">
        <f>IF(SER_hh_fec!P30=0,0,11630*1000*SER_hh_fec!P30/SER_hh_num!P30)</f>
        <v>28873.826054039913</v>
      </c>
      <c r="Q30" s="132">
        <f>IF(SER_hh_fec!Q30=0,0,11630*1000*SER_hh_fec!Q30/SER_hh_num!Q30)</f>
        <v>34054.948828097651</v>
      </c>
      <c r="R30" s="132">
        <f>IF(SER_hh_fec!R30=0,0,11630*1000*SER_hh_fec!R30/SER_hh_num!R30)</f>
        <v>28068.783326547018</v>
      </c>
      <c r="S30" s="132">
        <f>IF(SER_hh_fec!S30=0,0,11630*1000*SER_hh_fec!S30/SER_hh_num!S30)</f>
        <v>24376.92482740069</v>
      </c>
      <c r="T30" s="132">
        <f>IF(SER_hh_fec!T30=0,0,11630*1000*SER_hh_fec!T30/SER_hh_num!T30)</f>
        <v>29910.319946807595</v>
      </c>
      <c r="U30" s="132">
        <f>IF(SER_hh_fec!U30=0,0,11630*1000*SER_hh_fec!U30/SER_hh_num!U30)</f>
        <v>25903.569817351752</v>
      </c>
      <c r="V30" s="132">
        <f>IF(SER_hh_fec!V30=0,0,11630*1000*SER_hh_fec!V30/SER_hh_num!V30)</f>
        <v>36977.653286894143</v>
      </c>
      <c r="W30" s="132">
        <f>IF(SER_hh_fec!W30=0,0,11630*1000*SER_hh_fec!W30/SER_hh_num!W30)</f>
        <v>25654.77431248474</v>
      </c>
      <c r="X30" s="132">
        <f>IF(SER_hh_fec!X30=0,0,11630*1000*SER_hh_fec!X30/SER_hh_num!X30)</f>
        <v>26684.444171507446</v>
      </c>
      <c r="Y30" s="132">
        <f>IF(SER_hh_fec!Y30=0,0,11630*1000*SER_hh_fec!Y30/SER_hh_num!Y30)</f>
        <v>28093.482621833555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23539.582816024824</v>
      </c>
      <c r="C31" s="132">
        <f>IF(SER_hh_fec!C31=0,0,11630*1000*SER_hh_fec!C31/SER_hh_num!C31)</f>
        <v>34678.505956418048</v>
      </c>
      <c r="D31" s="132">
        <f>IF(SER_hh_fec!D31=0,0,11630*1000*SER_hh_fec!D31/SER_hh_num!D31)</f>
        <v>28780.025841406354</v>
      </c>
      <c r="E31" s="132">
        <f>IF(SER_hh_fec!E31=0,0,11630*1000*SER_hh_fec!E31/SER_hh_num!E31)</f>
        <v>30230.588163278513</v>
      </c>
      <c r="F31" s="132">
        <f>IF(SER_hh_fec!F31=0,0,11630*1000*SER_hh_fec!F31/SER_hh_num!F31)</f>
        <v>32498.327359599378</v>
      </c>
      <c r="G31" s="132">
        <f>IF(SER_hh_fec!G31=0,0,11630*1000*SER_hh_fec!G31/SER_hh_num!G31)</f>
        <v>31050.211638600631</v>
      </c>
      <c r="H31" s="132">
        <f>IF(SER_hh_fec!H31=0,0,11630*1000*SER_hh_fec!H31/SER_hh_num!H31)</f>
        <v>31274.533093012418</v>
      </c>
      <c r="I31" s="132">
        <f>IF(SER_hh_fec!I31=0,0,11630*1000*SER_hh_fec!I31/SER_hh_num!I31)</f>
        <v>30608.211754898723</v>
      </c>
      <c r="J31" s="132">
        <f>IF(SER_hh_fec!J31=0,0,11630*1000*SER_hh_fec!J31/SER_hh_num!J31)</f>
        <v>30635.575334678822</v>
      </c>
      <c r="K31" s="132">
        <f>IF(SER_hh_fec!K31=0,0,11630*1000*SER_hh_fec!K31/SER_hh_num!K31)</f>
        <v>30424.348120731931</v>
      </c>
      <c r="L31" s="132">
        <f>IF(SER_hh_fec!L31=0,0,11630*1000*SER_hh_fec!L31/SER_hh_num!L31)</f>
        <v>30382.721428101235</v>
      </c>
      <c r="M31" s="132">
        <f>IF(SER_hh_fec!M31=0,0,11630*1000*SER_hh_fec!M31/SER_hh_num!M31)</f>
        <v>30629.706497676223</v>
      </c>
      <c r="N31" s="132">
        <f>IF(SER_hh_fec!N31=0,0,11630*1000*SER_hh_fec!N31/SER_hh_num!N31)</f>
        <v>30504.75017617911</v>
      </c>
      <c r="O31" s="132">
        <f>IF(SER_hh_fec!O31=0,0,11630*1000*SER_hh_fec!O31/SER_hh_num!O31)</f>
        <v>30655.620869025461</v>
      </c>
      <c r="P31" s="132">
        <f>IF(SER_hh_fec!P31=0,0,11630*1000*SER_hh_fec!P31/SER_hh_num!P31)</f>
        <v>29702.469991742641</v>
      </c>
      <c r="Q31" s="132">
        <f>IF(SER_hh_fec!Q31=0,0,11630*1000*SER_hh_fec!Q31/SER_hh_num!Q31)</f>
        <v>28872.457061338799</v>
      </c>
      <c r="R31" s="132">
        <f>IF(SER_hh_fec!R31=0,0,11630*1000*SER_hh_fec!R31/SER_hh_num!R31)</f>
        <v>28554.28000862859</v>
      </c>
      <c r="S31" s="132">
        <f>IF(SER_hh_fec!S31=0,0,11630*1000*SER_hh_fec!S31/SER_hh_num!S31)</f>
        <v>28318.674777988006</v>
      </c>
      <c r="T31" s="132">
        <f>IF(SER_hh_fec!T31=0,0,11630*1000*SER_hh_fec!T31/SER_hh_num!T31)</f>
        <v>28186.37558836121</v>
      </c>
      <c r="U31" s="132">
        <f>IF(SER_hh_fec!U31=0,0,11630*1000*SER_hh_fec!U31/SER_hh_num!U31)</f>
        <v>27978.702792036627</v>
      </c>
      <c r="V31" s="132">
        <f>IF(SER_hh_fec!V31=0,0,11630*1000*SER_hh_fec!V31/SER_hh_num!V31)</f>
        <v>26397.567867273981</v>
      </c>
      <c r="W31" s="132">
        <f>IF(SER_hh_fec!W31=0,0,11630*1000*SER_hh_fec!W31/SER_hh_num!W31)</f>
        <v>28299.754677709345</v>
      </c>
      <c r="X31" s="132">
        <f>IF(SER_hh_fec!X31=0,0,11630*1000*SER_hh_fec!X31/SER_hh_num!X31)</f>
        <v>27826.639741150964</v>
      </c>
      <c r="Y31" s="132">
        <f>IF(SER_hh_fec!Y31=0,0,11630*1000*SER_hh_fec!Y31/SER_hh_num!Y31)</f>
        <v>27020.01929338777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25167.007794824491</v>
      </c>
      <c r="C33" s="68">
        <f>IF(SER_hh_fec!C33=0,0,11630*1000*SER_hh_fec!C33/SER_hh_num!C33)</f>
        <v>25021.717273403254</v>
      </c>
      <c r="D33" s="68">
        <f>IF(SER_hh_fec!D33=0,0,11630*1000*SER_hh_fec!D33/SER_hh_num!D33)</f>
        <v>24586.961482826715</v>
      </c>
      <c r="E33" s="68">
        <f>IF(SER_hh_fec!E33=0,0,11630*1000*SER_hh_fec!E33/SER_hh_num!E33)</f>
        <v>24079.626964195817</v>
      </c>
      <c r="F33" s="68">
        <f>IF(SER_hh_fec!F33=0,0,11630*1000*SER_hh_fec!F33/SER_hh_num!F33)</f>
        <v>24418.869729047932</v>
      </c>
      <c r="G33" s="68">
        <f>IF(SER_hh_fec!G33=0,0,11630*1000*SER_hh_fec!G33/SER_hh_num!G33)</f>
        <v>23572.746664000639</v>
      </c>
      <c r="H33" s="68">
        <f>IF(SER_hh_fec!H33=0,0,11630*1000*SER_hh_fec!H33/SER_hh_num!H33)</f>
        <v>23397.355497915425</v>
      </c>
      <c r="I33" s="68">
        <f>IF(SER_hh_fec!I33=0,0,11630*1000*SER_hh_fec!I33/SER_hh_num!I33)</f>
        <v>22345.652702431729</v>
      </c>
      <c r="J33" s="68">
        <f>IF(SER_hh_fec!J33=0,0,11630*1000*SER_hh_fec!J33/SER_hh_num!J33)</f>
        <v>22760.90234773856</v>
      </c>
      <c r="K33" s="68">
        <f>IF(SER_hh_fec!K33=0,0,11630*1000*SER_hh_fec!K33/SER_hh_num!K33)</f>
        <v>23013.416328086736</v>
      </c>
      <c r="L33" s="68">
        <f>IF(SER_hh_fec!L33=0,0,11630*1000*SER_hh_fec!L33/SER_hh_num!L33)</f>
        <v>23497.482713797814</v>
      </c>
      <c r="M33" s="68">
        <f>IF(SER_hh_fec!M33=0,0,11630*1000*SER_hh_fec!M33/SER_hh_num!M33)</f>
        <v>23295.772089958329</v>
      </c>
      <c r="N33" s="68">
        <f>IF(SER_hh_fec!N33=0,0,11630*1000*SER_hh_fec!N33/SER_hh_num!N33)</f>
        <v>22235.208501235753</v>
      </c>
      <c r="O33" s="68">
        <f>IF(SER_hh_fec!O33=0,0,11630*1000*SER_hh_fec!O33/SER_hh_num!O33)</f>
        <v>21964.385542457796</v>
      </c>
      <c r="P33" s="68">
        <f>IF(SER_hh_fec!P33=0,0,11630*1000*SER_hh_fec!P33/SER_hh_num!P33)</f>
        <v>20539.249881523527</v>
      </c>
      <c r="Q33" s="68">
        <f>IF(SER_hh_fec!Q33=0,0,11630*1000*SER_hh_fec!Q33/SER_hh_num!Q33)</f>
        <v>21479.984349107701</v>
      </c>
      <c r="R33" s="68">
        <f>IF(SER_hh_fec!R33=0,0,11630*1000*SER_hh_fec!R33/SER_hh_num!R33)</f>
        <v>21435.064491642039</v>
      </c>
      <c r="S33" s="68">
        <f>IF(SER_hh_fec!S33=0,0,11630*1000*SER_hh_fec!S33/SER_hh_num!S33)</f>
        <v>21050.913359759521</v>
      </c>
      <c r="T33" s="68">
        <f>IF(SER_hh_fec!T33=0,0,11630*1000*SER_hh_fec!T33/SER_hh_num!T33)</f>
        <v>21192.088782136663</v>
      </c>
      <c r="U33" s="68">
        <f>IF(SER_hh_fec!U33=0,0,11630*1000*SER_hh_fec!U33/SER_hh_num!U33)</f>
        <v>20870.324258655615</v>
      </c>
      <c r="V33" s="68">
        <f>IF(SER_hh_fec!V33=0,0,11630*1000*SER_hh_fec!V33/SER_hh_num!V33)</f>
        <v>18243.559419533034</v>
      </c>
      <c r="W33" s="68">
        <f>IF(SER_hh_fec!W33=0,0,11630*1000*SER_hh_fec!W33/SER_hh_num!W33)</f>
        <v>19854.174039644164</v>
      </c>
      <c r="X33" s="68">
        <f>IF(SER_hh_fec!X33=0,0,11630*1000*SER_hh_fec!X33/SER_hh_num!X33)</f>
        <v>19942.9186703044</v>
      </c>
      <c r="Y33" s="68">
        <f>IF(SER_hh_fec!Y33=0,0,11630*1000*SER_hh_fec!Y33/SER_hh_num!Y33)</f>
        <v>19755.571993395039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211166.35629977327</v>
      </c>
      <c r="C3" s="125">
        <f>IF(SER_hh_tes!C3=0,0,11630*1000*SER_hh_tes!C3/SER_hh_num!C3)</f>
        <v>219667.57300561262</v>
      </c>
      <c r="D3" s="125">
        <f>IF(SER_hh_tes!D3=0,0,11630*1000*SER_hh_tes!D3/SER_hh_num!D3)</f>
        <v>197818.93454688069</v>
      </c>
      <c r="E3" s="125">
        <f>IF(SER_hh_tes!E3=0,0,11630*1000*SER_hh_tes!E3/SER_hh_num!E3)</f>
        <v>199097.70546492958</v>
      </c>
      <c r="F3" s="125">
        <f>IF(SER_hh_tes!F3=0,0,11630*1000*SER_hh_tes!F3/SER_hh_num!F3)</f>
        <v>224463.71158173503</v>
      </c>
      <c r="G3" s="125">
        <f>IF(SER_hh_tes!G3=0,0,11630*1000*SER_hh_tes!G3/SER_hh_num!G3)</f>
        <v>219525.86352004856</v>
      </c>
      <c r="H3" s="125">
        <f>IF(SER_hh_tes!H3=0,0,11630*1000*SER_hh_tes!H3/SER_hh_num!H3)</f>
        <v>196955.72513585695</v>
      </c>
      <c r="I3" s="125">
        <f>IF(SER_hh_tes!I3=0,0,11630*1000*SER_hh_tes!I3/SER_hh_num!I3)</f>
        <v>171418.63748780065</v>
      </c>
      <c r="J3" s="125">
        <f>IF(SER_hh_tes!J3=0,0,11630*1000*SER_hh_tes!J3/SER_hh_num!J3)</f>
        <v>170353.78896542336</v>
      </c>
      <c r="K3" s="125">
        <f>IF(SER_hh_tes!K3=0,0,11630*1000*SER_hh_tes!K3/SER_hh_num!K3)</f>
        <v>183379.14482841306</v>
      </c>
      <c r="L3" s="125">
        <f>IF(SER_hh_tes!L3=0,0,11630*1000*SER_hh_tes!L3/SER_hh_num!L3)</f>
        <v>194875.01030302106</v>
      </c>
      <c r="M3" s="125">
        <f>IF(SER_hh_tes!M3=0,0,11630*1000*SER_hh_tes!M3/SER_hh_num!M3)</f>
        <v>196923.19373251771</v>
      </c>
      <c r="N3" s="125">
        <f>IF(SER_hh_tes!N3=0,0,11630*1000*SER_hh_tes!N3/SER_hh_num!N3)</f>
        <v>145854.69973228572</v>
      </c>
      <c r="O3" s="125">
        <f>IF(SER_hh_tes!O3=0,0,11630*1000*SER_hh_tes!O3/SER_hh_num!O3)</f>
        <v>144906.05959322196</v>
      </c>
      <c r="P3" s="125">
        <f>IF(SER_hh_tes!P3=0,0,11630*1000*SER_hh_tes!P3/SER_hh_num!P3)</f>
        <v>125294.78912481619</v>
      </c>
      <c r="Q3" s="125">
        <f>IF(SER_hh_tes!Q3=0,0,11630*1000*SER_hh_tes!Q3/SER_hh_num!Q3)</f>
        <v>136454.69322697795</v>
      </c>
      <c r="R3" s="125">
        <f>IF(SER_hh_tes!R3=0,0,11630*1000*SER_hh_tes!R3/SER_hh_num!R3)</f>
        <v>134935.3029265847</v>
      </c>
      <c r="S3" s="125">
        <f>IF(SER_hh_tes!S3=0,0,11630*1000*SER_hh_tes!S3/SER_hh_num!S3)</f>
        <v>134784.00348109548</v>
      </c>
      <c r="T3" s="125">
        <f>IF(SER_hh_tes!T3=0,0,11630*1000*SER_hh_tes!T3/SER_hh_num!T3)</f>
        <v>131890.69458757198</v>
      </c>
      <c r="U3" s="125">
        <f>IF(SER_hh_tes!U3=0,0,11630*1000*SER_hh_tes!U3/SER_hh_num!U3)</f>
        <v>130200.94965290371</v>
      </c>
      <c r="V3" s="125">
        <f>IF(SER_hh_tes!V3=0,0,11630*1000*SER_hh_tes!V3/SER_hh_num!V3)</f>
        <v>127067.40540286106</v>
      </c>
      <c r="W3" s="125">
        <f>IF(SER_hh_tes!W3=0,0,11630*1000*SER_hh_tes!W3/SER_hh_num!W3)</f>
        <v>135034.79474823971</v>
      </c>
      <c r="X3" s="125">
        <f>IF(SER_hh_tes!X3=0,0,11630*1000*SER_hh_tes!X3/SER_hh_num!X3)</f>
        <v>123763.24563590359</v>
      </c>
      <c r="Y3" s="125">
        <f>IF(SER_hh_tes!Y3=0,0,11630*1000*SER_hh_tes!Y3/SER_hh_num!Y3)</f>
        <v>103621.00404148712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170887.42077103211</v>
      </c>
      <c r="C4" s="130">
        <f>IF(SER_hh_tes!C4=0,0,11630*1000*SER_hh_tes!C4/SER_hh_num!C4)</f>
        <v>179710.913048997</v>
      </c>
      <c r="D4" s="130">
        <f>IF(SER_hh_tes!D4=0,0,11630*1000*SER_hh_tes!D4/SER_hh_num!D4)</f>
        <v>157419.22660605432</v>
      </c>
      <c r="E4" s="130">
        <f>IF(SER_hh_tes!E4=0,0,11630*1000*SER_hh_tes!E4/SER_hh_num!E4)</f>
        <v>158396.89867843571</v>
      </c>
      <c r="F4" s="130">
        <f>IF(SER_hh_tes!F4=0,0,11630*1000*SER_hh_tes!F4/SER_hh_num!F4)</f>
        <v>184412.39845832647</v>
      </c>
      <c r="G4" s="130">
        <f>IF(SER_hh_tes!G4=0,0,11630*1000*SER_hh_tes!G4/SER_hh_num!G4)</f>
        <v>179732.70891293263</v>
      </c>
      <c r="H4" s="130">
        <f>IF(SER_hh_tes!H4=0,0,11630*1000*SER_hh_tes!H4/SER_hh_num!H4)</f>
        <v>156477.4364482637</v>
      </c>
      <c r="I4" s="130">
        <f>IF(SER_hh_tes!I4=0,0,11630*1000*SER_hh_tes!I4/SER_hh_num!I4)</f>
        <v>130835.39520805659</v>
      </c>
      <c r="J4" s="130">
        <f>IF(SER_hh_tes!J4=0,0,11630*1000*SER_hh_tes!J4/SER_hh_num!J4)</f>
        <v>129978.70659016039</v>
      </c>
      <c r="K4" s="130">
        <f>IF(SER_hh_tes!K4=0,0,11630*1000*SER_hh_tes!K4/SER_hh_num!K4)</f>
        <v>142315.18714825533</v>
      </c>
      <c r="L4" s="130">
        <f>IF(SER_hh_tes!L4=0,0,11630*1000*SER_hh_tes!L4/SER_hh_num!L4)</f>
        <v>152901.05239146241</v>
      </c>
      <c r="M4" s="130">
        <f>IF(SER_hh_tes!M4=0,0,11630*1000*SER_hh_tes!M4/SER_hh_num!M4)</f>
        <v>154881.19180044124</v>
      </c>
      <c r="N4" s="130">
        <f>IF(SER_hh_tes!N4=0,0,11630*1000*SER_hh_tes!N4/SER_hh_num!N4)</f>
        <v>102409.38185536598</v>
      </c>
      <c r="O4" s="130">
        <f>IF(SER_hh_tes!O4=0,0,11630*1000*SER_hh_tes!O4/SER_hh_num!O4)</f>
        <v>102914.67933312659</v>
      </c>
      <c r="P4" s="130">
        <f>IF(SER_hh_tes!P4=0,0,11630*1000*SER_hh_tes!P4/SER_hh_num!P4)</f>
        <v>84901.02127485651</v>
      </c>
      <c r="Q4" s="130">
        <f>IF(SER_hh_tes!Q4=0,0,11630*1000*SER_hh_tes!Q4/SER_hh_num!Q4)</f>
        <v>93040.300456063007</v>
      </c>
      <c r="R4" s="130">
        <f>IF(SER_hh_tes!R4=0,0,11630*1000*SER_hh_tes!R4/SER_hh_num!R4)</f>
        <v>94049.875478901362</v>
      </c>
      <c r="S4" s="130">
        <f>IF(SER_hh_tes!S4=0,0,11630*1000*SER_hh_tes!S4/SER_hh_num!S4)</f>
        <v>92906.857083186522</v>
      </c>
      <c r="T4" s="130">
        <f>IF(SER_hh_tes!T4=0,0,11630*1000*SER_hh_tes!T4/SER_hh_num!T4)</f>
        <v>89832.416345745951</v>
      </c>
      <c r="U4" s="130">
        <f>IF(SER_hh_tes!U4=0,0,11630*1000*SER_hh_tes!U4/SER_hh_num!U4)</f>
        <v>87961.964151754233</v>
      </c>
      <c r="V4" s="130">
        <f>IF(SER_hh_tes!V4=0,0,11630*1000*SER_hh_tes!V4/SER_hh_num!V4)</f>
        <v>88763.345710610505</v>
      </c>
      <c r="W4" s="130">
        <f>IF(SER_hh_tes!W4=0,0,11630*1000*SER_hh_tes!W4/SER_hh_num!W4)</f>
        <v>93625.330240778829</v>
      </c>
      <c r="X4" s="130">
        <f>IF(SER_hh_tes!X4=0,0,11630*1000*SER_hh_tes!X4/SER_hh_num!X4)</f>
        <v>82115.590891482716</v>
      </c>
      <c r="Y4" s="130">
        <f>IF(SER_hh_tes!Y4=0,0,11630*1000*SER_hh_tes!Y4/SER_hh_num!Y4)</f>
        <v>63264.304337116271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199142.33940110318</v>
      </c>
      <c r="C5" s="132">
        <f>IF(SER_hh_tes!C5=0,0,11630*1000*SER_hh_tes!C5/SER_hh_num!C5)</f>
        <v>150804.84549891177</v>
      </c>
      <c r="D5" s="132">
        <f>IF(SER_hh_tes!D5=0,0,11630*1000*SER_hh_tes!D5/SER_hh_num!D5)</f>
        <v>146907.50577833067</v>
      </c>
      <c r="E5" s="132">
        <f>IF(SER_hh_tes!E5=0,0,11630*1000*SER_hh_tes!E5/SER_hh_num!E5)</f>
        <v>181630.78362121308</v>
      </c>
      <c r="F5" s="132">
        <f>IF(SER_hh_tes!F5=0,0,11630*1000*SER_hh_tes!F5/SER_hh_num!F5)</f>
        <v>161132.66696870641</v>
      </c>
      <c r="G5" s="132">
        <f>IF(SER_hh_tes!G5=0,0,11630*1000*SER_hh_tes!G5/SER_hh_num!G5)</f>
        <v>89027.529551088897</v>
      </c>
      <c r="H5" s="132">
        <f>IF(SER_hh_tes!H5=0,0,11630*1000*SER_hh_tes!H5/SER_hh_num!H5)</f>
        <v>171086.37543236834</v>
      </c>
      <c r="I5" s="132">
        <f>IF(SER_hh_tes!I5=0,0,11630*1000*SER_hh_tes!I5/SER_hh_num!I5)</f>
        <v>141974.83073347012</v>
      </c>
      <c r="J5" s="132">
        <f>IF(SER_hh_tes!J5=0,0,11630*1000*SER_hh_tes!J5/SER_hh_num!J5)</f>
        <v>137958.61490664203</v>
      </c>
      <c r="K5" s="132">
        <f>IF(SER_hh_tes!K5=0,0,11630*1000*SER_hh_tes!K5/SER_hh_num!K5)</f>
        <v>130145.37835493968</v>
      </c>
      <c r="L5" s="132">
        <f>IF(SER_hh_tes!L5=0,0,11630*1000*SER_hh_tes!L5/SER_hh_num!L5)</f>
        <v>144441.97150626383</v>
      </c>
      <c r="M5" s="132">
        <f>IF(SER_hh_tes!M5=0,0,11630*1000*SER_hh_tes!M5/SER_hh_num!M5)</f>
        <v>167177.63175755757</v>
      </c>
      <c r="N5" s="132">
        <f>IF(SER_hh_tes!N5=0,0,11630*1000*SER_hh_tes!N5/SER_hh_num!N5)</f>
        <v>50789.448489593269</v>
      </c>
      <c r="O5" s="132">
        <f>IF(SER_hh_tes!O5=0,0,11630*1000*SER_hh_tes!O5/SER_hh_num!O5)</f>
        <v>114644.27076164271</v>
      </c>
      <c r="P5" s="132">
        <f>IF(SER_hh_tes!P5=0,0,11630*1000*SER_hh_tes!P5/SER_hh_num!P5)</f>
        <v>88482.659073801842</v>
      </c>
      <c r="Q5" s="132">
        <f>IF(SER_hh_tes!Q5=0,0,11630*1000*SER_hh_tes!Q5/SER_hh_num!Q5)</f>
        <v>103400.09731304641</v>
      </c>
      <c r="R5" s="132">
        <f>IF(SER_hh_tes!R5=0,0,11630*1000*SER_hh_tes!R5/SER_hh_num!R5)</f>
        <v>109725.74769022984</v>
      </c>
      <c r="S5" s="132">
        <f>IF(SER_hh_tes!S5=0,0,11630*1000*SER_hh_tes!S5/SER_hh_num!S5)</f>
        <v>70626.308124663236</v>
      </c>
      <c r="T5" s="132">
        <f>IF(SER_hh_tes!T5=0,0,11630*1000*SER_hh_tes!T5/SER_hh_num!T5)</f>
        <v>84634.519582923866</v>
      </c>
      <c r="U5" s="132">
        <f>IF(SER_hh_tes!U5=0,0,11630*1000*SER_hh_tes!U5/SER_hh_num!U5)</f>
        <v>94011.176382364531</v>
      </c>
      <c r="V5" s="132">
        <f>IF(SER_hh_tes!V5=0,0,11630*1000*SER_hh_tes!V5/SER_hh_num!V5)</f>
        <v>80616.152818322342</v>
      </c>
      <c r="W5" s="132">
        <f>IF(SER_hh_tes!W5=0,0,11630*1000*SER_hh_tes!W5/SER_hh_num!W5)</f>
        <v>85389.665387723056</v>
      </c>
      <c r="X5" s="132">
        <f>IF(SER_hh_tes!X5=0,0,11630*1000*SER_hh_tes!X5/SER_hh_num!X5)</f>
        <v>110977.7832572663</v>
      </c>
      <c r="Y5" s="132">
        <f>IF(SER_hh_tes!Y5=0,0,11630*1000*SER_hh_tes!Y5/SER_hh_num!Y5)</f>
        <v>47133.009601666774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167331.47627041972</v>
      </c>
      <c r="C7" s="132">
        <f>IF(SER_hh_tes!C7=0,0,11630*1000*SER_hh_tes!C7/SER_hh_num!C7)</f>
        <v>199573.49357930903</v>
      </c>
      <c r="D7" s="132">
        <f>IF(SER_hh_tes!D7=0,0,11630*1000*SER_hh_tes!D7/SER_hh_num!D7)</f>
        <v>132700.67857383049</v>
      </c>
      <c r="E7" s="132">
        <f>IF(SER_hh_tes!E7=0,0,11630*1000*SER_hh_tes!E7/SER_hh_num!E7)</f>
        <v>133353.79184127512</v>
      </c>
      <c r="F7" s="132">
        <f>IF(SER_hh_tes!F7=0,0,11630*1000*SER_hh_tes!F7/SER_hh_num!F7)</f>
        <v>157309.75571851505</v>
      </c>
      <c r="G7" s="132">
        <f>IF(SER_hh_tes!G7=0,0,11630*1000*SER_hh_tes!G7/SER_hh_num!G7)</f>
        <v>203783.7924861346</v>
      </c>
      <c r="H7" s="132">
        <f>IF(SER_hh_tes!H7=0,0,11630*1000*SER_hh_tes!H7/SER_hh_num!H7)</f>
        <v>209086.03154148432</v>
      </c>
      <c r="I7" s="132">
        <f>IF(SER_hh_tes!I7=0,0,11630*1000*SER_hh_tes!I7/SER_hh_num!I7)</f>
        <v>0</v>
      </c>
      <c r="J7" s="132">
        <f>IF(SER_hh_tes!J7=0,0,11630*1000*SER_hh_tes!J7/SER_hh_num!J7)</f>
        <v>0</v>
      </c>
      <c r="K7" s="132">
        <f>IF(SER_hh_tes!K7=0,0,11630*1000*SER_hh_tes!K7/SER_hh_num!K7)</f>
        <v>0</v>
      </c>
      <c r="L7" s="132">
        <f>IF(SER_hh_tes!L7=0,0,11630*1000*SER_hh_tes!L7/SER_hh_num!L7)</f>
        <v>0</v>
      </c>
      <c r="M7" s="132">
        <f>IF(SER_hh_tes!M7=0,0,11630*1000*SER_hh_tes!M7/SER_hh_num!M7)</f>
        <v>0</v>
      </c>
      <c r="N7" s="132">
        <f>IF(SER_hh_tes!N7=0,0,11630*1000*SER_hh_tes!N7/SER_hh_num!N7)</f>
        <v>149184.03937899653</v>
      </c>
      <c r="O7" s="132">
        <f>IF(SER_hh_tes!O7=0,0,11630*1000*SER_hh_tes!O7/SER_hh_num!O7)</f>
        <v>58515.609422626869</v>
      </c>
      <c r="P7" s="132">
        <f>IF(SER_hh_tes!P7=0,0,11630*1000*SER_hh_tes!P7/SER_hh_num!P7)</f>
        <v>78185.891098951644</v>
      </c>
      <c r="Q7" s="132">
        <f>IF(SER_hh_tes!Q7=0,0,11630*1000*SER_hh_tes!Q7/SER_hh_num!Q7)</f>
        <v>100163.84233954721</v>
      </c>
      <c r="R7" s="132">
        <f>IF(SER_hh_tes!R7=0,0,11630*1000*SER_hh_tes!R7/SER_hh_num!R7)</f>
        <v>102690.11730802311</v>
      </c>
      <c r="S7" s="132">
        <f>IF(SER_hh_tes!S7=0,0,11630*1000*SER_hh_tes!S7/SER_hh_num!S7)</f>
        <v>87370.166283687387</v>
      </c>
      <c r="T7" s="132">
        <f>IF(SER_hh_tes!T7=0,0,11630*1000*SER_hh_tes!T7/SER_hh_num!T7)</f>
        <v>94694.308232812822</v>
      </c>
      <c r="U7" s="132">
        <f>IF(SER_hh_tes!U7=0,0,11630*1000*SER_hh_tes!U7/SER_hh_num!U7)</f>
        <v>82894.890080422076</v>
      </c>
      <c r="V7" s="132">
        <f>IF(SER_hh_tes!V7=0,0,11630*1000*SER_hh_tes!V7/SER_hh_num!V7)</f>
        <v>83778.479339921541</v>
      </c>
      <c r="W7" s="132">
        <f>IF(SER_hh_tes!W7=0,0,11630*1000*SER_hh_tes!W7/SER_hh_num!W7)</f>
        <v>102154.57807428238</v>
      </c>
      <c r="X7" s="132">
        <f>IF(SER_hh_tes!X7=0,0,11630*1000*SER_hh_tes!X7/SER_hh_num!X7)</f>
        <v>72346.278702914118</v>
      </c>
      <c r="Y7" s="132">
        <f>IF(SER_hh_tes!Y7=0,0,11630*1000*SER_hh_tes!Y7/SER_hh_num!Y7)</f>
        <v>65286.842300377255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0</v>
      </c>
      <c r="C8" s="132">
        <f>IF(SER_hh_tes!C8=0,0,11630*1000*SER_hh_tes!C8/SER_hh_num!C8)</f>
        <v>0</v>
      </c>
      <c r="D8" s="132">
        <f>IF(SER_hh_tes!D8=0,0,11630*1000*SER_hh_tes!D8/SER_hh_num!D8)</f>
        <v>0</v>
      </c>
      <c r="E8" s="132">
        <f>IF(SER_hh_tes!E8=0,0,11630*1000*SER_hh_tes!E8/SER_hh_num!E8)</f>
        <v>0</v>
      </c>
      <c r="F8" s="132">
        <f>IF(SER_hh_tes!F8=0,0,11630*1000*SER_hh_tes!F8/SER_hh_num!F8)</f>
        <v>0</v>
      </c>
      <c r="G8" s="132">
        <f>IF(SER_hh_tes!G8=0,0,11630*1000*SER_hh_tes!G8/SER_hh_num!G8)</f>
        <v>0</v>
      </c>
      <c r="H8" s="132">
        <f>IF(SER_hh_tes!H8=0,0,11630*1000*SER_hh_tes!H8/SER_hh_num!H8)</f>
        <v>0</v>
      </c>
      <c r="I8" s="132">
        <f>IF(SER_hh_tes!I8=0,0,11630*1000*SER_hh_tes!I8/SER_hh_num!I8)</f>
        <v>0</v>
      </c>
      <c r="J8" s="132">
        <f>IF(SER_hh_tes!J8=0,0,11630*1000*SER_hh_tes!J8/SER_hh_num!J8)</f>
        <v>0</v>
      </c>
      <c r="K8" s="132">
        <f>IF(SER_hh_tes!K8=0,0,11630*1000*SER_hh_tes!K8/SER_hh_num!K8)</f>
        <v>0</v>
      </c>
      <c r="L8" s="132">
        <f>IF(SER_hh_tes!L8=0,0,11630*1000*SER_hh_tes!L8/SER_hh_num!L8)</f>
        <v>0</v>
      </c>
      <c r="M8" s="132">
        <f>IF(SER_hh_tes!M8=0,0,11630*1000*SER_hh_tes!M8/SER_hh_num!M8)</f>
        <v>0</v>
      </c>
      <c r="N8" s="132">
        <f>IF(SER_hh_tes!N8=0,0,11630*1000*SER_hh_tes!N8/SER_hh_num!N8)</f>
        <v>0</v>
      </c>
      <c r="O8" s="132">
        <f>IF(SER_hh_tes!O8=0,0,11630*1000*SER_hh_tes!O8/SER_hh_num!O8)</f>
        <v>0</v>
      </c>
      <c r="P8" s="132">
        <f>IF(SER_hh_tes!P8=0,0,11630*1000*SER_hh_tes!P8/SER_hh_num!P8)</f>
        <v>0</v>
      </c>
      <c r="Q8" s="132">
        <f>IF(SER_hh_tes!Q8=0,0,11630*1000*SER_hh_tes!Q8/SER_hh_num!Q8)</f>
        <v>0</v>
      </c>
      <c r="R8" s="132">
        <f>IF(SER_hh_tes!R8=0,0,11630*1000*SER_hh_tes!R8/SER_hh_num!R8)</f>
        <v>28320.638082093174</v>
      </c>
      <c r="S8" s="132">
        <f>IF(SER_hh_tes!S8=0,0,11630*1000*SER_hh_tes!S8/SER_hh_num!S8)</f>
        <v>68919.782007467555</v>
      </c>
      <c r="T8" s="132">
        <f>IF(SER_hh_tes!T8=0,0,11630*1000*SER_hh_tes!T8/SER_hh_num!T8)</f>
        <v>92512.371632853552</v>
      </c>
      <c r="U8" s="132">
        <f>IF(SER_hh_tes!U8=0,0,11630*1000*SER_hh_tes!U8/SER_hh_num!U8)</f>
        <v>79358.986538019744</v>
      </c>
      <c r="V8" s="132">
        <f>IF(SER_hh_tes!V8=0,0,11630*1000*SER_hh_tes!V8/SER_hh_num!V8)</f>
        <v>107527.14289890901</v>
      </c>
      <c r="W8" s="132">
        <f>IF(SER_hh_tes!W8=0,0,11630*1000*SER_hh_tes!W8/SER_hh_num!W8)</f>
        <v>78685.54048525801</v>
      </c>
      <c r="X8" s="132">
        <f>IF(SER_hh_tes!X8=0,0,11630*1000*SER_hh_tes!X8/SER_hh_num!X8)</f>
        <v>77764.297438457274</v>
      </c>
      <c r="Y8" s="132">
        <f>IF(SER_hh_tes!Y8=0,0,11630*1000*SER_hh_tes!Y8/SER_hh_num!Y8)</f>
        <v>70533.027047738869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167118.72828315775</v>
      </c>
      <c r="C9" s="132">
        <f>IF(SER_hh_tes!C9=0,0,11630*1000*SER_hh_tes!C9/SER_hh_num!C9)</f>
        <v>176007.35882323797</v>
      </c>
      <c r="D9" s="132">
        <f>IF(SER_hh_tes!D9=0,0,11630*1000*SER_hh_tes!D9/SER_hh_num!D9)</f>
        <v>153644.91030272358</v>
      </c>
      <c r="E9" s="132">
        <f>IF(SER_hh_tes!E9=0,0,11630*1000*SER_hh_tes!E9/SER_hh_num!E9)</f>
        <v>152754.41328312643</v>
      </c>
      <c r="F9" s="132">
        <f>IF(SER_hh_tes!F9=0,0,11630*1000*SER_hh_tes!F9/SER_hh_num!F9)</f>
        <v>189930.38686248584</v>
      </c>
      <c r="G9" s="132">
        <f>IF(SER_hh_tes!G9=0,0,11630*1000*SER_hh_tes!G9/SER_hh_num!G9)</f>
        <v>179572.71956855536</v>
      </c>
      <c r="H9" s="132">
        <f>IF(SER_hh_tes!H9=0,0,11630*1000*SER_hh_tes!H9/SER_hh_num!H9)</f>
        <v>157605.41049733866</v>
      </c>
      <c r="I9" s="132">
        <f>IF(SER_hh_tes!I9=0,0,11630*1000*SER_hh_tes!I9/SER_hh_num!I9)</f>
        <v>124017.2941480178</v>
      </c>
      <c r="J9" s="132">
        <f>IF(SER_hh_tes!J9=0,0,11630*1000*SER_hh_tes!J9/SER_hh_num!J9)</f>
        <v>122239.33606745496</v>
      </c>
      <c r="K9" s="132">
        <f>IF(SER_hh_tes!K9=0,0,11630*1000*SER_hh_tes!K9/SER_hh_num!K9)</f>
        <v>138194.22848499694</v>
      </c>
      <c r="L9" s="132">
        <f>IF(SER_hh_tes!L9=0,0,11630*1000*SER_hh_tes!L9/SER_hh_num!L9)</f>
        <v>149585.25898560064</v>
      </c>
      <c r="M9" s="132">
        <f>IF(SER_hh_tes!M9=0,0,11630*1000*SER_hh_tes!M9/SER_hh_num!M9)</f>
        <v>144358.45599335889</v>
      </c>
      <c r="N9" s="132">
        <f>IF(SER_hh_tes!N9=0,0,11630*1000*SER_hh_tes!N9/SER_hh_num!N9)</f>
        <v>104361.45386246065</v>
      </c>
      <c r="O9" s="132">
        <f>IF(SER_hh_tes!O9=0,0,11630*1000*SER_hh_tes!O9/SER_hh_num!O9)</f>
        <v>103383.68485125319</v>
      </c>
      <c r="P9" s="132">
        <f>IF(SER_hh_tes!P9=0,0,11630*1000*SER_hh_tes!P9/SER_hh_num!P9)</f>
        <v>85410.528498941712</v>
      </c>
      <c r="Q9" s="132">
        <f>IF(SER_hh_tes!Q9=0,0,11630*1000*SER_hh_tes!Q9/SER_hh_num!Q9)</f>
        <v>91495.51871370936</v>
      </c>
      <c r="R9" s="132">
        <f>IF(SER_hh_tes!R9=0,0,11630*1000*SER_hh_tes!R9/SER_hh_num!R9)</f>
        <v>92444.92413871875</v>
      </c>
      <c r="S9" s="132">
        <f>IF(SER_hh_tes!S9=0,0,11630*1000*SER_hh_tes!S9/SER_hh_num!S9)</f>
        <v>91174.946293571396</v>
      </c>
      <c r="T9" s="132">
        <f>IF(SER_hh_tes!T9=0,0,11630*1000*SER_hh_tes!T9/SER_hh_num!T9)</f>
        <v>87074.544838455695</v>
      </c>
      <c r="U9" s="132">
        <f>IF(SER_hh_tes!U9=0,0,11630*1000*SER_hh_tes!U9/SER_hh_num!U9)</f>
        <v>85067.488653169086</v>
      </c>
      <c r="V9" s="132">
        <f>IF(SER_hh_tes!V9=0,0,11630*1000*SER_hh_tes!V9/SER_hh_num!V9)</f>
        <v>88831.237599110944</v>
      </c>
      <c r="W9" s="132">
        <f>IF(SER_hh_tes!W9=0,0,11630*1000*SER_hh_tes!W9/SER_hh_num!W9)</f>
        <v>95903.087793691884</v>
      </c>
      <c r="X9" s="132">
        <f>IF(SER_hh_tes!X9=0,0,11630*1000*SER_hh_tes!X9/SER_hh_num!X9)</f>
        <v>79084.159820149856</v>
      </c>
      <c r="Y9" s="132">
        <f>IF(SER_hh_tes!Y9=0,0,11630*1000*SER_hh_tes!Y9/SER_hh_num!Y9)</f>
        <v>61102.290119660211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173651.40225187677</v>
      </c>
      <c r="C10" s="132">
        <f>IF(SER_hh_tes!C10=0,0,11630*1000*SER_hh_tes!C10/SER_hh_num!C10)</f>
        <v>150633.99929585808</v>
      </c>
      <c r="D10" s="132">
        <f>IF(SER_hh_tes!D10=0,0,11630*1000*SER_hh_tes!D10/SER_hh_num!D10)</f>
        <v>162236.85555950142</v>
      </c>
      <c r="E10" s="132">
        <f>IF(SER_hh_tes!E10=0,0,11630*1000*SER_hh_tes!E10/SER_hh_num!E10)</f>
        <v>197112.17033381906</v>
      </c>
      <c r="F10" s="132">
        <f>IF(SER_hh_tes!F10=0,0,11630*1000*SER_hh_tes!F10/SER_hh_num!F10)</f>
        <v>190532.38967482929</v>
      </c>
      <c r="G10" s="132">
        <f>IF(SER_hh_tes!G10=0,0,11630*1000*SER_hh_tes!G10/SER_hh_num!G10)</f>
        <v>142564.69240816656</v>
      </c>
      <c r="H10" s="132">
        <f>IF(SER_hh_tes!H10=0,0,11630*1000*SER_hh_tes!H10/SER_hh_num!H10)</f>
        <v>147131.32917392298</v>
      </c>
      <c r="I10" s="132">
        <f>IF(SER_hh_tes!I10=0,0,11630*1000*SER_hh_tes!I10/SER_hh_num!I10)</f>
        <v>133666.53081952158</v>
      </c>
      <c r="J10" s="132">
        <f>IF(SER_hh_tes!J10=0,0,11630*1000*SER_hh_tes!J10/SER_hh_num!J10)</f>
        <v>130958.40798244119</v>
      </c>
      <c r="K10" s="132">
        <f>IF(SER_hh_tes!K10=0,0,11630*1000*SER_hh_tes!K10/SER_hh_num!K10)</f>
        <v>140897.3292578976</v>
      </c>
      <c r="L10" s="132">
        <f>IF(SER_hh_tes!L10=0,0,11630*1000*SER_hh_tes!L10/SER_hh_num!L10)</f>
        <v>145048.20892110103</v>
      </c>
      <c r="M10" s="132">
        <f>IF(SER_hh_tes!M10=0,0,11630*1000*SER_hh_tes!M10/SER_hh_num!M10)</f>
        <v>136786.02566909933</v>
      </c>
      <c r="N10" s="132">
        <f>IF(SER_hh_tes!N10=0,0,11630*1000*SER_hh_tes!N10/SER_hh_num!N10)</f>
        <v>112832.44316188952</v>
      </c>
      <c r="O10" s="132">
        <f>IF(SER_hh_tes!O10=0,0,11630*1000*SER_hh_tes!O10/SER_hh_num!O10)</f>
        <v>102231.56215625074</v>
      </c>
      <c r="P10" s="132">
        <f>IF(SER_hh_tes!P10=0,0,11630*1000*SER_hh_tes!P10/SER_hh_num!P10)</f>
        <v>82531.964457814567</v>
      </c>
      <c r="Q10" s="132">
        <f>IF(SER_hh_tes!Q10=0,0,11630*1000*SER_hh_tes!Q10/SER_hh_num!Q10)</f>
        <v>99997.367637983756</v>
      </c>
      <c r="R10" s="132">
        <f>IF(SER_hh_tes!R10=0,0,11630*1000*SER_hh_tes!R10/SER_hh_num!R10)</f>
        <v>89653.309747542633</v>
      </c>
      <c r="S10" s="132">
        <f>IF(SER_hh_tes!S10=0,0,11630*1000*SER_hh_tes!S10/SER_hh_num!S10)</f>
        <v>91769.588055965651</v>
      </c>
      <c r="T10" s="132">
        <f>IF(SER_hh_tes!T10=0,0,11630*1000*SER_hh_tes!T10/SER_hh_num!T10)</f>
        <v>85943.214349652582</v>
      </c>
      <c r="U10" s="132">
        <f>IF(SER_hh_tes!U10=0,0,11630*1000*SER_hh_tes!U10/SER_hh_num!U10)</f>
        <v>95492.708238263338</v>
      </c>
      <c r="V10" s="132">
        <f>IF(SER_hh_tes!V10=0,0,11630*1000*SER_hh_tes!V10/SER_hh_num!V10)</f>
        <v>89322.632699854526</v>
      </c>
      <c r="W10" s="132">
        <f>IF(SER_hh_tes!W10=0,0,11630*1000*SER_hh_tes!W10/SER_hh_num!W10)</f>
        <v>75608.804814418967</v>
      </c>
      <c r="X10" s="132">
        <f>IF(SER_hh_tes!X10=0,0,11630*1000*SER_hh_tes!X10/SER_hh_num!X10)</f>
        <v>77211.87966744024</v>
      </c>
      <c r="Y10" s="132">
        <f>IF(SER_hh_tes!Y10=0,0,11630*1000*SER_hh_tes!Y10/SER_hh_num!Y10)</f>
        <v>69622.07025795184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173476.37937176041</v>
      </c>
      <c r="C11" s="132">
        <f>IF(SER_hh_tes!C11=0,0,11630*1000*SER_hh_tes!C11/SER_hh_num!C11)</f>
        <v>169982.92218240697</v>
      </c>
      <c r="D11" s="132">
        <f>IF(SER_hh_tes!D11=0,0,11630*1000*SER_hh_tes!D11/SER_hh_num!D11)</f>
        <v>167111.34716444116</v>
      </c>
      <c r="E11" s="132">
        <f>IF(SER_hh_tes!E11=0,0,11630*1000*SER_hh_tes!E11/SER_hh_num!E11)</f>
        <v>171669.62640877636</v>
      </c>
      <c r="F11" s="132">
        <f>IF(SER_hh_tes!F11=0,0,11630*1000*SER_hh_tes!F11/SER_hh_num!F11)</f>
        <v>163657.56728318855</v>
      </c>
      <c r="G11" s="132">
        <f>IF(SER_hh_tes!G11=0,0,11630*1000*SER_hh_tes!G11/SER_hh_num!G11)</f>
        <v>161497.9978289523</v>
      </c>
      <c r="H11" s="132">
        <f>IF(SER_hh_tes!H11=0,0,11630*1000*SER_hh_tes!H11/SER_hh_num!H11)</f>
        <v>149735.91638390662</v>
      </c>
      <c r="I11" s="132">
        <f>IF(SER_hh_tes!I11=0,0,11630*1000*SER_hh_tes!I11/SER_hh_num!I11)</f>
        <v>133616.29412190861</v>
      </c>
      <c r="J11" s="132">
        <f>IF(SER_hh_tes!J11=0,0,11630*1000*SER_hh_tes!J11/SER_hh_num!J11)</f>
        <v>140494.91518338374</v>
      </c>
      <c r="K11" s="132">
        <f>IF(SER_hh_tes!K11=0,0,11630*1000*SER_hh_tes!K11/SER_hh_num!K11)</f>
        <v>143072.27008421029</v>
      </c>
      <c r="L11" s="132">
        <f>IF(SER_hh_tes!L11=0,0,11630*1000*SER_hh_tes!L11/SER_hh_num!L11)</f>
        <v>139444.23629445801</v>
      </c>
      <c r="M11" s="132">
        <f>IF(SER_hh_tes!M11=0,0,11630*1000*SER_hh_tes!M11/SER_hh_num!M11)</f>
        <v>138467.70333500372</v>
      </c>
      <c r="N11" s="132">
        <f>IF(SER_hh_tes!N11=0,0,11630*1000*SER_hh_tes!N11/SER_hh_num!N11)</f>
        <v>132919.81231322614</v>
      </c>
      <c r="O11" s="132">
        <f>IF(SER_hh_tes!O11=0,0,11630*1000*SER_hh_tes!O11/SER_hh_num!O11)</f>
        <v>141964.25812821454</v>
      </c>
      <c r="P11" s="132">
        <f>IF(SER_hh_tes!P11=0,0,11630*1000*SER_hh_tes!P11/SER_hh_num!P11)</f>
        <v>54644.40531683372</v>
      </c>
      <c r="Q11" s="132">
        <f>IF(SER_hh_tes!Q11=0,0,11630*1000*SER_hh_tes!Q11/SER_hh_num!Q11)</f>
        <v>69804.328672257965</v>
      </c>
      <c r="R11" s="132">
        <f>IF(SER_hh_tes!R11=0,0,11630*1000*SER_hh_tes!R11/SER_hh_num!R11)</f>
        <v>77424.043581135324</v>
      </c>
      <c r="S11" s="132">
        <f>IF(SER_hh_tes!S11=0,0,11630*1000*SER_hh_tes!S11/SER_hh_num!S11)</f>
        <v>98637.878038411931</v>
      </c>
      <c r="T11" s="132">
        <f>IF(SER_hh_tes!T11=0,0,11630*1000*SER_hh_tes!T11/SER_hh_num!T11)</f>
        <v>89384.029697219259</v>
      </c>
      <c r="U11" s="132">
        <f>IF(SER_hh_tes!U11=0,0,11630*1000*SER_hh_tes!U11/SER_hh_num!U11)</f>
        <v>90860.544435050804</v>
      </c>
      <c r="V11" s="132">
        <f>IF(SER_hh_tes!V11=0,0,11630*1000*SER_hh_tes!V11/SER_hh_num!V11)</f>
        <v>77471.924907488778</v>
      </c>
      <c r="W11" s="132">
        <f>IF(SER_hh_tes!W11=0,0,11630*1000*SER_hh_tes!W11/SER_hh_num!W11)</f>
        <v>85511.855969598473</v>
      </c>
      <c r="X11" s="132">
        <f>IF(SER_hh_tes!X11=0,0,11630*1000*SER_hh_tes!X11/SER_hh_num!X11)</f>
        <v>77108.260223143996</v>
      </c>
      <c r="Y11" s="132">
        <f>IF(SER_hh_tes!Y11=0,0,11630*1000*SER_hh_tes!Y11/SER_hh_num!Y11)</f>
        <v>70524.858094795083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165984.48626023883</v>
      </c>
      <c r="C12" s="132">
        <f>IF(SER_hh_tes!C12=0,0,11630*1000*SER_hh_tes!C12/SER_hh_num!C12)</f>
        <v>185788.15652185422</v>
      </c>
      <c r="D12" s="132">
        <f>IF(SER_hh_tes!D12=0,0,11630*1000*SER_hh_tes!D12/SER_hh_num!D12)</f>
        <v>156920.55926031389</v>
      </c>
      <c r="E12" s="132">
        <f>IF(SER_hh_tes!E12=0,0,11630*1000*SER_hh_tes!E12/SER_hh_num!E12)</f>
        <v>174001.52890594045</v>
      </c>
      <c r="F12" s="132">
        <f>IF(SER_hh_tes!F12=0,0,11630*1000*SER_hh_tes!F12/SER_hh_num!F12)</f>
        <v>152341.67248663065</v>
      </c>
      <c r="G12" s="132">
        <f>IF(SER_hh_tes!G12=0,0,11630*1000*SER_hh_tes!G12/SER_hh_num!G12)</f>
        <v>176342.52207544542</v>
      </c>
      <c r="H12" s="132">
        <f>IF(SER_hh_tes!H12=0,0,11630*1000*SER_hh_tes!H12/SER_hh_num!H12)</f>
        <v>142269.92140306017</v>
      </c>
      <c r="I12" s="132">
        <f>IF(SER_hh_tes!I12=0,0,11630*1000*SER_hh_tes!I12/SER_hh_num!I12)</f>
        <v>135139.83487535102</v>
      </c>
      <c r="J12" s="132">
        <f>IF(SER_hh_tes!J12=0,0,11630*1000*SER_hh_tes!J12/SER_hh_num!J12)</f>
        <v>146194.06730626427</v>
      </c>
      <c r="K12" s="132">
        <f>IF(SER_hh_tes!K12=0,0,11630*1000*SER_hh_tes!K12/SER_hh_num!K12)</f>
        <v>140289.90261822997</v>
      </c>
      <c r="L12" s="132">
        <f>IF(SER_hh_tes!L12=0,0,11630*1000*SER_hh_tes!L12/SER_hh_num!L12)</f>
        <v>149012.59300575819</v>
      </c>
      <c r="M12" s="132">
        <f>IF(SER_hh_tes!M12=0,0,11630*1000*SER_hh_tes!M12/SER_hh_num!M12)</f>
        <v>147749.1980205689</v>
      </c>
      <c r="N12" s="132">
        <f>IF(SER_hh_tes!N12=0,0,11630*1000*SER_hh_tes!N12/SER_hh_num!N12)</f>
        <v>102151.72678320462</v>
      </c>
      <c r="O12" s="132">
        <f>IF(SER_hh_tes!O12=0,0,11630*1000*SER_hh_tes!O12/SER_hh_num!O12)</f>
        <v>95782.871632313516</v>
      </c>
      <c r="P12" s="132">
        <f>IF(SER_hh_tes!P12=0,0,11630*1000*SER_hh_tes!P12/SER_hh_num!P12)</f>
        <v>81667.252633241893</v>
      </c>
      <c r="Q12" s="132">
        <f>IF(SER_hh_tes!Q12=0,0,11630*1000*SER_hh_tes!Q12/SER_hh_num!Q12)</f>
        <v>94473.713405266608</v>
      </c>
      <c r="R12" s="132">
        <f>IF(SER_hh_tes!R12=0,0,11630*1000*SER_hh_tes!R12/SER_hh_num!R12)</f>
        <v>97300.703431656904</v>
      </c>
      <c r="S12" s="132">
        <f>IF(SER_hh_tes!S12=0,0,11630*1000*SER_hh_tes!S12/SER_hh_num!S12)</f>
        <v>95194.059018007916</v>
      </c>
      <c r="T12" s="132">
        <f>IF(SER_hh_tes!T12=0,0,11630*1000*SER_hh_tes!T12/SER_hh_num!T12)</f>
        <v>89760.973329113112</v>
      </c>
      <c r="U12" s="132">
        <f>IF(SER_hh_tes!U12=0,0,11630*1000*SER_hh_tes!U12/SER_hh_num!U12)</f>
        <v>86671.58062825416</v>
      </c>
      <c r="V12" s="132">
        <f>IF(SER_hh_tes!V12=0,0,11630*1000*SER_hh_tes!V12/SER_hh_num!V12)</f>
        <v>87579.416581519385</v>
      </c>
      <c r="W12" s="132">
        <f>IF(SER_hh_tes!W12=0,0,11630*1000*SER_hh_tes!W12/SER_hh_num!W12)</f>
        <v>94059.282889482492</v>
      </c>
      <c r="X12" s="132">
        <f>IF(SER_hh_tes!X12=0,0,11630*1000*SER_hh_tes!X12/SER_hh_num!X12)</f>
        <v>82139.790104598011</v>
      </c>
      <c r="Y12" s="132">
        <f>IF(SER_hh_tes!Y12=0,0,11630*1000*SER_hh_tes!Y12/SER_hh_num!Y12)</f>
        <v>62559.874378019871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162377.91789321919</v>
      </c>
      <c r="C13" s="132">
        <f>IF(SER_hh_tes!C13=0,0,11630*1000*SER_hh_tes!C13/SER_hh_num!C13)</f>
        <v>174979.81285161269</v>
      </c>
      <c r="D13" s="132">
        <f>IF(SER_hh_tes!D13=0,0,11630*1000*SER_hh_tes!D13/SER_hh_num!D13)</f>
        <v>152814.29517522576</v>
      </c>
      <c r="E13" s="132">
        <f>IF(SER_hh_tes!E13=0,0,11630*1000*SER_hh_tes!E13/SER_hh_num!E13)</f>
        <v>119934.26442530286</v>
      </c>
      <c r="F13" s="132">
        <f>IF(SER_hh_tes!F13=0,0,11630*1000*SER_hh_tes!F13/SER_hh_num!F13)</f>
        <v>138397.50680675544</v>
      </c>
      <c r="G13" s="132">
        <f>IF(SER_hh_tes!G13=0,0,11630*1000*SER_hh_tes!G13/SER_hh_num!G13)</f>
        <v>142294.13718503385</v>
      </c>
      <c r="H13" s="132">
        <f>IF(SER_hh_tes!H13=0,0,11630*1000*SER_hh_tes!H13/SER_hh_num!H13)</f>
        <v>129618.66282772191</v>
      </c>
      <c r="I13" s="132">
        <f>IF(SER_hh_tes!I13=0,0,11630*1000*SER_hh_tes!I13/SER_hh_num!I13)</f>
        <v>148052.70906662737</v>
      </c>
      <c r="J13" s="132">
        <f>IF(SER_hh_tes!J13=0,0,11630*1000*SER_hh_tes!J13/SER_hh_num!J13)</f>
        <v>132561.7257859497</v>
      </c>
      <c r="K13" s="132">
        <f>IF(SER_hh_tes!K13=0,0,11630*1000*SER_hh_tes!K13/SER_hh_num!K13)</f>
        <v>145641.69386197772</v>
      </c>
      <c r="L13" s="132">
        <f>IF(SER_hh_tes!L13=0,0,11630*1000*SER_hh_tes!L13/SER_hh_num!L13)</f>
        <v>120762.2254448053</v>
      </c>
      <c r="M13" s="132">
        <f>IF(SER_hh_tes!M13=0,0,11630*1000*SER_hh_tes!M13/SER_hh_num!M13)</f>
        <v>91023.170577580633</v>
      </c>
      <c r="N13" s="132">
        <f>IF(SER_hh_tes!N13=0,0,11630*1000*SER_hh_tes!N13/SER_hh_num!N13)</f>
        <v>95369.866756712567</v>
      </c>
      <c r="O13" s="132">
        <f>IF(SER_hh_tes!O13=0,0,11630*1000*SER_hh_tes!O13/SER_hh_num!O13)</f>
        <v>97649.919465427141</v>
      </c>
      <c r="P13" s="132">
        <f>IF(SER_hh_tes!P13=0,0,11630*1000*SER_hh_tes!P13/SER_hh_num!P13)</f>
        <v>108792.30620454105</v>
      </c>
      <c r="Q13" s="132">
        <f>IF(SER_hh_tes!Q13=0,0,11630*1000*SER_hh_tes!Q13/SER_hh_num!Q13)</f>
        <v>86508.191311099377</v>
      </c>
      <c r="R13" s="132">
        <f>IF(SER_hh_tes!R13=0,0,11630*1000*SER_hh_tes!R13/SER_hh_num!R13)</f>
        <v>80738.264722415435</v>
      </c>
      <c r="S13" s="132">
        <f>IF(SER_hh_tes!S13=0,0,11630*1000*SER_hh_tes!S13/SER_hh_num!S13)</f>
        <v>78356.810310012166</v>
      </c>
      <c r="T13" s="132">
        <f>IF(SER_hh_tes!T13=0,0,11630*1000*SER_hh_tes!T13/SER_hh_num!T13)</f>
        <v>87204.78551596943</v>
      </c>
      <c r="U13" s="132">
        <f>IF(SER_hh_tes!U13=0,0,11630*1000*SER_hh_tes!U13/SER_hh_num!U13)</f>
        <v>80126.748598783903</v>
      </c>
      <c r="V13" s="132">
        <f>IF(SER_hh_tes!V13=0,0,11630*1000*SER_hh_tes!V13/SER_hh_num!V13)</f>
        <v>71326.374174421653</v>
      </c>
      <c r="W13" s="132">
        <f>IF(SER_hh_tes!W13=0,0,11630*1000*SER_hh_tes!W13/SER_hh_num!W13)</f>
        <v>28425.699218637528</v>
      </c>
      <c r="X13" s="132">
        <f>IF(SER_hh_tes!X13=0,0,11630*1000*SER_hh_tes!X13/SER_hh_num!X13)</f>
        <v>90353.061817985217</v>
      </c>
      <c r="Y13" s="132">
        <f>IF(SER_hh_tes!Y13=0,0,11630*1000*SER_hh_tes!Y13/SER_hh_num!Y13)</f>
        <v>70984.914112676648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175590.80495892954</v>
      </c>
      <c r="C14" s="65">
        <f>IF(SER_hh_tes!C14=0,0,11630*1000*SER_hh_tes!C14/SER_hh_num!C14)</f>
        <v>179035.05716757471</v>
      </c>
      <c r="D14" s="65">
        <f>IF(SER_hh_tes!D14=0,0,11630*1000*SER_hh_tes!D14/SER_hh_num!D14)</f>
        <v>159409.47442389958</v>
      </c>
      <c r="E14" s="65">
        <f>IF(SER_hh_tes!E14=0,0,11630*1000*SER_hh_tes!E14/SER_hh_num!E14)</f>
        <v>137441.25947054176</v>
      </c>
      <c r="F14" s="65">
        <f>IF(SER_hh_tes!F14=0,0,11630*1000*SER_hh_tes!F14/SER_hh_num!F14)</f>
        <v>154166.44799414935</v>
      </c>
      <c r="G14" s="65">
        <f>IF(SER_hh_tes!G14=0,0,11630*1000*SER_hh_tes!G14/SER_hh_num!G14)</f>
        <v>172085.17216736576</v>
      </c>
      <c r="H14" s="65">
        <f>IF(SER_hh_tes!H14=0,0,11630*1000*SER_hh_tes!H14/SER_hh_num!H14)</f>
        <v>149150.13140132441</v>
      </c>
      <c r="I14" s="65">
        <f>IF(SER_hh_tes!I14=0,0,11630*1000*SER_hh_tes!I14/SER_hh_num!I14)</f>
        <v>144139.6683968007</v>
      </c>
      <c r="J14" s="65">
        <f>IF(SER_hh_tes!J14=0,0,11630*1000*SER_hh_tes!J14/SER_hh_num!J14)</f>
        <v>132614.83356967202</v>
      </c>
      <c r="K14" s="65">
        <f>IF(SER_hh_tes!K14=0,0,11630*1000*SER_hh_tes!K14/SER_hh_num!K14)</f>
        <v>148570.62093555607</v>
      </c>
      <c r="L14" s="65">
        <f>IF(SER_hh_tes!L14=0,0,11630*1000*SER_hh_tes!L14/SER_hh_num!L14)</f>
        <v>162432.81272692492</v>
      </c>
      <c r="M14" s="65">
        <f>IF(SER_hh_tes!M14=0,0,11630*1000*SER_hh_tes!M14/SER_hh_num!M14)</f>
        <v>204031.67552416326</v>
      </c>
      <c r="N14" s="65">
        <f>IF(SER_hh_tes!N14=0,0,11630*1000*SER_hh_tes!N14/SER_hh_num!N14)</f>
        <v>48228.924503179289</v>
      </c>
      <c r="O14" s="65">
        <f>IF(SER_hh_tes!O14=0,0,11630*1000*SER_hh_tes!O14/SER_hh_num!O14)</f>
        <v>62444.241739294899</v>
      </c>
      <c r="P14" s="65">
        <f>IF(SER_hh_tes!P14=0,0,11630*1000*SER_hh_tes!P14/SER_hh_num!P14)</f>
        <v>86916.683724357805</v>
      </c>
      <c r="Q14" s="65">
        <f>IF(SER_hh_tes!Q14=0,0,11630*1000*SER_hh_tes!Q14/SER_hh_num!Q14)</f>
        <v>93756.116415212993</v>
      </c>
      <c r="R14" s="65">
        <f>IF(SER_hh_tes!R14=0,0,11630*1000*SER_hh_tes!R14/SER_hh_num!R14)</f>
        <v>90917.580962623586</v>
      </c>
      <c r="S14" s="65">
        <f>IF(SER_hh_tes!S14=0,0,11630*1000*SER_hh_tes!S14/SER_hh_num!S14)</f>
        <v>91409.614390195144</v>
      </c>
      <c r="T14" s="65">
        <f>IF(SER_hh_tes!T14=0,0,11630*1000*SER_hh_tes!T14/SER_hh_num!T14)</f>
        <v>95058.961950409532</v>
      </c>
      <c r="U14" s="65">
        <f>IF(SER_hh_tes!U14=0,0,11630*1000*SER_hh_tes!U14/SER_hh_num!U14)</f>
        <v>94702.574301695917</v>
      </c>
      <c r="V14" s="65">
        <f>IF(SER_hh_tes!V14=0,0,11630*1000*SER_hh_tes!V14/SER_hh_num!V14)</f>
        <v>86678.412168943178</v>
      </c>
      <c r="W14" s="65">
        <f>IF(SER_hh_tes!W14=0,0,11630*1000*SER_hh_tes!W14/SER_hh_num!W14)</f>
        <v>86358.333120567608</v>
      </c>
      <c r="X14" s="65">
        <f>IF(SER_hh_tes!X14=0,0,11630*1000*SER_hh_tes!X14/SER_hh_num!X14)</f>
        <v>89569.66058422903</v>
      </c>
      <c r="Y14" s="65">
        <f>IF(SER_hh_tes!Y14=0,0,11630*1000*SER_hh_tes!Y14/SER_hh_num!Y14)</f>
        <v>62288.665090601782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2735.9202168328611</v>
      </c>
      <c r="C15" s="134">
        <f>IF(SER_hh_tes!C15=0,0,11630*1000*SER_hh_tes!C15/SER_hh_num!C15)</f>
        <v>2836.1496139070214</v>
      </c>
      <c r="D15" s="134">
        <f>IF(SER_hh_tes!D15=0,0,11630*1000*SER_hh_tes!D15/SER_hh_num!D15)</f>
        <v>2459.330905228117</v>
      </c>
      <c r="E15" s="134">
        <f>IF(SER_hh_tes!E15=0,0,11630*1000*SER_hh_tes!E15/SER_hh_num!E15)</f>
        <v>2462.1621817668747</v>
      </c>
      <c r="F15" s="134">
        <f>IF(SER_hh_tes!F15=0,0,11630*1000*SER_hh_tes!F15/SER_hh_num!F15)</f>
        <v>3008.537735189253</v>
      </c>
      <c r="G15" s="134">
        <f>IF(SER_hh_tes!G15=0,0,11630*1000*SER_hh_tes!G15/SER_hh_num!G15)</f>
        <v>2816.3867691371411</v>
      </c>
      <c r="H15" s="134">
        <f>IF(SER_hh_tes!H15=0,0,11630*1000*SER_hh_tes!H15/SER_hh_num!H15)</f>
        <v>2401.4173565132983</v>
      </c>
      <c r="I15" s="134">
        <f>IF(SER_hh_tes!I15=0,0,11630*1000*SER_hh_tes!I15/SER_hh_num!I15)</f>
        <v>1833.6618650143791</v>
      </c>
      <c r="J15" s="134">
        <f>IF(SER_hh_tes!J15=0,0,11630*1000*SER_hh_tes!J15/SER_hh_num!J15)</f>
        <v>1759.3080537941476</v>
      </c>
      <c r="K15" s="134">
        <f>IF(SER_hh_tes!K15=0,0,11630*1000*SER_hh_tes!K15/SER_hh_num!K15)</f>
        <v>1942.2379024935619</v>
      </c>
      <c r="L15" s="134">
        <f>IF(SER_hh_tes!L15=0,0,11630*1000*SER_hh_tes!L15/SER_hh_num!L15)</f>
        <v>2093.6572225480791</v>
      </c>
      <c r="M15" s="134">
        <f>IF(SER_hh_tes!M15=0,0,11630*1000*SER_hh_tes!M15/SER_hh_num!M15)</f>
        <v>2027.4863687213981</v>
      </c>
      <c r="N15" s="134">
        <f>IF(SER_hh_tes!N15=0,0,11630*1000*SER_hh_tes!N15/SER_hh_num!N15)</f>
        <v>1478.790858666152</v>
      </c>
      <c r="O15" s="134">
        <f>IF(SER_hh_tes!O15=0,0,11630*1000*SER_hh_tes!O15/SER_hh_num!O15)</f>
        <v>1445.901968131235</v>
      </c>
      <c r="P15" s="134">
        <f>IF(SER_hh_tes!P15=0,0,11630*1000*SER_hh_tes!P15/SER_hh_num!P15)</f>
        <v>1188.7724773131833</v>
      </c>
      <c r="Q15" s="134">
        <f>IF(SER_hh_tes!Q15=0,0,11630*1000*SER_hh_tes!Q15/SER_hh_num!Q15)</f>
        <v>1270.5812172885553</v>
      </c>
      <c r="R15" s="134">
        <f>IF(SER_hh_tes!R15=0,0,11630*1000*SER_hh_tes!R15/SER_hh_num!R15)</f>
        <v>1268.3832922793031</v>
      </c>
      <c r="S15" s="134">
        <f>IF(SER_hh_tes!S15=0,0,11630*1000*SER_hh_tes!S15/SER_hh_num!S15)</f>
        <v>1229.5707839998072</v>
      </c>
      <c r="T15" s="134">
        <f>IF(SER_hh_tes!T15=0,0,11630*1000*SER_hh_tes!T15/SER_hh_num!T15)</f>
        <v>1170.520688244397</v>
      </c>
      <c r="U15" s="134">
        <f>IF(SER_hh_tes!U15=0,0,11630*1000*SER_hh_tes!U15/SER_hh_num!U15)</f>
        <v>1137.3707906399407</v>
      </c>
      <c r="V15" s="134">
        <f>IF(SER_hh_tes!V15=0,0,11630*1000*SER_hh_tes!V15/SER_hh_num!V15)</f>
        <v>1179.4941284990189</v>
      </c>
      <c r="W15" s="134">
        <f>IF(SER_hh_tes!W15=0,0,11630*1000*SER_hh_tes!W15/SER_hh_num!W15)</f>
        <v>1266.9967346262276</v>
      </c>
      <c r="X15" s="134">
        <f>IF(SER_hh_tes!X15=0,0,11630*1000*SER_hh_tes!X15/SER_hh_num!X15)</f>
        <v>1033.445092718621</v>
      </c>
      <c r="Y15" s="134">
        <f>IF(SER_hh_tes!Y15=0,0,11630*1000*SER_hh_tes!Y15/SER_hh_num!Y15)</f>
        <v>795.55365915438608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21804.148904232115</v>
      </c>
      <c r="C16" s="130">
        <f>IF(SER_hh_tes!C16=0,0,11630*1000*SER_hh_tes!C16/SER_hh_num!C16)</f>
        <v>19966.181950923041</v>
      </c>
      <c r="D16" s="130">
        <f>IF(SER_hh_tes!D16=0,0,11630*1000*SER_hh_tes!D16/SER_hh_num!D16)</f>
        <v>21150.333237221359</v>
      </c>
      <c r="E16" s="130">
        <f>IF(SER_hh_tes!E16=0,0,11630*1000*SER_hh_tes!E16/SER_hh_num!E16)</f>
        <v>24305.968833619667</v>
      </c>
      <c r="F16" s="130">
        <f>IF(SER_hh_tes!F16=0,0,11630*1000*SER_hh_tes!F16/SER_hh_num!F16)</f>
        <v>19490.344012194295</v>
      </c>
      <c r="G16" s="130">
        <f>IF(SER_hh_tes!G16=0,0,11630*1000*SER_hh_tes!G16/SER_hh_num!G16)</f>
        <v>19544.571880075669</v>
      </c>
      <c r="H16" s="130">
        <f>IF(SER_hh_tes!H16=0,0,11630*1000*SER_hh_tes!H16/SER_hh_num!H16)</f>
        <v>21733.835791637041</v>
      </c>
      <c r="I16" s="130">
        <f>IF(SER_hh_tes!I16=0,0,11630*1000*SER_hh_tes!I16/SER_hh_num!I16)</f>
        <v>23834.138987002498</v>
      </c>
      <c r="J16" s="130">
        <f>IF(SER_hh_tes!J16=0,0,11630*1000*SER_hh_tes!J16/SER_hh_num!J16)</f>
        <v>20506.940705782607</v>
      </c>
      <c r="K16" s="130">
        <f>IF(SER_hh_tes!K16=0,0,11630*1000*SER_hh_tes!K16/SER_hh_num!K16)</f>
        <v>20794.449063898312</v>
      </c>
      <c r="L16" s="130">
        <f>IF(SER_hh_tes!L16=0,0,11630*1000*SER_hh_tes!L16/SER_hh_num!L16)</f>
        <v>21941.628803294476</v>
      </c>
      <c r="M16" s="130">
        <f>IF(SER_hh_tes!M16=0,0,11630*1000*SER_hh_tes!M16/SER_hh_num!M16)</f>
        <v>21759.569245532744</v>
      </c>
      <c r="N16" s="130">
        <f>IF(SER_hh_tes!N16=0,0,11630*1000*SER_hh_tes!N16/SER_hh_num!N16)</f>
        <v>27819.493563306209</v>
      </c>
      <c r="O16" s="130">
        <f>IF(SER_hh_tes!O16=0,0,11630*1000*SER_hh_tes!O16/SER_hh_num!O16)</f>
        <v>23048.850344051207</v>
      </c>
      <c r="P16" s="130">
        <f>IF(SER_hh_tes!P16=0,0,11630*1000*SER_hh_tes!P16/SER_hh_num!P16)</f>
        <v>20556.53402403069</v>
      </c>
      <c r="Q16" s="130">
        <f>IF(SER_hh_tes!Q16=0,0,11630*1000*SER_hh_tes!Q16/SER_hh_num!Q16)</f>
        <v>30046.221236227331</v>
      </c>
      <c r="R16" s="130">
        <f>IF(SER_hh_tes!R16=0,0,11630*1000*SER_hh_tes!R16/SER_hh_num!R16)</f>
        <v>21175.572575101112</v>
      </c>
      <c r="S16" s="130">
        <f>IF(SER_hh_tes!S16=0,0,11630*1000*SER_hh_tes!S16/SER_hh_num!S16)</f>
        <v>25550.962612930336</v>
      </c>
      <c r="T16" s="130">
        <f>IF(SER_hh_tes!T16=0,0,11630*1000*SER_hh_tes!T16/SER_hh_num!T16)</f>
        <v>24404.755620369509</v>
      </c>
      <c r="U16" s="130">
        <f>IF(SER_hh_tes!U16=0,0,11630*1000*SER_hh_tes!U16/SER_hh_num!U16)</f>
        <v>26161.924450151993</v>
      </c>
      <c r="V16" s="130">
        <f>IF(SER_hh_tes!V16=0,0,11630*1000*SER_hh_tes!V16/SER_hh_num!V16)</f>
        <v>21170.875196661385</v>
      </c>
      <c r="W16" s="130">
        <f>IF(SER_hh_tes!W16=0,0,11630*1000*SER_hh_tes!W16/SER_hh_num!W16)</f>
        <v>26769.752302442328</v>
      </c>
      <c r="X16" s="130">
        <f>IF(SER_hh_tes!X16=0,0,11630*1000*SER_hh_tes!X16/SER_hh_num!X16)</f>
        <v>27393.684547008943</v>
      </c>
      <c r="Y16" s="130">
        <f>IF(SER_hh_tes!Y16=0,0,11630*1000*SER_hh_tes!Y16/SER_hh_num!Y16)</f>
        <v>24201.315322284645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21804.148904232115</v>
      </c>
      <c r="C17" s="132">
        <f>IF(SER_hh_tes!C17=0,0,11630*1000*SER_hh_tes!C17/SER_hh_num!C17)</f>
        <v>19966.181950922975</v>
      </c>
      <c r="D17" s="132">
        <f>IF(SER_hh_tes!D17=0,0,11630*1000*SER_hh_tes!D17/SER_hh_num!D17)</f>
        <v>21150.333237219696</v>
      </c>
      <c r="E17" s="132">
        <f>IF(SER_hh_tes!E17=0,0,11630*1000*SER_hh_tes!E17/SER_hh_num!E17)</f>
        <v>24305.968833619638</v>
      </c>
      <c r="F17" s="132">
        <f>IF(SER_hh_tes!F17=0,0,11630*1000*SER_hh_tes!F17/SER_hh_num!F17)</f>
        <v>19490.344012195797</v>
      </c>
      <c r="G17" s="132">
        <f>IF(SER_hh_tes!G17=0,0,11630*1000*SER_hh_tes!G17/SER_hh_num!G17)</f>
        <v>19544.571880077543</v>
      </c>
      <c r="H17" s="132">
        <f>IF(SER_hh_tes!H17=0,0,11630*1000*SER_hh_tes!H17/SER_hh_num!H17)</f>
        <v>21733.835791637091</v>
      </c>
      <c r="I17" s="132">
        <f>IF(SER_hh_tes!I17=0,0,11630*1000*SER_hh_tes!I17/SER_hh_num!I17)</f>
        <v>23834.138987001366</v>
      </c>
      <c r="J17" s="132">
        <f>IF(SER_hh_tes!J17=0,0,11630*1000*SER_hh_tes!J17/SER_hh_num!J17)</f>
        <v>20506.940705781806</v>
      </c>
      <c r="K17" s="132">
        <f>IF(SER_hh_tes!K17=0,0,11630*1000*SER_hh_tes!K17/SER_hh_num!K17)</f>
        <v>20794.44906389758</v>
      </c>
      <c r="L17" s="132">
        <f>IF(SER_hh_tes!L17=0,0,11630*1000*SER_hh_tes!L17/SER_hh_num!L17)</f>
        <v>21941.628803293879</v>
      </c>
      <c r="M17" s="132">
        <f>IF(SER_hh_tes!M17=0,0,11630*1000*SER_hh_tes!M17/SER_hh_num!M17)</f>
        <v>21759.569245532548</v>
      </c>
      <c r="N17" s="132">
        <f>IF(SER_hh_tes!N17=0,0,11630*1000*SER_hh_tes!N17/SER_hh_num!N17)</f>
        <v>27819.493563306383</v>
      </c>
      <c r="O17" s="132">
        <f>IF(SER_hh_tes!O17=0,0,11630*1000*SER_hh_tes!O17/SER_hh_num!O17)</f>
        <v>23048.850344054561</v>
      </c>
      <c r="P17" s="132">
        <f>IF(SER_hh_tes!P17=0,0,11630*1000*SER_hh_tes!P17/SER_hh_num!P17)</f>
        <v>20556.534024035005</v>
      </c>
      <c r="Q17" s="132">
        <f>IF(SER_hh_tes!Q17=0,0,11630*1000*SER_hh_tes!Q17/SER_hh_num!Q17)</f>
        <v>30046.221236230591</v>
      </c>
      <c r="R17" s="132">
        <f>IF(SER_hh_tes!R17=0,0,11630*1000*SER_hh_tes!R17/SER_hh_num!R17)</f>
        <v>21175.572575097529</v>
      </c>
      <c r="S17" s="132">
        <f>IF(SER_hh_tes!S17=0,0,11630*1000*SER_hh_tes!S17/SER_hh_num!S17)</f>
        <v>25550.96261292318</v>
      </c>
      <c r="T17" s="132">
        <f>IF(SER_hh_tes!T17=0,0,11630*1000*SER_hh_tes!T17/SER_hh_num!T17)</f>
        <v>24404.755620363856</v>
      </c>
      <c r="U17" s="132">
        <f>IF(SER_hh_tes!U17=0,0,11630*1000*SER_hh_tes!U17/SER_hh_num!U17)</f>
        <v>26161.924450147431</v>
      </c>
      <c r="V17" s="132">
        <f>IF(SER_hh_tes!V17=0,0,11630*1000*SER_hh_tes!V17/SER_hh_num!V17)</f>
        <v>18647.21352894251</v>
      </c>
      <c r="W17" s="132">
        <f>IF(SER_hh_tes!W17=0,0,11630*1000*SER_hh_tes!W17/SER_hh_num!W17)</f>
        <v>23741.147480610602</v>
      </c>
      <c r="X17" s="132">
        <f>IF(SER_hh_tes!X17=0,0,11630*1000*SER_hh_tes!X17/SER_hh_num!X17)</f>
        <v>26417.001838806365</v>
      </c>
      <c r="Y17" s="132">
        <f>IF(SER_hh_tes!Y17=0,0,11630*1000*SER_hh_tes!Y17/SER_hh_num!Y17)</f>
        <v>24201.31532228522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21804.148904232115</v>
      </c>
      <c r="C18" s="132">
        <f>IF(SER_hh_tes!C18=0,0,11630*1000*SER_hh_tes!C18/SER_hh_num!C18)</f>
        <v>19966.181950923037</v>
      </c>
      <c r="D18" s="132">
        <f>IF(SER_hh_tes!D18=0,0,11630*1000*SER_hh_tes!D18/SER_hh_num!D18)</f>
        <v>21150.333237221363</v>
      </c>
      <c r="E18" s="132">
        <f>IF(SER_hh_tes!E18=0,0,11630*1000*SER_hh_tes!E18/SER_hh_num!E18)</f>
        <v>24305.96883361967</v>
      </c>
      <c r="F18" s="132">
        <f>IF(SER_hh_tes!F18=0,0,11630*1000*SER_hh_tes!F18/SER_hh_num!F18)</f>
        <v>19490.344012194295</v>
      </c>
      <c r="G18" s="132">
        <f>IF(SER_hh_tes!G18=0,0,11630*1000*SER_hh_tes!G18/SER_hh_num!G18)</f>
        <v>19544.571880075662</v>
      </c>
      <c r="H18" s="132">
        <f>IF(SER_hh_tes!H18=0,0,11630*1000*SER_hh_tes!H18/SER_hh_num!H18)</f>
        <v>21733.835791637041</v>
      </c>
      <c r="I18" s="132">
        <f>IF(SER_hh_tes!I18=0,0,11630*1000*SER_hh_tes!I18/SER_hh_num!I18)</f>
        <v>23834.138987002505</v>
      </c>
      <c r="J18" s="132">
        <f>IF(SER_hh_tes!J18=0,0,11630*1000*SER_hh_tes!J18/SER_hh_num!J18)</f>
        <v>20506.94070578261</v>
      </c>
      <c r="K18" s="132">
        <f>IF(SER_hh_tes!K18=0,0,11630*1000*SER_hh_tes!K18/SER_hh_num!K18)</f>
        <v>20794.449063898315</v>
      </c>
      <c r="L18" s="132">
        <f>IF(SER_hh_tes!L18=0,0,11630*1000*SER_hh_tes!L18/SER_hh_num!L18)</f>
        <v>21941.628803294476</v>
      </c>
      <c r="M18" s="132">
        <f>IF(SER_hh_tes!M18=0,0,11630*1000*SER_hh_tes!M18/SER_hh_num!M18)</f>
        <v>21759.569245532748</v>
      </c>
      <c r="N18" s="132">
        <f>IF(SER_hh_tes!N18=0,0,11630*1000*SER_hh_tes!N18/SER_hh_num!N18)</f>
        <v>27819.493563306209</v>
      </c>
      <c r="O18" s="132">
        <f>IF(SER_hh_tes!O18=0,0,11630*1000*SER_hh_tes!O18/SER_hh_num!O18)</f>
        <v>23048.850344051192</v>
      </c>
      <c r="P18" s="132">
        <f>IF(SER_hh_tes!P18=0,0,11630*1000*SER_hh_tes!P18/SER_hh_num!P18)</f>
        <v>20556.534024030665</v>
      </c>
      <c r="Q18" s="132">
        <f>IF(SER_hh_tes!Q18=0,0,11630*1000*SER_hh_tes!Q18/SER_hh_num!Q18)</f>
        <v>30046.221236227309</v>
      </c>
      <c r="R18" s="132">
        <f>IF(SER_hh_tes!R18=0,0,11630*1000*SER_hh_tes!R18/SER_hh_num!R18)</f>
        <v>21175.572575101134</v>
      </c>
      <c r="S18" s="132">
        <f>IF(SER_hh_tes!S18=0,0,11630*1000*SER_hh_tes!S18/SER_hh_num!S18)</f>
        <v>25550.962612930391</v>
      </c>
      <c r="T18" s="132">
        <f>IF(SER_hh_tes!T18=0,0,11630*1000*SER_hh_tes!T18/SER_hh_num!T18)</f>
        <v>24404.755620369557</v>
      </c>
      <c r="U18" s="132">
        <f>IF(SER_hh_tes!U18=0,0,11630*1000*SER_hh_tes!U18/SER_hh_num!U18)</f>
        <v>26161.924450152033</v>
      </c>
      <c r="V18" s="132">
        <f>IF(SER_hh_tes!V18=0,0,11630*1000*SER_hh_tes!V18/SER_hh_num!V18)</f>
        <v>21196.841529419708</v>
      </c>
      <c r="W18" s="132">
        <f>IF(SER_hh_tes!W18=0,0,11630*1000*SER_hh_tes!W18/SER_hh_num!W18)</f>
        <v>26801.866002782932</v>
      </c>
      <c r="X18" s="132">
        <f>IF(SER_hh_tes!X18=0,0,11630*1000*SER_hh_tes!X18/SER_hh_num!X18)</f>
        <v>27404.109869457712</v>
      </c>
      <c r="Y18" s="132">
        <f>IF(SER_hh_tes!Y18=0,0,11630*1000*SER_hh_tes!Y18/SER_hh_num!Y18)</f>
        <v>24201.315322284641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16415.197911638155</v>
      </c>
      <c r="C19" s="130">
        <f>IF(SER_hh_tes!C19=0,0,11630*1000*SER_hh_tes!C19/SER_hh_num!C19)</f>
        <v>16433.182238771336</v>
      </c>
      <c r="D19" s="130">
        <f>IF(SER_hh_tes!D19=0,0,11630*1000*SER_hh_tes!D19/SER_hh_num!D19)</f>
        <v>16682.615334271424</v>
      </c>
      <c r="E19" s="130">
        <f>IF(SER_hh_tes!E19=0,0,11630*1000*SER_hh_tes!E19/SER_hh_num!E19)</f>
        <v>16487.57374342695</v>
      </c>
      <c r="F19" s="130">
        <f>IF(SER_hh_tes!F19=0,0,11630*1000*SER_hh_tes!F19/SER_hh_num!F19)</f>
        <v>16802.714665672567</v>
      </c>
      <c r="G19" s="130">
        <f>IF(SER_hh_tes!G19=0,0,11630*1000*SER_hh_tes!G19/SER_hh_num!G19)</f>
        <v>16638.803876654783</v>
      </c>
      <c r="H19" s="130">
        <f>IF(SER_hh_tes!H19=0,0,11630*1000*SER_hh_tes!H19/SER_hh_num!H19)</f>
        <v>16602.973204873429</v>
      </c>
      <c r="I19" s="130">
        <f>IF(SER_hh_tes!I19=0,0,11630*1000*SER_hh_tes!I19/SER_hh_num!I19)</f>
        <v>16512.883234694684</v>
      </c>
      <c r="J19" s="130">
        <f>IF(SER_hh_tes!J19=0,0,11630*1000*SER_hh_tes!J19/SER_hh_num!J19)</f>
        <v>16734.09845018015</v>
      </c>
      <c r="K19" s="130">
        <f>IF(SER_hh_tes!K19=0,0,11630*1000*SER_hh_tes!K19/SER_hh_num!K19)</f>
        <v>16974.280469094301</v>
      </c>
      <c r="L19" s="130">
        <f>IF(SER_hh_tes!L19=0,0,11630*1000*SER_hh_tes!L19/SER_hh_num!L19)</f>
        <v>16986.954848683159</v>
      </c>
      <c r="M19" s="130">
        <f>IF(SER_hh_tes!M19=0,0,11630*1000*SER_hh_tes!M19/SER_hh_num!M19)</f>
        <v>17100.928577975039</v>
      </c>
      <c r="N19" s="130">
        <f>IF(SER_hh_tes!N19=0,0,11630*1000*SER_hh_tes!N19/SER_hh_num!N19)</f>
        <v>17067.380902572258</v>
      </c>
      <c r="O19" s="130">
        <f>IF(SER_hh_tes!O19=0,0,11630*1000*SER_hh_tes!O19/SER_hh_num!O19)</f>
        <v>17024.570507782038</v>
      </c>
      <c r="P19" s="130">
        <f>IF(SER_hh_tes!P19=0,0,11630*1000*SER_hh_tes!P19/SER_hh_num!P19)</f>
        <v>16665.225228329804</v>
      </c>
      <c r="Q19" s="130">
        <f>IF(SER_hh_tes!Q19=0,0,11630*1000*SER_hh_tes!Q19/SER_hh_num!Q19)</f>
        <v>16780.910265038838</v>
      </c>
      <c r="R19" s="130">
        <f>IF(SER_hh_tes!R19=0,0,11630*1000*SER_hh_tes!R19/SER_hh_num!R19)</f>
        <v>16871.424180281978</v>
      </c>
      <c r="S19" s="130">
        <f>IF(SER_hh_tes!S19=0,0,11630*1000*SER_hh_tes!S19/SER_hh_num!S19)</f>
        <v>16862.898412842002</v>
      </c>
      <c r="T19" s="130">
        <f>IF(SER_hh_tes!T19=0,0,11630*1000*SER_hh_tes!T19/SER_hh_num!T19)</f>
        <v>16958.363200235835</v>
      </c>
      <c r="U19" s="130">
        <f>IF(SER_hh_tes!U19=0,0,11630*1000*SER_hh_tes!U19/SER_hh_num!U19)</f>
        <v>16689.813537175247</v>
      </c>
      <c r="V19" s="130">
        <f>IF(SER_hh_tes!V19=0,0,11630*1000*SER_hh_tes!V19/SER_hh_num!V19)</f>
        <v>15134.411834767554</v>
      </c>
      <c r="W19" s="130">
        <f>IF(SER_hh_tes!W19=0,0,11630*1000*SER_hh_tes!W19/SER_hh_num!W19)</f>
        <v>15564.830265940587</v>
      </c>
      <c r="X19" s="130">
        <f>IF(SER_hh_tes!X19=0,0,11630*1000*SER_hh_tes!X19/SER_hh_num!X19)</f>
        <v>15654.190906616617</v>
      </c>
      <c r="Y19" s="130">
        <f>IF(SER_hh_tes!Y19=0,0,11630*1000*SER_hh_tes!Y19/SER_hh_num!Y19)</f>
        <v>15521.241497723604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0</v>
      </c>
      <c r="C21" s="132">
        <f>IF(SER_hh_tes!C21=0,0,11630*1000*SER_hh_tes!C21/SER_hh_num!C21)</f>
        <v>0</v>
      </c>
      <c r="D21" s="132">
        <f>IF(SER_hh_tes!D21=0,0,11630*1000*SER_hh_tes!D21/SER_hh_num!D21)</f>
        <v>0</v>
      </c>
      <c r="E21" s="132">
        <f>IF(SER_hh_tes!E21=0,0,11630*1000*SER_hh_tes!E21/SER_hh_num!E21)</f>
        <v>0</v>
      </c>
      <c r="F21" s="132">
        <f>IF(SER_hh_tes!F21=0,0,11630*1000*SER_hh_tes!F21/SER_hh_num!F21)</f>
        <v>0</v>
      </c>
      <c r="G21" s="132">
        <f>IF(SER_hh_tes!G21=0,0,11630*1000*SER_hh_tes!G21/SER_hh_num!G21)</f>
        <v>0</v>
      </c>
      <c r="H21" s="132">
        <f>IF(SER_hh_tes!H21=0,0,11630*1000*SER_hh_tes!H21/SER_hh_num!H21)</f>
        <v>0</v>
      </c>
      <c r="I21" s="132">
        <f>IF(SER_hh_tes!I21=0,0,11630*1000*SER_hh_tes!I21/SER_hh_num!I21)</f>
        <v>0</v>
      </c>
      <c r="J21" s="132">
        <f>IF(SER_hh_tes!J21=0,0,11630*1000*SER_hh_tes!J21/SER_hh_num!J21)</f>
        <v>0</v>
      </c>
      <c r="K21" s="132">
        <f>IF(SER_hh_tes!K21=0,0,11630*1000*SER_hh_tes!K21/SER_hh_num!K21)</f>
        <v>0</v>
      </c>
      <c r="L21" s="132">
        <f>IF(SER_hh_tes!L21=0,0,11630*1000*SER_hh_tes!L21/SER_hh_num!L21)</f>
        <v>0</v>
      </c>
      <c r="M21" s="132">
        <f>IF(SER_hh_tes!M21=0,0,11630*1000*SER_hh_tes!M21/SER_hh_num!M21)</f>
        <v>0</v>
      </c>
      <c r="N21" s="132">
        <f>IF(SER_hh_tes!N21=0,0,11630*1000*SER_hh_tes!N21/SER_hh_num!N21)</f>
        <v>0</v>
      </c>
      <c r="O21" s="132">
        <f>IF(SER_hh_tes!O21=0,0,11630*1000*SER_hh_tes!O21/SER_hh_num!O21)</f>
        <v>0</v>
      </c>
      <c r="P21" s="132">
        <f>IF(SER_hh_tes!P21=0,0,11630*1000*SER_hh_tes!P21/SER_hh_num!P21)</f>
        <v>0</v>
      </c>
      <c r="Q21" s="132">
        <f>IF(SER_hh_tes!Q21=0,0,11630*1000*SER_hh_tes!Q21/SER_hh_num!Q21)</f>
        <v>0</v>
      </c>
      <c r="R21" s="132">
        <f>IF(SER_hh_tes!R21=0,0,11630*1000*SER_hh_tes!R21/SER_hh_num!R21)</f>
        <v>0</v>
      </c>
      <c r="S21" s="132">
        <f>IF(SER_hh_tes!S21=0,0,11630*1000*SER_hh_tes!S21/SER_hh_num!S21)</f>
        <v>0</v>
      </c>
      <c r="T21" s="132">
        <f>IF(SER_hh_tes!T21=0,0,11630*1000*SER_hh_tes!T21/SER_hh_num!T21)</f>
        <v>0</v>
      </c>
      <c r="U21" s="132">
        <f>IF(SER_hh_tes!U21=0,0,11630*1000*SER_hh_tes!U21/SER_hh_num!U21)</f>
        <v>0</v>
      </c>
      <c r="V21" s="132">
        <f>IF(SER_hh_tes!V21=0,0,11630*1000*SER_hh_tes!V21/SER_hh_num!V21)</f>
        <v>0</v>
      </c>
      <c r="W21" s="132">
        <f>IF(SER_hh_tes!W21=0,0,11630*1000*SER_hh_tes!W21/SER_hh_num!W21)</f>
        <v>0</v>
      </c>
      <c r="X21" s="132">
        <f>IF(SER_hh_tes!X21=0,0,11630*1000*SER_hh_tes!X21/SER_hh_num!X21)</f>
        <v>0</v>
      </c>
      <c r="Y21" s="132">
        <f>IF(SER_hh_tes!Y21=0,0,11630*1000*SER_hh_tes!Y21/SER_hh_num!Y21)</f>
        <v>0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0</v>
      </c>
      <c r="C22" s="132">
        <f>IF(SER_hh_tes!C22=0,0,11630*1000*SER_hh_tes!C22/SER_hh_num!C22)</f>
        <v>0</v>
      </c>
      <c r="D22" s="132">
        <f>IF(SER_hh_tes!D22=0,0,11630*1000*SER_hh_tes!D22/SER_hh_num!D22)</f>
        <v>0</v>
      </c>
      <c r="E22" s="132">
        <f>IF(SER_hh_tes!E22=0,0,11630*1000*SER_hh_tes!E22/SER_hh_num!E22)</f>
        <v>0</v>
      </c>
      <c r="F22" s="132">
        <f>IF(SER_hh_tes!F22=0,0,11630*1000*SER_hh_tes!F22/SER_hh_num!F22)</f>
        <v>0</v>
      </c>
      <c r="G22" s="132">
        <f>IF(SER_hh_tes!G22=0,0,11630*1000*SER_hh_tes!G22/SER_hh_num!G22)</f>
        <v>0</v>
      </c>
      <c r="H22" s="132">
        <f>IF(SER_hh_tes!H22=0,0,11630*1000*SER_hh_tes!H22/SER_hh_num!H22)</f>
        <v>0</v>
      </c>
      <c r="I22" s="132">
        <f>IF(SER_hh_tes!I22=0,0,11630*1000*SER_hh_tes!I22/SER_hh_num!I22)</f>
        <v>0</v>
      </c>
      <c r="J22" s="132">
        <f>IF(SER_hh_tes!J22=0,0,11630*1000*SER_hh_tes!J22/SER_hh_num!J22)</f>
        <v>0</v>
      </c>
      <c r="K22" s="132">
        <f>IF(SER_hh_tes!K22=0,0,11630*1000*SER_hh_tes!K22/SER_hh_num!K22)</f>
        <v>0</v>
      </c>
      <c r="L22" s="132">
        <f>IF(SER_hh_tes!L22=0,0,11630*1000*SER_hh_tes!L22/SER_hh_num!L22)</f>
        <v>0</v>
      </c>
      <c r="M22" s="132">
        <f>IF(SER_hh_tes!M22=0,0,11630*1000*SER_hh_tes!M22/SER_hh_num!M22)</f>
        <v>0</v>
      </c>
      <c r="N22" s="132">
        <f>IF(SER_hh_tes!N22=0,0,11630*1000*SER_hh_tes!N22/SER_hh_num!N22)</f>
        <v>0</v>
      </c>
      <c r="O22" s="132">
        <f>IF(SER_hh_tes!O22=0,0,11630*1000*SER_hh_tes!O22/SER_hh_num!O22)</f>
        <v>0</v>
      </c>
      <c r="P22" s="132">
        <f>IF(SER_hh_tes!P22=0,0,11630*1000*SER_hh_tes!P22/SER_hh_num!P22)</f>
        <v>0</v>
      </c>
      <c r="Q22" s="132">
        <f>IF(SER_hh_tes!Q22=0,0,11630*1000*SER_hh_tes!Q22/SER_hh_num!Q22)</f>
        <v>0</v>
      </c>
      <c r="R22" s="132">
        <f>IF(SER_hh_tes!R22=0,0,11630*1000*SER_hh_tes!R22/SER_hh_num!R22)</f>
        <v>0</v>
      </c>
      <c r="S22" s="132">
        <f>IF(SER_hh_tes!S22=0,0,11630*1000*SER_hh_tes!S22/SER_hh_num!S22)</f>
        <v>0</v>
      </c>
      <c r="T22" s="132">
        <f>IF(SER_hh_tes!T22=0,0,11630*1000*SER_hh_tes!T22/SER_hh_num!T22)</f>
        <v>0</v>
      </c>
      <c r="U22" s="132">
        <f>IF(SER_hh_tes!U22=0,0,11630*1000*SER_hh_tes!U22/SER_hh_num!U22)</f>
        <v>0</v>
      </c>
      <c r="V22" s="132">
        <f>IF(SER_hh_tes!V22=0,0,11630*1000*SER_hh_tes!V22/SER_hh_num!V22)</f>
        <v>0</v>
      </c>
      <c r="W22" s="132">
        <f>IF(SER_hh_tes!W22=0,0,11630*1000*SER_hh_tes!W22/SER_hh_num!W22)</f>
        <v>0</v>
      </c>
      <c r="X22" s="132">
        <f>IF(SER_hh_tes!X22=0,0,11630*1000*SER_hh_tes!X22/SER_hh_num!X22)</f>
        <v>0</v>
      </c>
      <c r="Y22" s="132">
        <f>IF(SER_hh_tes!Y22=0,0,11630*1000*SER_hh_tes!Y22/SER_hh_num!Y22)</f>
        <v>0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16288.170967142521</v>
      </c>
      <c r="C23" s="132">
        <f>IF(SER_hh_tes!C23=0,0,11630*1000*SER_hh_tes!C23/SER_hh_num!C23)</f>
        <v>16328.365415848664</v>
      </c>
      <c r="D23" s="132">
        <f>IF(SER_hh_tes!D23=0,0,11630*1000*SER_hh_tes!D23/SER_hh_num!D23)</f>
        <v>16513.651710674792</v>
      </c>
      <c r="E23" s="132">
        <f>IF(SER_hh_tes!E23=0,0,11630*1000*SER_hh_tes!E23/SER_hh_num!E23)</f>
        <v>16613.372643015358</v>
      </c>
      <c r="F23" s="132">
        <f>IF(SER_hh_tes!F23=0,0,11630*1000*SER_hh_tes!F23/SER_hh_num!F23)</f>
        <v>17045.722481582099</v>
      </c>
      <c r="G23" s="132">
        <f>IF(SER_hh_tes!G23=0,0,11630*1000*SER_hh_tes!G23/SER_hh_num!G23)</f>
        <v>16541.641215959993</v>
      </c>
      <c r="H23" s="132">
        <f>IF(SER_hh_tes!H23=0,0,11630*1000*SER_hh_tes!H23/SER_hh_num!H23)</f>
        <v>16238.4751871592</v>
      </c>
      <c r="I23" s="132">
        <f>IF(SER_hh_tes!I23=0,0,11630*1000*SER_hh_tes!I23/SER_hh_num!I23)</f>
        <v>16227.270355633294</v>
      </c>
      <c r="J23" s="132">
        <f>IF(SER_hh_tes!J23=0,0,11630*1000*SER_hh_tes!J23/SER_hh_num!J23)</f>
        <v>16617.021956755994</v>
      </c>
      <c r="K23" s="132">
        <f>IF(SER_hh_tes!K23=0,0,11630*1000*SER_hh_tes!K23/SER_hh_num!K23)</f>
        <v>17204.632648977138</v>
      </c>
      <c r="L23" s="132">
        <f>IF(SER_hh_tes!L23=0,0,11630*1000*SER_hh_tes!L23/SER_hh_num!L23)</f>
        <v>17190.162532763319</v>
      </c>
      <c r="M23" s="132">
        <f>IF(SER_hh_tes!M23=0,0,11630*1000*SER_hh_tes!M23/SER_hh_num!M23)</f>
        <v>16828.077645860129</v>
      </c>
      <c r="N23" s="132">
        <f>IF(SER_hh_tes!N23=0,0,11630*1000*SER_hh_tes!N23/SER_hh_num!N23)</f>
        <v>16555.258345842842</v>
      </c>
      <c r="O23" s="132">
        <f>IF(SER_hh_tes!O23=0,0,11630*1000*SER_hh_tes!O23/SER_hh_num!O23)</f>
        <v>17472.63934378132</v>
      </c>
      <c r="P23" s="132">
        <f>IF(SER_hh_tes!P23=0,0,11630*1000*SER_hh_tes!P23/SER_hh_num!P23)</f>
        <v>16816.205609674795</v>
      </c>
      <c r="Q23" s="132">
        <f>IF(SER_hh_tes!Q23=0,0,11630*1000*SER_hh_tes!Q23/SER_hh_num!Q23)</f>
        <v>16802.86735470454</v>
      </c>
      <c r="R23" s="132">
        <f>IF(SER_hh_tes!R23=0,0,11630*1000*SER_hh_tes!R23/SER_hh_num!R23)</f>
        <v>16868.240390571391</v>
      </c>
      <c r="S23" s="132">
        <f>IF(SER_hh_tes!S23=0,0,11630*1000*SER_hh_tes!S23/SER_hh_num!S23)</f>
        <v>16807.769459983258</v>
      </c>
      <c r="T23" s="132">
        <f>IF(SER_hh_tes!T23=0,0,11630*1000*SER_hh_tes!T23/SER_hh_num!T23)</f>
        <v>17073.740693208918</v>
      </c>
      <c r="U23" s="132">
        <f>IF(SER_hh_tes!U23=0,0,11630*1000*SER_hh_tes!U23/SER_hh_num!U23)</f>
        <v>16610.258069668223</v>
      </c>
      <c r="V23" s="132">
        <f>IF(SER_hh_tes!V23=0,0,11630*1000*SER_hh_tes!V23/SER_hh_num!V23)</f>
        <v>15424.525740958217</v>
      </c>
      <c r="W23" s="132">
        <f>IF(SER_hh_tes!W23=0,0,11630*1000*SER_hh_tes!W23/SER_hh_num!W23)</f>
        <v>15755.383800266762</v>
      </c>
      <c r="X23" s="132">
        <f>IF(SER_hh_tes!X23=0,0,11630*1000*SER_hh_tes!X23/SER_hh_num!X23)</f>
        <v>15501.008732322689</v>
      </c>
      <c r="Y23" s="132">
        <f>IF(SER_hh_tes!Y23=0,0,11630*1000*SER_hh_tes!Y23/SER_hh_num!Y23)</f>
        <v>15323.719628746658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23960.673708233346</v>
      </c>
      <c r="O24" s="132">
        <f>IF(SER_hh_tes!O24=0,0,11630*1000*SER_hh_tes!O24/SER_hh_num!O24)</f>
        <v>18788.763455518798</v>
      </c>
      <c r="P24" s="132">
        <f>IF(SER_hh_tes!P24=0,0,11630*1000*SER_hh_tes!P24/SER_hh_num!P24)</f>
        <v>17071.301927089062</v>
      </c>
      <c r="Q24" s="132">
        <f>IF(SER_hh_tes!Q24=0,0,11630*1000*SER_hh_tes!Q24/SER_hh_num!Q24)</f>
        <v>16857.716302342782</v>
      </c>
      <c r="R24" s="132">
        <f>IF(SER_hh_tes!R24=0,0,11630*1000*SER_hh_tes!R24/SER_hh_num!R24)</f>
        <v>16808.531717555154</v>
      </c>
      <c r="S24" s="132">
        <f>IF(SER_hh_tes!S24=0,0,11630*1000*SER_hh_tes!S24/SER_hh_num!S24)</f>
        <v>16923.261971448839</v>
      </c>
      <c r="T24" s="132">
        <f>IF(SER_hh_tes!T24=0,0,11630*1000*SER_hh_tes!T24/SER_hh_num!T24)</f>
        <v>16658.985327835271</v>
      </c>
      <c r="U24" s="132">
        <f>IF(SER_hh_tes!U24=0,0,11630*1000*SER_hh_tes!U24/SER_hh_num!U24)</f>
        <v>16769.414920680905</v>
      </c>
      <c r="V24" s="132">
        <f>IF(SER_hh_tes!V24=0,0,11630*1000*SER_hh_tes!V24/SER_hh_num!V24)</f>
        <v>15745.752415168727</v>
      </c>
      <c r="W24" s="132">
        <f>IF(SER_hh_tes!W24=0,0,11630*1000*SER_hh_tes!W24/SER_hh_num!W24)</f>
        <v>13963.408793299244</v>
      </c>
      <c r="X24" s="132">
        <f>IF(SER_hh_tes!X24=0,0,11630*1000*SER_hh_tes!X24/SER_hh_num!X24)</f>
        <v>15498.786236144431</v>
      </c>
      <c r="Y24" s="132">
        <f>IF(SER_hh_tes!Y24=0,0,11630*1000*SER_hh_tes!Y24/SER_hh_num!Y24)</f>
        <v>16315.629697411405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16432.924455783414</v>
      </c>
      <c r="C25" s="132">
        <f>IF(SER_hh_tes!C25=0,0,11630*1000*SER_hh_tes!C25/SER_hh_num!C25)</f>
        <v>16464.980269716314</v>
      </c>
      <c r="D25" s="132">
        <f>IF(SER_hh_tes!D25=0,0,11630*1000*SER_hh_tes!D25/SER_hh_num!D25)</f>
        <v>16523.252767804905</v>
      </c>
      <c r="E25" s="132">
        <f>IF(SER_hh_tes!E25=0,0,11630*1000*SER_hh_tes!E25/SER_hh_num!E25)</f>
        <v>16432.010663294623</v>
      </c>
      <c r="F25" s="132">
        <f>IF(SER_hh_tes!F25=0,0,11630*1000*SER_hh_tes!F25/SER_hh_num!F25)</f>
        <v>16374.867813406223</v>
      </c>
      <c r="G25" s="132">
        <f>IF(SER_hh_tes!G25=0,0,11630*1000*SER_hh_tes!G25/SER_hh_num!G25)</f>
        <v>16837.278270743434</v>
      </c>
      <c r="H25" s="132">
        <f>IF(SER_hh_tes!H25=0,0,11630*1000*SER_hh_tes!H25/SER_hh_num!H25)</f>
        <v>16543.06670563274</v>
      </c>
      <c r="I25" s="132">
        <f>IF(SER_hh_tes!I25=0,0,11630*1000*SER_hh_tes!I25/SER_hh_num!I25)</f>
        <v>16389.443968586667</v>
      </c>
      <c r="J25" s="132">
        <f>IF(SER_hh_tes!J25=0,0,11630*1000*SER_hh_tes!J25/SER_hh_num!J25)</f>
        <v>16986.628004765586</v>
      </c>
      <c r="K25" s="132">
        <f>IF(SER_hh_tes!K25=0,0,11630*1000*SER_hh_tes!K25/SER_hh_num!K25)</f>
        <v>17035.42607585216</v>
      </c>
      <c r="L25" s="132">
        <f>IF(SER_hh_tes!L25=0,0,11630*1000*SER_hh_tes!L25/SER_hh_num!L25)</f>
        <v>17017.372229781435</v>
      </c>
      <c r="M25" s="132">
        <f>IF(SER_hh_tes!M25=0,0,11630*1000*SER_hh_tes!M25/SER_hh_num!M25)</f>
        <v>17039.768224502484</v>
      </c>
      <c r="N25" s="132">
        <f>IF(SER_hh_tes!N25=0,0,11630*1000*SER_hh_tes!N25/SER_hh_num!N25)</f>
        <v>17262.947195366116</v>
      </c>
      <c r="O25" s="132">
        <f>IF(SER_hh_tes!O25=0,0,11630*1000*SER_hh_tes!O25/SER_hh_num!O25)</f>
        <v>16863.328957827289</v>
      </c>
      <c r="P25" s="132">
        <f>IF(SER_hh_tes!P25=0,0,11630*1000*SER_hh_tes!P25/SER_hh_num!P25)</f>
        <v>16616.852902644623</v>
      </c>
      <c r="Q25" s="132">
        <f>IF(SER_hh_tes!Q25=0,0,11630*1000*SER_hh_tes!Q25/SER_hh_num!Q25)</f>
        <v>16878.276115109737</v>
      </c>
      <c r="R25" s="132">
        <f>IF(SER_hh_tes!R25=0,0,11630*1000*SER_hh_tes!R25/SER_hh_num!R25)</f>
        <v>16876.598362511966</v>
      </c>
      <c r="S25" s="132">
        <f>IF(SER_hh_tes!S25=0,0,11630*1000*SER_hh_tes!S25/SER_hh_num!S25)</f>
        <v>16945.160785087523</v>
      </c>
      <c r="T25" s="132">
        <f>IF(SER_hh_tes!T25=0,0,11630*1000*SER_hh_tes!T25/SER_hh_num!T25)</f>
        <v>16831.904096070473</v>
      </c>
      <c r="U25" s="132">
        <f>IF(SER_hh_tes!U25=0,0,11630*1000*SER_hh_tes!U25/SER_hh_num!U25)</f>
        <v>17222.654206242943</v>
      </c>
      <c r="V25" s="132">
        <f>IF(SER_hh_tes!V25=0,0,11630*1000*SER_hh_tes!V25/SER_hh_num!V25)</f>
        <v>14936.244057956521</v>
      </c>
      <c r="W25" s="132">
        <f>IF(SER_hh_tes!W25=0,0,11630*1000*SER_hh_tes!W25/SER_hh_num!W25)</f>
        <v>16201.841556187908</v>
      </c>
      <c r="X25" s="132">
        <f>IF(SER_hh_tes!X25=0,0,11630*1000*SER_hh_tes!X25/SER_hh_num!X25)</f>
        <v>15348.198698058673</v>
      </c>
      <c r="Y25" s="132">
        <f>IF(SER_hh_tes!Y25=0,0,11630*1000*SER_hh_tes!Y25/SER_hh_num!Y25)</f>
        <v>15139.445133988063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16517.599103761084</v>
      </c>
      <c r="C26" s="65">
        <f>IF(SER_hh_tes!C26=0,0,11630*1000*SER_hh_tes!C26/SER_hh_num!C26)</f>
        <v>16514.263201241713</v>
      </c>
      <c r="D26" s="65">
        <f>IF(SER_hh_tes!D26=0,0,11630*1000*SER_hh_tes!D26/SER_hh_num!D26)</f>
        <v>16863.057126791817</v>
      </c>
      <c r="E26" s="65">
        <f>IF(SER_hh_tes!E26=0,0,11630*1000*SER_hh_tes!E26/SER_hh_num!E26)</f>
        <v>16385.948669691552</v>
      </c>
      <c r="F26" s="65">
        <f>IF(SER_hh_tes!F26=0,0,11630*1000*SER_hh_tes!F26/SER_hh_num!F26)</f>
        <v>16661.334671734669</v>
      </c>
      <c r="G26" s="65">
        <f>IF(SER_hh_tes!G26=0,0,11630*1000*SER_hh_tes!G26/SER_hh_num!G26)</f>
        <v>16684.183988258861</v>
      </c>
      <c r="H26" s="65">
        <f>IF(SER_hh_tes!H26=0,0,11630*1000*SER_hh_tes!H26/SER_hh_num!H26)</f>
        <v>16975.62542337539</v>
      </c>
      <c r="I26" s="65">
        <f>IF(SER_hh_tes!I26=0,0,11630*1000*SER_hh_tes!I26/SER_hh_num!I26)</f>
        <v>16847.350267257407</v>
      </c>
      <c r="J26" s="65">
        <f>IF(SER_hh_tes!J26=0,0,11630*1000*SER_hh_tes!J26/SER_hh_num!J26)</f>
        <v>16784.346214507874</v>
      </c>
      <c r="K26" s="65">
        <f>IF(SER_hh_tes!K26=0,0,11630*1000*SER_hh_tes!K26/SER_hh_num!K26)</f>
        <v>16590.581320006164</v>
      </c>
      <c r="L26" s="65">
        <f>IF(SER_hh_tes!L26=0,0,11630*1000*SER_hh_tes!L26/SER_hh_num!L26)</f>
        <v>16597.863467892294</v>
      </c>
      <c r="M26" s="65">
        <f>IF(SER_hh_tes!M26=0,0,11630*1000*SER_hh_tes!M26/SER_hh_num!M26)</f>
        <v>17532.21547859241</v>
      </c>
      <c r="N26" s="65">
        <f>IF(SER_hh_tes!N26=0,0,11630*1000*SER_hh_tes!N26/SER_hh_num!N26)</f>
        <v>17508.03822956467</v>
      </c>
      <c r="O26" s="65">
        <f>IF(SER_hh_tes!O26=0,0,11630*1000*SER_hh_tes!O26/SER_hh_num!O26)</f>
        <v>15842.164657332198</v>
      </c>
      <c r="P26" s="65">
        <f>IF(SER_hh_tes!P26=0,0,11630*1000*SER_hh_tes!P26/SER_hh_num!P26)</f>
        <v>16157.879904283458</v>
      </c>
      <c r="Q26" s="65">
        <f>IF(SER_hh_tes!Q26=0,0,11630*1000*SER_hh_tes!Q26/SER_hh_num!Q26)</f>
        <v>16565.546256384754</v>
      </c>
      <c r="R26" s="65">
        <f>IF(SER_hh_tes!R26=0,0,11630*1000*SER_hh_tes!R26/SER_hh_num!R26)</f>
        <v>16781.856945147621</v>
      </c>
      <c r="S26" s="65">
        <f>IF(SER_hh_tes!S26=0,0,11630*1000*SER_hh_tes!S26/SER_hh_num!S26)</f>
        <v>16853.789617538936</v>
      </c>
      <c r="T26" s="65">
        <f>IF(SER_hh_tes!T26=0,0,11630*1000*SER_hh_tes!T26/SER_hh_num!T26)</f>
        <v>16623.006870876463</v>
      </c>
      <c r="U26" s="65">
        <f>IF(SER_hh_tes!U26=0,0,11630*1000*SER_hh_tes!U26/SER_hh_num!U26)</f>
        <v>16531.486340722833</v>
      </c>
      <c r="V26" s="65">
        <f>IF(SER_hh_tes!V26=0,0,11630*1000*SER_hh_tes!V26/SER_hh_num!V26)</f>
        <v>14326.261809448961</v>
      </c>
      <c r="W26" s="65">
        <f>IF(SER_hh_tes!W26=0,0,11630*1000*SER_hh_tes!W26/SER_hh_num!W26)</f>
        <v>14931.778793588112</v>
      </c>
      <c r="X26" s="65">
        <f>IF(SER_hh_tes!X26=0,0,11630*1000*SER_hh_tes!X26/SER_hh_num!X26)</f>
        <v>15949.802258046155</v>
      </c>
      <c r="Y26" s="65">
        <f>IF(SER_hh_tes!Y26=0,0,11630*1000*SER_hh_tes!Y26/SER_hh_num!Y26)</f>
        <v>15806.653341558575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0</v>
      </c>
      <c r="C27" s="145">
        <f>IF(SER_hh_tes!C27=0,0,11630*1000*SER_hh_tes!C27/SER_hh_num!C19)</f>
        <v>0</v>
      </c>
      <c r="D27" s="145">
        <f>IF(SER_hh_tes!D27=0,0,11630*1000*SER_hh_tes!D27/SER_hh_num!D19)</f>
        <v>0</v>
      </c>
      <c r="E27" s="145">
        <f>IF(SER_hh_tes!E27=0,0,11630*1000*SER_hh_tes!E27/SER_hh_num!E19)</f>
        <v>0</v>
      </c>
      <c r="F27" s="145">
        <f>IF(SER_hh_tes!F27=0,0,11630*1000*SER_hh_tes!F27/SER_hh_num!F19)</f>
        <v>0</v>
      </c>
      <c r="G27" s="145">
        <f>IF(SER_hh_tes!G27=0,0,11630*1000*SER_hh_tes!G27/SER_hh_num!G19)</f>
        <v>2.9029491243213186</v>
      </c>
      <c r="H27" s="145">
        <f>IF(SER_hh_tes!H27=0,0,11630*1000*SER_hh_tes!H27/SER_hh_num!H19)</f>
        <v>5.7270370321469724</v>
      </c>
      <c r="I27" s="145">
        <f>IF(SER_hh_tes!I27=0,0,11630*1000*SER_hh_tes!I27/SER_hh_num!I19)</f>
        <v>8.4159731513657885</v>
      </c>
      <c r="J27" s="145">
        <f>IF(SER_hh_tes!J27=0,0,11630*1000*SER_hh_tes!J27/SER_hh_num!J19)</f>
        <v>11.289769153996266</v>
      </c>
      <c r="K27" s="145">
        <f>IF(SER_hh_tes!K27=0,0,11630*1000*SER_hh_tes!K27/SER_hh_num!K19)</f>
        <v>14.175354811408328</v>
      </c>
      <c r="L27" s="145">
        <f>IF(SER_hh_tes!L27=0,0,11630*1000*SER_hh_tes!L27/SER_hh_num!L19)</f>
        <v>19.834646330246937</v>
      </c>
      <c r="M27" s="145">
        <f>IF(SER_hh_tes!M27=0,0,11630*1000*SER_hh_tes!M27/SER_hh_num!M19)</f>
        <v>22.571276034777853</v>
      </c>
      <c r="N27" s="145">
        <f>IF(SER_hh_tes!N27=0,0,11630*1000*SER_hh_tes!N27/SER_hh_num!N19)</f>
        <v>22.408727788660453</v>
      </c>
      <c r="O27" s="145">
        <f>IF(SER_hh_tes!O27=0,0,11630*1000*SER_hh_tes!O27/SER_hh_num!O19)</f>
        <v>22.175332329026606</v>
      </c>
      <c r="P27" s="145">
        <f>IF(SER_hh_tes!P27=0,0,11630*1000*SER_hh_tes!P27/SER_hh_num!P19)</f>
        <v>24.190039720877262</v>
      </c>
      <c r="Q27" s="145">
        <f>IF(SER_hh_tes!Q27=0,0,11630*1000*SER_hh_tes!Q27/SER_hh_num!Q19)</f>
        <v>24.172887115550193</v>
      </c>
      <c r="R27" s="145">
        <f>IF(SER_hh_tes!R27=0,0,11630*1000*SER_hh_tes!R27/SER_hh_num!R19)</f>
        <v>23.943068853812935</v>
      </c>
      <c r="S27" s="145">
        <f>IF(SER_hh_tes!S27=0,0,11630*1000*SER_hh_tes!S27/SER_hh_num!S19)</f>
        <v>26.239156779222434</v>
      </c>
      <c r="T27" s="145">
        <f>IF(SER_hh_tes!T27=0,0,11630*1000*SER_hh_tes!T27/SER_hh_num!T19)</f>
        <v>25.883764976284272</v>
      </c>
      <c r="U27" s="145">
        <f>IF(SER_hh_tes!U27=0,0,11630*1000*SER_hh_tes!U27/SER_hh_num!U19)</f>
        <v>28.147681672137708</v>
      </c>
      <c r="V27" s="145">
        <f>IF(SER_hh_tes!V27=0,0,11630*1000*SER_hh_tes!V27/SER_hh_num!V19)</f>
        <v>27.851512230584909</v>
      </c>
      <c r="W27" s="145">
        <f>IF(SER_hh_tes!W27=0,0,11630*1000*SER_hh_tes!W27/SER_hh_num!W19)</f>
        <v>27.574687827151575</v>
      </c>
      <c r="X27" s="145">
        <f>IF(SER_hh_tes!X27=0,0,11630*1000*SER_hh_tes!X27/SER_hh_num!X19)</f>
        <v>29.792397865166944</v>
      </c>
      <c r="Y27" s="145">
        <f>IF(SER_hh_tes!Y27=0,0,11630*1000*SER_hh_tes!Y27/SER_hh_num!Y19)</f>
        <v>31.988783451670447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0</v>
      </c>
      <c r="C28" s="146">
        <f>IF(SER_hh_tes!C27=0,0,11630*1000*SER_hh_tes!C27/SER_hh_num!C27)</f>
        <v>0</v>
      </c>
      <c r="D28" s="146">
        <f>IF(SER_hh_tes!D27=0,0,11630*1000*SER_hh_tes!D27/SER_hh_num!D27)</f>
        <v>0</v>
      </c>
      <c r="E28" s="146">
        <f>IF(SER_hh_tes!E27=0,0,11630*1000*SER_hh_tes!E27/SER_hh_num!E27)</f>
        <v>0</v>
      </c>
      <c r="F28" s="146">
        <f>IF(SER_hh_tes!F27=0,0,11630*1000*SER_hh_tes!F27/SER_hh_num!F27)</f>
        <v>0</v>
      </c>
      <c r="G28" s="146">
        <f>IF(SER_hh_tes!G27=0,0,11630*1000*SER_hh_tes!G27/SER_hh_num!G27)</f>
        <v>13257.015516937836</v>
      </c>
      <c r="H28" s="146">
        <f>IF(SER_hh_tes!H27=0,0,11630*1000*SER_hh_tes!H27/SER_hh_num!H27)</f>
        <v>12054.217837140797</v>
      </c>
      <c r="I28" s="146">
        <f>IF(SER_hh_tes!I27=0,0,11630*1000*SER_hh_tes!I27/SER_hh_num!I27)</f>
        <v>12835.2862009043</v>
      </c>
      <c r="J28" s="146">
        <f>IF(SER_hh_tes!J27=0,0,11630*1000*SER_hh_tes!J27/SER_hh_num!J27)</f>
        <v>12463.400519552019</v>
      </c>
      <c r="K28" s="146">
        <f>IF(SER_hh_tes!K27=0,0,11630*1000*SER_hh_tes!K27/SER_hh_num!K27)</f>
        <v>12966.824800534567</v>
      </c>
      <c r="L28" s="146">
        <f>IF(SER_hh_tes!L27=0,0,11630*1000*SER_hh_tes!L27/SER_hh_num!L27)</f>
        <v>13137.699452633424</v>
      </c>
      <c r="M28" s="146">
        <f>IF(SER_hh_tes!M27=0,0,11630*1000*SER_hh_tes!M27/SER_hh_num!M27)</f>
        <v>12629.667392360188</v>
      </c>
      <c r="N28" s="146">
        <f>IF(SER_hh_tes!N27=0,0,11630*1000*SER_hh_tes!N27/SER_hh_num!N27)</f>
        <v>14363.884737469763</v>
      </c>
      <c r="O28" s="146">
        <f>IF(SER_hh_tes!O27=0,0,11630*1000*SER_hh_tes!O27/SER_hh_num!O27)</f>
        <v>14121.276866101365</v>
      </c>
      <c r="P28" s="146">
        <f>IF(SER_hh_tes!P27=0,0,11630*1000*SER_hh_tes!P27/SER_hh_num!P27)</f>
        <v>13740.972756548612</v>
      </c>
      <c r="Q28" s="146">
        <f>IF(SER_hh_tes!Q27=0,0,11630*1000*SER_hh_tes!Q27/SER_hh_num!Q27)</f>
        <v>12310.077090953782</v>
      </c>
      <c r="R28" s="146">
        <f>IF(SER_hh_tes!R27=0,0,11630*1000*SER_hh_tes!R27/SER_hh_num!R27)</f>
        <v>12511.622891115127</v>
      </c>
      <c r="S28" s="146">
        <f>IF(SER_hh_tes!S27=0,0,11630*1000*SER_hh_tes!S27/SER_hh_num!S27)</f>
        <v>12753.689430163893</v>
      </c>
      <c r="T28" s="146">
        <f>IF(SER_hh_tes!T27=0,0,11630*1000*SER_hh_tes!T27/SER_hh_num!T27)</f>
        <v>12715.544971129386</v>
      </c>
      <c r="U28" s="146">
        <f>IF(SER_hh_tes!U27=0,0,11630*1000*SER_hh_tes!U27/SER_hh_num!U27)</f>
        <v>12588.416172048281</v>
      </c>
      <c r="V28" s="146">
        <f>IF(SER_hh_tes!V27=0,0,11630*1000*SER_hh_tes!V27/SER_hh_num!V27)</f>
        <v>11089.635044379236</v>
      </c>
      <c r="W28" s="146">
        <f>IF(SER_hh_tes!W27=0,0,11630*1000*SER_hh_tes!W27/SER_hh_num!W27)</f>
        <v>12247.820999140427</v>
      </c>
      <c r="X28" s="146">
        <f>IF(SER_hh_tes!X27=0,0,11630*1000*SER_hh_tes!X27/SER_hh_num!X27)</f>
        <v>11699.190268534903</v>
      </c>
      <c r="Y28" s="146">
        <f>IF(SER_hh_tes!Y27=0,0,11630*1000*SER_hh_tes!Y27/SER_hh_num!Y27)</f>
        <v>10628.212519447914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20326.631843947944</v>
      </c>
      <c r="C29" s="130">
        <f>IF(SER_hh_tes!C29=0,0,11630*1000*SER_hh_tes!C29/SER_hh_num!C29)</f>
        <v>20227.134232834156</v>
      </c>
      <c r="D29" s="130">
        <f>IF(SER_hh_tes!D29=0,0,11630*1000*SER_hh_tes!D29/SER_hh_num!D29)</f>
        <v>20071.672050633413</v>
      </c>
      <c r="E29" s="130">
        <f>IF(SER_hh_tes!E29=0,0,11630*1000*SER_hh_tes!E29/SER_hh_num!E29)</f>
        <v>19942.975008760161</v>
      </c>
      <c r="F29" s="130">
        <f>IF(SER_hh_tes!F29=0,0,11630*1000*SER_hh_tes!F29/SER_hh_num!F29)</f>
        <v>19633.975045532352</v>
      </c>
      <c r="G29" s="130">
        <f>IF(SER_hh_tes!G29=0,0,11630*1000*SER_hh_tes!G29/SER_hh_num!G29)</f>
        <v>19414.259461011574</v>
      </c>
      <c r="H29" s="130">
        <f>IF(SER_hh_tes!H29=0,0,11630*1000*SER_hh_tes!H29/SER_hh_num!H29)</f>
        <v>19440.856575124941</v>
      </c>
      <c r="I29" s="130">
        <f>IF(SER_hh_tes!I29=0,0,11630*1000*SER_hh_tes!I29/SER_hh_num!I29)</f>
        <v>18938.24676654048</v>
      </c>
      <c r="J29" s="130">
        <f>IF(SER_hh_tes!J29=0,0,11630*1000*SER_hh_tes!J29/SER_hh_num!J29)</f>
        <v>18964.98660466979</v>
      </c>
      <c r="K29" s="130">
        <f>IF(SER_hh_tes!K29=0,0,11630*1000*SER_hh_tes!K29/SER_hh_num!K29)</f>
        <v>19105.122361029418</v>
      </c>
      <c r="L29" s="130">
        <f>IF(SER_hh_tes!L29=0,0,11630*1000*SER_hh_tes!L29/SER_hh_num!L29)</f>
        <v>19491.675058608944</v>
      </c>
      <c r="M29" s="130">
        <f>IF(SER_hh_tes!M29=0,0,11630*1000*SER_hh_tes!M29/SER_hh_num!M29)</f>
        <v>19363.050672070131</v>
      </c>
      <c r="N29" s="130">
        <f>IF(SER_hh_tes!N29=0,0,11630*1000*SER_hh_tes!N29/SER_hh_num!N29)</f>
        <v>19014.00223979765</v>
      </c>
      <c r="O29" s="130">
        <f>IF(SER_hh_tes!O29=0,0,11630*1000*SER_hh_tes!O29/SER_hh_num!O29)</f>
        <v>18812.786863179394</v>
      </c>
      <c r="P29" s="130">
        <f>IF(SER_hh_tes!P29=0,0,11630*1000*SER_hh_tes!P29/SER_hh_num!P29)</f>
        <v>18149.556456589988</v>
      </c>
      <c r="Q29" s="130">
        <f>IF(SER_hh_tes!Q29=0,0,11630*1000*SER_hh_tes!Q29/SER_hh_num!Q29)</f>
        <v>18329.815881353166</v>
      </c>
      <c r="R29" s="130">
        <f>IF(SER_hh_tes!R29=0,0,11630*1000*SER_hh_tes!R29/SER_hh_num!R29)</f>
        <v>18053.524904871374</v>
      </c>
      <c r="S29" s="130">
        <f>IF(SER_hh_tes!S29=0,0,11630*1000*SER_hh_tes!S29/SER_hh_num!S29)</f>
        <v>17796.162200956642</v>
      </c>
      <c r="T29" s="130">
        <f>IF(SER_hh_tes!T29=0,0,11630*1000*SER_hh_tes!T29/SER_hh_num!T29)</f>
        <v>18012.866471848181</v>
      </c>
      <c r="U29" s="130">
        <f>IF(SER_hh_tes!U29=0,0,11630*1000*SER_hh_tes!U29/SER_hh_num!U29)</f>
        <v>17772.711552514997</v>
      </c>
      <c r="V29" s="130">
        <f>IF(SER_hh_tes!V29=0,0,11630*1000*SER_hh_tes!V29/SER_hh_num!V29)</f>
        <v>16720.053596984464</v>
      </c>
      <c r="W29" s="130">
        <f>IF(SER_hh_tes!W29=0,0,11630*1000*SER_hh_tes!W29/SER_hh_num!W29)</f>
        <v>17658.444653670806</v>
      </c>
      <c r="X29" s="130">
        <f>IF(SER_hh_tes!X29=0,0,11630*1000*SER_hh_tes!X29/SER_hh_num!X29)</f>
        <v>17626.071137744169</v>
      </c>
      <c r="Y29" s="130">
        <f>IF(SER_hh_tes!Y29=0,0,11630*1000*SER_hh_tes!Y29/SER_hh_num!Y29)</f>
        <v>17392.106724753274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21711.137180956877</v>
      </c>
      <c r="C30" s="132">
        <f>IF(SER_hh_tes!C30=0,0,11630*1000*SER_hh_tes!C30/SER_hh_num!C30)</f>
        <v>18582.58933942741</v>
      </c>
      <c r="D30" s="132">
        <f>IF(SER_hh_tes!D30=0,0,11630*1000*SER_hh_tes!D30/SER_hh_num!D30)</f>
        <v>21737.414163881411</v>
      </c>
      <c r="E30" s="132">
        <f>IF(SER_hh_tes!E30=0,0,11630*1000*SER_hh_tes!E30/SER_hh_num!E30)</f>
        <v>22239.281658637363</v>
      </c>
      <c r="F30" s="132">
        <f>IF(SER_hh_tes!F30=0,0,11630*1000*SER_hh_tes!F30/SER_hh_num!F30)</f>
        <v>15534.520384527375</v>
      </c>
      <c r="G30" s="132">
        <f>IF(SER_hh_tes!G30=0,0,11630*1000*SER_hh_tes!G30/SER_hh_num!G30)</f>
        <v>19135.838462625605</v>
      </c>
      <c r="H30" s="132">
        <f>IF(SER_hh_tes!H30=0,0,11630*1000*SER_hh_tes!H30/SER_hh_num!H30)</f>
        <v>19305.113898848689</v>
      </c>
      <c r="I30" s="132">
        <f>IF(SER_hh_tes!I30=0,0,11630*1000*SER_hh_tes!I30/SER_hh_num!I30)</f>
        <v>20071.114772281129</v>
      </c>
      <c r="J30" s="132">
        <f>IF(SER_hh_tes!J30=0,0,11630*1000*SER_hh_tes!J30/SER_hh_num!J30)</f>
        <v>17639.13661835295</v>
      </c>
      <c r="K30" s="132">
        <f>IF(SER_hh_tes!K30=0,0,11630*1000*SER_hh_tes!K30/SER_hh_num!K30)</f>
        <v>18414.623805317671</v>
      </c>
      <c r="L30" s="132">
        <f>IF(SER_hh_tes!L30=0,0,11630*1000*SER_hh_tes!L30/SER_hh_num!L30)</f>
        <v>21087.842851008838</v>
      </c>
      <c r="M30" s="132">
        <f>IF(SER_hh_tes!M30=0,0,11630*1000*SER_hh_tes!M30/SER_hh_num!M30)</f>
        <v>19264.004244062402</v>
      </c>
      <c r="N30" s="132">
        <f>IF(SER_hh_tes!N30=0,0,11630*1000*SER_hh_tes!N30/SER_hh_num!N30)</f>
        <v>19701.600736054123</v>
      </c>
      <c r="O30" s="132">
        <f>IF(SER_hh_tes!O30=0,0,11630*1000*SER_hh_tes!O30/SER_hh_num!O30)</f>
        <v>16107.559127280163</v>
      </c>
      <c r="P30" s="132">
        <f>IF(SER_hh_tes!P30=0,0,11630*1000*SER_hh_tes!P30/SER_hh_num!P30)</f>
        <v>17833.267523080485</v>
      </c>
      <c r="Q30" s="132">
        <f>IF(SER_hh_tes!Q30=0,0,11630*1000*SER_hh_tes!Q30/SER_hh_num!Q30)</f>
        <v>21034.58317678608</v>
      </c>
      <c r="R30" s="132">
        <f>IF(SER_hh_tes!R30=0,0,11630*1000*SER_hh_tes!R30/SER_hh_num!R30)</f>
        <v>17339.02503848456</v>
      </c>
      <c r="S30" s="132">
        <f>IF(SER_hh_tes!S30=0,0,11630*1000*SER_hh_tes!S30/SER_hh_num!S30)</f>
        <v>15064.627440860555</v>
      </c>
      <c r="T30" s="132">
        <f>IF(SER_hh_tes!T30=0,0,11630*1000*SER_hh_tes!T30/SER_hh_num!T30)</f>
        <v>18511.047552079934</v>
      </c>
      <c r="U30" s="132">
        <f>IF(SER_hh_tes!U30=0,0,11630*1000*SER_hh_tes!U30/SER_hh_num!U30)</f>
        <v>16056.507112155365</v>
      </c>
      <c r="V30" s="132">
        <f>IF(SER_hh_tes!V30=0,0,11630*1000*SER_hh_tes!V30/SER_hh_num!V30)</f>
        <v>22949.704573881369</v>
      </c>
      <c r="W30" s="132">
        <f>IF(SER_hh_tes!W30=0,0,11630*1000*SER_hh_tes!W30/SER_hh_num!W30)</f>
        <v>15937.631578623748</v>
      </c>
      <c r="X30" s="132">
        <f>IF(SER_hh_tes!X30=0,0,11630*1000*SER_hh_tes!X30/SER_hh_num!X30)</f>
        <v>16584.49672438961</v>
      </c>
      <c r="Y30" s="132">
        <f>IF(SER_hh_tes!Y30=0,0,11630*1000*SER_hh_tes!Y30/SER_hh_num!Y30)</f>
        <v>17461.632618137184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14683.001858455244</v>
      </c>
      <c r="C31" s="132">
        <f>IF(SER_hh_tes!C31=0,0,11630*1000*SER_hh_tes!C31/SER_hh_num!C31)</f>
        <v>21715.254913349738</v>
      </c>
      <c r="D31" s="132">
        <f>IF(SER_hh_tes!D31=0,0,11630*1000*SER_hh_tes!D31/SER_hh_num!D31)</f>
        <v>18069.912266470645</v>
      </c>
      <c r="E31" s="132">
        <f>IF(SER_hh_tes!E31=0,0,11630*1000*SER_hh_tes!E31/SER_hh_num!E31)</f>
        <v>19009.560843896648</v>
      </c>
      <c r="F31" s="132">
        <f>IF(SER_hh_tes!F31=0,0,11630*1000*SER_hh_tes!F31/SER_hh_num!F31)</f>
        <v>20454.536164586243</v>
      </c>
      <c r="G31" s="132">
        <f>IF(SER_hh_tes!G31=0,0,11630*1000*SER_hh_tes!G31/SER_hh_num!G31)</f>
        <v>19554.378145475013</v>
      </c>
      <c r="H31" s="132">
        <f>IF(SER_hh_tes!H31=0,0,11630*1000*SER_hh_tes!H31/SER_hh_num!H31)</f>
        <v>19703.821557558924</v>
      </c>
      <c r="I31" s="132">
        <f>IF(SER_hh_tes!I31=0,0,11630*1000*SER_hh_tes!I31/SER_hh_num!I31)</f>
        <v>19290.158074871568</v>
      </c>
      <c r="J31" s="132">
        <f>IF(SER_hh_tes!J31=0,0,11630*1000*SER_hh_tes!J31/SER_hh_num!J31)</f>
        <v>19312.605019073006</v>
      </c>
      <c r="K31" s="132">
        <f>IF(SER_hh_tes!K31=0,0,11630*1000*SER_hh_tes!K31/SER_hh_num!K31)</f>
        <v>19184.158396061866</v>
      </c>
      <c r="L31" s="132">
        <f>IF(SER_hh_tes!L31=0,0,11630*1000*SER_hh_tes!L31/SER_hh_num!L31)</f>
        <v>19161.635171254846</v>
      </c>
      <c r="M31" s="132">
        <f>IF(SER_hh_tes!M31=0,0,11630*1000*SER_hh_tes!M31/SER_hh_num!M31)</f>
        <v>19319.893791837327</v>
      </c>
      <c r="N31" s="132">
        <f>IF(SER_hh_tes!N31=0,0,11630*1000*SER_hh_tes!N31/SER_hh_num!N31)</f>
        <v>19243.887002881092</v>
      </c>
      <c r="O31" s="132">
        <f>IF(SER_hh_tes!O31=0,0,11630*1000*SER_hh_tes!O31/SER_hh_num!O31)</f>
        <v>19342.039925478621</v>
      </c>
      <c r="P31" s="132">
        <f>IF(SER_hh_tes!P31=0,0,11630*1000*SER_hh_tes!P31/SER_hh_num!P31)</f>
        <v>18743.497535693528</v>
      </c>
      <c r="Q31" s="132">
        <f>IF(SER_hh_tes!Q31=0,0,11630*1000*SER_hh_tes!Q31/SER_hh_num!Q31)</f>
        <v>18222.73708829442</v>
      </c>
      <c r="R31" s="132">
        <f>IF(SER_hh_tes!R31=0,0,11630*1000*SER_hh_tes!R31/SER_hh_num!R31)</f>
        <v>18026.667283485789</v>
      </c>
      <c r="S31" s="132">
        <f>IF(SER_hh_tes!S31=0,0,11630*1000*SER_hh_tes!S31/SER_hh_num!S31)</f>
        <v>17885.617956790258</v>
      </c>
      <c r="T31" s="132">
        <f>IF(SER_hh_tes!T31=0,0,11630*1000*SER_hh_tes!T31/SER_hh_num!T31)</f>
        <v>17812.582886828342</v>
      </c>
      <c r="U31" s="132">
        <f>IF(SER_hh_tes!U31=0,0,11630*1000*SER_hh_tes!U31/SER_hh_num!U31)</f>
        <v>17694.979192141123</v>
      </c>
      <c r="V31" s="132">
        <f>IF(SER_hh_tes!V31=0,0,11630*1000*SER_hh_tes!V31/SER_hh_num!V31)</f>
        <v>16709.898983873234</v>
      </c>
      <c r="W31" s="132">
        <f>IF(SER_hh_tes!W31=0,0,11630*1000*SER_hh_tes!W31/SER_hh_num!W31)</f>
        <v>17931.152071107841</v>
      </c>
      <c r="X31" s="132">
        <f>IF(SER_hh_tes!X31=0,0,11630*1000*SER_hh_tes!X31/SER_hh_num!X31)</f>
        <v>17649.146502115826</v>
      </c>
      <c r="Y31" s="132">
        <f>IF(SER_hh_tes!Y31=0,0,11630*1000*SER_hh_tes!Y31/SER_hh_num!Y31)</f>
        <v>17155.140522307858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20517.93487206164</v>
      </c>
      <c r="C33" s="68">
        <f>IF(SER_hh_tes!C33=0,0,11630*1000*SER_hh_tes!C33/SER_hh_num!C33)</f>
        <v>20433.6506887783</v>
      </c>
      <c r="D33" s="68">
        <f>IF(SER_hh_tes!D33=0,0,11630*1000*SER_hh_tes!D33/SER_hh_num!D33)</f>
        <v>20106.946480785067</v>
      </c>
      <c r="E33" s="68">
        <f>IF(SER_hh_tes!E33=0,0,11630*1000*SER_hh_tes!E33/SER_hh_num!E33)</f>
        <v>19729.440124259247</v>
      </c>
      <c r="F33" s="68">
        <f>IF(SER_hh_tes!F33=0,0,11630*1000*SER_hh_tes!F33/SER_hh_num!F33)</f>
        <v>20040.613306673444</v>
      </c>
      <c r="G33" s="68">
        <f>IF(SER_hh_tes!G33=0,0,11630*1000*SER_hh_tes!G33/SER_hh_num!G33)</f>
        <v>19382.850311921884</v>
      </c>
      <c r="H33" s="68">
        <f>IF(SER_hh_tes!H33=0,0,11630*1000*SER_hh_tes!H33/SER_hh_num!H33)</f>
        <v>19278.158171986644</v>
      </c>
      <c r="I33" s="68">
        <f>IF(SER_hh_tes!I33=0,0,11630*1000*SER_hh_tes!I33/SER_hh_num!I33)</f>
        <v>18461.040725276107</v>
      </c>
      <c r="J33" s="68">
        <f>IF(SER_hh_tes!J33=0,0,11630*1000*SER_hh_tes!J33/SER_hh_num!J33)</f>
        <v>18858.658362394341</v>
      </c>
      <c r="K33" s="68">
        <f>IF(SER_hh_tes!K33=0,0,11630*1000*SER_hh_tes!K33/SER_hh_num!K33)</f>
        <v>19138.707465138894</v>
      </c>
      <c r="L33" s="68">
        <f>IF(SER_hh_tes!L33=0,0,11630*1000*SER_hh_tes!L33/SER_hh_num!L33)</f>
        <v>19594.720622264857</v>
      </c>
      <c r="M33" s="68">
        <f>IF(SER_hh_tes!M33=0,0,11630*1000*SER_hh_tes!M33/SER_hh_num!M33)</f>
        <v>19435.223839864153</v>
      </c>
      <c r="N33" s="68">
        <f>IF(SER_hh_tes!N33=0,0,11630*1000*SER_hh_tes!N33/SER_hh_num!N33)</f>
        <v>18568.553256433046</v>
      </c>
      <c r="O33" s="68">
        <f>IF(SER_hh_tes!O33=0,0,11630*1000*SER_hh_tes!O33/SER_hh_num!O33)</f>
        <v>18384.91032186865</v>
      </c>
      <c r="P33" s="68">
        <f>IF(SER_hh_tes!P33=0,0,11630*1000*SER_hh_tes!P33/SER_hh_num!P33)</f>
        <v>17254.520081601127</v>
      </c>
      <c r="Q33" s="68">
        <f>IF(SER_hh_tes!Q33=0,0,11630*1000*SER_hh_tes!Q33/SER_hh_num!Q33)</f>
        <v>18117.647097062498</v>
      </c>
      <c r="R33" s="68">
        <f>IF(SER_hh_tes!R33=0,0,11630*1000*SER_hh_tes!R33/SER_hh_num!R33)</f>
        <v>18182.703891126832</v>
      </c>
      <c r="S33" s="68">
        <f>IF(SER_hh_tes!S33=0,0,11630*1000*SER_hh_tes!S33/SER_hh_num!S33)</f>
        <v>17978.257384417444</v>
      </c>
      <c r="T33" s="68">
        <f>IF(SER_hh_tes!T33=0,0,11630*1000*SER_hh_tes!T33/SER_hh_num!T33)</f>
        <v>18230.411520437247</v>
      </c>
      <c r="U33" s="68">
        <f>IF(SER_hh_tes!U33=0,0,11630*1000*SER_hh_tes!U33/SER_hh_num!U33)</f>
        <v>18095.563619653054</v>
      </c>
      <c r="V33" s="68">
        <f>IF(SER_hh_tes!V33=0,0,11630*1000*SER_hh_tes!V33/SER_hh_num!V33)</f>
        <v>15946.149827360259</v>
      </c>
      <c r="W33" s="68">
        <f>IF(SER_hh_tes!W33=0,0,11630*1000*SER_hh_tes!W33/SER_hh_num!W33)</f>
        <v>17498.807938032303</v>
      </c>
      <c r="X33" s="68">
        <f>IF(SER_hh_tes!X33=0,0,11630*1000*SER_hh_tes!X33/SER_hh_num!X33)</f>
        <v>17715.228767267723</v>
      </c>
      <c r="Y33" s="68">
        <f>IF(SER_hh_tes!Y33=0,0,11630*1000*SER_hh_tes!Y33/SER_hh_num!Y33)</f>
        <v>17681.720547005953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52857.723450933452</v>
      </c>
      <c r="C3" s="125">
        <f>IF(SER_hh_emi!C3=0,0,1000000*SER_hh_emi!C3/SER_hh_num!C3)</f>
        <v>55290.995487697088</v>
      </c>
      <c r="D3" s="125">
        <f>IF(SER_hh_emi!D3=0,0,1000000*SER_hh_emi!D3/SER_hh_num!D3)</f>
        <v>49574.818007337133</v>
      </c>
      <c r="E3" s="125">
        <f>IF(SER_hh_emi!E3=0,0,1000000*SER_hh_emi!E3/SER_hh_num!E3)</f>
        <v>50270.108296518891</v>
      </c>
      <c r="F3" s="125">
        <f>IF(SER_hh_emi!F3=0,0,1000000*SER_hh_emi!F3/SER_hh_num!F3)</f>
        <v>61659.463688961274</v>
      </c>
      <c r="G3" s="125">
        <f>IF(SER_hh_emi!G3=0,0,1000000*SER_hh_emi!G3/SER_hh_num!G3)</f>
        <v>57152.78370091971</v>
      </c>
      <c r="H3" s="125">
        <f>IF(SER_hh_emi!H3=0,0,1000000*SER_hh_emi!H3/SER_hh_num!H3)</f>
        <v>48655.348427804412</v>
      </c>
      <c r="I3" s="125">
        <f>IF(SER_hh_emi!I3=0,0,1000000*SER_hh_emi!I3/SER_hh_num!I3)</f>
        <v>37039.905669077583</v>
      </c>
      <c r="J3" s="125">
        <f>IF(SER_hh_emi!J3=0,0,1000000*SER_hh_emi!J3/SER_hh_num!J3)</f>
        <v>35073.702394958789</v>
      </c>
      <c r="K3" s="125">
        <f>IF(SER_hh_emi!K3=0,0,1000000*SER_hh_emi!K3/SER_hh_num!K3)</f>
        <v>38306.984376582361</v>
      </c>
      <c r="L3" s="125">
        <f>IF(SER_hh_emi!L3=0,0,1000000*SER_hh_emi!L3/SER_hh_num!L3)</f>
        <v>41792.11476442861</v>
      </c>
      <c r="M3" s="125">
        <f>IF(SER_hh_emi!M3=0,0,1000000*SER_hh_emi!M3/SER_hh_num!M3)</f>
        <v>41785.164444346672</v>
      </c>
      <c r="N3" s="125">
        <f>IF(SER_hh_emi!N3=0,0,1000000*SER_hh_emi!N3/SER_hh_num!N3)</f>
        <v>33920.067969191703</v>
      </c>
      <c r="O3" s="125">
        <f>IF(SER_hh_emi!O3=0,0,1000000*SER_hh_emi!O3/SER_hh_num!O3)</f>
        <v>33827.869476490108</v>
      </c>
      <c r="P3" s="125">
        <f>IF(SER_hh_emi!P3=0,0,1000000*SER_hh_emi!P3/SER_hh_num!P3)</f>
        <v>29267.360433199359</v>
      </c>
      <c r="Q3" s="125">
        <f>IF(SER_hh_emi!Q3=0,0,1000000*SER_hh_emi!Q3/SER_hh_num!Q3)</f>
        <v>30187.714087661941</v>
      </c>
      <c r="R3" s="125">
        <f>IF(SER_hh_emi!R3=0,0,1000000*SER_hh_emi!R3/SER_hh_num!R3)</f>
        <v>29106.004054077297</v>
      </c>
      <c r="S3" s="125">
        <f>IF(SER_hh_emi!S3=0,0,1000000*SER_hh_emi!S3/SER_hh_num!S3)</f>
        <v>27303.222122744621</v>
      </c>
      <c r="T3" s="125">
        <f>IF(SER_hh_emi!T3=0,0,1000000*SER_hh_emi!T3/SER_hh_num!T3)</f>
        <v>25701.85171136164</v>
      </c>
      <c r="U3" s="125">
        <f>IF(SER_hh_emi!U3=0,0,1000000*SER_hh_emi!U3/SER_hh_num!U3)</f>
        <v>24364.816297565765</v>
      </c>
      <c r="V3" s="125">
        <f>IF(SER_hh_emi!V3=0,0,1000000*SER_hh_emi!V3/SER_hh_num!V3)</f>
        <v>24321.72424601997</v>
      </c>
      <c r="W3" s="125">
        <f>IF(SER_hh_emi!W3=0,0,1000000*SER_hh_emi!W3/SER_hh_num!W3)</f>
        <v>25189.203269363214</v>
      </c>
      <c r="X3" s="125">
        <f>IF(SER_hh_emi!X3=0,0,1000000*SER_hh_emi!X3/SER_hh_num!X3)</f>
        <v>20705.411810346606</v>
      </c>
      <c r="Y3" s="125">
        <f>IF(SER_hh_emi!Y3=0,0,1000000*SER_hh_emi!Y3/SER_hh_num!Y3)</f>
        <v>16405.19446950635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48290.111697565291</v>
      </c>
      <c r="C4" s="130">
        <f>IF(SER_hh_emi!C4=0,0,1000000*SER_hh_emi!C4/SER_hh_num!C4)</f>
        <v>50691.664478862964</v>
      </c>
      <c r="D4" s="130">
        <f>IF(SER_hh_emi!D4=0,0,1000000*SER_hh_emi!D4/SER_hh_num!D4)</f>
        <v>44634.301144669887</v>
      </c>
      <c r="E4" s="130">
        <f>IF(SER_hh_emi!E4=0,0,1000000*SER_hh_emi!E4/SER_hh_num!E4)</f>
        <v>45104.545718122732</v>
      </c>
      <c r="F4" s="130">
        <f>IF(SER_hh_emi!F4=0,0,1000000*SER_hh_emi!F4/SER_hh_num!F4)</f>
        <v>56401.121994023757</v>
      </c>
      <c r="G4" s="130">
        <f>IF(SER_hh_emi!G4=0,0,1000000*SER_hh_emi!G4/SER_hh_num!G4)</f>
        <v>51676.663098684381</v>
      </c>
      <c r="H4" s="130">
        <f>IF(SER_hh_emi!H4=0,0,1000000*SER_hh_emi!H4/SER_hh_num!H4)</f>
        <v>42945.294752913542</v>
      </c>
      <c r="I4" s="130">
        <f>IF(SER_hh_emi!I4=0,0,1000000*SER_hh_emi!I4/SER_hh_num!I4)</f>
        <v>31093.552108435069</v>
      </c>
      <c r="J4" s="130">
        <f>IF(SER_hh_emi!J4=0,0,1000000*SER_hh_emi!J4/SER_hh_num!J4)</f>
        <v>28878.893424498649</v>
      </c>
      <c r="K4" s="130">
        <f>IF(SER_hh_emi!K4=0,0,1000000*SER_hh_emi!K4/SER_hh_num!K4)</f>
        <v>31779.68962281524</v>
      </c>
      <c r="L4" s="130">
        <f>IF(SER_hh_emi!L4=0,0,1000000*SER_hh_emi!L4/SER_hh_num!L4)</f>
        <v>34975.366453816037</v>
      </c>
      <c r="M4" s="130">
        <f>IF(SER_hh_emi!M4=0,0,1000000*SER_hh_emi!M4/SER_hh_num!M4)</f>
        <v>34838.350281543637</v>
      </c>
      <c r="N4" s="130">
        <f>IF(SER_hh_emi!N4=0,0,1000000*SER_hh_emi!N4/SER_hh_num!N4)</f>
        <v>26858.752295650098</v>
      </c>
      <c r="O4" s="130">
        <f>IF(SER_hh_emi!O4=0,0,1000000*SER_hh_emi!O4/SER_hh_num!O4)</f>
        <v>26498.620057286007</v>
      </c>
      <c r="P4" s="130">
        <f>IF(SER_hh_emi!P4=0,0,1000000*SER_hh_emi!P4/SER_hh_num!P4)</f>
        <v>22060.034631810791</v>
      </c>
      <c r="Q4" s="130">
        <f>IF(SER_hh_emi!Q4=0,0,1000000*SER_hh_emi!Q4/SER_hh_num!Q4)</f>
        <v>23039.816475692998</v>
      </c>
      <c r="R4" s="130">
        <f>IF(SER_hh_emi!R4=0,0,1000000*SER_hh_emi!R4/SER_hh_num!R4)</f>
        <v>22198.595116152446</v>
      </c>
      <c r="S4" s="130">
        <f>IF(SER_hh_emi!S4=0,0,1000000*SER_hh_emi!S4/SER_hh_num!S4)</f>
        <v>20589.760754529874</v>
      </c>
      <c r="T4" s="130">
        <f>IF(SER_hh_emi!T4=0,0,1000000*SER_hh_emi!T4/SER_hh_num!T4)</f>
        <v>18955.348705160835</v>
      </c>
      <c r="U4" s="130">
        <f>IF(SER_hh_emi!U4=0,0,1000000*SER_hh_emi!U4/SER_hh_num!U4)</f>
        <v>17844.132656647496</v>
      </c>
      <c r="V4" s="130">
        <f>IF(SER_hh_emi!V4=0,0,1000000*SER_hh_emi!V4/SER_hh_num!V4)</f>
        <v>18150.112707753105</v>
      </c>
      <c r="W4" s="130">
        <f>IF(SER_hh_emi!W4=0,0,1000000*SER_hh_emi!W4/SER_hh_num!W4)</f>
        <v>19019.627076215253</v>
      </c>
      <c r="X4" s="130">
        <f>IF(SER_hh_emi!X4=0,0,1000000*SER_hh_emi!X4/SER_hh_num!X4)</f>
        <v>14825.811183285379</v>
      </c>
      <c r="Y4" s="130">
        <f>IF(SER_hh_emi!Y4=0,0,1000000*SER_hh_emi!Y4/SER_hh_num!Y4)</f>
        <v>10824.590560251096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135374.81040060252</v>
      </c>
      <c r="C5" s="132">
        <f>IF(SER_hh_emi!C5=0,0,1000000*SER_hh_emi!C5/SER_hh_num!C5)</f>
        <v>105095.40285919829</v>
      </c>
      <c r="D5" s="132">
        <f>IF(SER_hh_emi!D5=0,0,1000000*SER_hh_emi!D5/SER_hh_num!D5)</f>
        <v>102363.37576957283</v>
      </c>
      <c r="E5" s="132">
        <f>IF(SER_hh_emi!E5=0,0,1000000*SER_hh_emi!E5/SER_hh_num!E5)</f>
        <v>127082.97571367124</v>
      </c>
      <c r="F5" s="132">
        <f>IF(SER_hh_emi!F5=0,0,1000000*SER_hh_emi!F5/SER_hh_num!F5)</f>
        <v>115270.71087020416</v>
      </c>
      <c r="G5" s="132">
        <f>IF(SER_hh_emi!G5=0,0,1000000*SER_hh_emi!G5/SER_hh_num!G5)</f>
        <v>62433.167537553789</v>
      </c>
      <c r="H5" s="132">
        <f>IF(SER_hh_emi!H5=0,0,1000000*SER_hh_emi!H5/SER_hh_num!H5)</f>
        <v>114012.33495646369</v>
      </c>
      <c r="I5" s="132">
        <f>IF(SER_hh_emi!I5=0,0,1000000*SER_hh_emi!I5/SER_hh_num!I5)</f>
        <v>94753.065413083707</v>
      </c>
      <c r="J5" s="132">
        <f>IF(SER_hh_emi!J5=0,0,1000000*SER_hh_emi!J5/SER_hh_num!J5)</f>
        <v>91451.88149357216</v>
      </c>
      <c r="K5" s="132">
        <f>IF(SER_hh_emi!K5=0,0,1000000*SER_hh_emi!K5/SER_hh_num!K5)</f>
        <v>86186.362876630214</v>
      </c>
      <c r="L5" s="132">
        <f>IF(SER_hh_emi!L5=0,0,1000000*SER_hh_emi!L5/SER_hh_num!L5)</f>
        <v>95642.293328647313</v>
      </c>
      <c r="M5" s="132">
        <f>IF(SER_hh_emi!M5=0,0,1000000*SER_hh_emi!M5/SER_hh_num!M5)</f>
        <v>108084.86008838609</v>
      </c>
      <c r="N5" s="132">
        <f>IF(SER_hh_emi!N5=0,0,1000000*SER_hh_emi!N5/SER_hh_num!N5)</f>
        <v>29177.297807983337</v>
      </c>
      <c r="O5" s="132">
        <f>IF(SER_hh_emi!O5=0,0,1000000*SER_hh_emi!O5/SER_hh_num!O5)</f>
        <v>59827.989081696876</v>
      </c>
      <c r="P5" s="132">
        <f>IF(SER_hh_emi!P5=0,0,1000000*SER_hh_emi!P5/SER_hh_num!P5)</f>
        <v>45930.181727615585</v>
      </c>
      <c r="Q5" s="132">
        <f>IF(SER_hh_emi!Q5=0,0,1000000*SER_hh_emi!Q5/SER_hh_num!Q5)</f>
        <v>53489.509368668987</v>
      </c>
      <c r="R5" s="132">
        <f>IF(SER_hh_emi!R5=0,0,1000000*SER_hh_emi!R5/SER_hh_num!R5)</f>
        <v>56750.461307460151</v>
      </c>
      <c r="S5" s="132">
        <f>IF(SER_hh_emi!S5=0,0,1000000*SER_hh_emi!S5/SER_hh_num!S5)</f>
        <v>39272.986997043081</v>
      </c>
      <c r="T5" s="132">
        <f>IF(SER_hh_emi!T5=0,0,1000000*SER_hh_emi!T5/SER_hh_num!T5)</f>
        <v>46969.566947499639</v>
      </c>
      <c r="U5" s="132">
        <f>IF(SER_hh_emi!U5=0,0,1000000*SER_hh_emi!U5/SER_hh_num!U5)</f>
        <v>51912.145226661698</v>
      </c>
      <c r="V5" s="132">
        <f>IF(SER_hh_emi!V5=0,0,1000000*SER_hh_emi!V5/SER_hh_num!V5)</f>
        <v>43823.770066953024</v>
      </c>
      <c r="W5" s="132">
        <f>IF(SER_hh_emi!W5=0,0,1000000*SER_hh_emi!W5/SER_hh_num!W5)</f>
        <v>46352.938819862451</v>
      </c>
      <c r="X5" s="132">
        <f>IF(SER_hh_emi!X5=0,0,1000000*SER_hh_emi!X5/SER_hh_num!X5)</f>
        <v>60735.460443013988</v>
      </c>
      <c r="Y5" s="132">
        <f>IF(SER_hh_emi!Y5=0,0,1000000*SER_hh_emi!Y5/SER_hh_num!Y5)</f>
        <v>27073.888373051763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102204.02448997929</v>
      </c>
      <c r="C7" s="132">
        <f>IF(SER_hh_emi!C7=0,0,1000000*SER_hh_emi!C7/SER_hh_num!C7)</f>
        <v>122202.33497223325</v>
      </c>
      <c r="D7" s="132">
        <f>IF(SER_hh_emi!D7=0,0,1000000*SER_hh_emi!D7/SER_hh_num!D7)</f>
        <v>81602.569996104328</v>
      </c>
      <c r="E7" s="132">
        <f>IF(SER_hh_emi!E7=0,0,1000000*SER_hh_emi!E7/SER_hh_num!E7)</f>
        <v>79060.939774904007</v>
      </c>
      <c r="F7" s="132">
        <f>IF(SER_hh_emi!F7=0,0,1000000*SER_hh_emi!F7/SER_hh_num!F7)</f>
        <v>92761.154704729619</v>
      </c>
      <c r="G7" s="132">
        <f>IF(SER_hh_emi!G7=0,0,1000000*SER_hh_emi!G7/SER_hh_num!G7)</f>
        <v>119597.57042249276</v>
      </c>
      <c r="H7" s="132">
        <f>IF(SER_hh_emi!H7=0,0,1000000*SER_hh_emi!H7/SER_hh_num!H7)</f>
        <v>122752.77551048297</v>
      </c>
      <c r="I7" s="132">
        <f>IF(SER_hh_emi!I7=0,0,1000000*SER_hh_emi!I7/SER_hh_num!I7)</f>
        <v>0</v>
      </c>
      <c r="J7" s="132">
        <f>IF(SER_hh_emi!J7=0,0,1000000*SER_hh_emi!J7/SER_hh_num!J7)</f>
        <v>0</v>
      </c>
      <c r="K7" s="132">
        <f>IF(SER_hh_emi!K7=0,0,1000000*SER_hh_emi!K7/SER_hh_num!K7)</f>
        <v>0</v>
      </c>
      <c r="L7" s="132">
        <f>IF(SER_hh_emi!L7=0,0,1000000*SER_hh_emi!L7/SER_hh_num!L7)</f>
        <v>0</v>
      </c>
      <c r="M7" s="132">
        <f>IF(SER_hh_emi!M7=0,0,1000000*SER_hh_emi!M7/SER_hh_num!M7)</f>
        <v>0</v>
      </c>
      <c r="N7" s="132">
        <f>IF(SER_hh_emi!N7=0,0,1000000*SER_hh_emi!N7/SER_hh_num!N7)</f>
        <v>70113.878098878005</v>
      </c>
      <c r="O7" s="132">
        <f>IF(SER_hh_emi!O7=0,0,1000000*SER_hh_emi!O7/SER_hh_num!O7)</f>
        <v>27366.434318502768</v>
      </c>
      <c r="P7" s="132">
        <f>IF(SER_hh_emi!P7=0,0,1000000*SER_hh_emi!P7/SER_hh_num!P7)</f>
        <v>34923.817241403616</v>
      </c>
      <c r="Q7" s="132">
        <f>IF(SER_hh_emi!Q7=0,0,1000000*SER_hh_emi!Q7/SER_hh_num!Q7)</f>
        <v>43394.794620931425</v>
      </c>
      <c r="R7" s="132">
        <f>IF(SER_hh_emi!R7=0,0,1000000*SER_hh_emi!R7/SER_hh_num!R7)</f>
        <v>43463.567439215563</v>
      </c>
      <c r="S7" s="132">
        <f>IF(SER_hh_emi!S7=0,0,1000000*SER_hh_emi!S7/SER_hh_num!S7)</f>
        <v>36703.364192318266</v>
      </c>
      <c r="T7" s="132">
        <f>IF(SER_hh_emi!T7=0,0,1000000*SER_hh_emi!T7/SER_hh_num!T7)</f>
        <v>39539.608085743872</v>
      </c>
      <c r="U7" s="132">
        <f>IF(SER_hh_emi!U7=0,0,1000000*SER_hh_emi!U7/SER_hh_num!U7)</f>
        <v>34386.167113235882</v>
      </c>
      <c r="V7" s="132">
        <f>IF(SER_hh_emi!V7=0,0,1000000*SER_hh_emi!V7/SER_hh_num!V7)</f>
        <v>34644.855156579266</v>
      </c>
      <c r="W7" s="132">
        <f>IF(SER_hh_emi!W7=0,0,1000000*SER_hh_emi!W7/SER_hh_num!W7)</f>
        <v>41802.990056260554</v>
      </c>
      <c r="X7" s="132">
        <f>IF(SER_hh_emi!X7=0,0,1000000*SER_hh_emi!X7/SER_hh_num!X7)</f>
        <v>29553.597439526955</v>
      </c>
      <c r="Y7" s="132">
        <f>IF(SER_hh_emi!Y7=0,0,1000000*SER_hh_emi!Y7/SER_hh_num!Y7)</f>
        <v>26549.845435905707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0</v>
      </c>
      <c r="C8" s="132">
        <f>IF(SER_hh_emi!C8=0,0,1000000*SER_hh_emi!C8/SER_hh_num!C8)</f>
        <v>0</v>
      </c>
      <c r="D8" s="132">
        <f>IF(SER_hh_emi!D8=0,0,1000000*SER_hh_emi!D8/SER_hh_num!D8)</f>
        <v>0</v>
      </c>
      <c r="E8" s="132">
        <f>IF(SER_hh_emi!E8=0,0,1000000*SER_hh_emi!E8/SER_hh_num!E8)</f>
        <v>0</v>
      </c>
      <c r="F8" s="132">
        <f>IF(SER_hh_emi!F8=0,0,1000000*SER_hh_emi!F8/SER_hh_num!F8)</f>
        <v>0</v>
      </c>
      <c r="G8" s="132">
        <f>IF(SER_hh_emi!G8=0,0,1000000*SER_hh_emi!G8/SER_hh_num!G8)</f>
        <v>0</v>
      </c>
      <c r="H8" s="132">
        <f>IF(SER_hh_emi!H8=0,0,1000000*SER_hh_emi!H8/SER_hh_num!H8)</f>
        <v>0</v>
      </c>
      <c r="I8" s="132">
        <f>IF(SER_hh_emi!I8=0,0,1000000*SER_hh_emi!I8/SER_hh_num!I8)</f>
        <v>0</v>
      </c>
      <c r="J8" s="132">
        <f>IF(SER_hh_emi!J8=0,0,1000000*SER_hh_emi!J8/SER_hh_num!J8)</f>
        <v>0</v>
      </c>
      <c r="K8" s="132">
        <f>IF(SER_hh_emi!K8=0,0,1000000*SER_hh_emi!K8/SER_hh_num!K8)</f>
        <v>0</v>
      </c>
      <c r="L8" s="132">
        <f>IF(SER_hh_emi!L8=0,0,1000000*SER_hh_emi!L8/SER_hh_num!L8)</f>
        <v>0</v>
      </c>
      <c r="M8" s="132">
        <f>IF(SER_hh_emi!M8=0,0,1000000*SER_hh_emi!M8/SER_hh_num!M8)</f>
        <v>0</v>
      </c>
      <c r="N8" s="132">
        <f>IF(SER_hh_emi!N8=0,0,1000000*SER_hh_emi!N8/SER_hh_num!N8)</f>
        <v>0</v>
      </c>
      <c r="O8" s="132">
        <f>IF(SER_hh_emi!O8=0,0,1000000*SER_hh_emi!O8/SER_hh_num!O8)</f>
        <v>0</v>
      </c>
      <c r="P8" s="132">
        <f>IF(SER_hh_emi!P8=0,0,1000000*SER_hh_emi!P8/SER_hh_num!P8)</f>
        <v>0</v>
      </c>
      <c r="Q8" s="132">
        <f>IF(SER_hh_emi!Q8=0,0,1000000*SER_hh_emi!Q8/SER_hh_num!Q8)</f>
        <v>0</v>
      </c>
      <c r="R8" s="132">
        <f>IF(SER_hh_emi!R8=0,0,1000000*SER_hh_emi!R8/SER_hh_num!R8)</f>
        <v>2112.2867224759011</v>
      </c>
      <c r="S8" s="132">
        <f>IF(SER_hh_emi!S8=0,0,1000000*SER_hh_emi!S8/SER_hh_num!S8)</f>
        <v>5054.8071623514588</v>
      </c>
      <c r="T8" s="132">
        <f>IF(SER_hh_emi!T8=0,0,1000000*SER_hh_emi!T8/SER_hh_num!T8)</f>
        <v>6691.5349881162601</v>
      </c>
      <c r="U8" s="132">
        <f>IF(SER_hh_emi!U8=0,0,1000000*SER_hh_emi!U8/SER_hh_num!U8)</f>
        <v>5692.3752273604141</v>
      </c>
      <c r="V8" s="132">
        <f>IF(SER_hh_emi!V8=0,0,1000000*SER_hh_emi!V8/SER_hh_num!V8)</f>
        <v>7654.7802678738699</v>
      </c>
      <c r="W8" s="132">
        <f>IF(SER_hh_emi!W8=0,0,1000000*SER_hh_emi!W8/SER_hh_num!W8)</f>
        <v>5577.8504629762529</v>
      </c>
      <c r="X8" s="132">
        <f>IF(SER_hh_emi!X8=0,0,1000000*SER_hh_emi!X8/SER_hh_num!X8)</f>
        <v>5478.365872260003</v>
      </c>
      <c r="Y8" s="132">
        <f>IF(SER_hh_emi!Y8=0,0,1000000*SER_hh_emi!Y8/SER_hh_num!Y8)</f>
        <v>4921.3818830743676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68911.935390481987</v>
      </c>
      <c r="C9" s="132">
        <f>IF(SER_hh_emi!C9=0,0,1000000*SER_hh_emi!C9/SER_hh_num!C9)</f>
        <v>71830.139491146299</v>
      </c>
      <c r="D9" s="132">
        <f>IF(SER_hh_emi!D9=0,0,1000000*SER_hh_emi!D9/SER_hh_num!D9)</f>
        <v>61915.164451211116</v>
      </c>
      <c r="E9" s="132">
        <f>IF(SER_hh_emi!E9=0,0,1000000*SER_hh_emi!E9/SER_hh_num!E9)</f>
        <v>60771.349220576711</v>
      </c>
      <c r="F9" s="132">
        <f>IF(SER_hh_emi!F9=0,0,1000000*SER_hh_emi!F9/SER_hh_num!F9)</f>
        <v>74730.120780735655</v>
      </c>
      <c r="G9" s="132">
        <f>IF(SER_hh_emi!G9=0,0,1000000*SER_hh_emi!G9/SER_hh_num!G9)</f>
        <v>70075.084914950217</v>
      </c>
      <c r="H9" s="132">
        <f>IF(SER_hh_emi!H9=0,0,1000000*SER_hh_emi!H9/SER_hh_num!H9)</f>
        <v>61079.203672792661</v>
      </c>
      <c r="I9" s="132">
        <f>IF(SER_hh_emi!I9=0,0,1000000*SER_hh_emi!I9/SER_hh_num!I9)</f>
        <v>47726.388118253213</v>
      </c>
      <c r="J9" s="132">
        <f>IF(SER_hh_emi!J9=0,0,1000000*SER_hh_emi!J9/SER_hh_num!J9)</f>
        <v>46756.126697092208</v>
      </c>
      <c r="K9" s="132">
        <f>IF(SER_hh_emi!K9=0,0,1000000*SER_hh_emi!K9/SER_hh_num!K9)</f>
        <v>52207.681506689158</v>
      </c>
      <c r="L9" s="132">
        <f>IF(SER_hh_emi!L9=0,0,1000000*SER_hh_emi!L9/SER_hh_num!L9)</f>
        <v>55538.344193197794</v>
      </c>
      <c r="M9" s="132">
        <f>IF(SER_hh_emi!M9=0,0,1000000*SER_hh_emi!M9/SER_hh_num!M9)</f>
        <v>52443.710857378122</v>
      </c>
      <c r="N9" s="132">
        <f>IF(SER_hh_emi!N9=0,0,1000000*SER_hh_emi!N9/SER_hh_num!N9)</f>
        <v>36870.100786337578</v>
      </c>
      <c r="O9" s="132">
        <f>IF(SER_hh_emi!O9=0,0,1000000*SER_hh_emi!O9/SER_hh_num!O9)</f>
        <v>35550.316118230199</v>
      </c>
      <c r="P9" s="132">
        <f>IF(SER_hh_emi!P9=0,0,1000000*SER_hh_emi!P9/SER_hh_num!P9)</f>
        <v>29022.590657406039</v>
      </c>
      <c r="Q9" s="132">
        <f>IF(SER_hh_emi!Q9=0,0,1000000*SER_hh_emi!Q9/SER_hh_num!Q9)</f>
        <v>30817.774109082398</v>
      </c>
      <c r="R9" s="132">
        <f>IF(SER_hh_emi!R9=0,0,1000000*SER_hh_emi!R9/SER_hh_num!R9)</f>
        <v>30709.297907272521</v>
      </c>
      <c r="S9" s="132">
        <f>IF(SER_hh_emi!S9=0,0,1000000*SER_hh_emi!S9/SER_hh_num!S9)</f>
        <v>29677.563660360094</v>
      </c>
      <c r="T9" s="132">
        <f>IF(SER_hh_emi!T9=0,0,1000000*SER_hh_emi!T9/SER_hh_num!T9)</f>
        <v>27727.396547381548</v>
      </c>
      <c r="U9" s="132">
        <f>IF(SER_hh_emi!U9=0,0,1000000*SER_hh_emi!U9/SER_hh_num!U9)</f>
        <v>26465.171105498986</v>
      </c>
      <c r="V9" s="132">
        <f>IF(SER_hh_emi!V9=0,0,1000000*SER_hh_emi!V9/SER_hh_num!V9)</f>
        <v>27082.872938031596</v>
      </c>
      <c r="W9" s="132">
        <f>IF(SER_hh_emi!W9=0,0,1000000*SER_hh_emi!W9/SER_hh_num!W9)</f>
        <v>28796.870667799278</v>
      </c>
      <c r="X9" s="132">
        <f>IF(SER_hh_emi!X9=0,0,1000000*SER_hh_emi!X9/SER_hh_num!X9)</f>
        <v>23450.646065788653</v>
      </c>
      <c r="Y9" s="132">
        <f>IF(SER_hh_emi!Y9=0,0,1000000*SER_hh_emi!Y9/SER_hh_num!Y9)</f>
        <v>17835.30966470201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10343.279354100512</v>
      </c>
      <c r="O10" s="132">
        <f>IF(SER_hh_emi!O10=0,0,1000000*SER_hh_emi!O10/SER_hh_num!O10)</f>
        <v>8759.2415497333168</v>
      </c>
      <c r="P10" s="132">
        <f>IF(SER_hh_emi!P10=0,0,1000000*SER_hh_emi!P10/SER_hh_num!P10)</f>
        <v>5876.2456656474778</v>
      </c>
      <c r="Q10" s="132">
        <f>IF(SER_hh_emi!Q10=0,0,1000000*SER_hh_emi!Q10/SER_hh_num!Q10)</f>
        <v>11616.896973058581</v>
      </c>
      <c r="R10" s="132">
        <f>IF(SER_hh_emi!R10=0,0,1000000*SER_hh_emi!R10/SER_hh_num!R10)</f>
        <v>7181.3018110063758</v>
      </c>
      <c r="S10" s="132">
        <f>IF(SER_hh_emi!S10=0,0,1000000*SER_hh_emi!S10/SER_hh_num!S10)</f>
        <v>8981.6786749880757</v>
      </c>
      <c r="T10" s="132">
        <f>IF(SER_hh_emi!T10=0,0,1000000*SER_hh_emi!T10/SER_hh_num!T10)</f>
        <v>11769.437950926014</v>
      </c>
      <c r="U10" s="132">
        <f>IF(SER_hh_emi!U10=0,0,1000000*SER_hh_emi!U10/SER_hh_num!U10)</f>
        <v>13637.542562620201</v>
      </c>
      <c r="V10" s="132">
        <f>IF(SER_hh_emi!V10=0,0,1000000*SER_hh_emi!V10/SER_hh_num!V10)</f>
        <v>14527.019771290532</v>
      </c>
      <c r="W10" s="132">
        <f>IF(SER_hh_emi!W10=0,0,1000000*SER_hh_emi!W10/SER_hh_num!W10)</f>
        <v>12248.694707954781</v>
      </c>
      <c r="X10" s="132">
        <f>IF(SER_hh_emi!X10=0,0,1000000*SER_hh_emi!X10/SER_hh_num!X10)</f>
        <v>11603.862033850181</v>
      </c>
      <c r="Y10" s="132">
        <f>IF(SER_hh_emi!Y10=0,0,1000000*SER_hh_emi!Y10/SER_hh_num!Y10)</f>
        <v>7991.0602440637249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9.9411775173386783</v>
      </c>
      <c r="C16" s="130">
        <f>IF(SER_hh_emi!C16=0,0,1000000*SER_hh_emi!C16/SER_hh_num!C16)</f>
        <v>9.8200782040138641</v>
      </c>
      <c r="D16" s="130">
        <f>IF(SER_hh_emi!D16=0,0,1000000*SER_hh_emi!D16/SER_hh_num!D16)</f>
        <v>11.469054188527581</v>
      </c>
      <c r="E16" s="130">
        <f>IF(SER_hh_emi!E16=0,0,1000000*SER_hh_emi!E16/SER_hh_num!E16)</f>
        <v>13.923282124904318</v>
      </c>
      <c r="F16" s="130">
        <f>IF(SER_hh_emi!F16=0,0,1000000*SER_hh_emi!F16/SER_hh_num!F16)</f>
        <v>10.497723923730906</v>
      </c>
      <c r="G16" s="130">
        <f>IF(SER_hh_emi!G16=0,0,1000000*SER_hh_emi!G16/SER_hh_num!G16)</f>
        <v>10.742438049788326</v>
      </c>
      <c r="H16" s="130">
        <f>IF(SER_hh_emi!H16=0,0,1000000*SER_hh_emi!H16/SER_hh_num!H16)</f>
        <v>12.646879154831534</v>
      </c>
      <c r="I16" s="130">
        <f>IF(SER_hh_emi!I16=0,0,1000000*SER_hh_emi!I16/SER_hh_num!I16)</f>
        <v>14.392011607781949</v>
      </c>
      <c r="J16" s="130">
        <f>IF(SER_hh_emi!J16=0,0,1000000*SER_hh_emi!J16/SER_hh_num!J16)</f>
        <v>11.960467804145898</v>
      </c>
      <c r="K16" s="130">
        <f>IF(SER_hh_emi!K16=0,0,1000000*SER_hh_emi!K16/SER_hh_num!K16)</f>
        <v>12.563539027770696</v>
      </c>
      <c r="L16" s="130">
        <f>IF(SER_hh_emi!L16=0,0,1000000*SER_hh_emi!L16/SER_hh_num!L16)</f>
        <v>14.544616992106667</v>
      </c>
      <c r="M16" s="130">
        <f>IF(SER_hh_emi!M16=0,0,1000000*SER_hh_emi!M16/SER_hh_num!M16)</f>
        <v>15.785705585460574</v>
      </c>
      <c r="N16" s="130">
        <f>IF(SER_hh_emi!N16=0,0,1000000*SER_hh_emi!N16/SER_hh_num!N16)</f>
        <v>22.185813247675995</v>
      </c>
      <c r="O16" s="130">
        <f>IF(SER_hh_emi!O16=0,0,1000000*SER_hh_emi!O16/SER_hh_num!O16)</f>
        <v>19.915766228181823</v>
      </c>
      <c r="P16" s="130">
        <f>IF(SER_hh_emi!P16=0,0,1000000*SER_hh_emi!P16/SER_hh_num!P16)</f>
        <v>18.315573623779816</v>
      </c>
      <c r="Q16" s="130">
        <f>IF(SER_hh_emi!Q16=0,0,1000000*SER_hh_emi!Q16/SER_hh_num!Q16)</f>
        <v>28.36400803876224</v>
      </c>
      <c r="R16" s="130">
        <f>IF(SER_hh_emi!R16=0,0,1000000*SER_hh_emi!R16/SER_hh_num!R16)</f>
        <v>20.699397268112165</v>
      </c>
      <c r="S16" s="130">
        <f>IF(SER_hh_emi!S16=0,0,1000000*SER_hh_emi!S16/SER_hh_num!S16)</f>
        <v>28.037232061622461</v>
      </c>
      <c r="T16" s="130">
        <f>IF(SER_hh_emi!T16=0,0,1000000*SER_hh_emi!T16/SER_hh_num!T16)</f>
        <v>27.888941162188893</v>
      </c>
      <c r="U16" s="130">
        <f>IF(SER_hh_emi!U16=0,0,1000000*SER_hh_emi!U16/SER_hh_num!U16)</f>
        <v>34.263208162390796</v>
      </c>
      <c r="V16" s="130">
        <f>IF(SER_hh_emi!V16=0,0,1000000*SER_hh_emi!V16/SER_hh_num!V16)</f>
        <v>26.230965487875427</v>
      </c>
      <c r="W16" s="130">
        <f>IF(SER_hh_emi!W16=0,0,1000000*SER_hh_emi!W16/SER_hh_num!W16)</f>
        <v>33.966495224740349</v>
      </c>
      <c r="X16" s="130">
        <f>IF(SER_hh_emi!X16=0,0,1000000*SER_hh_emi!X16/SER_hh_num!X16)</f>
        <v>37.624865352405138</v>
      </c>
      <c r="Y16" s="130">
        <f>IF(SER_hh_emi!Y16=0,0,1000000*SER_hh_emi!Y16/SER_hh_num!Y16)</f>
        <v>33.639347591026684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4130.3840315010948</v>
      </c>
      <c r="C17" s="132">
        <f>IF(SER_hh_emi!C17=0,0,1000000*SER_hh_emi!C17/SER_hh_num!C17)</f>
        <v>3717.8807929168374</v>
      </c>
      <c r="D17" s="132">
        <f>IF(SER_hh_emi!D17=0,0,1000000*SER_hh_emi!D17/SER_hh_num!D17)</f>
        <v>3857.8852905269505</v>
      </c>
      <c r="E17" s="132">
        <f>IF(SER_hh_emi!E17=0,0,1000000*SER_hh_emi!E17/SER_hh_num!E17)</f>
        <v>4363.4832414345256</v>
      </c>
      <c r="F17" s="132">
        <f>IF(SER_hh_emi!F17=0,0,1000000*SER_hh_emi!F17/SER_hh_num!F17)</f>
        <v>3460.4866652377455</v>
      </c>
      <c r="G17" s="132">
        <f>IF(SER_hh_emi!G17=0,0,1000000*SER_hh_emi!G17/SER_hh_num!G17)</f>
        <v>3416.0516092143325</v>
      </c>
      <c r="H17" s="132">
        <f>IF(SER_hh_emi!H17=0,0,1000000*SER_hh_emi!H17/SER_hh_num!H17)</f>
        <v>3722.7875346914393</v>
      </c>
      <c r="I17" s="132">
        <f>IF(SER_hh_emi!I17=0,0,1000000*SER_hh_emi!I17/SER_hh_num!I17)</f>
        <v>4007.0061822697885</v>
      </c>
      <c r="J17" s="132">
        <f>IF(SER_hh_emi!J17=0,0,1000000*SER_hh_emi!J17/SER_hh_num!J17)</f>
        <v>3399.8913857771477</v>
      </c>
      <c r="K17" s="132">
        <f>IF(SER_hh_emi!K17=0,0,1000000*SER_hh_emi!K17/SER_hh_num!K17)</f>
        <v>3413.6429607282394</v>
      </c>
      <c r="L17" s="132">
        <f>IF(SER_hh_emi!L17=0,0,1000000*SER_hh_emi!L17/SER_hh_num!L17)</f>
        <v>3552.4137192731873</v>
      </c>
      <c r="M17" s="132">
        <f>IF(SER_hh_emi!M17=0,0,1000000*SER_hh_emi!M17/SER_hh_num!M17)</f>
        <v>3468.3788191688104</v>
      </c>
      <c r="N17" s="132">
        <f>IF(SER_hh_emi!N17=0,0,1000000*SER_hh_emi!N17/SER_hh_num!N17)</f>
        <v>4363.6658139349875</v>
      </c>
      <c r="O17" s="132">
        <f>IF(SER_hh_emi!O17=0,0,1000000*SER_hh_emi!O17/SER_hh_num!O17)</f>
        <v>3561.3471443354119</v>
      </c>
      <c r="P17" s="132">
        <f>IF(SER_hh_emi!P17=0,0,1000000*SER_hh_emi!P17/SER_hh_num!P17)</f>
        <v>3147.9337674850822</v>
      </c>
      <c r="Q17" s="132">
        <f>IF(SER_hh_emi!Q17=0,0,1000000*SER_hh_emi!Q17/SER_hh_num!Q17)</f>
        <v>4533.475235777546</v>
      </c>
      <c r="R17" s="132">
        <f>IF(SER_hh_emi!R17=0,0,1000000*SER_hh_emi!R17/SER_hh_num!R17)</f>
        <v>3149.1533701433955</v>
      </c>
      <c r="S17" s="132">
        <f>IF(SER_hh_emi!S17=0,0,1000000*SER_hh_emi!S17/SER_hh_num!S17)</f>
        <v>3731.5945452922479</v>
      </c>
      <c r="T17" s="132">
        <f>IF(SER_hh_emi!T17=0,0,1000000*SER_hh_emi!T17/SER_hh_num!T17)</f>
        <v>3510.6408842162355</v>
      </c>
      <c r="U17" s="132">
        <f>IF(SER_hh_emi!U17=0,0,1000000*SER_hh_emi!U17/SER_hh_num!U17)</f>
        <v>3680.2477236040868</v>
      </c>
      <c r="V17" s="132">
        <f>IF(SER_hh_emi!V17=0,0,1000000*SER_hh_emi!V17/SER_hh_num!V17)</f>
        <v>2575.6122248725396</v>
      </c>
      <c r="W17" s="132">
        <f>IF(SER_hh_emi!W17=0,0,1000000*SER_hh_emi!W17/SER_hh_num!W17)</f>
        <v>3237.3061953310148</v>
      </c>
      <c r="X17" s="132">
        <f>IF(SER_hh_emi!X17=0,0,1000000*SER_hh_emi!X17/SER_hh_num!X17)</f>
        <v>3562.4612019480051</v>
      </c>
      <c r="Y17" s="132">
        <f>IF(SER_hh_emi!Y17=0,0,1000000*SER_hh_emi!Y17/SER_hh_num!Y17)</f>
        <v>3226.9073426572404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2605.3819331196246</v>
      </c>
      <c r="C19" s="130">
        <f>IF(SER_hh_emi!C19=0,0,1000000*SER_hh_emi!C19/SER_hh_num!C19)</f>
        <v>2594.5112762210474</v>
      </c>
      <c r="D19" s="130">
        <f>IF(SER_hh_emi!D19=0,0,1000000*SER_hh_emi!D19/SER_hh_num!D19)</f>
        <v>2667.3030913725302</v>
      </c>
      <c r="E19" s="130">
        <f>IF(SER_hh_emi!E19=0,0,1000000*SER_hh_emi!E19/SER_hh_num!E19)</f>
        <v>2687.082174760033</v>
      </c>
      <c r="F19" s="130">
        <f>IF(SER_hh_emi!F19=0,0,1000000*SER_hh_emi!F19/SER_hh_num!F19)</f>
        <v>2796.3120486213343</v>
      </c>
      <c r="G19" s="130">
        <f>IF(SER_hh_emi!G19=0,0,1000000*SER_hh_emi!G19/SER_hh_num!G19)</f>
        <v>2709.2662597709436</v>
      </c>
      <c r="H19" s="130">
        <f>IF(SER_hh_emi!H19=0,0,1000000*SER_hh_emi!H19/SER_hh_num!H19)</f>
        <v>2690.3112814852902</v>
      </c>
      <c r="I19" s="130">
        <f>IF(SER_hh_emi!I19=0,0,1000000*SER_hh_emi!I19/SER_hh_num!I19)</f>
        <v>2778.1153415617214</v>
      </c>
      <c r="J19" s="130">
        <f>IF(SER_hh_emi!J19=0,0,1000000*SER_hh_emi!J19/SER_hh_num!J19)</f>
        <v>2927.9064495495004</v>
      </c>
      <c r="K19" s="130">
        <f>IF(SER_hh_emi!K19=0,0,1000000*SER_hh_emi!K19/SER_hh_num!K19)</f>
        <v>3133.2719558515437</v>
      </c>
      <c r="L19" s="130">
        <f>IF(SER_hh_emi!L19=0,0,1000000*SER_hh_emi!L19/SER_hh_num!L19)</f>
        <v>3215.0156740466346</v>
      </c>
      <c r="M19" s="130">
        <f>IF(SER_hh_emi!M19=0,0,1000000*SER_hh_emi!M19/SER_hh_num!M19)</f>
        <v>3218.7603497139562</v>
      </c>
      <c r="N19" s="130">
        <f>IF(SER_hh_emi!N19=0,0,1000000*SER_hh_emi!N19/SER_hh_num!N19)</f>
        <v>3188.311316441323</v>
      </c>
      <c r="O19" s="130">
        <f>IF(SER_hh_emi!O19=0,0,1000000*SER_hh_emi!O19/SER_hh_num!O19)</f>
        <v>3433.349733918018</v>
      </c>
      <c r="P19" s="130">
        <f>IF(SER_hh_emi!P19=0,0,1000000*SER_hh_emi!P19/SER_hh_num!P19)</f>
        <v>3378.0835202427406</v>
      </c>
      <c r="Q19" s="130">
        <f>IF(SER_hh_emi!Q19=0,0,1000000*SER_hh_emi!Q19/SER_hh_num!Q19)</f>
        <v>3371.6408219677996</v>
      </c>
      <c r="R19" s="130">
        <f>IF(SER_hh_emi!R19=0,0,1000000*SER_hh_emi!R19/SER_hh_num!R19)</f>
        <v>3329.3022813883281</v>
      </c>
      <c r="S19" s="130">
        <f>IF(SER_hh_emi!S19=0,0,1000000*SER_hh_emi!S19/SER_hh_num!S19)</f>
        <v>3265.8570429891793</v>
      </c>
      <c r="T19" s="130">
        <f>IF(SER_hh_emi!T19=0,0,1000000*SER_hh_emi!T19/SER_hh_num!T19)</f>
        <v>3275.6530127831625</v>
      </c>
      <c r="U19" s="130">
        <f>IF(SER_hh_emi!U19=0,0,1000000*SER_hh_emi!U19/SER_hh_num!U19)</f>
        <v>3114.2080690576081</v>
      </c>
      <c r="V19" s="130">
        <f>IF(SER_hh_emi!V19=0,0,1000000*SER_hh_emi!V19/SER_hh_num!V19)</f>
        <v>2817.7883119666503</v>
      </c>
      <c r="W19" s="130">
        <f>IF(SER_hh_emi!W19=0,0,1000000*SER_hh_emi!W19/SER_hh_num!W19)</f>
        <v>2746.6617266841836</v>
      </c>
      <c r="X19" s="130">
        <f>IF(SER_hh_emi!X19=0,0,1000000*SER_hh_emi!X19/SER_hh_num!X19)</f>
        <v>2551.3640109949142</v>
      </c>
      <c r="Y19" s="130">
        <f>IF(SER_hh_emi!Y19=0,0,1000000*SER_hh_emi!Y19/SER_hh_num!Y19)</f>
        <v>2403.4300053933343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0</v>
      </c>
      <c r="C21" s="132">
        <f>IF(SER_hh_emi!C21=0,0,1000000*SER_hh_emi!C21/SER_hh_num!C21)</f>
        <v>0</v>
      </c>
      <c r="D21" s="132">
        <f>IF(SER_hh_emi!D21=0,0,1000000*SER_hh_emi!D21/SER_hh_num!D21)</f>
        <v>0</v>
      </c>
      <c r="E21" s="132">
        <f>IF(SER_hh_emi!E21=0,0,1000000*SER_hh_emi!E21/SER_hh_num!E21)</f>
        <v>0</v>
      </c>
      <c r="F21" s="132">
        <f>IF(SER_hh_emi!F21=0,0,1000000*SER_hh_emi!F21/SER_hh_num!F21)</f>
        <v>0</v>
      </c>
      <c r="G21" s="132">
        <f>IF(SER_hh_emi!G21=0,0,1000000*SER_hh_emi!G21/SER_hh_num!G21)</f>
        <v>0</v>
      </c>
      <c r="H21" s="132">
        <f>IF(SER_hh_emi!H21=0,0,1000000*SER_hh_emi!H21/SER_hh_num!H21)</f>
        <v>0</v>
      </c>
      <c r="I21" s="132">
        <f>IF(SER_hh_emi!I21=0,0,1000000*SER_hh_emi!I21/SER_hh_num!I21)</f>
        <v>0</v>
      </c>
      <c r="J21" s="132">
        <f>IF(SER_hh_emi!J21=0,0,1000000*SER_hh_emi!J21/SER_hh_num!J21)</f>
        <v>0</v>
      </c>
      <c r="K21" s="132">
        <f>IF(SER_hh_emi!K21=0,0,1000000*SER_hh_emi!K21/SER_hh_num!K21)</f>
        <v>0</v>
      </c>
      <c r="L21" s="132">
        <f>IF(SER_hh_emi!L21=0,0,1000000*SER_hh_emi!L21/SER_hh_num!L21)</f>
        <v>0</v>
      </c>
      <c r="M21" s="132">
        <f>IF(SER_hh_emi!M21=0,0,1000000*SER_hh_emi!M21/SER_hh_num!M21)</f>
        <v>0</v>
      </c>
      <c r="N21" s="132">
        <f>IF(SER_hh_emi!N21=0,0,1000000*SER_hh_emi!N21/SER_hh_num!N21)</f>
        <v>0</v>
      </c>
      <c r="O21" s="132">
        <f>IF(SER_hh_emi!O21=0,0,1000000*SER_hh_emi!O21/SER_hh_num!O21)</f>
        <v>0</v>
      </c>
      <c r="P21" s="132">
        <f>IF(SER_hh_emi!P21=0,0,1000000*SER_hh_emi!P21/SER_hh_num!P21)</f>
        <v>0</v>
      </c>
      <c r="Q21" s="132">
        <f>IF(SER_hh_emi!Q21=0,0,1000000*SER_hh_emi!Q21/SER_hh_num!Q21)</f>
        <v>0</v>
      </c>
      <c r="R21" s="132">
        <f>IF(SER_hh_emi!R21=0,0,1000000*SER_hh_emi!R21/SER_hh_num!R21)</f>
        <v>0</v>
      </c>
      <c r="S21" s="132">
        <f>IF(SER_hh_emi!S21=0,0,1000000*SER_hh_emi!S21/SER_hh_num!S21)</f>
        <v>0</v>
      </c>
      <c r="T21" s="132">
        <f>IF(SER_hh_emi!T21=0,0,1000000*SER_hh_emi!T21/SER_hh_num!T21)</f>
        <v>0</v>
      </c>
      <c r="U21" s="132">
        <f>IF(SER_hh_emi!U21=0,0,1000000*SER_hh_emi!U21/SER_hh_num!U21)</f>
        <v>0</v>
      </c>
      <c r="V21" s="132">
        <f>IF(SER_hh_emi!V21=0,0,1000000*SER_hh_emi!V21/SER_hh_num!V21)</f>
        <v>0</v>
      </c>
      <c r="W21" s="132">
        <f>IF(SER_hh_emi!W21=0,0,1000000*SER_hh_emi!W21/SER_hh_num!W21)</f>
        <v>0</v>
      </c>
      <c r="X21" s="132">
        <f>IF(SER_hh_emi!X21=0,0,1000000*SER_hh_emi!X21/SER_hh_num!X21)</f>
        <v>0</v>
      </c>
      <c r="Y21" s="132">
        <f>IF(SER_hh_emi!Y21=0,0,1000000*SER_hh_emi!Y21/SER_hh_num!Y21)</f>
        <v>0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0</v>
      </c>
      <c r="C22" s="132">
        <f>IF(SER_hh_emi!C22=0,0,1000000*SER_hh_emi!C22/SER_hh_num!C22)</f>
        <v>0</v>
      </c>
      <c r="D22" s="132">
        <f>IF(SER_hh_emi!D22=0,0,1000000*SER_hh_emi!D22/SER_hh_num!D22)</f>
        <v>0</v>
      </c>
      <c r="E22" s="132">
        <f>IF(SER_hh_emi!E22=0,0,1000000*SER_hh_emi!E22/SER_hh_num!E22)</f>
        <v>0</v>
      </c>
      <c r="F22" s="132">
        <f>IF(SER_hh_emi!F22=0,0,1000000*SER_hh_emi!F22/SER_hh_num!F22)</f>
        <v>0</v>
      </c>
      <c r="G22" s="132">
        <f>IF(SER_hh_emi!G22=0,0,1000000*SER_hh_emi!G22/SER_hh_num!G22)</f>
        <v>0</v>
      </c>
      <c r="H22" s="132">
        <f>IF(SER_hh_emi!H22=0,0,1000000*SER_hh_emi!H22/SER_hh_num!H22)</f>
        <v>0</v>
      </c>
      <c r="I22" s="132">
        <f>IF(SER_hh_emi!I22=0,0,1000000*SER_hh_emi!I22/SER_hh_num!I22)</f>
        <v>0</v>
      </c>
      <c r="J22" s="132">
        <f>IF(SER_hh_emi!J22=0,0,1000000*SER_hh_emi!J22/SER_hh_num!J22)</f>
        <v>0</v>
      </c>
      <c r="K22" s="132">
        <f>IF(SER_hh_emi!K22=0,0,1000000*SER_hh_emi!K22/SER_hh_num!K22)</f>
        <v>0</v>
      </c>
      <c r="L22" s="132">
        <f>IF(SER_hh_emi!L22=0,0,1000000*SER_hh_emi!L22/SER_hh_num!L22)</f>
        <v>0</v>
      </c>
      <c r="M22" s="132">
        <f>IF(SER_hh_emi!M22=0,0,1000000*SER_hh_emi!M22/SER_hh_num!M22)</f>
        <v>0</v>
      </c>
      <c r="N22" s="132">
        <f>IF(SER_hh_emi!N22=0,0,1000000*SER_hh_emi!N22/SER_hh_num!N22)</f>
        <v>0</v>
      </c>
      <c r="O22" s="132">
        <f>IF(SER_hh_emi!O22=0,0,1000000*SER_hh_emi!O22/SER_hh_num!O22)</f>
        <v>0</v>
      </c>
      <c r="P22" s="132">
        <f>IF(SER_hh_emi!P22=0,0,1000000*SER_hh_emi!P22/SER_hh_num!P22)</f>
        <v>0</v>
      </c>
      <c r="Q22" s="132">
        <f>IF(SER_hh_emi!Q22=0,0,1000000*SER_hh_emi!Q22/SER_hh_num!Q22)</f>
        <v>0</v>
      </c>
      <c r="R22" s="132">
        <f>IF(SER_hh_emi!R22=0,0,1000000*SER_hh_emi!R22/SER_hh_num!R22)</f>
        <v>0</v>
      </c>
      <c r="S22" s="132">
        <f>IF(SER_hh_emi!S22=0,0,1000000*SER_hh_emi!S22/SER_hh_num!S22)</f>
        <v>0</v>
      </c>
      <c r="T22" s="132">
        <f>IF(SER_hh_emi!T22=0,0,1000000*SER_hh_emi!T22/SER_hh_num!T22)</f>
        <v>0</v>
      </c>
      <c r="U22" s="132">
        <f>IF(SER_hh_emi!U22=0,0,1000000*SER_hh_emi!U22/SER_hh_num!U22)</f>
        <v>0</v>
      </c>
      <c r="V22" s="132">
        <f>IF(SER_hh_emi!V22=0,0,1000000*SER_hh_emi!V22/SER_hh_num!V22)</f>
        <v>0</v>
      </c>
      <c r="W22" s="132">
        <f>IF(SER_hh_emi!W22=0,0,1000000*SER_hh_emi!W22/SER_hh_num!W22)</f>
        <v>0</v>
      </c>
      <c r="X22" s="132">
        <f>IF(SER_hh_emi!X22=0,0,1000000*SER_hh_emi!X22/SER_hh_num!X22)</f>
        <v>0</v>
      </c>
      <c r="Y22" s="132">
        <f>IF(SER_hh_emi!Y22=0,0,1000000*SER_hh_emi!Y22/SER_hh_num!Y22)</f>
        <v>0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6373.0123596322692</v>
      </c>
      <c r="C23" s="132">
        <f>IF(SER_hh_emi!C23=0,0,1000000*SER_hh_emi!C23/SER_hh_num!C23)</f>
        <v>6330.6724456042484</v>
      </c>
      <c r="D23" s="132">
        <f>IF(SER_hh_emi!D23=0,0,1000000*SER_hh_emi!D23/SER_hh_num!D23)</f>
        <v>6321.9196638898629</v>
      </c>
      <c r="E23" s="132">
        <f>IF(SER_hh_emi!E23=0,0,1000000*SER_hh_emi!E23/SER_hh_num!E23)</f>
        <v>6283.9579146031556</v>
      </c>
      <c r="F23" s="132">
        <f>IF(SER_hh_emi!F23=0,0,1000000*SER_hh_emi!F23/SER_hh_num!F23)</f>
        <v>6368.8492471167874</v>
      </c>
      <c r="G23" s="132">
        <f>IF(SER_hh_emi!G23=0,0,1000000*SER_hh_emi!G23/SER_hh_num!G23)</f>
        <v>6109.2379234162427</v>
      </c>
      <c r="H23" s="132">
        <f>IF(SER_hh_emi!H23=0,0,1000000*SER_hh_emi!H23/SER_hh_num!H23)</f>
        <v>5918.57069429489</v>
      </c>
      <c r="I23" s="132">
        <f>IF(SER_hh_emi!I23=0,0,1000000*SER_hh_emi!I23/SER_hh_num!I23)</f>
        <v>5819.9905606640868</v>
      </c>
      <c r="J23" s="132">
        <f>IF(SER_hh_emi!J23=0,0,1000000*SER_hh_emi!J23/SER_hh_num!J23)</f>
        <v>5886.776234552296</v>
      </c>
      <c r="K23" s="132">
        <f>IF(SER_hh_emi!K23=0,0,1000000*SER_hh_emi!K23/SER_hh_num!K23)</f>
        <v>6006.16816527829</v>
      </c>
      <c r="L23" s="132">
        <f>IF(SER_hh_emi!L23=0,0,1000000*SER_hh_emi!L23/SER_hh_num!L23)</f>
        <v>5916.0922363357513</v>
      </c>
      <c r="M23" s="132">
        <f>IF(SER_hh_emi!M23=0,0,1000000*SER_hh_emi!M23/SER_hh_num!M23)</f>
        <v>5697.9745627310303</v>
      </c>
      <c r="N23" s="132">
        <f>IF(SER_hh_emi!N23=0,0,1000000*SER_hh_emi!N23/SER_hh_num!N23)</f>
        <v>5508.5594716684536</v>
      </c>
      <c r="O23" s="132">
        <f>IF(SER_hh_emi!O23=0,0,1000000*SER_hh_emi!O23/SER_hh_num!O23)</f>
        <v>5679.1224224375001</v>
      </c>
      <c r="P23" s="132">
        <f>IF(SER_hh_emi!P23=0,0,1000000*SER_hh_emi!P23/SER_hh_num!P23)</f>
        <v>5394.7087687387402</v>
      </c>
      <c r="Q23" s="132">
        <f>IF(SER_hh_emi!Q23=0,0,1000000*SER_hh_emi!Q23/SER_hh_num!Q23)</f>
        <v>5325.4544993246936</v>
      </c>
      <c r="R23" s="132">
        <f>IF(SER_hh_emi!R23=0,0,1000000*SER_hh_emi!R23/SER_hh_num!R23)</f>
        <v>5261.1180445036271</v>
      </c>
      <c r="S23" s="132">
        <f>IF(SER_hh_emi!S23=0,0,1000000*SER_hh_emi!S23/SER_hh_num!S23)</f>
        <v>5135.7045225759057</v>
      </c>
      <c r="T23" s="132">
        <f>IF(SER_hh_emi!T23=0,0,1000000*SER_hh_emi!T23/SER_hh_num!T23)</f>
        <v>5108.2275699766906</v>
      </c>
      <c r="U23" s="132">
        <f>IF(SER_hh_emi!U23=0,0,1000000*SER_hh_emi!U23/SER_hh_num!U23)</f>
        <v>4871.4061312290441</v>
      </c>
      <c r="V23" s="132">
        <f>IF(SER_hh_emi!V23=0,0,1000000*SER_hh_emi!V23/SER_hh_num!V23)</f>
        <v>4440.1526196246523</v>
      </c>
      <c r="W23" s="132">
        <f>IF(SER_hh_emi!W23=0,0,1000000*SER_hh_emi!W23/SER_hh_num!W23)</f>
        <v>4461.5204936778764</v>
      </c>
      <c r="X23" s="132">
        <f>IF(SER_hh_emi!X23=0,0,1000000*SER_hh_emi!X23/SER_hh_num!X23)</f>
        <v>4320.0671672841245</v>
      </c>
      <c r="Y23" s="132">
        <f>IF(SER_hh_emi!Y23=0,0,1000000*SER_hh_emi!Y23/SER_hh_num!Y23)</f>
        <v>4185.6527742667549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1668.6922393079026</v>
      </c>
      <c r="O24" s="132">
        <f>IF(SER_hh_emi!O24=0,0,1000000*SER_hh_emi!O24/SER_hh_num!O24)</f>
        <v>1236.7783695200762</v>
      </c>
      <c r="P24" s="132">
        <f>IF(SER_hh_emi!P24=0,0,1000000*SER_hh_emi!P24/SER_hh_num!P24)</f>
        <v>932.17501040414243</v>
      </c>
      <c r="Q24" s="132">
        <f>IF(SER_hh_emi!Q24=0,0,1000000*SER_hh_emi!Q24/SER_hh_num!Q24)</f>
        <v>1502.2675703760408</v>
      </c>
      <c r="R24" s="132">
        <f>IF(SER_hh_emi!R24=0,0,1000000*SER_hh_emi!R24/SER_hh_num!R24)</f>
        <v>1032.9437123473797</v>
      </c>
      <c r="S24" s="132">
        <f>IF(SER_hh_emi!S24=0,0,1000000*SER_hh_emi!S24/SER_hh_num!S24)</f>
        <v>1271.0990290544614</v>
      </c>
      <c r="T24" s="132">
        <f>IF(SER_hh_emi!T24=0,0,1000000*SER_hh_emi!T24/SER_hh_num!T24)</f>
        <v>1751.1457351102924</v>
      </c>
      <c r="U24" s="132">
        <f>IF(SER_hh_emi!U24=0,0,1000000*SER_hh_emi!U24/SER_hh_num!U24)</f>
        <v>1837.1617916035966</v>
      </c>
      <c r="V24" s="132">
        <f>IF(SER_hh_emi!V24=0,0,1000000*SER_hh_emi!V24/SER_hh_num!V24)</f>
        <v>1957.6742505064128</v>
      </c>
      <c r="W24" s="132">
        <f>IF(SER_hh_emi!W24=0,0,1000000*SER_hh_emi!W24/SER_hh_num!W24)</f>
        <v>1720.8894755906613</v>
      </c>
      <c r="X24" s="132">
        <f>IF(SER_hh_emi!X24=0,0,1000000*SER_hh_emi!X24/SER_hh_num!X24)</f>
        <v>1752.6684044450124</v>
      </c>
      <c r="Y24" s="132">
        <f>IF(SER_hh_emi!Y24=0,0,1000000*SER_hh_emi!Y24/SER_hh_num!Y24)</f>
        <v>1388.6204300686672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1960.617145681746</v>
      </c>
      <c r="C29" s="130">
        <f>IF(SER_hh_emi!C29=0,0,1000000*SER_hh_emi!C29/SER_hh_num!C29)</f>
        <v>2003.1984736818658</v>
      </c>
      <c r="D29" s="130">
        <f>IF(SER_hh_emi!D29=0,0,1000000*SER_hh_emi!D29/SER_hh_num!D29)</f>
        <v>2271.2369927056061</v>
      </c>
      <c r="E29" s="130">
        <f>IF(SER_hh_emi!E29=0,0,1000000*SER_hh_emi!E29/SER_hh_num!E29)</f>
        <v>2476.0342552120533</v>
      </c>
      <c r="F29" s="130">
        <f>IF(SER_hh_emi!F29=0,0,1000000*SER_hh_emi!F29/SER_hh_num!F29)</f>
        <v>2460.082768485493</v>
      </c>
      <c r="G29" s="130">
        <f>IF(SER_hh_emi!G29=0,0,1000000*SER_hh_emi!G29/SER_hh_num!G29)</f>
        <v>2764.7986464374071</v>
      </c>
      <c r="H29" s="130">
        <f>IF(SER_hh_emi!H29=0,0,1000000*SER_hh_emi!H29/SER_hh_num!H29)</f>
        <v>3017.1619899066714</v>
      </c>
      <c r="I29" s="130">
        <f>IF(SER_hh_emi!I29=0,0,1000000*SER_hh_emi!I29/SER_hh_num!I29)</f>
        <v>3165.1392432996681</v>
      </c>
      <c r="J29" s="130">
        <f>IF(SER_hh_emi!J29=0,0,1000000*SER_hh_emi!J29/SER_hh_num!J29)</f>
        <v>3264.175292300315</v>
      </c>
      <c r="K29" s="130">
        <f>IF(SER_hh_emi!K29=0,0,1000000*SER_hh_emi!K29/SER_hh_num!K29)</f>
        <v>3391.0112418410727</v>
      </c>
      <c r="L29" s="130">
        <f>IF(SER_hh_emi!L29=0,0,1000000*SER_hh_emi!L29/SER_hh_num!L29)</f>
        <v>3598.0899060382876</v>
      </c>
      <c r="M29" s="130">
        <f>IF(SER_hh_emi!M29=0,0,1000000*SER_hh_emi!M29/SER_hh_num!M29)</f>
        <v>3724.0071785801883</v>
      </c>
      <c r="N29" s="130">
        <f>IF(SER_hh_emi!N29=0,0,1000000*SER_hh_emi!N29/SER_hh_num!N29)</f>
        <v>3867.1316807908761</v>
      </c>
      <c r="O29" s="130">
        <f>IF(SER_hh_emi!O29=0,0,1000000*SER_hh_emi!O29/SER_hh_num!O29)</f>
        <v>3890.5821931164755</v>
      </c>
      <c r="P29" s="130">
        <f>IF(SER_hh_emi!P29=0,0,1000000*SER_hh_emi!P29/SER_hh_num!P29)</f>
        <v>3824.2714854011592</v>
      </c>
      <c r="Q29" s="130">
        <f>IF(SER_hh_emi!Q29=0,0,1000000*SER_hh_emi!Q29/SER_hh_num!Q29)</f>
        <v>3768.4180250184459</v>
      </c>
      <c r="R29" s="130">
        <f>IF(SER_hh_emi!R29=0,0,1000000*SER_hh_emi!R29/SER_hh_num!R29)</f>
        <v>3572.2802115090572</v>
      </c>
      <c r="S29" s="130">
        <f>IF(SER_hh_emi!S29=0,0,1000000*SER_hh_emi!S29/SER_hh_num!S29)</f>
        <v>3439.6838742728805</v>
      </c>
      <c r="T29" s="130">
        <f>IF(SER_hh_emi!T29=0,0,1000000*SER_hh_emi!T29/SER_hh_num!T29)</f>
        <v>3462.7511505671014</v>
      </c>
      <c r="U29" s="130">
        <f>IF(SER_hh_emi!U29=0,0,1000000*SER_hh_emi!U29/SER_hh_num!U29)</f>
        <v>3396.2910580129783</v>
      </c>
      <c r="V29" s="130">
        <f>IF(SER_hh_emi!V29=0,0,1000000*SER_hh_emi!V29/SER_hh_num!V29)</f>
        <v>3345.8321025093232</v>
      </c>
      <c r="W29" s="130">
        <f>IF(SER_hh_emi!W29=0,0,1000000*SER_hh_emi!W29/SER_hh_num!W29)</f>
        <v>3412.5275130694017</v>
      </c>
      <c r="X29" s="130">
        <f>IF(SER_hh_emi!X29=0,0,1000000*SER_hh_emi!X29/SER_hh_num!X29)</f>
        <v>3316.7441122685777</v>
      </c>
      <c r="Y29" s="130">
        <f>IF(SER_hh_emi!Y29=0,0,1000000*SER_hh_emi!Y29/SER_hh_num!Y29)</f>
        <v>3166.8277931482198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8076.0921460714535</v>
      </c>
      <c r="C30" s="132">
        <f>IF(SER_hh_emi!C30=0,0,1000000*SER_hh_emi!C30/SER_hh_num!C30)</f>
        <v>6909.0255250960799</v>
      </c>
      <c r="D30" s="132">
        <f>IF(SER_hh_emi!D30=0,0,1000000*SER_hh_emi!D30/SER_hh_num!D30)</f>
        <v>8076.6226339283321</v>
      </c>
      <c r="E30" s="132">
        <f>IF(SER_hh_emi!E30=0,0,1000000*SER_hh_emi!E30/SER_hh_num!E30)</f>
        <v>8261.8616065745009</v>
      </c>
      <c r="F30" s="132">
        <f>IF(SER_hh_emi!F30=0,0,1000000*SER_hh_emi!F30/SER_hh_num!F30)</f>
        <v>5769.9655368024223</v>
      </c>
      <c r="G30" s="132">
        <f>IF(SER_hh_emi!G30=0,0,1000000*SER_hh_emi!G30/SER_hh_num!G30)</f>
        <v>7106.4187625246595</v>
      </c>
      <c r="H30" s="132">
        <f>IF(SER_hh_emi!H30=0,0,1000000*SER_hh_emi!H30/SER_hh_num!H30)</f>
        <v>7161.0567083028473</v>
      </c>
      <c r="I30" s="132">
        <f>IF(SER_hh_emi!I30=0,0,1000000*SER_hh_emi!I30/SER_hh_num!I30)</f>
        <v>7430.0732176182546</v>
      </c>
      <c r="J30" s="132">
        <f>IF(SER_hh_emi!J30=0,0,1000000*SER_hh_emi!J30/SER_hh_num!J30)</f>
        <v>6516.3848400226116</v>
      </c>
      <c r="K30" s="132">
        <f>IF(SER_hh_emi!K30=0,0,1000000*SER_hh_emi!K30/SER_hh_num!K30)</f>
        <v>6785.4690120328514</v>
      </c>
      <c r="L30" s="132">
        <f>IF(SER_hh_emi!L30=0,0,1000000*SER_hh_emi!L30/SER_hh_num!L30)</f>
        <v>7757.4177255846462</v>
      </c>
      <c r="M30" s="132">
        <f>IF(SER_hh_emi!M30=0,0,1000000*SER_hh_emi!M30/SER_hh_num!M30)</f>
        <v>7086.2891646029575</v>
      </c>
      <c r="N30" s="132">
        <f>IF(SER_hh_emi!N30=0,0,1000000*SER_hh_emi!N30/SER_hh_num!N30)</f>
        <v>7246.9959391764487</v>
      </c>
      <c r="O30" s="132">
        <f>IF(SER_hh_emi!O30=0,0,1000000*SER_hh_emi!O30/SER_hh_num!O30)</f>
        <v>5924.6523775323112</v>
      </c>
      <c r="P30" s="132">
        <f>IF(SER_hh_emi!P30=0,0,1000000*SER_hh_emi!P30/SER_hh_num!P30)</f>
        <v>6558.9783264357084</v>
      </c>
      <c r="Q30" s="132">
        <f>IF(SER_hh_emi!Q30=0,0,1000000*SER_hh_emi!Q30/SER_hh_num!Q30)</f>
        <v>7735.9221757906653</v>
      </c>
      <c r="R30" s="132">
        <f>IF(SER_hh_emi!R30=0,0,1000000*SER_hh_emi!R30/SER_hh_num!R30)</f>
        <v>6376.1048204584231</v>
      </c>
      <c r="S30" s="132">
        <f>IF(SER_hh_emi!S30=0,0,1000000*SER_hh_emi!S30/SER_hh_num!S30)</f>
        <v>5537.4622437923417</v>
      </c>
      <c r="T30" s="132">
        <f>IF(SER_hh_emi!T30=0,0,1000000*SER_hh_emi!T30/SER_hh_num!T30)</f>
        <v>6794.4282791168134</v>
      </c>
      <c r="U30" s="132">
        <f>IF(SER_hh_emi!U30=0,0,1000000*SER_hh_emi!U30/SER_hh_num!U30)</f>
        <v>5884.2549197096241</v>
      </c>
      <c r="V30" s="132">
        <f>IF(SER_hh_emi!V30=0,0,1000000*SER_hh_emi!V30/SER_hh_num!V30)</f>
        <v>8399.8437206508752</v>
      </c>
      <c r="W30" s="132">
        <f>IF(SER_hh_emi!W30=0,0,1000000*SER_hh_emi!W30/SER_hh_num!W30)</f>
        <v>5827.7385328240334</v>
      </c>
      <c r="X30" s="132">
        <f>IF(SER_hh_emi!X30=0,0,1000000*SER_hh_emi!X30/SER_hh_num!X30)</f>
        <v>6061.6383379996305</v>
      </c>
      <c r="Y30" s="132">
        <f>IF(SER_hh_emi!Y30=0,0,1000000*SER_hh_emi!Y30/SER_hh_num!Y30)</f>
        <v>6381.7155123757111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4754.0541455243747</v>
      </c>
      <c r="C31" s="132">
        <f>IF(SER_hh_emi!C31=0,0,1000000*SER_hh_emi!C31/SER_hh_num!C31)</f>
        <v>7003.6710629581894</v>
      </c>
      <c r="D31" s="132">
        <f>IF(SER_hh_emi!D31=0,0,1000000*SER_hh_emi!D31/SER_hh_num!D31)</f>
        <v>5809.6092735838738</v>
      </c>
      <c r="E31" s="132">
        <f>IF(SER_hh_emi!E31=0,0,1000000*SER_hh_emi!E31/SER_hh_num!E31)</f>
        <v>6104.2126032443257</v>
      </c>
      <c r="F31" s="132">
        <f>IF(SER_hh_emi!F31=0,0,1000000*SER_hh_emi!F31/SER_hh_num!F31)</f>
        <v>6560.1676873100159</v>
      </c>
      <c r="G31" s="132">
        <f>IF(SER_hh_emi!G31=0,0,1000000*SER_hh_emi!G31/SER_hh_num!G31)</f>
        <v>6268.1439123201126</v>
      </c>
      <c r="H31" s="132">
        <f>IF(SER_hh_emi!H31=0,0,1000000*SER_hh_emi!H31/SER_hh_num!H31)</f>
        <v>6308.9961968432317</v>
      </c>
      <c r="I31" s="132">
        <f>IF(SER_hh_emi!I31=0,0,1000000*SER_hh_emi!I31/SER_hh_num!I31)</f>
        <v>6168.5212618299702</v>
      </c>
      <c r="J31" s="132">
        <f>IF(SER_hh_emi!J31=0,0,1000000*SER_hh_emi!J31/SER_hh_num!J31)</f>
        <v>6177.7471548041121</v>
      </c>
      <c r="K31" s="132">
        <f>IF(SER_hh_emi!K31=0,0,1000000*SER_hh_emi!K31/SER_hh_num!K31)</f>
        <v>6132.1076386779505</v>
      </c>
      <c r="L31" s="132">
        <f>IF(SER_hh_emi!L31=0,0,1000000*SER_hh_emi!L31/SER_hh_num!L31)</f>
        <v>6126.6244503661301</v>
      </c>
      <c r="M31" s="132">
        <f>IF(SER_hh_emi!M31=0,0,1000000*SER_hh_emi!M31/SER_hh_num!M31)</f>
        <v>6177.4262605551894</v>
      </c>
      <c r="N31" s="132">
        <f>IF(SER_hh_emi!N31=0,0,1000000*SER_hh_emi!N31/SER_hh_num!N31)</f>
        <v>6151.3125696484012</v>
      </c>
      <c r="O31" s="132">
        <f>IF(SER_hh_emi!O31=0,0,1000000*SER_hh_emi!O31/SER_hh_num!O31)</f>
        <v>6170.0653932684354</v>
      </c>
      <c r="P31" s="132">
        <f>IF(SER_hh_emi!P31=0,0,1000000*SER_hh_emi!P31/SER_hh_num!P31)</f>
        <v>5992.6089123691054</v>
      </c>
      <c r="Q31" s="132">
        <f>IF(SER_hh_emi!Q31=0,0,1000000*SER_hh_emi!Q31/SER_hh_num!Q31)</f>
        <v>5820.3887233888627</v>
      </c>
      <c r="R31" s="132">
        <f>IF(SER_hh_emi!R31=0,0,1000000*SER_hh_emi!R31/SER_hh_num!R31)</f>
        <v>5752.3625933621361</v>
      </c>
      <c r="S31" s="132">
        <f>IF(SER_hh_emi!S31=0,0,1000000*SER_hh_emi!S31/SER_hh_num!S31)</f>
        <v>5701.0837032356558</v>
      </c>
      <c r="T31" s="132">
        <f>IF(SER_hh_emi!T31=0,0,1000000*SER_hh_emi!T31/SER_hh_num!T31)</f>
        <v>5674.7938591756974</v>
      </c>
      <c r="U31" s="132">
        <f>IF(SER_hh_emi!U31=0,0,1000000*SER_hh_emi!U31/SER_hh_num!U31)</f>
        <v>5630.7529515130946</v>
      </c>
      <c r="V31" s="132">
        <f>IF(SER_hh_emi!V31=0,0,1000000*SER_hh_emi!V31/SER_hh_num!V31)</f>
        <v>5313.0951949450109</v>
      </c>
      <c r="W31" s="132">
        <f>IF(SER_hh_emi!W31=0,0,1000000*SER_hh_emi!W31/SER_hh_num!W31)</f>
        <v>5696.9361519985514</v>
      </c>
      <c r="X31" s="132">
        <f>IF(SER_hh_emi!X31=0,0,1000000*SER_hh_emi!X31/SER_hh_num!X31)</f>
        <v>5600.4539314528374</v>
      </c>
      <c r="Y31" s="132">
        <f>IF(SER_hh_emi!Y31=0,0,1000000*SER_hh_emi!Y31/SER_hh_num!Y31)</f>
        <v>5425.9152648984091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410.40747582243591</v>
      </c>
      <c r="C3" s="125">
        <f>IF(SER_hh_fech!C3=0,0,SER_hh_fech!C3/SER_summary!C$26)</f>
        <v>425.13785256256108</v>
      </c>
      <c r="D3" s="125">
        <f>IF(SER_hh_fech!D3=0,0,SER_hh_fech!D3/SER_summary!D$26)</f>
        <v>379.7395499358222</v>
      </c>
      <c r="E3" s="125">
        <f>IF(SER_hh_fech!E3=0,0,SER_hh_fech!E3/SER_summary!E$26)</f>
        <v>379.6526116386961</v>
      </c>
      <c r="F3" s="125">
        <f>IF(SER_hh_fech!F3=0,0,SER_hh_fech!F3/SER_summary!F$26)</f>
        <v>435.57252099533667</v>
      </c>
      <c r="G3" s="125">
        <f>IF(SER_hh_fech!G3=0,0,SER_hh_fech!G3/SER_summary!G$26)</f>
        <v>417.19561838714111</v>
      </c>
      <c r="H3" s="125">
        <f>IF(SER_hh_fech!H3=0,0,SER_hh_fech!H3/SER_summary!H$26)</f>
        <v>366.87983781487458</v>
      </c>
      <c r="I3" s="125">
        <f>IF(SER_hh_fech!I3=0,0,SER_hh_fech!I3/SER_summary!I$26)</f>
        <v>307.14124347269313</v>
      </c>
      <c r="J3" s="125">
        <f>IF(SER_hh_fech!J3=0,0,SER_hh_fech!J3/SER_summary!J$26)</f>
        <v>300.71569757566908</v>
      </c>
      <c r="K3" s="125">
        <f>IF(SER_hh_fech!K3=0,0,SER_hh_fech!K3/SER_summary!K$26)</f>
        <v>322.91537941563769</v>
      </c>
      <c r="L3" s="125">
        <f>IF(SER_hh_fech!L3=0,0,SER_hh_fech!L3/SER_summary!L$26)</f>
        <v>341.59258055147637</v>
      </c>
      <c r="M3" s="125">
        <f>IF(SER_hh_fech!M3=0,0,SER_hh_fech!M3/SER_summary!M$26)</f>
        <v>340.82578359074779</v>
      </c>
      <c r="N3" s="125">
        <f>IF(SER_hh_fech!N3=0,0,SER_hh_fech!N3/SER_summary!N$26)</f>
        <v>247.93590744804422</v>
      </c>
      <c r="O3" s="125">
        <f>IF(SER_hh_fech!O3=0,0,SER_hh_fech!O3/SER_summary!O$26)</f>
        <v>244.08314667434826</v>
      </c>
      <c r="P3" s="125">
        <f>IF(SER_hh_fech!P3=0,0,SER_hh_fech!P3/SER_summary!P$26)</f>
        <v>208.90896074050258</v>
      </c>
      <c r="Q3" s="125">
        <f>IF(SER_hh_fech!Q3=0,0,SER_hh_fech!Q3/SER_summary!Q$26)</f>
        <v>221.64905734497594</v>
      </c>
      <c r="R3" s="125">
        <f>IF(SER_hh_fech!R3=0,0,SER_hh_fech!R3/SER_summary!R$26)</f>
        <v>218.63625973637849</v>
      </c>
      <c r="S3" s="125">
        <f>IF(SER_hh_fech!S3=0,0,SER_hh_fech!S3/SER_summary!S$26)</f>
        <v>212.42621523193591</v>
      </c>
      <c r="T3" s="125">
        <f>IF(SER_hh_fech!T3=0,0,SER_hh_fech!T3/SER_summary!T$26)</f>
        <v>203.80808911914866</v>
      </c>
      <c r="U3" s="125">
        <f>IF(SER_hh_fech!U3=0,0,SER_hh_fech!U3/SER_summary!U$26)</f>
        <v>196.80787189531551</v>
      </c>
      <c r="V3" s="125">
        <f>IF(SER_hh_fech!V3=0,0,SER_hh_fech!V3/SER_summary!V$26)</f>
        <v>191.1709708544268</v>
      </c>
      <c r="W3" s="125">
        <f>IF(SER_hh_fech!W3=0,0,SER_hh_fech!W3/SER_summary!W$26)</f>
        <v>198.87135677322982</v>
      </c>
      <c r="X3" s="125">
        <f>IF(SER_hh_fech!X3=0,0,SER_hh_fech!X3/SER_summary!X$26)</f>
        <v>174.84793355765242</v>
      </c>
      <c r="Y3" s="125">
        <f>IF(SER_hh_fech!Y3=0,0,SER_hh_fech!Y3/SER_summary!Y$26)</f>
        <v>142.85250196193076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347.23177569043219</v>
      </c>
      <c r="C4" s="130">
        <f>IF(SER_hh_fech!C4=0,0,SER_hh_fech!C4/SER_summary!C$26)</f>
        <v>362.41887273532456</v>
      </c>
      <c r="D4" s="130">
        <f>IF(SER_hh_fech!D4=0,0,SER_hh_fech!D4/SER_summary!D$26)</f>
        <v>316.48421270464928</v>
      </c>
      <c r="E4" s="130">
        <f>IF(SER_hh_fech!E4=0,0,SER_hh_fech!E4/SER_summary!E$26)</f>
        <v>316.59405716801876</v>
      </c>
      <c r="F4" s="130">
        <f>IF(SER_hh_fech!F4=0,0,SER_hh_fech!F4/SER_summary!F$26)</f>
        <v>372.99210113275643</v>
      </c>
      <c r="G4" s="130">
        <f>IF(SER_hh_fech!G4=0,0,SER_hh_fech!G4/SER_summary!G$26)</f>
        <v>355.17426496482312</v>
      </c>
      <c r="H4" s="130">
        <f>IF(SER_hh_fech!H4=0,0,SER_hh_fech!H4/SER_summary!H$26)</f>
        <v>304.58354883238235</v>
      </c>
      <c r="I4" s="130">
        <f>IF(SER_hh_fech!I4=0,0,SER_hh_fech!I4/SER_summary!I$26)</f>
        <v>245.49708757262707</v>
      </c>
      <c r="J4" s="130">
        <f>IF(SER_hh_fech!J4=0,0,SER_hh_fech!J4/SER_summary!J$26)</f>
        <v>239.05314442253112</v>
      </c>
      <c r="K4" s="130">
        <f>IF(SER_hh_fech!K4=0,0,SER_hh_fech!K4/SER_summary!K$26)</f>
        <v>260.56988949678805</v>
      </c>
      <c r="L4" s="130">
        <f>IF(SER_hh_fech!L4=0,0,SER_hh_fech!L4/SER_summary!L$26)</f>
        <v>278.56130153927489</v>
      </c>
      <c r="M4" s="130">
        <f>IF(SER_hh_fech!M4=0,0,SER_hh_fech!M4/SER_summary!M$26)</f>
        <v>277.98424187294574</v>
      </c>
      <c r="N4" s="130">
        <f>IF(SER_hh_fech!N4=0,0,SER_hh_fech!N4/SER_summary!N$26)</f>
        <v>185.26179950960946</v>
      </c>
      <c r="O4" s="130">
        <f>IF(SER_hh_fech!O4=0,0,SER_hh_fech!O4/SER_summary!O$26)</f>
        <v>182.56572350644964</v>
      </c>
      <c r="P4" s="130">
        <f>IF(SER_hh_fech!P4=0,0,SER_hh_fech!P4/SER_summary!P$26)</f>
        <v>149.58847665668677</v>
      </c>
      <c r="Q4" s="130">
        <f>IF(SER_hh_fech!Q4=0,0,SER_hh_fech!Q4/SER_summary!Q$26)</f>
        <v>161.42972317882092</v>
      </c>
      <c r="R4" s="130">
        <f>IF(SER_hh_fech!R4=0,0,SER_hh_fech!R4/SER_summary!R$26)</f>
        <v>160.24660427266579</v>
      </c>
      <c r="S4" s="130">
        <f>IF(SER_hh_fech!S4=0,0,SER_hh_fech!S4/SER_summary!S$26)</f>
        <v>154.82234457140382</v>
      </c>
      <c r="T4" s="130">
        <f>IF(SER_hh_fech!T4=0,0,SER_hh_fech!T4/SER_summary!T$26)</f>
        <v>146.44186771652747</v>
      </c>
      <c r="U4" s="130">
        <f>IF(SER_hh_fech!U4=0,0,SER_hh_fech!U4/SER_summary!U$26)</f>
        <v>140.73615023824652</v>
      </c>
      <c r="V4" s="130">
        <f>IF(SER_hh_fech!V4=0,0,SER_hh_fech!V4/SER_summary!V$26)</f>
        <v>139.88046848455537</v>
      </c>
      <c r="W4" s="130">
        <f>IF(SER_hh_fech!W4=0,0,SER_hh_fech!W4/SER_summary!W$26)</f>
        <v>145.7212420807802</v>
      </c>
      <c r="X4" s="130">
        <f>IF(SER_hh_fech!X4=0,0,SER_hh_fech!X4/SER_summary!X$26)</f>
        <v>122.31169261972386</v>
      </c>
      <c r="Y4" s="130">
        <f>IF(SER_hh_fech!Y4=0,0,SER_hh_fech!Y4/SER_summary!Y$26)</f>
        <v>91.817089109337402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419.17245014479073</v>
      </c>
      <c r="C5" s="132">
        <f>IF(SER_hh_fech!C5=0,0,SER_hh_fech!C5/SER_summary!C$26)</f>
        <v>317.42740781087394</v>
      </c>
      <c r="D5" s="132">
        <f>IF(SER_hh_fech!D5=0,0,SER_hh_fech!D5/SER_summary!D$26)</f>
        <v>309.22394166381741</v>
      </c>
      <c r="E5" s="132">
        <f>IF(SER_hh_fech!E5=0,0,SER_hh_fech!E5/SER_summary!E$26)</f>
        <v>382.31257512183487</v>
      </c>
      <c r="F5" s="132">
        <f>IF(SER_hh_fech!F5=0,0,SER_hh_fech!F5/SER_summary!F$26)</f>
        <v>339.16632201250059</v>
      </c>
      <c r="G5" s="132">
        <f>IF(SER_hh_fech!G5=0,0,SER_hh_fech!G5/SER_summary!G$26)</f>
        <v>187.39303658125527</v>
      </c>
      <c r="H5" s="132">
        <f>IF(SER_hh_fech!H5=0,0,SER_hh_fech!H5/SER_summary!H$26)</f>
        <v>360.1177699933159</v>
      </c>
      <c r="I5" s="132">
        <f>IF(SER_hh_fech!I5=0,0,SER_hh_fech!I5/SER_summary!I$26)</f>
        <v>298.84120994267545</v>
      </c>
      <c r="J5" s="132">
        <f>IF(SER_hh_fech!J5=0,0,SER_hh_fech!J5/SER_summary!J$26)</f>
        <v>290.38752282870104</v>
      </c>
      <c r="K5" s="132">
        <f>IF(SER_hh_fech!K5=0,0,SER_hh_fech!K5/SER_summary!K$26)</f>
        <v>273.94152988321611</v>
      </c>
      <c r="L5" s="132">
        <f>IF(SER_hh_fech!L5=0,0,SER_hh_fech!L5/SER_summary!L$26)</f>
        <v>304.0342665558203</v>
      </c>
      <c r="M5" s="132">
        <f>IF(SER_hh_fech!M5=0,0,SER_hh_fech!M5/SER_summary!M$26)</f>
        <v>343.47357963315477</v>
      </c>
      <c r="N5" s="132">
        <f>IF(SER_hh_fech!N5=0,0,SER_hh_fech!N5/SER_summary!N$26)</f>
        <v>93.740515228568569</v>
      </c>
      <c r="O5" s="132">
        <f>IF(SER_hh_fech!O5=0,0,SER_hh_fech!O5/SER_summary!O$26)</f>
        <v>192.2147334724371</v>
      </c>
      <c r="P5" s="132">
        <f>IF(SER_hh_fech!P5=0,0,SER_hh_fech!P5/SER_summary!P$26)</f>
        <v>148.13332518487783</v>
      </c>
      <c r="Q5" s="132">
        <f>IF(SER_hh_fech!Q5=0,0,SER_hh_fech!Q5/SER_summary!Q$26)</f>
        <v>172.87428678510418</v>
      </c>
      <c r="R5" s="132">
        <f>IF(SER_hh_fech!R5=0,0,SER_hh_fech!R5/SER_summary!R$26)</f>
        <v>183.44581424348542</v>
      </c>
      <c r="S5" s="132">
        <f>IF(SER_hh_fech!S5=0,0,SER_hh_fech!S5/SER_summary!S$26)</f>
        <v>118.0771229512777</v>
      </c>
      <c r="T5" s="132">
        <f>IF(SER_hh_fech!T5=0,0,SER_hh_fech!T5/SER_summary!T$26)</f>
        <v>141.49685634248024</v>
      </c>
      <c r="U5" s="132">
        <f>IF(SER_hh_fech!U5=0,0,SER_hh_fech!U5/SER_summary!U$26)</f>
        <v>157.17329033964188</v>
      </c>
      <c r="V5" s="132">
        <f>IF(SER_hh_fech!V5=0,0,SER_hh_fech!V5/SER_summary!V$26)</f>
        <v>134.77871972843437</v>
      </c>
      <c r="W5" s="132">
        <f>IF(SER_hh_fech!W5=0,0,SER_hh_fech!W5/SER_summary!W$26)</f>
        <v>142.75935251999564</v>
      </c>
      <c r="X5" s="132">
        <f>IF(SER_hh_fech!X5=0,0,SER_hh_fech!X5/SER_summary!X$26)</f>
        <v>185.5390392967812</v>
      </c>
      <c r="Y5" s="132">
        <f>IF(SER_hh_fech!Y5=0,0,SER_hh_fech!Y5/SER_summary!Y$26)</f>
        <v>78.799675610628498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410.31969639766356</v>
      </c>
      <c r="C7" s="132">
        <f>IF(SER_hh_fech!C7=0,0,SER_hh_fech!C7/SER_summary!C$26)</f>
        <v>489.38153848678604</v>
      </c>
      <c r="D7" s="132">
        <f>IF(SER_hh_fech!D7=0,0,SER_hh_fech!D7/SER_summary!D$26)</f>
        <v>325.40023764676175</v>
      </c>
      <c r="E7" s="132">
        <f>IF(SER_hh_fech!E7=0,0,SER_hh_fech!E7/SER_summary!E$26)</f>
        <v>327.00176082449366</v>
      </c>
      <c r="F7" s="132">
        <f>IF(SER_hh_fech!F7=0,0,SER_hh_fech!F7/SER_summary!F$26)</f>
        <v>385.74506509760687</v>
      </c>
      <c r="G7" s="132">
        <f>IF(SER_hh_fech!G7=0,0,SER_hh_fech!G7/SER_summary!G$26)</f>
        <v>499.70576802026721</v>
      </c>
      <c r="H7" s="132">
        <f>IF(SER_hh_fech!H7=0,0,SER_hh_fech!H7/SER_summary!H$26)</f>
        <v>512.70758434263678</v>
      </c>
      <c r="I7" s="132">
        <f>IF(SER_hh_fech!I7=0,0,SER_hh_fech!I7/SER_summary!I$26)</f>
        <v>0</v>
      </c>
      <c r="J7" s="132">
        <f>IF(SER_hh_fech!J7=0,0,SER_hh_fech!J7/SER_summary!J$26)</f>
        <v>0</v>
      </c>
      <c r="K7" s="132">
        <f>IF(SER_hh_fech!K7=0,0,SER_hh_fech!K7/SER_summary!K$26)</f>
        <v>0</v>
      </c>
      <c r="L7" s="132">
        <f>IF(SER_hh_fech!L7=0,0,SER_hh_fech!L7/SER_summary!L$26)</f>
        <v>0</v>
      </c>
      <c r="M7" s="132">
        <f>IF(SER_hh_fech!M7=0,0,SER_hh_fech!M7/SER_summary!M$26)</f>
        <v>0</v>
      </c>
      <c r="N7" s="132">
        <f>IF(SER_hh_fech!N7=0,0,SER_hh_fech!N7/SER_summary!N$26)</f>
        <v>285.81402891400808</v>
      </c>
      <c r="O7" s="132">
        <f>IF(SER_hh_fech!O7=0,0,SER_hh_fech!O7/SER_summary!O$26)</f>
        <v>110.51575543607393</v>
      </c>
      <c r="P7" s="132">
        <f>IF(SER_hh_fech!P7=0,0,SER_hh_fech!P7/SER_summary!P$26)</f>
        <v>143.39796684669335</v>
      </c>
      <c r="Q7" s="132">
        <f>IF(SER_hh_fech!Q7=0,0,SER_hh_fech!Q7/SER_summary!Q$26)</f>
        <v>179.26665912056745</v>
      </c>
      <c r="R7" s="132">
        <f>IF(SER_hh_fech!R7=0,0,SER_hh_fech!R7/SER_summary!R$26)</f>
        <v>181.13390273630839</v>
      </c>
      <c r="S7" s="132">
        <f>IF(SER_hh_fech!S7=0,0,SER_hh_fech!S7/SER_summary!S$26)</f>
        <v>153.35228523506797</v>
      </c>
      <c r="T7" s="132">
        <f>IF(SER_hh_fech!T7=0,0,SER_hh_fech!T7/SER_summary!T$26)</f>
        <v>165.50087494133399</v>
      </c>
      <c r="U7" s="132">
        <f>IF(SER_hh_fech!U7=0,0,SER_hh_fech!U7/SER_summary!U$26)</f>
        <v>144.58192130884129</v>
      </c>
      <c r="V7" s="132">
        <f>IF(SER_hh_fech!V7=0,0,SER_hh_fech!V7/SER_summary!V$26)</f>
        <v>145.6342760168358</v>
      </c>
      <c r="W7" s="132">
        <f>IF(SER_hh_fech!W7=0,0,SER_hh_fech!W7/SER_summary!W$26)</f>
        <v>176.6924406095265</v>
      </c>
      <c r="X7" s="132">
        <f>IF(SER_hh_fech!X7=0,0,SER_hh_fech!X7/SER_summary!X$26)</f>
        <v>124.69066993083084</v>
      </c>
      <c r="Y7" s="132">
        <f>IF(SER_hh_fech!Y7=0,0,SER_hh_fech!Y7/SER_summary!Y$26)</f>
        <v>112.10822776607556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0</v>
      </c>
      <c r="C8" s="132">
        <f>IF(SER_hh_fech!C8=0,0,SER_hh_fech!C8/SER_summary!C$26)</f>
        <v>0</v>
      </c>
      <c r="D8" s="132">
        <f>IF(SER_hh_fech!D8=0,0,SER_hh_fech!D8/SER_summary!D$26)</f>
        <v>0</v>
      </c>
      <c r="E8" s="132">
        <f>IF(SER_hh_fech!E8=0,0,SER_hh_fech!E8/SER_summary!E$26)</f>
        <v>0</v>
      </c>
      <c r="F8" s="132">
        <f>IF(SER_hh_fech!F8=0,0,SER_hh_fech!F8/SER_summary!F$26)</f>
        <v>0</v>
      </c>
      <c r="G8" s="132">
        <f>IF(SER_hh_fech!G8=0,0,SER_hh_fech!G8/SER_summary!G$26)</f>
        <v>0</v>
      </c>
      <c r="H8" s="132">
        <f>IF(SER_hh_fech!H8=0,0,SER_hh_fech!H8/SER_summary!H$26)</f>
        <v>0</v>
      </c>
      <c r="I8" s="132">
        <f>IF(SER_hh_fech!I8=0,0,SER_hh_fech!I8/SER_summary!I$26)</f>
        <v>0</v>
      </c>
      <c r="J8" s="132">
        <f>IF(SER_hh_fech!J8=0,0,SER_hh_fech!J8/SER_summary!J$26)</f>
        <v>0</v>
      </c>
      <c r="K8" s="132">
        <f>IF(SER_hh_fech!K8=0,0,SER_hh_fech!K8/SER_summary!K$26)</f>
        <v>0</v>
      </c>
      <c r="L8" s="132">
        <f>IF(SER_hh_fech!L8=0,0,SER_hh_fech!L8/SER_summary!L$26)</f>
        <v>0</v>
      </c>
      <c r="M8" s="132">
        <f>IF(SER_hh_fech!M8=0,0,SER_hh_fech!M8/SER_summary!M$26)</f>
        <v>0</v>
      </c>
      <c r="N8" s="132">
        <f>IF(SER_hh_fech!N8=0,0,SER_hh_fech!N8/SER_summary!N$26)</f>
        <v>0</v>
      </c>
      <c r="O8" s="132">
        <f>IF(SER_hh_fech!O8=0,0,SER_hh_fech!O8/SER_summary!O$26)</f>
        <v>0</v>
      </c>
      <c r="P8" s="132">
        <f>IF(SER_hh_fech!P8=0,0,SER_hh_fech!P8/SER_summary!P$26)</f>
        <v>0</v>
      </c>
      <c r="Q8" s="132">
        <f>IF(SER_hh_fech!Q8=0,0,SER_hh_fech!Q8/SER_summary!Q$26)</f>
        <v>0</v>
      </c>
      <c r="R8" s="132">
        <f>IF(SER_hh_fech!R8=0,0,SER_hh_fech!R8/SER_summary!R$26)</f>
        <v>11.650252020251978</v>
      </c>
      <c r="S8" s="132">
        <f>IF(SER_hh_fech!S8=0,0,SER_hh_fech!S8/SER_summary!S$26)</f>
        <v>27.898290443511648</v>
      </c>
      <c r="T8" s="132">
        <f>IF(SER_hh_fech!T8=0,0,SER_hh_fech!T8/SER_summary!T$26)</f>
        <v>36.929411616470205</v>
      </c>
      <c r="U8" s="132">
        <f>IF(SER_hh_fech!U8=0,0,SER_hh_fech!U8/SER_summary!U$26)</f>
        <v>31.427664793780419</v>
      </c>
      <c r="V8" s="132">
        <f>IF(SER_hh_fech!V8=0,0,SER_hh_fech!V8/SER_summary!V$26)</f>
        <v>42.257766312630196</v>
      </c>
      <c r="W8" s="132">
        <f>IF(SER_hh_fech!W8=0,0,SER_hh_fech!W8/SER_summary!W$26)</f>
        <v>30.786879808836503</v>
      </c>
      <c r="X8" s="132">
        <f>IF(SER_hh_fech!X8=0,0,SER_hh_fech!X8/SER_summary!X$26)</f>
        <v>30.244475688627908</v>
      </c>
      <c r="Y8" s="132">
        <f>IF(SER_hh_fech!Y8=0,0,SER_hh_fech!Y8/SER_summary!Y$26)</f>
        <v>27.230599598570564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379.12862497789428</v>
      </c>
      <c r="C9" s="132">
        <f>IF(SER_hh_fech!C9=0,0,SER_hh_fech!C9/SER_summary!C$26)</f>
        <v>395.18353189380889</v>
      </c>
      <c r="D9" s="132">
        <f>IF(SER_hh_fech!D9=0,0,SER_hh_fech!D9/SER_summary!D$26)</f>
        <v>340.79936436481364</v>
      </c>
      <c r="E9" s="132">
        <f>IF(SER_hh_fech!E9=0,0,SER_hh_fech!E9/SER_summary!E$26)</f>
        <v>334.40542527732833</v>
      </c>
      <c r="F9" s="132">
        <f>IF(SER_hh_fech!F9=0,0,SER_hh_fech!F9/SER_summary!F$26)</f>
        <v>411.33838925297215</v>
      </c>
      <c r="G9" s="132">
        <f>IF(SER_hh_fech!G9=0,0,SER_hh_fech!G9/SER_summary!G$26)</f>
        <v>385.69741566566682</v>
      </c>
      <c r="H9" s="132">
        <f>IF(SER_hh_fech!H9=0,0,SER_hh_fech!H9/SER_summary!H$26)</f>
        <v>336.41970519553911</v>
      </c>
      <c r="I9" s="132">
        <f>IF(SER_hh_fech!I9=0,0,SER_hh_fech!I9/SER_summary!I$26)</f>
        <v>263.13156604382874</v>
      </c>
      <c r="J9" s="132">
        <f>IF(SER_hh_fech!J9=0,0,SER_hh_fech!J9/SER_summary!J$26)</f>
        <v>257.62732772840667</v>
      </c>
      <c r="K9" s="132">
        <f>IF(SER_hh_fech!K9=0,0,SER_hh_fech!K9/SER_summary!K$26)</f>
        <v>287.80836329550885</v>
      </c>
      <c r="L9" s="132">
        <f>IF(SER_hh_fech!L9=0,0,SER_hh_fech!L9/SER_summary!L$26)</f>
        <v>306.02424147445549</v>
      </c>
      <c r="M9" s="132">
        <f>IF(SER_hh_fech!M9=0,0,SER_hh_fech!M9/SER_summary!M$26)</f>
        <v>288.92569736210299</v>
      </c>
      <c r="N9" s="132">
        <f>IF(SER_hh_fech!N9=0,0,SER_hh_fech!N9/SER_summary!N$26)</f>
        <v>203.15686028581115</v>
      </c>
      <c r="O9" s="132">
        <f>IF(SER_hh_fech!O9=0,0,SER_hh_fech!O9/SER_summary!O$26)</f>
        <v>196.25526063367974</v>
      </c>
      <c r="P9" s="132">
        <f>IF(SER_hh_fech!P9=0,0,SER_hh_fech!P9/SER_summary!P$26)</f>
        <v>159.83441541442926</v>
      </c>
      <c r="Q9" s="132">
        <f>IF(SER_hh_fech!Q9=0,0,SER_hh_fech!Q9/SER_summary!Q$26)</f>
        <v>169.8597621371492</v>
      </c>
      <c r="R9" s="132">
        <f>IF(SER_hh_fech!R9=0,0,SER_hh_fech!R9/SER_summary!R$26)</f>
        <v>169.37618183073317</v>
      </c>
      <c r="S9" s="132">
        <f>IF(SER_hh_fech!S9=0,0,SER_hh_fech!S9/SER_summary!S$26)</f>
        <v>163.79522780199886</v>
      </c>
      <c r="T9" s="132">
        <f>IF(SER_hh_fech!T9=0,0,SER_hh_fech!T9/SER_summary!T$26)</f>
        <v>153.02265354209899</v>
      </c>
      <c r="U9" s="132">
        <f>IF(SER_hh_fech!U9=0,0,SER_hh_fech!U9/SER_summary!U$26)</f>
        <v>146.11449403684992</v>
      </c>
      <c r="V9" s="132">
        <f>IF(SER_hh_fech!V9=0,0,SER_hh_fech!V9/SER_summary!V$26)</f>
        <v>149.50941446264036</v>
      </c>
      <c r="W9" s="132">
        <f>IF(SER_hh_fech!W9=0,0,SER_hh_fech!W9/SER_summary!W$26)</f>
        <v>158.94398783274087</v>
      </c>
      <c r="X9" s="132">
        <f>IF(SER_hh_fech!X9=0,0,SER_hh_fech!X9/SER_summary!X$26)</f>
        <v>129.46424378311431</v>
      </c>
      <c r="Y9" s="132">
        <f>IF(SER_hh_fech!Y9=0,0,SER_hh_fech!Y9/SER_summary!Y$26)</f>
        <v>98.684919751161956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432.08521805765315</v>
      </c>
      <c r="C10" s="132">
        <f>IF(SER_hh_fech!C10=0,0,SER_hh_fech!C10/SER_summary!C$26)</f>
        <v>369.02449874897121</v>
      </c>
      <c r="D10" s="132">
        <f>IF(SER_hh_fech!D10=0,0,SER_hh_fech!D10/SER_summary!D$26)</f>
        <v>391.43001760540926</v>
      </c>
      <c r="E10" s="132">
        <f>IF(SER_hh_fech!E10=0,0,SER_hh_fech!E10/SER_summary!E$26)</f>
        <v>469.92947568799383</v>
      </c>
      <c r="F10" s="132">
        <f>IF(SER_hh_fech!F10=0,0,SER_hh_fech!F10/SER_summary!F$26)</f>
        <v>450.69349393955684</v>
      </c>
      <c r="G10" s="132">
        <f>IF(SER_hh_fech!G10=0,0,SER_hh_fech!G10/SER_summary!G$26)</f>
        <v>335.73485356161075</v>
      </c>
      <c r="H10" s="132">
        <f>IF(SER_hh_fech!H10=0,0,SER_hh_fech!H10/SER_summary!H$26)</f>
        <v>345.85274868713475</v>
      </c>
      <c r="I10" s="132">
        <f>IF(SER_hh_fech!I10=0,0,SER_hh_fech!I10/SER_summary!I$26)</f>
        <v>309.42010523660804</v>
      </c>
      <c r="J10" s="132">
        <f>IF(SER_hh_fech!J10=0,0,SER_hh_fech!J10/SER_summary!J$26)</f>
        <v>296.14349993195987</v>
      </c>
      <c r="K10" s="132">
        <f>IF(SER_hh_fech!K10=0,0,SER_hh_fech!K10/SER_summary!K$26)</f>
        <v>312.02970852625037</v>
      </c>
      <c r="L10" s="132">
        <f>IF(SER_hh_fech!L10=0,0,SER_hh_fech!L10/SER_summary!L$26)</f>
        <v>313.93507259271337</v>
      </c>
      <c r="M10" s="132">
        <f>IF(SER_hh_fech!M10=0,0,SER_hh_fech!M10/SER_summary!M$26)</f>
        <v>289.38464512217945</v>
      </c>
      <c r="N10" s="132">
        <f>IF(SER_hh_fech!N10=0,0,SER_hh_fech!N10/SER_summary!N$26)</f>
        <v>233.69033730901572</v>
      </c>
      <c r="O10" s="132">
        <f>IF(SER_hh_fech!O10=0,0,SER_hh_fech!O10/SER_summary!O$26)</f>
        <v>208.8402880112796</v>
      </c>
      <c r="P10" s="132">
        <f>IF(SER_hh_fech!P10=0,0,SER_hh_fech!P10/SER_summary!P$26)</f>
        <v>168.56197089459769</v>
      </c>
      <c r="Q10" s="132">
        <f>IF(SER_hh_fech!Q10=0,0,SER_hh_fech!Q10/SER_summary!Q$26)</f>
        <v>204.18633243223493</v>
      </c>
      <c r="R10" s="132">
        <f>IF(SER_hh_fech!R10=0,0,SER_hh_fech!R10/SER_summary!R$26)</f>
        <v>183.03455302659563</v>
      </c>
      <c r="S10" s="132">
        <f>IF(SER_hh_fech!S10=0,0,SER_hh_fech!S10/SER_summary!S$26)</f>
        <v>187.29680471523119</v>
      </c>
      <c r="T10" s="132">
        <f>IF(SER_hh_fech!T10=0,0,SER_hh_fech!T10/SER_summary!T$26)</f>
        <v>175.36273048510293</v>
      </c>
      <c r="U10" s="132">
        <f>IF(SER_hh_fech!U10=0,0,SER_hh_fech!U10/SER_summary!U$26)</f>
        <v>194.79904141313767</v>
      </c>
      <c r="V10" s="132">
        <f>IF(SER_hh_fech!V10=0,0,SER_hh_fech!V10/SER_summary!V$26)</f>
        <v>182.19827596200517</v>
      </c>
      <c r="W10" s="132">
        <f>IF(SER_hh_fech!W10=0,0,SER_hh_fech!W10/SER_summary!W$26)</f>
        <v>154.18812295226999</v>
      </c>
      <c r="X10" s="132">
        <f>IF(SER_hh_fech!X10=0,0,SER_hh_fech!X10/SER_summary!X$26)</f>
        <v>157.15411889298983</v>
      </c>
      <c r="Y10" s="132">
        <f>IF(SER_hh_fech!Y10=0,0,SER_hh_fech!Y10/SER_summary!Y$26)</f>
        <v>140.97325824673933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258.1748559914235</v>
      </c>
      <c r="C11" s="132">
        <f>IF(SER_hh_fech!C11=0,0,SER_hh_fech!C11/SER_summary!C$26)</f>
        <v>251.642889962325</v>
      </c>
      <c r="D11" s="132">
        <f>IF(SER_hh_fech!D11=0,0,SER_hh_fech!D11/SER_summary!D$26)</f>
        <v>245.93637749626899</v>
      </c>
      <c r="E11" s="132">
        <f>IF(SER_hh_fech!E11=0,0,SER_hh_fech!E11/SER_summary!E$26)</f>
        <v>251.89945214537306</v>
      </c>
      <c r="F11" s="132">
        <f>IF(SER_hh_fech!F11=0,0,SER_hh_fech!F11/SER_summary!F$26)</f>
        <v>239.85698200845007</v>
      </c>
      <c r="G11" s="132">
        <f>IF(SER_hh_fech!G11=0,0,SER_hh_fech!G11/SER_summary!G$26)</f>
        <v>235.42680126374884</v>
      </c>
      <c r="H11" s="132">
        <f>IF(SER_hh_fech!H11=0,0,SER_hh_fech!H11/SER_summary!H$26)</f>
        <v>216.10859344140479</v>
      </c>
      <c r="I11" s="132">
        <f>IF(SER_hh_fech!I11=0,0,SER_hh_fech!I11/SER_summary!I$26)</f>
        <v>190.89640458202658</v>
      </c>
      <c r="J11" s="132">
        <f>IF(SER_hh_fech!J11=0,0,SER_hh_fech!J11/SER_summary!J$26)</f>
        <v>199.18118109684855</v>
      </c>
      <c r="K11" s="132">
        <f>IF(SER_hh_fech!K11=0,0,SER_hh_fech!K11/SER_summary!K$26)</f>
        <v>201.75892558625941</v>
      </c>
      <c r="L11" s="132">
        <f>IF(SER_hh_fech!L11=0,0,SER_hh_fech!L11/SER_summary!L$26)</f>
        <v>195.4982012527723</v>
      </c>
      <c r="M11" s="132">
        <f>IF(SER_hh_fech!M11=0,0,SER_hh_fech!M11/SER_summary!M$26)</f>
        <v>192.96315430712193</v>
      </c>
      <c r="N11" s="132">
        <f>IF(SER_hh_fech!N11=0,0,SER_hh_fech!N11/SER_summary!N$26)</f>
        <v>184.20912341305683</v>
      </c>
      <c r="O11" s="132">
        <f>IF(SER_hh_fech!O11=0,0,SER_hh_fech!O11/SER_summary!O$26)</f>
        <v>195.98202088609241</v>
      </c>
      <c r="P11" s="132">
        <f>IF(SER_hh_fech!P11=0,0,SER_hh_fech!P11/SER_summary!P$26)</f>
        <v>75.419658712919315</v>
      </c>
      <c r="Q11" s="132">
        <f>IF(SER_hh_fech!Q11=0,0,SER_hh_fech!Q11/SER_summary!Q$26)</f>
        <v>96.34308845705641</v>
      </c>
      <c r="R11" s="132">
        <f>IF(SER_hh_fech!R11=0,0,SER_hh_fech!R11/SER_summary!R$26)</f>
        <v>106.85081496800615</v>
      </c>
      <c r="S11" s="132">
        <f>IF(SER_hh_fech!S11=0,0,SER_hh_fech!S11/SER_summary!S$26)</f>
        <v>135.88582058512321</v>
      </c>
      <c r="T11" s="132">
        <f>IF(SER_hh_fech!T11=0,0,SER_hh_fech!T11/SER_summary!T$26)</f>
        <v>122.94446394550239</v>
      </c>
      <c r="U11" s="132">
        <f>IF(SER_hh_fech!U11=0,0,SER_hh_fech!U11/SER_summary!U$26)</f>
        <v>124.82283441497744</v>
      </c>
      <c r="V11" s="132">
        <f>IF(SER_hh_fech!V11=0,0,SER_hh_fech!V11/SER_summary!V$26)</f>
        <v>106.3119221051348</v>
      </c>
      <c r="W11" s="132">
        <f>IF(SER_hh_fech!W11=0,0,SER_hh_fech!W11/SER_summary!W$26)</f>
        <v>116.95541605452931</v>
      </c>
      <c r="X11" s="132">
        <f>IF(SER_hh_fech!X11=0,0,SER_hh_fech!X11/SER_summary!X$26)</f>
        <v>105.03059004758676</v>
      </c>
      <c r="Y11" s="132">
        <f>IF(SER_hh_fech!Y11=0,0,SER_hh_fech!Y11/SER_summary!Y$26)</f>
        <v>95.71393440469059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237.72574675370737</v>
      </c>
      <c r="C12" s="132">
        <f>IF(SER_hh_fech!C12=0,0,SER_hh_fech!C12/SER_summary!C$26)</f>
        <v>265.36463955556559</v>
      </c>
      <c r="D12" s="132">
        <f>IF(SER_hh_fech!D12=0,0,SER_hh_fech!D12/SER_summary!D$26)</f>
        <v>223.86260859056421</v>
      </c>
      <c r="E12" s="132">
        <f>IF(SER_hh_fech!E12=0,0,SER_hh_fech!E12/SER_summary!E$26)</f>
        <v>247.86973539468863</v>
      </c>
      <c r="F12" s="132">
        <f>IF(SER_hh_fech!F12=0,0,SER_hh_fech!F12/SER_summary!F$26)</f>
        <v>216.90836355691474</v>
      </c>
      <c r="G12" s="132">
        <f>IF(SER_hh_fech!G12=0,0,SER_hh_fech!G12/SER_summary!G$26)</f>
        <v>250.34552834677024</v>
      </c>
      <c r="H12" s="132">
        <f>IF(SER_hh_fech!H12=0,0,SER_hh_fech!H12/SER_summary!H$26)</f>
        <v>200.83062801323609</v>
      </c>
      <c r="I12" s="132">
        <f>IF(SER_hh_fech!I12=0,0,SER_hh_fech!I12/SER_summary!I$26)</f>
        <v>189.4173656544427</v>
      </c>
      <c r="J12" s="132">
        <f>IF(SER_hh_fech!J12=0,0,SER_hh_fech!J12/SER_summary!J$26)</f>
        <v>203.84410281518973</v>
      </c>
      <c r="K12" s="132">
        <f>IF(SER_hh_fech!K12=0,0,SER_hh_fech!K12/SER_summary!K$26)</f>
        <v>195.01354717822534</v>
      </c>
      <c r="L12" s="132">
        <f>IF(SER_hh_fech!L12=0,0,SER_hh_fech!L12/SER_summary!L$26)</f>
        <v>206.50044270270058</v>
      </c>
      <c r="M12" s="132">
        <f>IF(SER_hh_fech!M12=0,0,SER_hh_fech!M12/SER_summary!M$26)</f>
        <v>203.98282466915856</v>
      </c>
      <c r="N12" s="132">
        <f>IF(SER_hh_fech!N12=0,0,SER_hh_fech!N12/SER_summary!N$26)</f>
        <v>140.1941780698495</v>
      </c>
      <c r="O12" s="132">
        <f>IF(SER_hh_fech!O12=0,0,SER_hh_fech!O12/SER_summary!O$26)</f>
        <v>130.62423854578361</v>
      </c>
      <c r="P12" s="132">
        <f>IF(SER_hh_fech!P12=0,0,SER_hh_fech!P12/SER_summary!P$26)</f>
        <v>111.01468584286364</v>
      </c>
      <c r="Q12" s="132">
        <f>IF(SER_hh_fech!Q12=0,0,SER_hh_fech!Q12/SER_summary!Q$26)</f>
        <v>127.81528337282052</v>
      </c>
      <c r="R12" s="132">
        <f>IF(SER_hh_fech!R12=0,0,SER_hh_fech!R12/SER_summary!R$26)</f>
        <v>131.05256822074639</v>
      </c>
      <c r="S12" s="132">
        <f>IF(SER_hh_fech!S12=0,0,SER_hh_fech!S12/SER_summary!S$26)</f>
        <v>127.72668998804097</v>
      </c>
      <c r="T12" s="132">
        <f>IF(SER_hh_fech!T12=0,0,SER_hh_fech!T12/SER_summary!T$26)</f>
        <v>120.11662238523594</v>
      </c>
      <c r="U12" s="132">
        <f>IF(SER_hh_fech!U12=0,0,SER_hh_fech!U12/SER_summary!U$26)</f>
        <v>115.65242388541564</v>
      </c>
      <c r="V12" s="132">
        <f>IF(SER_hh_fech!V12=0,0,SER_hh_fech!V12/SER_summary!V$26)</f>
        <v>116.44134250579434</v>
      </c>
      <c r="W12" s="132">
        <f>IF(SER_hh_fech!W12=0,0,SER_hh_fech!W12/SER_summary!W$26)</f>
        <v>124.43889502594989</v>
      </c>
      <c r="X12" s="132">
        <f>IF(SER_hh_fech!X12=0,0,SER_hh_fech!X12/SER_summary!X$26)</f>
        <v>108.06044211709046</v>
      </c>
      <c r="Y12" s="132">
        <f>IF(SER_hh_fech!Y12=0,0,SER_hh_fech!Y12/SER_summary!Y$26)</f>
        <v>81.868656302225887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118.95646659272029</v>
      </c>
      <c r="C13" s="132">
        <f>IF(SER_hh_fech!C13=0,0,SER_hh_fech!C13/SER_summary!C$26)</f>
        <v>127.26628918039602</v>
      </c>
      <c r="D13" s="132">
        <f>IF(SER_hh_fech!D13=0,0,SER_hh_fech!D13/SER_summary!D$26)</f>
        <v>108.59427346616467</v>
      </c>
      <c r="E13" s="132">
        <f>IF(SER_hh_fech!E13=0,0,SER_hh_fech!E13/SER_summary!E$26)</f>
        <v>81.80673724697894</v>
      </c>
      <c r="F13" s="132">
        <f>IF(SER_hh_fech!F13=0,0,SER_hh_fech!F13/SER_summary!F$26)</f>
        <v>88.906276508246677</v>
      </c>
      <c r="G13" s="132">
        <f>IF(SER_hh_fech!G13=0,0,SER_hh_fech!G13/SER_summary!G$26)</f>
        <v>85.645027854907326</v>
      </c>
      <c r="H13" s="132">
        <f>IF(SER_hh_fech!H13=0,0,SER_hh_fech!H13/SER_summary!H$26)</f>
        <v>74.147972516782161</v>
      </c>
      <c r="I13" s="132">
        <f>IF(SER_hh_fech!I13=0,0,SER_hh_fech!I13/SER_summary!I$26)</f>
        <v>81.111461963121243</v>
      </c>
      <c r="J13" s="132">
        <f>IF(SER_hh_fech!J13=0,0,SER_hh_fech!J13/SER_summary!J$26)</f>
        <v>70.666826785147975</v>
      </c>
      <c r="K13" s="132">
        <f>IF(SER_hh_fech!K13=0,0,SER_hh_fech!K13/SER_summary!K$26)</f>
        <v>75.769509451060657</v>
      </c>
      <c r="L13" s="132">
        <f>IF(SER_hh_fech!L13=0,0,SER_hh_fech!L13/SER_summary!L$26)</f>
        <v>60.074203116568114</v>
      </c>
      <c r="M13" s="132">
        <f>IF(SER_hh_fech!M13=0,0,SER_hh_fech!M13/SER_summary!M$26)</f>
        <v>42.411854493871928</v>
      </c>
      <c r="N13" s="132">
        <f>IF(SER_hh_fech!N13=0,0,SER_hh_fech!N13/SER_summary!N$26)</f>
        <v>41.005102997568038</v>
      </c>
      <c r="O13" s="132">
        <f>IF(SER_hh_fech!O13=0,0,SER_hh_fech!O13/SER_summary!O$26)</f>
        <v>39.80656162793003</v>
      </c>
      <c r="P13" s="132">
        <f>IF(SER_hh_fech!P13=0,0,SER_hh_fech!P13/SER_summary!P$26)</f>
        <v>42.492897919541875</v>
      </c>
      <c r="Q13" s="132">
        <f>IF(SER_hh_fech!Q13=0,0,SER_hh_fech!Q13/SER_summary!Q$26)</f>
        <v>33.363870416148643</v>
      </c>
      <c r="R13" s="132">
        <f>IF(SER_hh_fech!R13=0,0,SER_hh_fech!R13/SER_summary!R$26)</f>
        <v>30.208546063258634</v>
      </c>
      <c r="S13" s="132">
        <f>IF(SER_hh_fech!S13=0,0,SER_hh_fech!S13/SER_summary!S$26)</f>
        <v>28.023450551684299</v>
      </c>
      <c r="T13" s="132">
        <f>IF(SER_hh_fech!T13=0,0,SER_hh_fech!T13/SER_summary!T$26)</f>
        <v>29.304957375927984</v>
      </c>
      <c r="U13" s="132">
        <f>IF(SER_hh_fech!U13=0,0,SER_hh_fech!U13/SER_summary!U$26)</f>
        <v>25.925103073564951</v>
      </c>
      <c r="V13" s="132">
        <f>IF(SER_hh_fech!V13=0,0,SER_hh_fech!V13/SER_summary!V$26)</f>
        <v>21.733493162964539</v>
      </c>
      <c r="W13" s="132">
        <f>IF(SER_hh_fech!W13=0,0,SER_hh_fech!W13/SER_summary!W$26)</f>
        <v>8.3522315728052554</v>
      </c>
      <c r="X13" s="132">
        <f>IF(SER_hh_fech!X13=0,0,SER_hh_fech!X13/SER_summary!X$26)</f>
        <v>26.01435144846991</v>
      </c>
      <c r="Y13" s="132">
        <f>IF(SER_hh_fech!Y13=0,0,SER_hh_fech!Y13/SER_summary!Y$26)</f>
        <v>20.238394979468165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284.46040522871021</v>
      </c>
      <c r="C14" s="65">
        <f>IF(SER_hh_fech!C14=0,0,SER_hh_fech!C14/SER_summary!C$26)</f>
        <v>289.58589771778963</v>
      </c>
      <c r="D14" s="65">
        <f>IF(SER_hh_fech!D14=0,0,SER_hh_fech!D14/SER_summary!D$26)</f>
        <v>257.8056778490116</v>
      </c>
      <c r="E14" s="65">
        <f>IF(SER_hh_fech!E14=0,0,SER_hh_fech!E14/SER_summary!E$26)</f>
        <v>221.53261300055783</v>
      </c>
      <c r="F14" s="65">
        <f>IF(SER_hh_fech!F14=0,0,SER_hh_fech!F14/SER_summary!F$26)</f>
        <v>245.33430980241388</v>
      </c>
      <c r="G14" s="65">
        <f>IF(SER_hh_fech!G14=0,0,SER_hh_fech!G14/SER_summary!G$26)</f>
        <v>268.85679216529275</v>
      </c>
      <c r="H14" s="65">
        <f>IF(SER_hh_fech!H14=0,0,SER_hh_fech!H14/SER_summary!H$26)</f>
        <v>229.76461287308311</v>
      </c>
      <c r="I14" s="65">
        <f>IF(SER_hh_fech!I14=0,0,SER_hh_fech!I14/SER_summary!I$26)</f>
        <v>219.73037135741043</v>
      </c>
      <c r="J14" s="65">
        <f>IF(SER_hh_fech!J14=0,0,SER_hh_fech!J14/SER_summary!J$26)</f>
        <v>200.92846791097119</v>
      </c>
      <c r="K14" s="65">
        <f>IF(SER_hh_fech!K14=0,0,SER_hh_fech!K14/SER_summary!K$26)</f>
        <v>224.01730956246533</v>
      </c>
      <c r="L14" s="65">
        <f>IF(SER_hh_fech!L14=0,0,SER_hh_fech!L14/SER_summary!L$26)</f>
        <v>244.30949243312941</v>
      </c>
      <c r="M14" s="65">
        <f>IF(SER_hh_fech!M14=0,0,SER_hh_fech!M14/SER_summary!M$26)</f>
        <v>306.10699812861731</v>
      </c>
      <c r="N14" s="65">
        <f>IF(SER_hh_fech!N14=0,0,SER_hh_fech!N14/SER_summary!N$26)</f>
        <v>72.167313250886608</v>
      </c>
      <c r="O14" s="65">
        <f>IF(SER_hh_fech!O14=0,0,SER_hh_fech!O14/SER_summary!O$26)</f>
        <v>93.160670251048018</v>
      </c>
      <c r="P14" s="65">
        <f>IF(SER_hh_fech!P14=0,0,SER_hh_fech!P14/SER_summary!P$26)</f>
        <v>129.59277868247466</v>
      </c>
      <c r="Q14" s="65">
        <f>IF(SER_hh_fech!Q14=0,0,SER_hh_fech!Q14/SER_summary!Q$26)</f>
        <v>138.81332016468832</v>
      </c>
      <c r="R14" s="65">
        <f>IF(SER_hh_fech!R14=0,0,SER_hh_fech!R14/SER_summary!R$26)</f>
        <v>133.46652048643188</v>
      </c>
      <c r="S14" s="65">
        <f>IF(SER_hh_fech!S14=0,0,SER_hh_fech!S14/SER_summary!S$26)</f>
        <v>132.83196132351597</v>
      </c>
      <c r="T14" s="65">
        <f>IF(SER_hh_fech!T14=0,0,SER_hh_fech!T14/SER_summary!T$26)</f>
        <v>136.65890098873481</v>
      </c>
      <c r="U14" s="65">
        <f>IF(SER_hh_fech!U14=0,0,SER_hh_fech!U14/SER_summary!U$26)</f>
        <v>134.82437977344395</v>
      </c>
      <c r="V14" s="65">
        <f>IF(SER_hh_fech!V14=0,0,SER_hh_fech!V14/SER_summary!V$26)</f>
        <v>122.10982620811789</v>
      </c>
      <c r="W14" s="65">
        <f>IF(SER_hh_fech!W14=0,0,SER_hh_fech!W14/SER_summary!W$26)</f>
        <v>119.83557735297248</v>
      </c>
      <c r="X14" s="65">
        <f>IF(SER_hh_fech!X14=0,0,SER_hh_fech!X14/SER_summary!X$26)</f>
        <v>121.90907437353859</v>
      </c>
      <c r="Y14" s="65">
        <f>IF(SER_hh_fech!Y14=0,0,SER_hh_fech!Y14/SER_summary!Y$26)</f>
        <v>83.070083290899561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3.0399113520365129</v>
      </c>
      <c r="C15" s="134">
        <f>IF(SER_hh_fech!C15=0,0,SER_hh_fech!C15/SER_summary!C$26)</f>
        <v>3.1512773487855794</v>
      </c>
      <c r="D15" s="134">
        <f>IF(SER_hh_fech!D15=0,0,SER_hh_fech!D15/SER_summary!D$26)</f>
        <v>2.7325898946979077</v>
      </c>
      <c r="E15" s="134">
        <f>IF(SER_hh_fech!E15=0,0,SER_hh_fech!E15/SER_summary!E$26)</f>
        <v>2.7357357575187495</v>
      </c>
      <c r="F15" s="134">
        <f>IF(SER_hh_fech!F15=0,0,SER_hh_fech!F15/SER_summary!F$26)</f>
        <v>3.3428197057658369</v>
      </c>
      <c r="G15" s="134">
        <f>IF(SER_hh_fech!G15=0,0,SER_hh_fech!G15/SER_summary!G$26)</f>
        <v>3.1293186323746007</v>
      </c>
      <c r="H15" s="134">
        <f>IF(SER_hh_fech!H15=0,0,SER_hh_fech!H15/SER_summary!H$26)</f>
        <v>2.6682415072369978</v>
      </c>
      <c r="I15" s="134">
        <f>IF(SER_hh_fech!I15=0,0,SER_hh_fech!I15/SER_summary!I$26)</f>
        <v>2.0374020722381991</v>
      </c>
      <c r="J15" s="134">
        <f>IF(SER_hh_fech!J15=0,0,SER_hh_fech!J15/SER_summary!J$26)</f>
        <v>1.9547867264379415</v>
      </c>
      <c r="K15" s="134">
        <f>IF(SER_hh_fech!K15=0,0,SER_hh_fech!K15/SER_summary!K$26)</f>
        <v>2.1580421138817356</v>
      </c>
      <c r="L15" s="134">
        <f>IF(SER_hh_fech!L15=0,0,SER_hh_fech!L15/SER_summary!L$26)</f>
        <v>2.3262858028311988</v>
      </c>
      <c r="M15" s="134">
        <f>IF(SER_hh_fech!M15=0,0,SER_hh_fech!M15/SER_summary!M$26)</f>
        <v>2.252762631912665</v>
      </c>
      <c r="N15" s="134">
        <f>IF(SER_hh_fech!N15=0,0,SER_hh_fech!N15/SER_summary!N$26)</f>
        <v>1.6431009540735022</v>
      </c>
      <c r="O15" s="134">
        <f>IF(SER_hh_fech!O15=0,0,SER_hh_fech!O15/SER_summary!O$26)</f>
        <v>1.6065577423680388</v>
      </c>
      <c r="P15" s="134">
        <f>IF(SER_hh_fech!P15=0,0,SER_hh_fech!P15/SER_summary!P$26)</f>
        <v>1.3208583081257592</v>
      </c>
      <c r="Q15" s="134">
        <f>IF(SER_hh_fech!Q15=0,0,SER_hh_fech!Q15/SER_summary!Q$26)</f>
        <v>1.4117569080983947</v>
      </c>
      <c r="R15" s="134">
        <f>IF(SER_hh_fech!R15=0,0,SER_hh_fech!R15/SER_summary!R$26)</f>
        <v>1.4093147691992256</v>
      </c>
      <c r="S15" s="134">
        <f>IF(SER_hh_fech!S15=0,0,SER_hh_fech!S15/SER_summary!S$26)</f>
        <v>1.3661897599997859</v>
      </c>
      <c r="T15" s="134">
        <f>IF(SER_hh_fech!T15=0,0,SER_hh_fech!T15/SER_summary!T$26)</f>
        <v>1.3005785424937746</v>
      </c>
      <c r="U15" s="134">
        <f>IF(SER_hh_fech!U15=0,0,SER_hh_fech!U15/SER_summary!U$26)</f>
        <v>1.2637453229332674</v>
      </c>
      <c r="V15" s="134">
        <f>IF(SER_hh_fech!V15=0,0,SER_hh_fech!V15/SER_summary!V$26)</f>
        <v>1.3105490316655766</v>
      </c>
      <c r="W15" s="134">
        <f>IF(SER_hh_fech!W15=0,0,SER_hh_fech!W15/SER_summary!W$26)</f>
        <v>1.4077741495846974</v>
      </c>
      <c r="X15" s="134">
        <f>IF(SER_hh_fech!X15=0,0,SER_hh_fech!X15/SER_summary!X$26)</f>
        <v>1.1482723252429121</v>
      </c>
      <c r="Y15" s="134">
        <f>IF(SER_hh_fech!Y15=0,0,SER_hh_fech!Y15/SER_summary!Y$26)</f>
        <v>0.88394851017154019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14.02136620785393</v>
      </c>
      <c r="C16" s="130">
        <f>IF(SER_hh_fech!C16=0,0,SER_hh_fech!C16/SER_summary!C$26)</f>
        <v>12.406002023307876</v>
      </c>
      <c r="D16" s="130">
        <f>IF(SER_hh_fech!D16=0,0,SER_hh_fech!D16/SER_summary!D$26)</f>
        <v>12.586576238032968</v>
      </c>
      <c r="E16" s="130">
        <f>IF(SER_hh_fech!E16=0,0,SER_hh_fech!E16/SER_summary!E$26)</f>
        <v>13.845174890385012</v>
      </c>
      <c r="F16" s="130">
        <f>IF(SER_hh_fech!F16=0,0,SER_hh_fech!F16/SER_summary!F$26)</f>
        <v>10.568651137964014</v>
      </c>
      <c r="G16" s="130">
        <f>IF(SER_hh_fech!G16=0,0,SER_hh_fech!G16/SER_summary!G$26)</f>
        <v>10.09424558849712</v>
      </c>
      <c r="H16" s="130">
        <f>IF(SER_hh_fech!H16=0,0,SER_hh_fech!H16/SER_summary!H$26)</f>
        <v>10.615313101603165</v>
      </c>
      <c r="I16" s="130">
        <f>IF(SER_hh_fech!I16=0,0,SER_hh_fech!I16/SER_summary!I$26)</f>
        <v>10.989438581383908</v>
      </c>
      <c r="J16" s="130">
        <f>IF(SER_hh_fech!J16=0,0,SER_hh_fech!J16/SER_summary!J$26)</f>
        <v>8.8998283663731481</v>
      </c>
      <c r="K16" s="130">
        <f>IF(SER_hh_fech!K16=0,0,SER_hh_fech!K16/SER_summary!K$26)</f>
        <v>8.860475023191043</v>
      </c>
      <c r="L16" s="130">
        <f>IF(SER_hh_fech!L16=0,0,SER_hh_fech!L16/SER_summary!L$26)</f>
        <v>9.1170427372881697</v>
      </c>
      <c r="M16" s="130">
        <f>IF(SER_hh_fech!M16=0,0,SER_hh_fech!M16/SER_summary!M$26)</f>
        <v>8.7503257942495463</v>
      </c>
      <c r="N16" s="130">
        <f>IF(SER_hh_fech!N16=0,0,SER_hh_fech!N16/SER_summary!N$26)</f>
        <v>10.792613699354769</v>
      </c>
      <c r="O16" s="130">
        <f>IF(SER_hh_fech!O16=0,0,SER_hh_fech!O16/SER_summary!O$26)</f>
        <v>8.6457135003768819</v>
      </c>
      <c r="P16" s="130">
        <f>IF(SER_hh_fech!P16=0,0,SER_hh_fech!P16/SER_summary!P$26)</f>
        <v>7.4199951641173243</v>
      </c>
      <c r="Q16" s="130">
        <f>IF(SER_hh_fech!Q16=0,0,SER_hh_fech!Q16/SER_summary!Q$26)</f>
        <v>10.450953203565701</v>
      </c>
      <c r="R16" s="130">
        <f>IF(SER_hh_fech!R16=0,0,SER_hh_fech!R16/SER_summary!R$26)</f>
        <v>7.0875048536574639</v>
      </c>
      <c r="S16" s="130">
        <f>IF(SER_hh_fech!S16=0,0,SER_hh_fech!S16/SER_summary!S$26)</f>
        <v>8.2801308627293224</v>
      </c>
      <c r="T16" s="130">
        <f>IF(SER_hh_fech!T16=0,0,SER_hh_fech!T16/SER_summary!T$26)</f>
        <v>7.667370966944806</v>
      </c>
      <c r="U16" s="130">
        <f>IF(SER_hh_fech!U16=0,0,SER_hh_fech!U16/SER_summary!U$26)</f>
        <v>8.0352205175242268</v>
      </c>
      <c r="V16" s="130">
        <f>IF(SER_hh_fech!V16=0,0,SER_hh_fech!V16/SER_summary!V$26)</f>
        <v>6.349048079041828</v>
      </c>
      <c r="W16" s="130">
        <f>IF(SER_hh_fech!W16=0,0,SER_hh_fech!W16/SER_summary!W$26)</f>
        <v>7.8815489056101118</v>
      </c>
      <c r="X16" s="130">
        <f>IF(SER_hh_fech!X16=0,0,SER_hh_fech!X16/SER_summary!X$26)</f>
        <v>7.9519974190276894</v>
      </c>
      <c r="Y16" s="130">
        <f>IF(SER_hh_fech!Y16=0,0,SER_hh_fech!Y16/SER_summary!Y$26)</f>
        <v>6.9447664041782282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22.72388389065544</v>
      </c>
      <c r="C17" s="132">
        <f>IF(SER_hh_fech!C17=0,0,SER_hh_fech!C17/SER_summary!C$26)</f>
        <v>20.454439784098266</v>
      </c>
      <c r="D17" s="132">
        <f>IF(SER_hh_fech!D17=0,0,SER_hh_fech!D17/SER_summary!D$26)</f>
        <v>21.234940849425964</v>
      </c>
      <c r="E17" s="132">
        <f>IF(SER_hh_fech!E17=0,0,SER_hh_fech!E17/SER_summary!E$26)</f>
        <v>24.010861824807787</v>
      </c>
      <c r="F17" s="132">
        <f>IF(SER_hh_fech!F17=0,0,SER_hh_fech!F17/SER_summary!F$26)</f>
        <v>19.047620906257425</v>
      </c>
      <c r="G17" s="132">
        <f>IF(SER_hh_fech!G17=0,0,SER_hh_fech!G17/SER_summary!G$26)</f>
        <v>18.802150279997939</v>
      </c>
      <c r="H17" s="132">
        <f>IF(SER_hh_fech!H17=0,0,SER_hh_fech!H17/SER_summary!H$26)</f>
        <v>20.504836501075797</v>
      </c>
      <c r="I17" s="132">
        <f>IF(SER_hh_fech!I17=0,0,SER_hh_fech!I17/SER_summary!I$26)</f>
        <v>22.091967430585921</v>
      </c>
      <c r="J17" s="132">
        <f>IF(SER_hh_fech!J17=0,0,SER_hh_fech!J17/SER_summary!J$26)</f>
        <v>18.733479314039698</v>
      </c>
      <c r="K17" s="132">
        <f>IF(SER_hh_fech!K17=0,0,SER_hh_fech!K17/SER_summary!K$26)</f>
        <v>18.8185907714854</v>
      </c>
      <c r="L17" s="132">
        <f>IF(SER_hh_fech!L17=0,0,SER_hh_fech!L17/SER_summary!L$26)</f>
        <v>19.574309058662479</v>
      </c>
      <c r="M17" s="132">
        <f>IF(SER_hh_fech!M17=0,0,SER_hh_fech!M17/SER_summary!M$26)</f>
        <v>19.108178133495166</v>
      </c>
      <c r="N17" s="132">
        <f>IF(SER_hh_fech!N17=0,0,SER_hh_fech!N17/SER_summary!N$26)</f>
        <v>24.044106937295417</v>
      </c>
      <c r="O17" s="132">
        <f>IF(SER_hh_fech!O17=0,0,SER_hh_fech!O17/SER_summary!O$26)</f>
        <v>19.660390914502852</v>
      </c>
      <c r="P17" s="132">
        <f>IF(SER_hh_fech!P17=0,0,SER_hh_fech!P17/SER_summary!P$26)</f>
        <v>17.336431451922287</v>
      </c>
      <c r="Q17" s="132">
        <f>IF(SER_hh_fech!Q17=0,0,SER_hh_fech!Q17/SER_summary!Q$26)</f>
        <v>24.987366786392442</v>
      </c>
      <c r="R17" s="132">
        <f>IF(SER_hh_fech!R17=0,0,SER_hh_fech!R17/SER_summary!R$26)</f>
        <v>17.369057913497819</v>
      </c>
      <c r="S17" s="132">
        <f>IF(SER_hh_fech!S17=0,0,SER_hh_fech!S17/SER_summary!S$26)</f>
        <v>20.595268048476452</v>
      </c>
      <c r="T17" s="132">
        <f>IF(SER_hh_fech!T17=0,0,SER_hh_fech!T17/SER_summary!T$26)</f>
        <v>19.374613221192618</v>
      </c>
      <c r="U17" s="132">
        <f>IF(SER_hh_fech!U17=0,0,SER_hh_fech!U17/SER_summary!U$26)</f>
        <v>20.318687225602236</v>
      </c>
      <c r="V17" s="132">
        <f>IF(SER_hh_fech!V17=0,0,SER_hh_fech!V17/SER_summary!V$26)</f>
        <v>14.218516495816768</v>
      </c>
      <c r="W17" s="132">
        <f>IF(SER_hh_fech!W17=0,0,SER_hh_fech!W17/SER_summary!W$26)</f>
        <v>17.868273343218533</v>
      </c>
      <c r="X17" s="132">
        <f>IF(SER_hh_fech!X17=0,0,SER_hh_fech!X17/SER_summary!X$26)</f>
        <v>19.667319366084691</v>
      </c>
      <c r="Y17" s="132">
        <f>IF(SER_hh_fech!Y17=0,0,SER_hh_fech!Y17/SER_summary!Y$26)</f>
        <v>17.854867571198159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14.000370097436123</v>
      </c>
      <c r="C18" s="132">
        <f>IF(SER_hh_fech!C18=0,0,SER_hh_fech!C18/SER_summary!C$26)</f>
        <v>12.384687299976214</v>
      </c>
      <c r="D18" s="132">
        <f>IF(SER_hh_fech!D18=0,0,SER_hh_fech!D18/SER_summary!D$26)</f>
        <v>12.560788971061406</v>
      </c>
      <c r="E18" s="132">
        <f>IF(SER_hh_fech!E18=0,0,SER_hh_fech!E18/SER_summary!E$26)</f>
        <v>13.812633730243403</v>
      </c>
      <c r="F18" s="132">
        <f>IF(SER_hh_fech!F18=0,0,SER_hh_fech!F18/SER_summary!F$26)</f>
        <v>10.542851088949568</v>
      </c>
      <c r="G18" s="132">
        <f>IF(SER_hh_fech!G18=0,0,SER_hh_fech!G18/SER_summary!G$26)</f>
        <v>10.066775505168414</v>
      </c>
      <c r="H18" s="132">
        <f>IF(SER_hh_fech!H18=0,0,SER_hh_fech!H18/SER_summary!H$26)</f>
        <v>10.581602356123646</v>
      </c>
      <c r="I18" s="132">
        <f>IF(SER_hh_fech!I18=0,0,SER_hh_fech!I18/SER_summary!I$26)</f>
        <v>10.949417753614579</v>
      </c>
      <c r="J18" s="132">
        <f>IF(SER_hh_fech!J18=0,0,SER_hh_fech!J18/SER_summary!J$26)</f>
        <v>8.8651124679665934</v>
      </c>
      <c r="K18" s="132">
        <f>IF(SER_hh_fech!K18=0,0,SER_hh_fech!K18/SER_summary!K$26)</f>
        <v>8.8236898851997072</v>
      </c>
      <c r="L18" s="132">
        <f>IF(SER_hh_fech!L18=0,0,SER_hh_fech!L18/SER_summary!L$26)</f>
        <v>9.0740516234194342</v>
      </c>
      <c r="M18" s="132">
        <f>IF(SER_hh_fech!M18=0,0,SER_hh_fech!M18/SER_summary!M$26)</f>
        <v>8.7029683437345309</v>
      </c>
      <c r="N18" s="132">
        <f>IF(SER_hh_fech!N18=0,0,SER_hh_fech!N18/SER_summary!N$26)</f>
        <v>10.724895973099381</v>
      </c>
      <c r="O18" s="132">
        <f>IF(SER_hh_fech!O18=0,0,SER_hh_fech!O18/SER_summary!O$26)</f>
        <v>8.583770823239421</v>
      </c>
      <c r="P18" s="132">
        <f>IF(SER_hh_fech!P18=0,0,SER_hh_fech!P18/SER_summary!P$26)</f>
        <v>7.3619608584403364</v>
      </c>
      <c r="Q18" s="132">
        <f>IF(SER_hh_fech!Q18=0,0,SER_hh_fech!Q18/SER_summary!Q$26)</f>
        <v>10.359432499442041</v>
      </c>
      <c r="R18" s="132">
        <f>IF(SER_hh_fech!R18=0,0,SER_hh_fech!R18/SER_summary!R$26)</f>
        <v>7.0194770184506678</v>
      </c>
      <c r="S18" s="132">
        <f>IF(SER_hh_fech!S18=0,0,SER_hh_fech!S18/SER_summary!S$26)</f>
        <v>8.1869009408069555</v>
      </c>
      <c r="T18" s="132">
        <f>IF(SER_hh_fech!T18=0,0,SER_hh_fech!T18/SER_summary!T$26)</f>
        <v>7.5736225186663155</v>
      </c>
      <c r="U18" s="132">
        <f>IF(SER_hh_fech!U18=0,0,SER_hh_fech!U18/SER_summary!U$26)</f>
        <v>7.9197864077543754</v>
      </c>
      <c r="V18" s="132">
        <f>IF(SER_hh_fech!V18=0,0,SER_hh_fech!V18/SER_summary!V$26)</f>
        <v>6.2680779402332547</v>
      </c>
      <c r="W18" s="132">
        <f>IF(SER_hh_fech!W18=0,0,SER_hh_fech!W18/SER_summary!W$26)</f>
        <v>7.7756550386844241</v>
      </c>
      <c r="X18" s="132">
        <f>IF(SER_hh_fech!X18=0,0,SER_hh_fech!X18/SER_summary!X$26)</f>
        <v>7.8269455389611604</v>
      </c>
      <c r="Y18" s="132">
        <f>IF(SER_hh_fech!Y18=0,0,SER_hh_fech!Y18/SER_summary!Y$26)</f>
        <v>6.8298344016097934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30.769204447504901</v>
      </c>
      <c r="C19" s="130">
        <f>IF(SER_hh_fech!C19=0,0,SER_hh_fech!C19/SER_summary!C$26)</f>
        <v>30.644749170189147</v>
      </c>
      <c r="D19" s="130">
        <f>IF(SER_hh_fech!D19=0,0,SER_hh_fech!D19/SER_summary!D$26)</f>
        <v>30.971906556497853</v>
      </c>
      <c r="E19" s="130">
        <f>IF(SER_hh_fech!E19=0,0,SER_hh_fech!E19/SER_summary!E$26)</f>
        <v>30.45946784574317</v>
      </c>
      <c r="F19" s="130">
        <f>IF(SER_hh_fech!F19=0,0,SER_hh_fech!F19/SER_summary!F$26)</f>
        <v>30.90694455676163</v>
      </c>
      <c r="G19" s="130">
        <f>IF(SER_hh_fech!G19=0,0,SER_hh_fech!G19/SER_summary!G$26)</f>
        <v>30.318431055736344</v>
      </c>
      <c r="H19" s="130">
        <f>IF(SER_hh_fech!H19=0,0,SER_hh_fech!H19/SER_summary!H$26)</f>
        <v>30.028682066157099</v>
      </c>
      <c r="I19" s="130">
        <f>IF(SER_hh_fech!I19=0,0,SER_hh_fech!I19/SER_summary!I$26)</f>
        <v>29.700029207390855</v>
      </c>
      <c r="J19" s="130">
        <f>IF(SER_hh_fech!J19=0,0,SER_hh_fech!J19/SER_summary!J$26)</f>
        <v>29.928208748502914</v>
      </c>
      <c r="K19" s="130">
        <f>IF(SER_hh_fech!K19=0,0,SER_hh_fech!K19/SER_summary!K$26)</f>
        <v>30.210730406516866</v>
      </c>
      <c r="L19" s="130">
        <f>IF(SER_hh_fech!L19=0,0,SER_hh_fech!L19/SER_summary!L$26)</f>
        <v>29.987406029113728</v>
      </c>
      <c r="M19" s="130">
        <f>IF(SER_hh_fech!M19=0,0,SER_hh_fech!M19/SER_summary!M$26)</f>
        <v>29.840594944269714</v>
      </c>
      <c r="N19" s="130">
        <f>IF(SER_hh_fech!N19=0,0,SER_hh_fech!N19/SER_summary!N$26)</f>
        <v>29.340201432731039</v>
      </c>
      <c r="O19" s="130">
        <f>IF(SER_hh_fech!O19=0,0,SER_hh_fech!O19/SER_summary!O$26)</f>
        <v>28.973085803969344</v>
      </c>
      <c r="P19" s="130">
        <f>IF(SER_hh_fech!P19=0,0,SER_hh_fech!P19/SER_summary!P$26)</f>
        <v>28.086805703433662</v>
      </c>
      <c r="Q19" s="130">
        <f>IF(SER_hh_fech!Q19=0,0,SER_hh_fech!Q19/SER_summary!Q$26)</f>
        <v>27.98780812581872</v>
      </c>
      <c r="R19" s="130">
        <f>IF(SER_hh_fech!R19=0,0,SER_hh_fech!R19/SER_summary!R$26)</f>
        <v>27.732826835192014</v>
      </c>
      <c r="S19" s="130">
        <f>IF(SER_hh_fech!S19=0,0,SER_hh_fech!S19/SER_summary!S$26)</f>
        <v>27.188107300065504</v>
      </c>
      <c r="T19" s="130">
        <f>IF(SER_hh_fech!T19=0,0,SER_hh_fech!T19/SER_summary!T$26)</f>
        <v>26.832454102987949</v>
      </c>
      <c r="U19" s="130">
        <f>IF(SER_hh_fech!U19=0,0,SER_hh_fech!U19/SER_summary!U$26)</f>
        <v>25.863523854856609</v>
      </c>
      <c r="V19" s="130">
        <f>IF(SER_hh_fech!V19=0,0,SER_hh_fech!V19/SER_summary!V$26)</f>
        <v>23.052167869465521</v>
      </c>
      <c r="W19" s="130">
        <f>IF(SER_hh_fech!W19=0,0,SER_hh_fech!W19/SER_summary!W$26)</f>
        <v>23.215046519479525</v>
      </c>
      <c r="X19" s="130">
        <f>IF(SER_hh_fech!X19=0,0,SER_hh_fech!X19/SER_summary!X$26)</f>
        <v>22.854776130784231</v>
      </c>
      <c r="Y19" s="130">
        <f>IF(SER_hh_fech!Y19=0,0,SER_hh_fech!Y19/SER_summary!Y$26)</f>
        <v>22.248034717840813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0</v>
      </c>
      <c r="C21" s="132">
        <f>IF(SER_hh_fech!C21=0,0,SER_hh_fech!C21/SER_summary!C$26)</f>
        <v>0</v>
      </c>
      <c r="D21" s="132">
        <f>IF(SER_hh_fech!D21=0,0,SER_hh_fech!D21/SER_summary!D$26)</f>
        <v>0</v>
      </c>
      <c r="E21" s="132">
        <f>IF(SER_hh_fech!E21=0,0,SER_hh_fech!E21/SER_summary!E$26)</f>
        <v>0</v>
      </c>
      <c r="F21" s="132">
        <f>IF(SER_hh_fech!F21=0,0,SER_hh_fech!F21/SER_summary!F$26)</f>
        <v>0</v>
      </c>
      <c r="G21" s="132">
        <f>IF(SER_hh_fech!G21=0,0,SER_hh_fech!G21/SER_summary!G$26)</f>
        <v>0</v>
      </c>
      <c r="H21" s="132">
        <f>IF(SER_hh_fech!H21=0,0,SER_hh_fech!H21/SER_summary!H$26)</f>
        <v>0</v>
      </c>
      <c r="I21" s="132">
        <f>IF(SER_hh_fech!I21=0,0,SER_hh_fech!I21/SER_summary!I$26)</f>
        <v>0</v>
      </c>
      <c r="J21" s="132">
        <f>IF(SER_hh_fech!J21=0,0,SER_hh_fech!J21/SER_summary!J$26)</f>
        <v>0</v>
      </c>
      <c r="K21" s="132">
        <f>IF(SER_hh_fech!K21=0,0,SER_hh_fech!K21/SER_summary!K$26)</f>
        <v>0</v>
      </c>
      <c r="L21" s="132">
        <f>IF(SER_hh_fech!L21=0,0,SER_hh_fech!L21/SER_summary!L$26)</f>
        <v>0</v>
      </c>
      <c r="M21" s="132">
        <f>IF(SER_hh_fech!M21=0,0,SER_hh_fech!M21/SER_summary!M$26)</f>
        <v>0</v>
      </c>
      <c r="N21" s="132">
        <f>IF(SER_hh_fech!N21=0,0,SER_hh_fech!N21/SER_summary!N$26)</f>
        <v>0</v>
      </c>
      <c r="O21" s="132">
        <f>IF(SER_hh_fech!O21=0,0,SER_hh_fech!O21/SER_summary!O$26)</f>
        <v>0</v>
      </c>
      <c r="P21" s="132">
        <f>IF(SER_hh_fech!P21=0,0,SER_hh_fech!P21/SER_summary!P$26)</f>
        <v>0</v>
      </c>
      <c r="Q21" s="132">
        <f>IF(SER_hh_fech!Q21=0,0,SER_hh_fech!Q21/SER_summary!Q$26)</f>
        <v>0</v>
      </c>
      <c r="R21" s="132">
        <f>IF(SER_hh_fech!R21=0,0,SER_hh_fech!R21/SER_summary!R$26)</f>
        <v>0</v>
      </c>
      <c r="S21" s="132">
        <f>IF(SER_hh_fech!S21=0,0,SER_hh_fech!S21/SER_summary!S$26)</f>
        <v>0</v>
      </c>
      <c r="T21" s="132">
        <f>IF(SER_hh_fech!T21=0,0,SER_hh_fech!T21/SER_summary!T$26)</f>
        <v>0</v>
      </c>
      <c r="U21" s="132">
        <f>IF(SER_hh_fech!U21=0,0,SER_hh_fech!U21/SER_summary!U$26)</f>
        <v>0</v>
      </c>
      <c r="V21" s="132">
        <f>IF(SER_hh_fech!V21=0,0,SER_hh_fech!V21/SER_summary!V$26)</f>
        <v>0</v>
      </c>
      <c r="W21" s="132">
        <f>IF(SER_hh_fech!W21=0,0,SER_hh_fech!W21/SER_summary!W$26)</f>
        <v>0</v>
      </c>
      <c r="X21" s="132">
        <f>IF(SER_hh_fech!X21=0,0,SER_hh_fech!X21/SER_summary!X$26)</f>
        <v>0</v>
      </c>
      <c r="Y21" s="132">
        <f>IF(SER_hh_fech!Y21=0,0,SER_hh_fech!Y21/SER_summary!Y$26)</f>
        <v>0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0</v>
      </c>
      <c r="C22" s="132">
        <f>IF(SER_hh_fech!C22=0,0,SER_hh_fech!C22/SER_summary!C$26)</f>
        <v>0</v>
      </c>
      <c r="D22" s="132">
        <f>IF(SER_hh_fech!D22=0,0,SER_hh_fech!D22/SER_summary!D$26)</f>
        <v>0</v>
      </c>
      <c r="E22" s="132">
        <f>IF(SER_hh_fech!E22=0,0,SER_hh_fech!E22/SER_summary!E$26)</f>
        <v>0</v>
      </c>
      <c r="F22" s="132">
        <f>IF(SER_hh_fech!F22=0,0,SER_hh_fech!F22/SER_summary!F$26)</f>
        <v>0</v>
      </c>
      <c r="G22" s="132">
        <f>IF(SER_hh_fech!G22=0,0,SER_hh_fech!G22/SER_summary!G$26)</f>
        <v>0</v>
      </c>
      <c r="H22" s="132">
        <f>IF(SER_hh_fech!H22=0,0,SER_hh_fech!H22/SER_summary!H$26)</f>
        <v>0</v>
      </c>
      <c r="I22" s="132">
        <f>IF(SER_hh_fech!I22=0,0,SER_hh_fech!I22/SER_summary!I$26)</f>
        <v>0</v>
      </c>
      <c r="J22" s="132">
        <f>IF(SER_hh_fech!J22=0,0,SER_hh_fech!J22/SER_summary!J$26)</f>
        <v>0</v>
      </c>
      <c r="K22" s="132">
        <f>IF(SER_hh_fech!K22=0,0,SER_hh_fech!K22/SER_summary!K$26)</f>
        <v>0</v>
      </c>
      <c r="L22" s="132">
        <f>IF(SER_hh_fech!L22=0,0,SER_hh_fech!L22/SER_summary!L$26)</f>
        <v>0</v>
      </c>
      <c r="M22" s="132">
        <f>IF(SER_hh_fech!M22=0,0,SER_hh_fech!M22/SER_summary!M$26)</f>
        <v>0</v>
      </c>
      <c r="N22" s="132">
        <f>IF(SER_hh_fech!N22=0,0,SER_hh_fech!N22/SER_summary!N$26)</f>
        <v>0</v>
      </c>
      <c r="O22" s="132">
        <f>IF(SER_hh_fech!O22=0,0,SER_hh_fech!O22/SER_summary!O$26)</f>
        <v>0</v>
      </c>
      <c r="P22" s="132">
        <f>IF(SER_hh_fech!P22=0,0,SER_hh_fech!P22/SER_summary!P$26)</f>
        <v>0</v>
      </c>
      <c r="Q22" s="132">
        <f>IF(SER_hh_fech!Q22=0,0,SER_hh_fech!Q22/SER_summary!Q$26)</f>
        <v>0</v>
      </c>
      <c r="R22" s="132">
        <f>IF(SER_hh_fech!R22=0,0,SER_hh_fech!R22/SER_summary!R$26)</f>
        <v>0</v>
      </c>
      <c r="S22" s="132">
        <f>IF(SER_hh_fech!S22=0,0,SER_hh_fech!S22/SER_summary!S$26)</f>
        <v>0</v>
      </c>
      <c r="T22" s="132">
        <f>IF(SER_hh_fech!T22=0,0,SER_hh_fech!T22/SER_summary!T$26)</f>
        <v>0</v>
      </c>
      <c r="U22" s="132">
        <f>IF(SER_hh_fech!U22=0,0,SER_hh_fech!U22/SER_summary!U$26)</f>
        <v>0</v>
      </c>
      <c r="V22" s="132">
        <f>IF(SER_hh_fech!V22=0,0,SER_hh_fech!V22/SER_summary!V$26)</f>
        <v>0</v>
      </c>
      <c r="W22" s="132">
        <f>IF(SER_hh_fech!W22=0,0,SER_hh_fech!W22/SER_summary!W$26)</f>
        <v>0</v>
      </c>
      <c r="X22" s="132">
        <f>IF(SER_hh_fech!X22=0,0,SER_hh_fech!X22/SER_summary!X$26)</f>
        <v>0</v>
      </c>
      <c r="Y22" s="132">
        <f>IF(SER_hh_fech!Y22=0,0,SER_hh_fech!Y22/SER_summary!Y$26)</f>
        <v>0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35.062016458882226</v>
      </c>
      <c r="C23" s="132">
        <f>IF(SER_hh_fech!C23=0,0,SER_hh_fech!C23/SER_summary!C$26)</f>
        <v>34.829077515923103</v>
      </c>
      <c r="D23" s="132">
        <f>IF(SER_hh_fech!D23=0,0,SER_hh_fech!D23/SER_summary!D$26)</f>
        <v>34.797714293673948</v>
      </c>
      <c r="E23" s="132">
        <f>IF(SER_hh_fech!E23=0,0,SER_hh_fech!E23/SER_summary!E$26)</f>
        <v>34.57862373978999</v>
      </c>
      <c r="F23" s="132">
        <f>IF(SER_hh_fech!F23=0,0,SER_hh_fech!F23/SER_summary!F$26)</f>
        <v>35.05617498452321</v>
      </c>
      <c r="G23" s="132">
        <f>IF(SER_hh_fech!G23=0,0,SER_hh_fech!G23/SER_summary!G$26)</f>
        <v>33.625607184182229</v>
      </c>
      <c r="H23" s="132">
        <f>IF(SER_hh_fech!H23=0,0,SER_hh_fech!H23/SER_summary!H$26)</f>
        <v>32.599046621830432</v>
      </c>
      <c r="I23" s="132">
        <f>IF(SER_hh_fech!I23=0,0,SER_hh_fech!I23/SER_summary!I$26)</f>
        <v>32.087557658739755</v>
      </c>
      <c r="J23" s="132">
        <f>IF(SER_hh_fech!J23=0,0,SER_hh_fech!J23/SER_summary!J$26)</f>
        <v>32.436271722591556</v>
      </c>
      <c r="K23" s="132">
        <f>IF(SER_hh_fech!K23=0,0,SER_hh_fech!K23/SER_summary!K$26)</f>
        <v>33.11055728657194</v>
      </c>
      <c r="L23" s="132">
        <f>IF(SER_hh_fech!L23=0,0,SER_hh_fech!L23/SER_summary!L$26)</f>
        <v>32.59851667200595</v>
      </c>
      <c r="M23" s="132">
        <f>IF(SER_hh_fech!M23=0,0,SER_hh_fech!M23/SER_summary!M$26)</f>
        <v>31.391586277441615</v>
      </c>
      <c r="N23" s="132">
        <f>IF(SER_hh_fech!N23=0,0,SER_hh_fech!N23/SER_summary!N$26)</f>
        <v>30.352551880642515</v>
      </c>
      <c r="O23" s="132">
        <f>IF(SER_hh_fech!O23=0,0,SER_hh_fech!O23/SER_summary!O$26)</f>
        <v>31.351553878715045</v>
      </c>
      <c r="P23" s="132">
        <f>IF(SER_hh_fech!P23=0,0,SER_hh_fech!P23/SER_summary!P$26)</f>
        <v>29.709963957418765</v>
      </c>
      <c r="Q23" s="132">
        <f>IF(SER_hh_fech!Q23=0,0,SER_hh_fech!Q23/SER_summary!Q$26)</f>
        <v>29.352555811644809</v>
      </c>
      <c r="R23" s="132">
        <f>IF(SER_hh_fech!R23=0,0,SER_hh_fech!R23/SER_summary!R$26)</f>
        <v>29.017533687338613</v>
      </c>
      <c r="S23" s="132">
        <f>IF(SER_hh_fech!S23=0,0,SER_hh_fech!S23/SER_summary!S$26)</f>
        <v>28.344775933297399</v>
      </c>
      <c r="T23" s="132">
        <f>IF(SER_hh_fech!T23=0,0,SER_hh_fech!T23/SER_summary!T$26)</f>
        <v>28.191414809500369</v>
      </c>
      <c r="U23" s="132">
        <f>IF(SER_hh_fech!U23=0,0,SER_hh_fech!U23/SER_summary!U$26)</f>
        <v>26.895085592877372</v>
      </c>
      <c r="V23" s="132">
        <f>IF(SER_hh_fech!V23=0,0,SER_hh_fech!V23/SER_summary!V$26)</f>
        <v>24.511602583809527</v>
      </c>
      <c r="W23" s="132">
        <f>IF(SER_hh_fech!W23=0,0,SER_hh_fech!W23/SER_summary!W$26)</f>
        <v>24.625309716573238</v>
      </c>
      <c r="X23" s="132">
        <f>IF(SER_hh_fech!X23=0,0,SER_hh_fech!X23/SER_summary!X$26)</f>
        <v>23.849843084734246</v>
      </c>
      <c r="Y23" s="132">
        <f>IF(SER_hh_fech!Y23=0,0,SER_hh_fech!Y23/SER_summary!Y$26)</f>
        <v>23.159721692538628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37.701510219213496</v>
      </c>
      <c r="O24" s="132">
        <f>IF(SER_hh_fech!O24=0,0,SER_hh_fech!O24/SER_summary!O$26)</f>
        <v>29.487615957406415</v>
      </c>
      <c r="P24" s="132">
        <f>IF(SER_hh_fech!P24=0,0,SER_hh_fech!P24/SER_summary!P$26)</f>
        <v>26.739735864174598</v>
      </c>
      <c r="Q24" s="132">
        <f>IF(SER_hh_fech!Q24=0,0,SER_hh_fech!Q24/SER_summary!Q$26)</f>
        <v>26.404857186764456</v>
      </c>
      <c r="R24" s="132">
        <f>IF(SER_hh_fech!R24=0,0,SER_hh_fech!R24/SER_summary!R$26)</f>
        <v>26.327314415523766</v>
      </c>
      <c r="S24" s="132">
        <f>IF(SER_hh_fech!S24=0,0,SER_hh_fech!S24/SER_summary!S$26)</f>
        <v>26.506491184271795</v>
      </c>
      <c r="T24" s="132">
        <f>IF(SER_hh_fech!T24=0,0,SER_hh_fech!T24/SER_summary!T$26)</f>
        <v>26.091789503178632</v>
      </c>
      <c r="U24" s="132">
        <f>IF(SER_hh_fech!U24=0,0,SER_hh_fech!U24/SER_summary!U$26)</f>
        <v>26.242070686998009</v>
      </c>
      <c r="V24" s="132">
        <f>IF(SER_hh_fech!V24=0,0,SER_hh_fech!V24/SER_summary!V$26)</f>
        <v>24.553203544362788</v>
      </c>
      <c r="W24" s="132">
        <f>IF(SER_hh_fech!W24=0,0,SER_hh_fech!W24/SER_summary!W$26)</f>
        <v>21.662775044700695</v>
      </c>
      <c r="X24" s="132">
        <f>IF(SER_hh_fech!X24=0,0,SER_hh_fech!X24/SER_summary!X$26)</f>
        <v>23.736843648144188</v>
      </c>
      <c r="Y24" s="132">
        <f>IF(SER_hh_fech!Y24=0,0,SER_hh_fech!Y24/SER_summary!Y$26)</f>
        <v>24.497168149894797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23.7049148418409</v>
      </c>
      <c r="C25" s="132">
        <f>IF(SER_hh_fech!C25=0,0,SER_hh_fech!C25/SER_summary!C$26)</f>
        <v>23.694690098170351</v>
      </c>
      <c r="D25" s="132">
        <f>IF(SER_hh_fech!D25=0,0,SER_hh_fech!D25/SER_summary!D$26)</f>
        <v>23.714260899078845</v>
      </c>
      <c r="E25" s="132">
        <f>IF(SER_hh_fech!E25=0,0,SER_hh_fech!E25/SER_summary!E$26)</f>
        <v>23.506325773335387</v>
      </c>
      <c r="F25" s="132">
        <f>IF(SER_hh_fech!F25=0,0,SER_hh_fech!F25/SER_summary!F$26)</f>
        <v>23.339744053576524</v>
      </c>
      <c r="G25" s="132">
        <f>IF(SER_hh_fech!G25=0,0,SER_hh_fech!G25/SER_summary!G$26)</f>
        <v>23.896524478990234</v>
      </c>
      <c r="H25" s="132">
        <f>IF(SER_hh_fech!H25=0,0,SER_hh_fech!H25/SER_summary!H$26)</f>
        <v>23.380805629829073</v>
      </c>
      <c r="I25" s="132">
        <f>IF(SER_hh_fech!I25=0,0,SER_hh_fech!I25/SER_summary!I$26)</f>
        <v>23.065448201129563</v>
      </c>
      <c r="J25" s="132">
        <f>IF(SER_hh_fech!J25=0,0,SER_hh_fech!J25/SER_summary!J$26)</f>
        <v>23.804803477769951</v>
      </c>
      <c r="K25" s="132">
        <f>IF(SER_hh_fech!K25=0,0,SER_hh_fech!K25/SER_summary!K$26)</f>
        <v>23.77692863962606</v>
      </c>
      <c r="L25" s="132">
        <f>IF(SER_hh_fech!L25=0,0,SER_hh_fech!L25/SER_summary!L$26)</f>
        <v>23.654470484770819</v>
      </c>
      <c r="M25" s="132">
        <f>IF(SER_hh_fech!M25=0,0,SER_hh_fech!M25/SER_summary!M$26)</f>
        <v>23.584655435527548</v>
      </c>
      <c r="N25" s="132">
        <f>IF(SER_hh_fech!N25=0,0,SER_hh_fech!N25/SER_summary!N$26)</f>
        <v>23.778307672216087</v>
      </c>
      <c r="O25" s="132">
        <f>IF(SER_hh_fech!O25=0,0,SER_hh_fech!O25/SER_summary!O$26)</f>
        <v>23.121207076615633</v>
      </c>
      <c r="P25" s="132">
        <f>IF(SER_hh_fech!P25=0,0,SER_hh_fech!P25/SER_summary!P$26)</f>
        <v>22.740890118175066</v>
      </c>
      <c r="Q25" s="132">
        <f>IF(SER_hh_fech!Q25=0,0,SER_hh_fech!Q25/SER_summary!Q$26)</f>
        <v>23.036471790026614</v>
      </c>
      <c r="R25" s="132">
        <f>IF(SER_hh_fech!R25=0,0,SER_hh_fech!R25/SER_summary!R$26)</f>
        <v>22.956527262401586</v>
      </c>
      <c r="S25" s="132">
        <f>IF(SER_hh_fech!S25=0,0,SER_hh_fech!S25/SER_summary!S$26)</f>
        <v>22.948137027436012</v>
      </c>
      <c r="T25" s="132">
        <f>IF(SER_hh_fech!T25=0,0,SER_hh_fech!T25/SER_summary!T$26)</f>
        <v>22.693528647607035</v>
      </c>
      <c r="U25" s="132">
        <f>IF(SER_hh_fech!U25=0,0,SER_hh_fech!U25/SER_summary!U$26)</f>
        <v>23.102666109356576</v>
      </c>
      <c r="V25" s="132">
        <f>IF(SER_hh_fech!V25=0,0,SER_hh_fech!V25/SER_summary!V$26)</f>
        <v>19.950687206139875</v>
      </c>
      <c r="W25" s="132">
        <f>IF(SER_hh_fech!W25=0,0,SER_hh_fech!W25/SER_summary!W$26)</f>
        <v>21.540057667817052</v>
      </c>
      <c r="X25" s="132">
        <f>IF(SER_hh_fech!X25=0,0,SER_hh_fech!X25/SER_summary!X$26)</f>
        <v>20.33045765289982</v>
      </c>
      <c r="Y25" s="132">
        <f>IF(SER_hh_fech!Y25=0,0,SER_hh_fech!Y25/SER_summary!Y$26)</f>
        <v>19.962552339461823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28.651159843589493</v>
      </c>
      <c r="C26" s="65">
        <f>IF(SER_hh_fech!C26=0,0,SER_hh_fech!C26/SER_summary!C$26)</f>
        <v>28.557228324648175</v>
      </c>
      <c r="D26" s="65">
        <f>IF(SER_hh_fech!D26=0,0,SER_hh_fech!D26/SER_summary!D$26)</f>
        <v>29.082038345060255</v>
      </c>
      <c r="E26" s="65">
        <f>IF(SER_hh_fech!E26=0,0,SER_hh_fech!E26/SER_summary!E$26)</f>
        <v>28.153603723382407</v>
      </c>
      <c r="F26" s="65">
        <f>IF(SER_hh_fech!F26=0,0,SER_hh_fech!F26/SER_summary!F$26)</f>
        <v>28.546777229096993</v>
      </c>
      <c r="G26" s="65">
        <f>IF(SER_hh_fech!G26=0,0,SER_hh_fech!G26/SER_summary!G$26)</f>
        <v>28.480614619653696</v>
      </c>
      <c r="H26" s="65">
        <f>IF(SER_hh_fech!H26=0,0,SER_hh_fech!H26/SER_summary!H$26)</f>
        <v>28.885272639959293</v>
      </c>
      <c r="I26" s="65">
        <f>IF(SER_hh_fech!I26=0,0,SER_hh_fech!I26/SER_summary!I$26)</f>
        <v>28.582670652280161</v>
      </c>
      <c r="J26" s="65">
        <f>IF(SER_hh_fech!J26=0,0,SER_hh_fech!J26/SER_summary!J$26)</f>
        <v>28.401890164008176</v>
      </c>
      <c r="K26" s="65">
        <f>IF(SER_hh_fech!K26=0,0,SER_hh_fech!K26/SER_summary!K$26)</f>
        <v>27.988816334156901</v>
      </c>
      <c r="L26" s="65">
        <f>IF(SER_hh_fech!L26=0,0,SER_hh_fech!L26/SER_summary!L$26)</f>
        <v>27.875338390949139</v>
      </c>
      <c r="M26" s="65">
        <f>IF(SER_hh_fech!M26=0,0,SER_hh_fech!M26/SER_summary!M$26)</f>
        <v>29.253341882006829</v>
      </c>
      <c r="N26" s="65">
        <f>IF(SER_hh_fech!N26=0,0,SER_hh_fech!N26/SER_summary!N$26)</f>
        <v>28.959647332056996</v>
      </c>
      <c r="O26" s="65">
        <f>IF(SER_hh_fech!O26=0,0,SER_hh_fech!O26/SER_summary!O$26)</f>
        <v>25.963476050696244</v>
      </c>
      <c r="P26" s="65">
        <f>IF(SER_hh_fech!P26=0,0,SER_hh_fech!P26/SER_summary!P$26)</f>
        <v>26.413769110222837</v>
      </c>
      <c r="Q26" s="65">
        <f>IF(SER_hh_fech!Q26=0,0,SER_hh_fech!Q26/SER_summary!Q$26)</f>
        <v>26.795593497954357</v>
      </c>
      <c r="R26" s="65">
        <f>IF(SER_hh_fech!R26=0,0,SER_hh_fech!R26/SER_summary!R$26)</f>
        <v>26.628399871966081</v>
      </c>
      <c r="S26" s="65">
        <f>IF(SER_hh_fech!S26=0,0,SER_hh_fech!S26/SER_summary!S$26)</f>
        <v>26.055784315153712</v>
      </c>
      <c r="T26" s="65">
        <f>IF(SER_hh_fech!T26=0,0,SER_hh_fech!T26/SER_summary!T$26)</f>
        <v>25.051629950884944</v>
      </c>
      <c r="U26" s="65">
        <f>IF(SER_hh_fech!U26=0,0,SER_hh_fech!U26/SER_summary!U$26)</f>
        <v>24.227706900944209</v>
      </c>
      <c r="V26" s="65">
        <f>IF(SER_hh_fech!V26=0,0,SER_hh_fech!V26/SER_summary!V$26)</f>
        <v>20.434470718621782</v>
      </c>
      <c r="W26" s="65">
        <f>IF(SER_hh_fech!W26=0,0,SER_hh_fech!W26/SER_summary!W$26)</f>
        <v>20.687031625163627</v>
      </c>
      <c r="X26" s="65">
        <f>IF(SER_hh_fech!X26=0,0,SER_hh_fech!X26/SER_summary!X$26)</f>
        <v>21.538842943690739</v>
      </c>
      <c r="Y26" s="65">
        <f>IF(SER_hh_fech!Y26=0,0,SER_hh_fech!Y26/SER_summary!Y$26)</f>
        <v>20.979170765532292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</v>
      </c>
      <c r="C27" s="145">
        <f>IF(SER_hh_fech!C27=0,0,SER_hh_fech!C27/SER_summary!C$26)</f>
        <v>0</v>
      </c>
      <c r="D27" s="145">
        <f>IF(SER_hh_fech!D27=0,0,SER_hh_fech!D27/SER_summary!D$26)</f>
        <v>0</v>
      </c>
      <c r="E27" s="145">
        <f>IF(SER_hh_fech!E27=0,0,SER_hh_fech!E27/SER_summary!E$26)</f>
        <v>0</v>
      </c>
      <c r="F27" s="145">
        <f>IF(SER_hh_fech!F27=0,0,SER_hh_fech!F27/SER_summary!F$26)</f>
        <v>0</v>
      </c>
      <c r="G27" s="145">
        <f>IF(SER_hh_fech!G27=0,0,SER_hh_fech!G27/SER_summary!G$26)</f>
        <v>3.2254990270236868E-3</v>
      </c>
      <c r="H27" s="145">
        <f>IF(SER_hh_fech!H27=0,0,SER_hh_fech!H27/SER_summary!H$26)</f>
        <v>6.3633744801633021E-3</v>
      </c>
      <c r="I27" s="145">
        <f>IF(SER_hh_fech!I27=0,0,SER_hh_fech!I27/SER_summary!I$26)</f>
        <v>9.3510812792953219E-3</v>
      </c>
      <c r="J27" s="145">
        <f>IF(SER_hh_fech!J27=0,0,SER_hh_fech!J27/SER_summary!J$26)</f>
        <v>1.2544187948884738E-2</v>
      </c>
      <c r="K27" s="145">
        <f>IF(SER_hh_fech!K27=0,0,SER_hh_fech!K27/SER_summary!K$26)</f>
        <v>1.5750394234898143E-2</v>
      </c>
      <c r="L27" s="145">
        <f>IF(SER_hh_fech!L27=0,0,SER_hh_fech!L27/SER_summary!L$26)</f>
        <v>2.2038495922496595E-2</v>
      </c>
      <c r="M27" s="145">
        <f>IF(SER_hh_fech!M27=0,0,SER_hh_fech!M27/SER_summary!M$26)</f>
        <v>2.507919559419762E-2</v>
      </c>
      <c r="N27" s="145">
        <f>IF(SER_hh_fech!N27=0,0,SER_hh_fech!N27/SER_summary!N$26)</f>
        <v>2.4898586431844949E-2</v>
      </c>
      <c r="O27" s="145">
        <f>IF(SER_hh_fech!O27=0,0,SER_hh_fech!O27/SER_summary!O$26)</f>
        <v>2.4639258143362895E-2</v>
      </c>
      <c r="P27" s="145">
        <f>IF(SER_hh_fech!P27=0,0,SER_hh_fech!P27/SER_summary!P$26)</f>
        <v>2.6877821912085847E-2</v>
      </c>
      <c r="Q27" s="145">
        <f>IF(SER_hh_fech!Q27=0,0,SER_hh_fech!Q27/SER_summary!Q$26)</f>
        <v>2.6858763461722435E-2</v>
      </c>
      <c r="R27" s="145">
        <f>IF(SER_hh_fech!R27=0,0,SER_hh_fech!R27/SER_summary!R$26)</f>
        <v>2.6603409837569928E-2</v>
      </c>
      <c r="S27" s="145">
        <f>IF(SER_hh_fech!S27=0,0,SER_hh_fech!S27/SER_summary!S$26)</f>
        <v>2.9154618643580481E-2</v>
      </c>
      <c r="T27" s="145">
        <f>IF(SER_hh_fech!T27=0,0,SER_hh_fech!T27/SER_summary!T$26)</f>
        <v>2.8759738862538083E-2</v>
      </c>
      <c r="U27" s="145">
        <f>IF(SER_hh_fech!U27=0,0,SER_hh_fech!U27/SER_summary!U$26)</f>
        <v>3.1275201857930784E-2</v>
      </c>
      <c r="V27" s="145">
        <f>IF(SER_hh_fech!V27=0,0,SER_hh_fech!V27/SER_summary!V$26)</f>
        <v>3.0946124700649898E-2</v>
      </c>
      <c r="W27" s="145">
        <f>IF(SER_hh_fech!W27=0,0,SER_hh_fech!W27/SER_summary!W$26)</f>
        <v>3.0638542030168418E-2</v>
      </c>
      <c r="X27" s="145">
        <f>IF(SER_hh_fech!X27=0,0,SER_hh_fech!X27/SER_summary!X$26)</f>
        <v>3.3102664294629935E-2</v>
      </c>
      <c r="Y27" s="145">
        <f>IF(SER_hh_fech!Y27=0,0,SER_hh_fech!Y27/SER_summary!Y$26)</f>
        <v>3.5543092724078282E-2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0</v>
      </c>
      <c r="C28" s="146">
        <f>IF(SER_hh_fech!C28=0,0,SER_hh_fech!C28/SER_summary!C$26)</f>
        <v>0</v>
      </c>
      <c r="D28" s="146">
        <f>IF(SER_hh_fech!D28=0,0,SER_hh_fech!D28/SER_summary!D$26)</f>
        <v>0</v>
      </c>
      <c r="E28" s="146">
        <f>IF(SER_hh_fech!E28=0,0,SER_hh_fech!E28/SER_summary!E$26)</f>
        <v>0</v>
      </c>
      <c r="F28" s="146">
        <f>IF(SER_hh_fech!F28=0,0,SER_hh_fech!F28/SER_summary!F$26)</f>
        <v>0</v>
      </c>
      <c r="G28" s="146">
        <f>IF(SER_hh_fech!G28=0,0,SER_hh_fech!G28/SER_summary!G$26)</f>
        <v>14.730017241042038</v>
      </c>
      <c r="H28" s="146">
        <f>IF(SER_hh_fech!H28=0,0,SER_hh_fech!H28/SER_summary!H$26)</f>
        <v>13.393575374600884</v>
      </c>
      <c r="I28" s="146">
        <f>IF(SER_hh_fech!I28=0,0,SER_hh_fech!I28/SER_summary!I$26)</f>
        <v>14.261429112115891</v>
      </c>
      <c r="J28" s="146">
        <f>IF(SER_hh_fech!J28=0,0,SER_hh_fech!J28/SER_summary!J$26)</f>
        <v>13.84822279950224</v>
      </c>
      <c r="K28" s="146">
        <f>IF(SER_hh_fech!K28=0,0,SER_hh_fech!K28/SER_summary!K$26)</f>
        <v>14.407583111705076</v>
      </c>
      <c r="L28" s="146">
        <f>IF(SER_hh_fech!L28=0,0,SER_hh_fech!L28/SER_summary!L$26)</f>
        <v>14.597443836259361</v>
      </c>
      <c r="M28" s="146">
        <f>IF(SER_hh_fech!M28=0,0,SER_hh_fech!M28/SER_summary!M$26)</f>
        <v>14.032963769289102</v>
      </c>
      <c r="N28" s="146">
        <f>IF(SER_hh_fech!N28=0,0,SER_hh_fech!N28/SER_summary!N$26)</f>
        <v>15.95987193052196</v>
      </c>
      <c r="O28" s="146">
        <f>IF(SER_hh_fech!O28=0,0,SER_hh_fech!O28/SER_summary!O$26)</f>
        <v>15.690307629001516</v>
      </c>
      <c r="P28" s="146">
        <f>IF(SER_hh_fech!P28=0,0,SER_hh_fech!P28/SER_summary!P$26)</f>
        <v>15.267747507276235</v>
      </c>
      <c r="Q28" s="146">
        <f>IF(SER_hh_fech!Q28=0,0,SER_hh_fech!Q28/SER_summary!Q$26)</f>
        <v>13.677863434393091</v>
      </c>
      <c r="R28" s="146">
        <f>IF(SER_hh_fech!R28=0,0,SER_hh_fech!R28/SER_summary!R$26)</f>
        <v>13.90180321235014</v>
      </c>
      <c r="S28" s="146">
        <f>IF(SER_hh_fech!S28=0,0,SER_hh_fech!S28/SER_summary!S$26)</f>
        <v>14.170766033515436</v>
      </c>
      <c r="T28" s="146">
        <f>IF(SER_hh_fech!T28=0,0,SER_hh_fech!T28/SER_summary!T$26)</f>
        <v>14.128383301254875</v>
      </c>
      <c r="U28" s="146">
        <f>IF(SER_hh_fech!U28=0,0,SER_hh_fech!U28/SER_summary!U$26)</f>
        <v>13.987129080053645</v>
      </c>
      <c r="V28" s="146">
        <f>IF(SER_hh_fech!V28=0,0,SER_hh_fech!V28/SER_summary!V$26)</f>
        <v>12.321816715976929</v>
      </c>
      <c r="W28" s="146">
        <f>IF(SER_hh_fech!W28=0,0,SER_hh_fech!W28/SER_summary!W$26)</f>
        <v>13.60868999904492</v>
      </c>
      <c r="X28" s="146">
        <f>IF(SER_hh_fech!X28=0,0,SER_hh_fech!X28/SER_summary!X$26)</f>
        <v>12.999100298372113</v>
      </c>
      <c r="Y28" s="146">
        <f>IF(SER_hh_fech!Y28=0,0,SER_hh_fech!Y28/SER_summary!Y$26)</f>
        <v>11.809125021608795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30.131926033596503</v>
      </c>
      <c r="C29" s="130">
        <f>IF(SER_hh_fech!C29=0,0,SER_hh_fech!C29/SER_summary!C$26)</f>
        <v>30.02604517796722</v>
      </c>
      <c r="D29" s="130">
        <f>IF(SER_hh_fech!D29=0,0,SER_hh_fech!D29/SER_summary!D$26)</f>
        <v>30.114038673510162</v>
      </c>
      <c r="E29" s="130">
        <f>IF(SER_hh_fech!E29=0,0,SER_hh_fech!E29/SER_summary!E$26)</f>
        <v>30.16666067570506</v>
      </c>
      <c r="F29" s="130">
        <f>IF(SER_hh_fech!F29=0,0,SER_hh_fech!F29/SER_summary!F$26)</f>
        <v>29.713443517010916</v>
      </c>
      <c r="G29" s="130">
        <f>IF(SER_hh_fech!G29=0,0,SER_hh_fech!G29/SER_summary!G$26)</f>
        <v>29.771265841748448</v>
      </c>
      <c r="H29" s="130">
        <f>IF(SER_hh_fech!H29=0,0,SER_hh_fech!H29/SER_summary!H$26)</f>
        <v>30.101713597198781</v>
      </c>
      <c r="I29" s="130">
        <f>IF(SER_hh_fech!I29=0,0,SER_hh_fech!I29/SER_summary!I$26)</f>
        <v>29.577813703219341</v>
      </c>
      <c r="J29" s="130">
        <f>IF(SER_hh_fech!J29=0,0,SER_hh_fech!J29/SER_summary!J$26)</f>
        <v>29.705003500481535</v>
      </c>
      <c r="K29" s="130">
        <f>IF(SER_hh_fech!K29=0,0,SER_hh_fech!K29/SER_summary!K$26)</f>
        <v>30.010850212560623</v>
      </c>
      <c r="L29" s="130">
        <f>IF(SER_hh_fech!L29=0,0,SER_hh_fech!L29/SER_summary!L$26)</f>
        <v>30.760490071113942</v>
      </c>
      <c r="M29" s="130">
        <f>IF(SER_hh_fech!M29=0,0,SER_hh_fech!M29/SER_summary!M$26)</f>
        <v>30.757818005461338</v>
      </c>
      <c r="N29" s="130">
        <f>IF(SER_hh_fech!N29=0,0,SER_hh_fech!N29/SER_summary!N$26)</f>
        <v>30.477057127177098</v>
      </c>
      <c r="O29" s="130">
        <f>IF(SER_hh_fech!O29=0,0,SER_hh_fech!O29/SER_summary!O$26)</f>
        <v>30.235939418695224</v>
      </c>
      <c r="P29" s="130">
        <f>IF(SER_hh_fech!P29=0,0,SER_hh_fech!P29/SER_summary!P$26)</f>
        <v>29.219912328338498</v>
      </c>
      <c r="Q29" s="130">
        <f>IF(SER_hh_fech!Q29=0,0,SER_hh_fech!Q29/SER_summary!Q$26)</f>
        <v>29.343268291429602</v>
      </c>
      <c r="R29" s="130">
        <f>IF(SER_hh_fech!R29=0,0,SER_hh_fech!R29/SER_summary!R$26)</f>
        <v>28.661845060793006</v>
      </c>
      <c r="S29" s="130">
        <f>IF(SER_hh_fech!S29=0,0,SER_hh_fech!S29/SER_summary!S$26)</f>
        <v>28.076646209530217</v>
      </c>
      <c r="T29" s="130">
        <f>IF(SER_hh_fech!T29=0,0,SER_hh_fech!T29/SER_summary!T$26)</f>
        <v>28.307191820237158</v>
      </c>
      <c r="U29" s="130">
        <f>IF(SER_hh_fech!U29=0,0,SER_hh_fech!U29/SER_summary!U$26)</f>
        <v>27.81978121722717</v>
      </c>
      <c r="V29" s="130">
        <f>IF(SER_hh_fech!V29=0,0,SER_hh_fech!V29/SER_summary!V$26)</f>
        <v>26.304130851769081</v>
      </c>
      <c r="W29" s="130">
        <f>IF(SER_hh_fech!W29=0,0,SER_hh_fech!W29/SER_summary!W$26)</f>
        <v>27.524890713788018</v>
      </c>
      <c r="X29" s="130">
        <f>IF(SER_hh_fech!X29=0,0,SER_hh_fech!X29/SER_summary!X$26)</f>
        <v>27.252529588857541</v>
      </c>
      <c r="Y29" s="130">
        <f>IF(SER_hh_fech!Y29=0,0,SER_hh_fech!Y29/SER_summary!Y$26)</f>
        <v>26.651447231098377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39.502710502981024</v>
      </c>
      <c r="C30" s="132">
        <f>IF(SER_hh_fech!C30=0,0,SER_hh_fech!C30/SER_summary!C$26)</f>
        <v>33.794220055839638</v>
      </c>
      <c r="D30" s="132">
        <f>IF(SER_hh_fech!D30=0,0,SER_hh_fech!D30/SER_summary!D$26)</f>
        <v>39.505305286182676</v>
      </c>
      <c r="E30" s="132">
        <f>IF(SER_hh_fech!E30=0,0,SER_hh_fech!E30/SER_summary!E$26)</f>
        <v>40.411367448174062</v>
      </c>
      <c r="F30" s="132">
        <f>IF(SER_hh_fech!F30=0,0,SER_hh_fech!F30/SER_summary!F$26)</f>
        <v>28.222718870705037</v>
      </c>
      <c r="G30" s="132">
        <f>IF(SER_hh_fech!G30=0,0,SER_hh_fech!G30/SER_summary!G$26)</f>
        <v>34.759732555245719</v>
      </c>
      <c r="H30" s="132">
        <f>IF(SER_hh_fech!H30=0,0,SER_hh_fech!H30/SER_summary!H$26)</f>
        <v>35.026983957968177</v>
      </c>
      <c r="I30" s="132">
        <f>IF(SER_hh_fech!I30=0,0,SER_hh_fech!I30/SER_summary!I$26)</f>
        <v>36.342828440151109</v>
      </c>
      <c r="J30" s="132">
        <f>IF(SER_hh_fech!J30=0,0,SER_hh_fech!J30/SER_summary!J$26)</f>
        <v>31.873690790742746</v>
      </c>
      <c r="K30" s="132">
        <f>IF(SER_hh_fech!K30=0,0,SER_hh_fech!K30/SER_summary!K$26)</f>
        <v>33.189866232478579</v>
      </c>
      <c r="L30" s="132">
        <f>IF(SER_hh_fech!L30=0,0,SER_hh_fech!L30/SER_summary!L$26)</f>
        <v>37.943973535954321</v>
      </c>
      <c r="M30" s="132">
        <f>IF(SER_hh_fech!M30=0,0,SER_hh_fech!M30/SER_summary!M$26)</f>
        <v>34.661272351367401</v>
      </c>
      <c r="N30" s="132">
        <f>IF(SER_hh_fech!N30=0,0,SER_hh_fech!N30/SER_summary!N$26)</f>
        <v>35.447339805406116</v>
      </c>
      <c r="O30" s="132">
        <f>IF(SER_hh_fech!O30=0,0,SER_hh_fech!O30/SER_summary!O$26)</f>
        <v>28.979340932149199</v>
      </c>
      <c r="P30" s="132">
        <f>IF(SER_hh_fech!P30=0,0,SER_hh_fech!P30/SER_summary!P$26)</f>
        <v>32.082028948933235</v>
      </c>
      <c r="Q30" s="132">
        <f>IF(SER_hh_fech!Q30=0,0,SER_hh_fech!Q30/SER_summary!Q$26)</f>
        <v>37.83883203121961</v>
      </c>
      <c r="R30" s="132">
        <f>IF(SER_hh_fech!R30=0,0,SER_hh_fech!R30/SER_summary!R$26)</f>
        <v>31.187537029496688</v>
      </c>
      <c r="S30" s="132">
        <f>IF(SER_hh_fech!S30=0,0,SER_hh_fech!S30/SER_summary!S$26)</f>
        <v>27.08547203044521</v>
      </c>
      <c r="T30" s="132">
        <f>IF(SER_hh_fech!T30=0,0,SER_hh_fech!T30/SER_summary!T$26)</f>
        <v>33.233688829786217</v>
      </c>
      <c r="U30" s="132">
        <f>IF(SER_hh_fech!U30=0,0,SER_hh_fech!U30/SER_summary!U$26)</f>
        <v>28.781744241501947</v>
      </c>
      <c r="V30" s="132">
        <f>IF(SER_hh_fech!V30=0,0,SER_hh_fech!V30/SER_summary!V$26)</f>
        <v>41.086281429882384</v>
      </c>
      <c r="W30" s="132">
        <f>IF(SER_hh_fech!W30=0,0,SER_hh_fech!W30/SER_summary!W$26)</f>
        <v>28.50530479164971</v>
      </c>
      <c r="X30" s="132">
        <f>IF(SER_hh_fech!X30=0,0,SER_hh_fech!X30/SER_summary!X$26)</f>
        <v>29.649382412786046</v>
      </c>
      <c r="Y30" s="132">
        <f>IF(SER_hh_fech!Y30=0,0,SER_hh_fech!Y30/SER_summary!Y$26)</f>
        <v>31.214980690926176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26.155092017805362</v>
      </c>
      <c r="C31" s="132">
        <f>IF(SER_hh_fech!C31=0,0,SER_hh_fech!C31/SER_summary!C$26)</f>
        <v>38.531673284908941</v>
      </c>
      <c r="D31" s="132">
        <f>IF(SER_hh_fech!D31=0,0,SER_hh_fech!D31/SER_summary!D$26)</f>
        <v>31.977806490451503</v>
      </c>
      <c r="E31" s="132">
        <f>IF(SER_hh_fech!E31=0,0,SER_hh_fech!E31/SER_summary!E$26)</f>
        <v>33.589542403642795</v>
      </c>
      <c r="F31" s="132">
        <f>IF(SER_hh_fech!F31=0,0,SER_hh_fech!F31/SER_summary!F$26)</f>
        <v>36.109252621777088</v>
      </c>
      <c r="G31" s="132">
        <f>IF(SER_hh_fech!G31=0,0,SER_hh_fech!G31/SER_summary!G$26)</f>
        <v>34.500235154000698</v>
      </c>
      <c r="H31" s="132">
        <f>IF(SER_hh_fech!H31=0,0,SER_hh_fech!H31/SER_summary!H$26)</f>
        <v>34.749481214458235</v>
      </c>
      <c r="I31" s="132">
        <f>IF(SER_hh_fech!I31=0,0,SER_hh_fech!I31/SER_summary!I$26)</f>
        <v>34.009124172109694</v>
      </c>
      <c r="J31" s="132">
        <f>IF(SER_hh_fech!J31=0,0,SER_hh_fech!J31/SER_summary!J$26)</f>
        <v>34.039528149643132</v>
      </c>
      <c r="K31" s="132">
        <f>IF(SER_hh_fech!K31=0,0,SER_hh_fech!K31/SER_summary!K$26)</f>
        <v>33.804831245257702</v>
      </c>
      <c r="L31" s="132">
        <f>IF(SER_hh_fech!L31=0,0,SER_hh_fech!L31/SER_summary!L$26)</f>
        <v>33.75857936455693</v>
      </c>
      <c r="M31" s="132">
        <f>IF(SER_hh_fech!M31=0,0,SER_hh_fech!M31/SER_summary!M$26)</f>
        <v>34.033007219640254</v>
      </c>
      <c r="N31" s="132">
        <f>IF(SER_hh_fech!N31=0,0,SER_hh_fech!N31/SER_summary!N$26)</f>
        <v>33.89416686242123</v>
      </c>
      <c r="O31" s="132">
        <f>IF(SER_hh_fech!O31=0,0,SER_hh_fech!O31/SER_summary!O$26)</f>
        <v>34.061800965583842</v>
      </c>
      <c r="P31" s="132">
        <f>IF(SER_hh_fech!P31=0,0,SER_hh_fech!P31/SER_summary!P$26)</f>
        <v>33.002744435269598</v>
      </c>
      <c r="Q31" s="132">
        <f>IF(SER_hh_fech!Q31=0,0,SER_hh_fech!Q31/SER_summary!Q$26)</f>
        <v>32.080507845931997</v>
      </c>
      <c r="R31" s="132">
        <f>IF(SER_hh_fech!R31=0,0,SER_hh_fech!R31/SER_summary!R$26)</f>
        <v>31.726977787365101</v>
      </c>
      <c r="S31" s="132">
        <f>IF(SER_hh_fech!S31=0,0,SER_hh_fech!S31/SER_summary!S$26)</f>
        <v>31.46519419776445</v>
      </c>
      <c r="T31" s="132">
        <f>IF(SER_hh_fech!T31=0,0,SER_hh_fech!T31/SER_summary!T$26)</f>
        <v>31.318195098179128</v>
      </c>
      <c r="U31" s="132">
        <f>IF(SER_hh_fech!U31=0,0,SER_hh_fech!U31/SER_summary!U$26)</f>
        <v>31.087447546707363</v>
      </c>
      <c r="V31" s="132">
        <f>IF(SER_hh_fech!V31=0,0,SER_hh_fech!V31/SER_summary!V$26)</f>
        <v>29.330630963637756</v>
      </c>
      <c r="W31" s="132">
        <f>IF(SER_hh_fech!W31=0,0,SER_hh_fech!W31/SER_summary!W$26)</f>
        <v>31.444171864121493</v>
      </c>
      <c r="X31" s="132">
        <f>IF(SER_hh_fech!X31=0,0,SER_hh_fech!X31/SER_summary!X$26)</f>
        <v>30.918488601278845</v>
      </c>
      <c r="Y31" s="132">
        <f>IF(SER_hh_fech!Y31=0,0,SER_hh_fech!Y31/SER_summary!Y$26)</f>
        <v>30.022243659319749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27.963341994249436</v>
      </c>
      <c r="C33" s="68">
        <f>IF(SER_hh_fech!C33=0,0,SER_hh_fech!C33/SER_summary!C$26)</f>
        <v>27.801908081559169</v>
      </c>
      <c r="D33" s="68">
        <f>IF(SER_hh_fech!D33=0,0,SER_hh_fech!D33/SER_summary!D$26)</f>
        <v>27.318846092029684</v>
      </c>
      <c r="E33" s="68">
        <f>IF(SER_hh_fech!E33=0,0,SER_hh_fech!E33/SER_summary!E$26)</f>
        <v>26.755141071328687</v>
      </c>
      <c r="F33" s="68">
        <f>IF(SER_hh_fech!F33=0,0,SER_hh_fech!F33/SER_summary!F$26)</f>
        <v>27.132077476719925</v>
      </c>
      <c r="G33" s="68">
        <f>IF(SER_hh_fech!G33=0,0,SER_hh_fech!G33/SER_summary!G$26)</f>
        <v>26.191940737778484</v>
      </c>
      <c r="H33" s="68">
        <f>IF(SER_hh_fech!H33=0,0,SER_hh_fech!H33/SER_summary!H$26)</f>
        <v>25.997061664350468</v>
      </c>
      <c r="I33" s="68">
        <f>IF(SER_hh_fech!I33=0,0,SER_hh_fech!I33/SER_summary!I$26)</f>
        <v>24.828503002701925</v>
      </c>
      <c r="J33" s="68">
        <f>IF(SER_hh_fech!J33=0,0,SER_hh_fech!J33/SER_summary!J$26)</f>
        <v>25.289891497487286</v>
      </c>
      <c r="K33" s="68">
        <f>IF(SER_hh_fech!K33=0,0,SER_hh_fech!K33/SER_summary!K$26)</f>
        <v>25.570462586763043</v>
      </c>
      <c r="L33" s="68">
        <f>IF(SER_hh_fech!L33=0,0,SER_hh_fech!L33/SER_summary!L$26)</f>
        <v>26.108314126442014</v>
      </c>
      <c r="M33" s="68">
        <f>IF(SER_hh_fech!M33=0,0,SER_hh_fech!M33/SER_summary!M$26)</f>
        <v>25.884191211064817</v>
      </c>
      <c r="N33" s="68">
        <f>IF(SER_hh_fech!N33=0,0,SER_hh_fech!N33/SER_summary!N$26)</f>
        <v>24.70578722359528</v>
      </c>
      <c r="O33" s="68">
        <f>IF(SER_hh_fech!O33=0,0,SER_hh_fech!O33/SER_summary!O$26)</f>
        <v>24.404872824953106</v>
      </c>
      <c r="P33" s="68">
        <f>IF(SER_hh_fech!P33=0,0,SER_hh_fech!P33/SER_summary!P$26)</f>
        <v>22.821388757248364</v>
      </c>
      <c r="Q33" s="68">
        <f>IF(SER_hh_fech!Q33=0,0,SER_hh_fech!Q33/SER_summary!Q$26)</f>
        <v>23.866649276786333</v>
      </c>
      <c r="R33" s="68">
        <f>IF(SER_hh_fech!R33=0,0,SER_hh_fech!R33/SER_summary!R$26)</f>
        <v>23.81673832404671</v>
      </c>
      <c r="S33" s="68">
        <f>IF(SER_hh_fech!S33=0,0,SER_hh_fech!S33/SER_summary!S$26)</f>
        <v>23.389903733066134</v>
      </c>
      <c r="T33" s="68">
        <f>IF(SER_hh_fech!T33=0,0,SER_hh_fech!T33/SER_summary!T$26)</f>
        <v>23.546765313485185</v>
      </c>
      <c r="U33" s="68">
        <f>IF(SER_hh_fech!U33=0,0,SER_hh_fech!U33/SER_summary!U$26)</f>
        <v>23.189249176284019</v>
      </c>
      <c r="V33" s="68">
        <f>IF(SER_hh_fech!V33=0,0,SER_hh_fech!V33/SER_summary!V$26)</f>
        <v>20.270621577258925</v>
      </c>
      <c r="W33" s="68">
        <f>IF(SER_hh_fech!W33=0,0,SER_hh_fech!W33/SER_summary!W$26)</f>
        <v>22.060193377382404</v>
      </c>
      <c r="X33" s="68">
        <f>IF(SER_hh_fech!X33=0,0,SER_hh_fech!X33/SER_summary!X$26)</f>
        <v>22.158798522560442</v>
      </c>
      <c r="Y33" s="68">
        <f>IF(SER_hh_fech!Y33=0,0,SER_hh_fech!Y33/SER_summary!Y$26)</f>
        <v>21.950635548216713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234.62928477752587</v>
      </c>
      <c r="C3" s="125">
        <f>IF(SER_hh_tesh!C3=0,0,SER_hh_tesh!C3/SER_summary!C$26)</f>
        <v>244.07508111734737</v>
      </c>
      <c r="D3" s="125">
        <f>IF(SER_hh_tesh!D3=0,0,SER_hh_tesh!D3/SER_summary!D$26)</f>
        <v>219.79881616320077</v>
      </c>
      <c r="E3" s="125">
        <f>IF(SER_hh_tesh!E3=0,0,SER_hh_tesh!E3/SER_summary!E$26)</f>
        <v>221.21967273881063</v>
      </c>
      <c r="F3" s="125">
        <f>IF(SER_hh_tesh!F3=0,0,SER_hh_tesh!F3/SER_summary!F$26)</f>
        <v>249.40412397970559</v>
      </c>
      <c r="G3" s="125">
        <f>IF(SER_hh_tesh!G3=0,0,SER_hh_tesh!G3/SER_summary!G$26)</f>
        <v>243.91762613338724</v>
      </c>
      <c r="H3" s="125">
        <f>IF(SER_hh_tesh!H3=0,0,SER_hh_tesh!H3/SER_summary!H$26)</f>
        <v>218.83969459539659</v>
      </c>
      <c r="I3" s="125">
        <f>IF(SER_hh_tesh!I3=0,0,SER_hh_tesh!I3/SER_summary!I$26)</f>
        <v>190.46515276422298</v>
      </c>
      <c r="J3" s="125">
        <f>IF(SER_hh_tesh!J3=0,0,SER_hh_tesh!J3/SER_summary!J$26)</f>
        <v>189.28198773935927</v>
      </c>
      <c r="K3" s="125">
        <f>IF(SER_hh_tesh!K3=0,0,SER_hh_tesh!K3/SER_summary!K$26)</f>
        <v>203.75460536490343</v>
      </c>
      <c r="L3" s="125">
        <f>IF(SER_hh_tesh!L3=0,0,SER_hh_tesh!L3/SER_summary!L$26)</f>
        <v>216.52778922557894</v>
      </c>
      <c r="M3" s="125">
        <f>IF(SER_hh_tesh!M3=0,0,SER_hh_tesh!M3/SER_summary!M$26)</f>
        <v>218.80354859168639</v>
      </c>
      <c r="N3" s="125">
        <f>IF(SER_hh_tesh!N3=0,0,SER_hh_tesh!N3/SER_summary!N$26)</f>
        <v>162.06077748031746</v>
      </c>
      <c r="O3" s="125">
        <f>IF(SER_hh_tesh!O3=0,0,SER_hh_tesh!O3/SER_summary!O$26)</f>
        <v>161.00673288135772</v>
      </c>
      <c r="P3" s="125">
        <f>IF(SER_hh_tesh!P3=0,0,SER_hh_tesh!P3/SER_summary!P$26)</f>
        <v>139.21643236090688</v>
      </c>
      <c r="Q3" s="125">
        <f>IF(SER_hh_tesh!Q3=0,0,SER_hh_tesh!Q3/SER_summary!Q$26)</f>
        <v>151.61632580775327</v>
      </c>
      <c r="R3" s="125">
        <f>IF(SER_hh_tesh!R3=0,0,SER_hh_tesh!R3/SER_summary!R$26)</f>
        <v>149.9281143628719</v>
      </c>
      <c r="S3" s="125">
        <f>IF(SER_hh_tesh!S3=0,0,SER_hh_tesh!S3/SER_summary!S$26)</f>
        <v>149.76000386788388</v>
      </c>
      <c r="T3" s="125">
        <f>IF(SER_hh_tesh!T3=0,0,SER_hh_tesh!T3/SER_summary!T$26)</f>
        <v>146.54521620841334</v>
      </c>
      <c r="U3" s="125">
        <f>IF(SER_hh_tesh!U3=0,0,SER_hh_tesh!U3/SER_summary!U$26)</f>
        <v>144.66772183655968</v>
      </c>
      <c r="V3" s="125">
        <f>IF(SER_hh_tesh!V3=0,0,SER_hh_tesh!V3/SER_summary!V$26)</f>
        <v>141.18600600317896</v>
      </c>
      <c r="W3" s="125">
        <f>IF(SER_hh_tesh!W3=0,0,SER_hh_tesh!W3/SER_summary!W$26)</f>
        <v>150.03866083137746</v>
      </c>
      <c r="X3" s="125">
        <f>IF(SER_hh_tesh!X3=0,0,SER_hh_tesh!X3/SER_summary!X$26)</f>
        <v>137.51471737322618</v>
      </c>
      <c r="Y3" s="125">
        <f>IF(SER_hh_tesh!Y3=0,0,SER_hh_tesh!Y3/SER_summary!Y$26)</f>
        <v>115.1344489349857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189.87491196781349</v>
      </c>
      <c r="C4" s="130">
        <f>IF(SER_hh_tesh!C4=0,0,SER_hh_tesh!C4/SER_summary!C$26)</f>
        <v>199.67879227666333</v>
      </c>
      <c r="D4" s="130">
        <f>IF(SER_hh_tesh!D4=0,0,SER_hh_tesh!D4/SER_summary!D$26)</f>
        <v>174.91025178450479</v>
      </c>
      <c r="E4" s="130">
        <f>IF(SER_hh_tesh!E4=0,0,SER_hh_tesh!E4/SER_summary!E$26)</f>
        <v>175.9965540871508</v>
      </c>
      <c r="F4" s="130">
        <f>IF(SER_hh_tesh!F4=0,0,SER_hh_tesh!F4/SER_summary!F$26)</f>
        <v>204.90266495369607</v>
      </c>
      <c r="G4" s="130">
        <f>IF(SER_hh_tesh!G4=0,0,SER_hh_tesh!G4/SER_summary!G$26)</f>
        <v>199.70300990325845</v>
      </c>
      <c r="H4" s="130">
        <f>IF(SER_hh_tesh!H4=0,0,SER_hh_tesh!H4/SER_summary!H$26)</f>
        <v>173.86381827584853</v>
      </c>
      <c r="I4" s="130">
        <f>IF(SER_hh_tesh!I4=0,0,SER_hh_tesh!I4/SER_summary!I$26)</f>
        <v>145.37266134228511</v>
      </c>
      <c r="J4" s="130">
        <f>IF(SER_hh_tesh!J4=0,0,SER_hh_tesh!J4/SER_summary!J$26)</f>
        <v>144.42078510017819</v>
      </c>
      <c r="K4" s="130">
        <f>IF(SER_hh_tesh!K4=0,0,SER_hh_tesh!K4/SER_summary!K$26)</f>
        <v>158.1279857202837</v>
      </c>
      <c r="L4" s="130">
        <f>IF(SER_hh_tesh!L4=0,0,SER_hh_tesh!L4/SER_summary!L$26)</f>
        <v>169.89005821273599</v>
      </c>
      <c r="M4" s="130">
        <f>IF(SER_hh_tesh!M4=0,0,SER_hh_tesh!M4/SER_summary!M$26)</f>
        <v>172.09021311160143</v>
      </c>
      <c r="N4" s="130">
        <f>IF(SER_hh_tesh!N4=0,0,SER_hh_tesh!N4/SER_summary!N$26)</f>
        <v>113.78820206151775</v>
      </c>
      <c r="O4" s="130">
        <f>IF(SER_hh_tesh!O4=0,0,SER_hh_tesh!O4/SER_summary!O$26)</f>
        <v>114.34964370347399</v>
      </c>
      <c r="P4" s="130">
        <f>IF(SER_hh_tesh!P4=0,0,SER_hh_tesh!P4/SER_summary!P$26)</f>
        <v>94.334468083173903</v>
      </c>
      <c r="Q4" s="130">
        <f>IF(SER_hh_tesh!Q4=0,0,SER_hh_tesh!Q4/SER_summary!Q$26)</f>
        <v>103.37811161784778</v>
      </c>
      <c r="R4" s="130">
        <f>IF(SER_hh_tesh!R4=0,0,SER_hh_tesh!R4/SER_summary!R$26)</f>
        <v>104.49986164322374</v>
      </c>
      <c r="S4" s="130">
        <f>IF(SER_hh_tesh!S4=0,0,SER_hh_tesh!S4/SER_summary!S$26)</f>
        <v>103.22984120354057</v>
      </c>
      <c r="T4" s="130">
        <f>IF(SER_hh_tesh!T4=0,0,SER_hh_tesh!T4/SER_summary!T$26)</f>
        <v>99.813795939717735</v>
      </c>
      <c r="U4" s="130">
        <f>IF(SER_hh_tesh!U4=0,0,SER_hh_tesh!U4/SER_summary!U$26)</f>
        <v>97.735515724171364</v>
      </c>
      <c r="V4" s="130">
        <f>IF(SER_hh_tesh!V4=0,0,SER_hh_tesh!V4/SER_summary!V$26)</f>
        <v>98.62593967845612</v>
      </c>
      <c r="W4" s="130">
        <f>IF(SER_hh_tesh!W4=0,0,SER_hh_tesh!W4/SER_summary!W$26)</f>
        <v>104.02814471197648</v>
      </c>
      <c r="X4" s="130">
        <f>IF(SER_hh_tesh!X4=0,0,SER_hh_tesh!X4/SER_summary!X$26)</f>
        <v>91.239545434980784</v>
      </c>
      <c r="Y4" s="130">
        <f>IF(SER_hh_tesh!Y4=0,0,SER_hh_tesh!Y4/SER_summary!Y$26)</f>
        <v>70.293671485684754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221.26926600122579</v>
      </c>
      <c r="C5" s="132">
        <f>IF(SER_hh_tesh!C5=0,0,SER_hh_tesh!C5/SER_summary!C$26)</f>
        <v>167.5609394432353</v>
      </c>
      <c r="D5" s="132">
        <f>IF(SER_hh_tesh!D5=0,0,SER_hh_tesh!D5/SER_summary!D$26)</f>
        <v>163.23056197592297</v>
      </c>
      <c r="E5" s="132">
        <f>IF(SER_hh_tesh!E5=0,0,SER_hh_tesh!E5/SER_summary!E$26)</f>
        <v>201.81198180134786</v>
      </c>
      <c r="F5" s="132">
        <f>IF(SER_hh_tesh!F5=0,0,SER_hh_tesh!F5/SER_summary!F$26)</f>
        <v>179.03629663189602</v>
      </c>
      <c r="G5" s="132">
        <f>IF(SER_hh_tesh!G5=0,0,SER_hh_tesh!G5/SER_summary!G$26)</f>
        <v>98.919477278987657</v>
      </c>
      <c r="H5" s="132">
        <f>IF(SER_hh_tesh!H5=0,0,SER_hh_tesh!H5/SER_summary!H$26)</f>
        <v>190.09597270263146</v>
      </c>
      <c r="I5" s="132">
        <f>IF(SER_hh_tesh!I5=0,0,SER_hh_tesh!I5/SER_summary!I$26)</f>
        <v>157.74981192607794</v>
      </c>
      <c r="J5" s="132">
        <f>IF(SER_hh_tesh!J5=0,0,SER_hh_tesh!J5/SER_summary!J$26)</f>
        <v>153.28734989626889</v>
      </c>
      <c r="K5" s="132">
        <f>IF(SER_hh_tesh!K5=0,0,SER_hh_tesh!K5/SER_summary!K$26)</f>
        <v>144.605975949933</v>
      </c>
      <c r="L5" s="132">
        <f>IF(SER_hh_tesh!L5=0,0,SER_hh_tesh!L5/SER_summary!L$26)</f>
        <v>160.49107945140426</v>
      </c>
      <c r="M5" s="132">
        <f>IF(SER_hh_tesh!M5=0,0,SER_hh_tesh!M5/SER_summary!M$26)</f>
        <v>185.75292417506401</v>
      </c>
      <c r="N5" s="132">
        <f>IF(SER_hh_tesh!N5=0,0,SER_hh_tesh!N5/SER_summary!N$26)</f>
        <v>56.432720543992524</v>
      </c>
      <c r="O5" s="132">
        <f>IF(SER_hh_tesh!O5=0,0,SER_hh_tesh!O5/SER_summary!O$26)</f>
        <v>127.38252306849189</v>
      </c>
      <c r="P5" s="132">
        <f>IF(SER_hh_tesh!P5=0,0,SER_hh_tesh!P5/SER_summary!P$26)</f>
        <v>98.314065637557604</v>
      </c>
      <c r="Q5" s="132">
        <f>IF(SER_hh_tesh!Q5=0,0,SER_hh_tesh!Q5/SER_summary!Q$26)</f>
        <v>114.88899701449601</v>
      </c>
      <c r="R5" s="132">
        <f>IF(SER_hh_tesh!R5=0,0,SER_hh_tesh!R5/SER_summary!R$26)</f>
        <v>121.91749743358871</v>
      </c>
      <c r="S5" s="132">
        <f>IF(SER_hh_tesh!S5=0,0,SER_hh_tesh!S5/SER_summary!S$26)</f>
        <v>78.473675694070266</v>
      </c>
      <c r="T5" s="132">
        <f>IF(SER_hh_tesh!T5=0,0,SER_hh_tesh!T5/SER_summary!T$26)</f>
        <v>94.038355092137635</v>
      </c>
      <c r="U5" s="132">
        <f>IF(SER_hh_tesh!U5=0,0,SER_hh_tesh!U5/SER_summary!U$26)</f>
        <v>104.4568626470717</v>
      </c>
      <c r="V5" s="132">
        <f>IF(SER_hh_tesh!V5=0,0,SER_hh_tesh!V5/SER_summary!V$26)</f>
        <v>89.573503131469266</v>
      </c>
      <c r="W5" s="132">
        <f>IF(SER_hh_tesh!W5=0,0,SER_hh_tesh!W5/SER_summary!W$26)</f>
        <v>94.877405986358951</v>
      </c>
      <c r="X5" s="132">
        <f>IF(SER_hh_tesh!X5=0,0,SER_hh_tesh!X5/SER_summary!X$26)</f>
        <v>123.30864806362921</v>
      </c>
      <c r="Y5" s="132">
        <f>IF(SER_hh_tesh!Y5=0,0,SER_hh_tesh!Y5/SER_summary!Y$26)</f>
        <v>52.370010668518646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185.92386252268861</v>
      </c>
      <c r="C7" s="132">
        <f>IF(SER_hh_tesh!C7=0,0,SER_hh_tesh!C7/SER_summary!C$26)</f>
        <v>221.74832619923225</v>
      </c>
      <c r="D7" s="132">
        <f>IF(SER_hh_tesh!D7=0,0,SER_hh_tesh!D7/SER_summary!D$26)</f>
        <v>147.4451984153672</v>
      </c>
      <c r="E7" s="132">
        <f>IF(SER_hh_tesh!E7=0,0,SER_hh_tesh!E7/SER_summary!E$26)</f>
        <v>148.17087982363901</v>
      </c>
      <c r="F7" s="132">
        <f>IF(SER_hh_tesh!F7=0,0,SER_hh_tesh!F7/SER_summary!F$26)</f>
        <v>174.78861746501673</v>
      </c>
      <c r="G7" s="132">
        <f>IF(SER_hh_tesh!G7=0,0,SER_hh_tesh!G7/SER_summary!G$26)</f>
        <v>226.42643609570507</v>
      </c>
      <c r="H7" s="132">
        <f>IF(SER_hh_tesh!H7=0,0,SER_hh_tesh!H7/SER_summary!H$26)</f>
        <v>232.31781282387144</v>
      </c>
      <c r="I7" s="132">
        <f>IF(SER_hh_tesh!I7=0,0,SER_hh_tesh!I7/SER_summary!I$26)</f>
        <v>0</v>
      </c>
      <c r="J7" s="132">
        <f>IF(SER_hh_tesh!J7=0,0,SER_hh_tesh!J7/SER_summary!J$26)</f>
        <v>0</v>
      </c>
      <c r="K7" s="132">
        <f>IF(SER_hh_tesh!K7=0,0,SER_hh_tesh!K7/SER_summary!K$26)</f>
        <v>0</v>
      </c>
      <c r="L7" s="132">
        <f>IF(SER_hh_tesh!L7=0,0,SER_hh_tesh!L7/SER_summary!L$26)</f>
        <v>0</v>
      </c>
      <c r="M7" s="132">
        <f>IF(SER_hh_tesh!M7=0,0,SER_hh_tesh!M7/SER_summary!M$26)</f>
        <v>0</v>
      </c>
      <c r="N7" s="132">
        <f>IF(SER_hh_tesh!N7=0,0,SER_hh_tesh!N7/SER_summary!N$26)</f>
        <v>165.7600437544406</v>
      </c>
      <c r="O7" s="132">
        <f>IF(SER_hh_tesh!O7=0,0,SER_hh_tesh!O7/SER_summary!O$26)</f>
        <v>65.017343802918745</v>
      </c>
      <c r="P7" s="132">
        <f>IF(SER_hh_tesh!P7=0,0,SER_hh_tesh!P7/SER_summary!P$26)</f>
        <v>86.873212332168492</v>
      </c>
      <c r="Q7" s="132">
        <f>IF(SER_hh_tesh!Q7=0,0,SER_hh_tesh!Q7/SER_summary!Q$26)</f>
        <v>111.29315815505245</v>
      </c>
      <c r="R7" s="132">
        <f>IF(SER_hh_tesh!R7=0,0,SER_hh_tesh!R7/SER_summary!R$26)</f>
        <v>114.10013034224789</v>
      </c>
      <c r="S7" s="132">
        <f>IF(SER_hh_tesh!S7=0,0,SER_hh_tesh!S7/SER_summary!S$26)</f>
        <v>97.077962537430437</v>
      </c>
      <c r="T7" s="132">
        <f>IF(SER_hh_tesh!T7=0,0,SER_hh_tesh!T7/SER_summary!T$26)</f>
        <v>105.21589803645871</v>
      </c>
      <c r="U7" s="132">
        <f>IF(SER_hh_tesh!U7=0,0,SER_hh_tesh!U7/SER_summary!U$26)</f>
        <v>92.105433422691192</v>
      </c>
      <c r="V7" s="132">
        <f>IF(SER_hh_tesh!V7=0,0,SER_hh_tesh!V7/SER_summary!V$26)</f>
        <v>93.087199266579489</v>
      </c>
      <c r="W7" s="132">
        <f>IF(SER_hh_tesh!W7=0,0,SER_hh_tesh!W7/SER_summary!W$26)</f>
        <v>113.50508674920265</v>
      </c>
      <c r="X7" s="132">
        <f>IF(SER_hh_tesh!X7=0,0,SER_hh_tesh!X7/SER_summary!X$26)</f>
        <v>80.384754114349008</v>
      </c>
      <c r="Y7" s="132">
        <f>IF(SER_hh_tesh!Y7=0,0,SER_hh_tesh!Y7/SER_summary!Y$26)</f>
        <v>72.540935889308074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0</v>
      </c>
      <c r="C8" s="132">
        <f>IF(SER_hh_tesh!C8=0,0,SER_hh_tesh!C8/SER_summary!C$26)</f>
        <v>0</v>
      </c>
      <c r="D8" s="132">
        <f>IF(SER_hh_tesh!D8=0,0,SER_hh_tesh!D8/SER_summary!D$26)</f>
        <v>0</v>
      </c>
      <c r="E8" s="132">
        <f>IF(SER_hh_tesh!E8=0,0,SER_hh_tesh!E8/SER_summary!E$26)</f>
        <v>0</v>
      </c>
      <c r="F8" s="132">
        <f>IF(SER_hh_tesh!F8=0,0,SER_hh_tesh!F8/SER_summary!F$26)</f>
        <v>0</v>
      </c>
      <c r="G8" s="132">
        <f>IF(SER_hh_tesh!G8=0,0,SER_hh_tesh!G8/SER_summary!G$26)</f>
        <v>0</v>
      </c>
      <c r="H8" s="132">
        <f>IF(SER_hh_tesh!H8=0,0,SER_hh_tesh!H8/SER_summary!H$26)</f>
        <v>0</v>
      </c>
      <c r="I8" s="132">
        <f>IF(SER_hh_tesh!I8=0,0,SER_hh_tesh!I8/SER_summary!I$26)</f>
        <v>0</v>
      </c>
      <c r="J8" s="132">
        <f>IF(SER_hh_tesh!J8=0,0,SER_hh_tesh!J8/SER_summary!J$26)</f>
        <v>0</v>
      </c>
      <c r="K8" s="132">
        <f>IF(SER_hh_tesh!K8=0,0,SER_hh_tesh!K8/SER_summary!K$26)</f>
        <v>0</v>
      </c>
      <c r="L8" s="132">
        <f>IF(SER_hh_tesh!L8=0,0,SER_hh_tesh!L8/SER_summary!L$26)</f>
        <v>0</v>
      </c>
      <c r="M8" s="132">
        <f>IF(SER_hh_tesh!M8=0,0,SER_hh_tesh!M8/SER_summary!M$26)</f>
        <v>0</v>
      </c>
      <c r="N8" s="132">
        <f>IF(SER_hh_tesh!N8=0,0,SER_hh_tesh!N8/SER_summary!N$26)</f>
        <v>0</v>
      </c>
      <c r="O8" s="132">
        <f>IF(SER_hh_tesh!O8=0,0,SER_hh_tesh!O8/SER_summary!O$26)</f>
        <v>0</v>
      </c>
      <c r="P8" s="132">
        <f>IF(SER_hh_tesh!P8=0,0,SER_hh_tesh!P8/SER_summary!P$26)</f>
        <v>0</v>
      </c>
      <c r="Q8" s="132">
        <f>IF(SER_hh_tesh!Q8=0,0,SER_hh_tesh!Q8/SER_summary!Q$26)</f>
        <v>0</v>
      </c>
      <c r="R8" s="132">
        <f>IF(SER_hh_tesh!R8=0,0,SER_hh_tesh!R8/SER_summary!R$26)</f>
        <v>31.467375646770193</v>
      </c>
      <c r="S8" s="132">
        <f>IF(SER_hh_tesh!S8=0,0,SER_hh_tesh!S8/SER_summary!S$26)</f>
        <v>76.577535563852834</v>
      </c>
      <c r="T8" s="132">
        <f>IF(SER_hh_tesh!T8=0,0,SER_hh_tesh!T8/SER_summary!T$26)</f>
        <v>102.79152403650396</v>
      </c>
      <c r="U8" s="132">
        <f>IF(SER_hh_tesh!U8=0,0,SER_hh_tesh!U8/SER_summary!U$26)</f>
        <v>88.176651708910825</v>
      </c>
      <c r="V8" s="132">
        <f>IF(SER_hh_tesh!V8=0,0,SER_hh_tesh!V8/SER_summary!V$26)</f>
        <v>119.47460322101</v>
      </c>
      <c r="W8" s="132">
        <f>IF(SER_hh_tesh!W8=0,0,SER_hh_tesh!W8/SER_summary!W$26)</f>
        <v>87.428378316953342</v>
      </c>
      <c r="X8" s="132">
        <f>IF(SER_hh_tesh!X8=0,0,SER_hh_tesh!X8/SER_summary!X$26)</f>
        <v>86.404774931619187</v>
      </c>
      <c r="Y8" s="132">
        <f>IF(SER_hh_tesh!Y8=0,0,SER_hh_tesh!Y8/SER_summary!Y$26)</f>
        <v>78.370030053043195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185.68747587017529</v>
      </c>
      <c r="C9" s="132">
        <f>IF(SER_hh_tesh!C9=0,0,SER_hh_tesh!C9/SER_summary!C$26)</f>
        <v>195.56373202581997</v>
      </c>
      <c r="D9" s="132">
        <f>IF(SER_hh_tesh!D9=0,0,SER_hh_tesh!D9/SER_summary!D$26)</f>
        <v>170.7165670030262</v>
      </c>
      <c r="E9" s="132">
        <f>IF(SER_hh_tesh!E9=0,0,SER_hh_tesh!E9/SER_summary!E$26)</f>
        <v>169.72712587014047</v>
      </c>
      <c r="F9" s="132">
        <f>IF(SER_hh_tesh!F9=0,0,SER_hh_tesh!F9/SER_summary!F$26)</f>
        <v>211.03376318053984</v>
      </c>
      <c r="G9" s="132">
        <f>IF(SER_hh_tesh!G9=0,0,SER_hh_tesh!G9/SER_summary!G$26)</f>
        <v>199.52524396506149</v>
      </c>
      <c r="H9" s="132">
        <f>IF(SER_hh_tesh!H9=0,0,SER_hh_tesh!H9/SER_summary!H$26)</f>
        <v>175.1171227748207</v>
      </c>
      <c r="I9" s="132">
        <f>IF(SER_hh_tesh!I9=0,0,SER_hh_tesh!I9/SER_summary!I$26)</f>
        <v>137.79699349779756</v>
      </c>
      <c r="J9" s="132">
        <f>IF(SER_hh_tesh!J9=0,0,SER_hh_tesh!J9/SER_summary!J$26)</f>
        <v>135.82148451939437</v>
      </c>
      <c r="K9" s="132">
        <f>IF(SER_hh_tesh!K9=0,0,SER_hh_tesh!K9/SER_summary!K$26)</f>
        <v>153.54914276110773</v>
      </c>
      <c r="L9" s="132">
        <f>IF(SER_hh_tesh!L9=0,0,SER_hh_tesh!L9/SER_summary!L$26)</f>
        <v>166.20584331733403</v>
      </c>
      <c r="M9" s="132">
        <f>IF(SER_hh_tesh!M9=0,0,SER_hh_tesh!M9/SER_summary!M$26)</f>
        <v>160.39828443706548</v>
      </c>
      <c r="N9" s="132">
        <f>IF(SER_hh_tesh!N9=0,0,SER_hh_tesh!N9/SER_summary!N$26)</f>
        <v>115.95717095828961</v>
      </c>
      <c r="O9" s="132">
        <f>IF(SER_hh_tesh!O9=0,0,SER_hh_tesh!O9/SER_summary!O$26)</f>
        <v>114.87076094583688</v>
      </c>
      <c r="P9" s="132">
        <f>IF(SER_hh_tesh!P9=0,0,SER_hh_tesh!P9/SER_summary!P$26)</f>
        <v>94.900587221046351</v>
      </c>
      <c r="Q9" s="132">
        <f>IF(SER_hh_tesh!Q9=0,0,SER_hh_tesh!Q9/SER_summary!Q$26)</f>
        <v>101.66168745967707</v>
      </c>
      <c r="R9" s="132">
        <f>IF(SER_hh_tesh!R9=0,0,SER_hh_tesh!R9/SER_summary!R$26)</f>
        <v>102.71658237635417</v>
      </c>
      <c r="S9" s="132">
        <f>IF(SER_hh_tesh!S9=0,0,SER_hh_tesh!S9/SER_summary!S$26)</f>
        <v>101.305495881746</v>
      </c>
      <c r="T9" s="132">
        <f>IF(SER_hh_tesh!T9=0,0,SER_hh_tesh!T9/SER_summary!T$26)</f>
        <v>96.749494264950783</v>
      </c>
      <c r="U9" s="132">
        <f>IF(SER_hh_tesh!U9=0,0,SER_hh_tesh!U9/SER_summary!U$26)</f>
        <v>94.519431836854537</v>
      </c>
      <c r="V9" s="132">
        <f>IF(SER_hh_tesh!V9=0,0,SER_hh_tesh!V9/SER_summary!V$26)</f>
        <v>98.701375110123266</v>
      </c>
      <c r="W9" s="132">
        <f>IF(SER_hh_tesh!W9=0,0,SER_hh_tesh!W9/SER_summary!W$26)</f>
        <v>106.55898643743542</v>
      </c>
      <c r="X9" s="132">
        <f>IF(SER_hh_tesh!X9=0,0,SER_hh_tesh!X9/SER_summary!X$26)</f>
        <v>87.87128868905539</v>
      </c>
      <c r="Y9" s="132">
        <f>IF(SER_hh_tesh!Y9=0,0,SER_hh_tesh!Y9/SER_summary!Y$26)</f>
        <v>67.891433466289129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192.94600250208532</v>
      </c>
      <c r="C10" s="132">
        <f>IF(SER_hh_tesh!C10=0,0,SER_hh_tesh!C10/SER_summary!C$26)</f>
        <v>167.37111032873119</v>
      </c>
      <c r="D10" s="132">
        <f>IF(SER_hh_tesh!D10=0,0,SER_hh_tesh!D10/SER_summary!D$26)</f>
        <v>180.26317284389046</v>
      </c>
      <c r="E10" s="132">
        <f>IF(SER_hh_tesh!E10=0,0,SER_hh_tesh!E10/SER_summary!E$26)</f>
        <v>219.01352259313228</v>
      </c>
      <c r="F10" s="132">
        <f>IF(SER_hh_tesh!F10=0,0,SER_hh_tesh!F10/SER_summary!F$26)</f>
        <v>211.70265519425476</v>
      </c>
      <c r="G10" s="132">
        <f>IF(SER_hh_tesh!G10=0,0,SER_hh_tesh!G10/SER_summary!G$26)</f>
        <v>158.4052137868517</v>
      </c>
      <c r="H10" s="132">
        <f>IF(SER_hh_tesh!H10=0,0,SER_hh_tesh!H10/SER_summary!H$26)</f>
        <v>163.47925463769218</v>
      </c>
      <c r="I10" s="132">
        <f>IF(SER_hh_tesh!I10=0,0,SER_hh_tesh!I10/SER_summary!I$26)</f>
        <v>148.51836757724621</v>
      </c>
      <c r="J10" s="132">
        <f>IF(SER_hh_tesh!J10=0,0,SER_hh_tesh!J10/SER_summary!J$26)</f>
        <v>145.50934220271242</v>
      </c>
      <c r="K10" s="132">
        <f>IF(SER_hh_tesh!K10=0,0,SER_hh_tesh!K10/SER_summary!K$26)</f>
        <v>156.55258806433068</v>
      </c>
      <c r="L10" s="132">
        <f>IF(SER_hh_tesh!L10=0,0,SER_hh_tesh!L10/SER_summary!L$26)</f>
        <v>161.16467657900114</v>
      </c>
      <c r="M10" s="132">
        <f>IF(SER_hh_tesh!M10=0,0,SER_hh_tesh!M10/SER_summary!M$26)</f>
        <v>151.98447296566596</v>
      </c>
      <c r="N10" s="132">
        <f>IF(SER_hh_tesh!N10=0,0,SER_hh_tesh!N10/SER_summary!N$26)</f>
        <v>125.36938129098836</v>
      </c>
      <c r="O10" s="132">
        <f>IF(SER_hh_tesh!O10=0,0,SER_hh_tesh!O10/SER_summary!O$26)</f>
        <v>113.59062461805638</v>
      </c>
      <c r="P10" s="132">
        <f>IF(SER_hh_tesh!P10=0,0,SER_hh_tesh!P10/SER_summary!P$26)</f>
        <v>91.702182730905079</v>
      </c>
      <c r="Q10" s="132">
        <f>IF(SER_hh_tesh!Q10=0,0,SER_hh_tesh!Q10/SER_summary!Q$26)</f>
        <v>111.10818626442639</v>
      </c>
      <c r="R10" s="132">
        <f>IF(SER_hh_tesh!R10=0,0,SER_hh_tesh!R10/SER_summary!R$26)</f>
        <v>99.614788608380707</v>
      </c>
      <c r="S10" s="132">
        <f>IF(SER_hh_tesh!S10=0,0,SER_hh_tesh!S10/SER_summary!S$26)</f>
        <v>101.96620895107294</v>
      </c>
      <c r="T10" s="132">
        <f>IF(SER_hh_tesh!T10=0,0,SER_hh_tesh!T10/SER_summary!T$26)</f>
        <v>95.492460388502877</v>
      </c>
      <c r="U10" s="132">
        <f>IF(SER_hh_tesh!U10=0,0,SER_hh_tesh!U10/SER_summary!U$26)</f>
        <v>106.10300915362593</v>
      </c>
      <c r="V10" s="132">
        <f>IF(SER_hh_tesh!V10=0,0,SER_hh_tesh!V10/SER_summary!V$26)</f>
        <v>99.247369666505023</v>
      </c>
      <c r="W10" s="132">
        <f>IF(SER_hh_tesh!W10=0,0,SER_hh_tesh!W10/SER_summary!W$26)</f>
        <v>84.009783127132181</v>
      </c>
      <c r="X10" s="132">
        <f>IF(SER_hh_tesh!X10=0,0,SER_hh_tesh!X10/SER_summary!X$26)</f>
        <v>85.790977408266926</v>
      </c>
      <c r="Y10" s="132">
        <f>IF(SER_hh_tesh!Y10=0,0,SER_hh_tesh!Y10/SER_summary!Y$26)</f>
        <v>77.357855842168718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192.75153263528938</v>
      </c>
      <c r="C11" s="132">
        <f>IF(SER_hh_tesh!C11=0,0,SER_hh_tesh!C11/SER_summary!C$26)</f>
        <v>188.86991353600774</v>
      </c>
      <c r="D11" s="132">
        <f>IF(SER_hh_tesh!D11=0,0,SER_hh_tesh!D11/SER_summary!D$26)</f>
        <v>185.67927462715684</v>
      </c>
      <c r="E11" s="132">
        <f>IF(SER_hh_tesh!E11=0,0,SER_hh_tesh!E11/SER_summary!E$26)</f>
        <v>190.74402934308483</v>
      </c>
      <c r="F11" s="132">
        <f>IF(SER_hh_tesh!F11=0,0,SER_hh_tesh!F11/SER_summary!F$26)</f>
        <v>181.84174142576506</v>
      </c>
      <c r="G11" s="132">
        <f>IF(SER_hh_tesh!G11=0,0,SER_hh_tesh!G11/SER_summary!G$26)</f>
        <v>179.44221980994698</v>
      </c>
      <c r="H11" s="132">
        <f>IF(SER_hh_tesh!H11=0,0,SER_hh_tesh!H11/SER_summary!H$26)</f>
        <v>166.37324042656289</v>
      </c>
      <c r="I11" s="132">
        <f>IF(SER_hh_tesh!I11=0,0,SER_hh_tesh!I11/SER_summary!I$26)</f>
        <v>148.46254902434291</v>
      </c>
      <c r="J11" s="132">
        <f>IF(SER_hh_tesh!J11=0,0,SER_hh_tesh!J11/SER_summary!J$26)</f>
        <v>156.10546131487081</v>
      </c>
      <c r="K11" s="132">
        <f>IF(SER_hh_tesh!K11=0,0,SER_hh_tesh!K11/SER_summary!K$26)</f>
        <v>158.9691889824559</v>
      </c>
      <c r="L11" s="132">
        <f>IF(SER_hh_tesh!L11=0,0,SER_hh_tesh!L11/SER_summary!L$26)</f>
        <v>154.93804032717557</v>
      </c>
      <c r="M11" s="132">
        <f>IF(SER_hh_tesh!M11=0,0,SER_hh_tesh!M11/SER_summary!M$26)</f>
        <v>153.85300370555973</v>
      </c>
      <c r="N11" s="132">
        <f>IF(SER_hh_tesh!N11=0,0,SER_hh_tesh!N11/SER_summary!N$26)</f>
        <v>147.68868034802904</v>
      </c>
      <c r="O11" s="132">
        <f>IF(SER_hh_tesh!O11=0,0,SER_hh_tesh!O11/SER_summary!O$26)</f>
        <v>157.73806458690504</v>
      </c>
      <c r="P11" s="132">
        <f>IF(SER_hh_tesh!P11=0,0,SER_hh_tesh!P11/SER_summary!P$26)</f>
        <v>60.716005907593022</v>
      </c>
      <c r="Q11" s="132">
        <f>IF(SER_hh_tesh!Q11=0,0,SER_hh_tesh!Q11/SER_summary!Q$26)</f>
        <v>77.560365191397736</v>
      </c>
      <c r="R11" s="132">
        <f>IF(SER_hh_tesh!R11=0,0,SER_hh_tesh!R11/SER_summary!R$26)</f>
        <v>86.026715090150361</v>
      </c>
      <c r="S11" s="132">
        <f>IF(SER_hh_tesh!S11=0,0,SER_hh_tesh!S11/SER_summary!S$26)</f>
        <v>109.59764226490215</v>
      </c>
      <c r="T11" s="132">
        <f>IF(SER_hh_tesh!T11=0,0,SER_hh_tesh!T11/SER_summary!T$26)</f>
        <v>99.315588552465854</v>
      </c>
      <c r="U11" s="132">
        <f>IF(SER_hh_tesh!U11=0,0,SER_hh_tesh!U11/SER_summary!U$26)</f>
        <v>100.95616048338978</v>
      </c>
      <c r="V11" s="132">
        <f>IF(SER_hh_tesh!V11=0,0,SER_hh_tesh!V11/SER_summary!V$26)</f>
        <v>86.079916563876424</v>
      </c>
      <c r="W11" s="132">
        <f>IF(SER_hh_tesh!W11=0,0,SER_hh_tesh!W11/SER_summary!W$26)</f>
        <v>95.013173299553856</v>
      </c>
      <c r="X11" s="132">
        <f>IF(SER_hh_tesh!X11=0,0,SER_hh_tesh!X11/SER_summary!X$26)</f>
        <v>85.675844692382213</v>
      </c>
      <c r="Y11" s="132">
        <f>IF(SER_hh_tesh!Y11=0,0,SER_hh_tesh!Y11/SER_summary!Y$26)</f>
        <v>78.360953438661213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184.42720695582094</v>
      </c>
      <c r="C12" s="132">
        <f>IF(SER_hh_tesh!C12=0,0,SER_hh_tesh!C12/SER_summary!C$26)</f>
        <v>206.43128502428246</v>
      </c>
      <c r="D12" s="132">
        <f>IF(SER_hh_tesh!D12=0,0,SER_hh_tesh!D12/SER_summary!D$26)</f>
        <v>174.35617695590432</v>
      </c>
      <c r="E12" s="132">
        <f>IF(SER_hh_tesh!E12=0,0,SER_hh_tesh!E12/SER_summary!E$26)</f>
        <v>193.33503211771162</v>
      </c>
      <c r="F12" s="132">
        <f>IF(SER_hh_tesh!F12=0,0,SER_hh_tesh!F12/SER_summary!F$26)</f>
        <v>169.26852498514518</v>
      </c>
      <c r="G12" s="132">
        <f>IF(SER_hh_tesh!G12=0,0,SER_hh_tesh!G12/SER_summary!G$26)</f>
        <v>195.93613563938376</v>
      </c>
      <c r="H12" s="132">
        <f>IF(SER_hh_tesh!H12=0,0,SER_hh_tesh!H12/SER_summary!H$26)</f>
        <v>158.07769044784462</v>
      </c>
      <c r="I12" s="132">
        <f>IF(SER_hh_tesh!I12=0,0,SER_hh_tesh!I12/SER_summary!I$26)</f>
        <v>150.15537208372336</v>
      </c>
      <c r="J12" s="132">
        <f>IF(SER_hh_tesh!J12=0,0,SER_hh_tesh!J12/SER_summary!J$26)</f>
        <v>162.43785256251584</v>
      </c>
      <c r="K12" s="132">
        <f>IF(SER_hh_tesh!K12=0,0,SER_hh_tesh!K12/SER_summary!K$26)</f>
        <v>155.8776695758111</v>
      </c>
      <c r="L12" s="132">
        <f>IF(SER_hh_tesh!L12=0,0,SER_hh_tesh!L12/SER_summary!L$26)</f>
        <v>165.56954778417577</v>
      </c>
      <c r="M12" s="132">
        <f>IF(SER_hh_tesh!M12=0,0,SER_hh_tesh!M12/SER_summary!M$26)</f>
        <v>164.16577557840992</v>
      </c>
      <c r="N12" s="132">
        <f>IF(SER_hh_tesh!N12=0,0,SER_hh_tesh!N12/SER_summary!N$26)</f>
        <v>113.50191864800513</v>
      </c>
      <c r="O12" s="132">
        <f>IF(SER_hh_tesh!O12=0,0,SER_hh_tesh!O12/SER_summary!O$26)</f>
        <v>106.42541292479279</v>
      </c>
      <c r="P12" s="132">
        <f>IF(SER_hh_tesh!P12=0,0,SER_hh_tesh!P12/SER_summary!P$26)</f>
        <v>90.741391814713211</v>
      </c>
      <c r="Q12" s="132">
        <f>IF(SER_hh_tesh!Q12=0,0,SER_hh_tesh!Q12/SER_summary!Q$26)</f>
        <v>104.97079267251846</v>
      </c>
      <c r="R12" s="132">
        <f>IF(SER_hh_tesh!R12=0,0,SER_hh_tesh!R12/SER_summary!R$26)</f>
        <v>108.111892701841</v>
      </c>
      <c r="S12" s="132">
        <f>IF(SER_hh_tesh!S12=0,0,SER_hh_tesh!S12/SER_summary!S$26)</f>
        <v>105.77117668667546</v>
      </c>
      <c r="T12" s="132">
        <f>IF(SER_hh_tesh!T12=0,0,SER_hh_tesh!T12/SER_summary!T$26)</f>
        <v>99.734414810125699</v>
      </c>
      <c r="U12" s="132">
        <f>IF(SER_hh_tesh!U12=0,0,SER_hh_tesh!U12/SER_summary!U$26)</f>
        <v>96.301756253615736</v>
      </c>
      <c r="V12" s="132">
        <f>IF(SER_hh_tesh!V12=0,0,SER_hh_tesh!V12/SER_summary!V$26)</f>
        <v>97.310462868354875</v>
      </c>
      <c r="W12" s="132">
        <f>IF(SER_hh_tesh!W12=0,0,SER_hh_tesh!W12/SER_summary!W$26)</f>
        <v>104.51031432164721</v>
      </c>
      <c r="X12" s="132">
        <f>IF(SER_hh_tesh!X12=0,0,SER_hh_tesh!X12/SER_summary!X$26)</f>
        <v>91.266433449553332</v>
      </c>
      <c r="Y12" s="132">
        <f>IF(SER_hh_tesh!Y12=0,0,SER_hh_tesh!Y12/SER_summary!Y$26)</f>
        <v>69.510971531133194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180.41990877024355</v>
      </c>
      <c r="C13" s="132">
        <f>IF(SER_hh_tesh!C13=0,0,SER_hh_tesh!C13/SER_summary!C$26)</f>
        <v>194.42201427956965</v>
      </c>
      <c r="D13" s="132">
        <f>IF(SER_hh_tesh!D13=0,0,SER_hh_tesh!D13/SER_summary!D$26)</f>
        <v>169.79366130580641</v>
      </c>
      <c r="E13" s="132">
        <f>IF(SER_hh_tesh!E13=0,0,SER_hh_tesh!E13/SER_summary!E$26)</f>
        <v>133.26029380589208</v>
      </c>
      <c r="F13" s="132">
        <f>IF(SER_hh_tesh!F13=0,0,SER_hh_tesh!F13/SER_summary!F$26)</f>
        <v>153.77500756306159</v>
      </c>
      <c r="G13" s="132">
        <f>IF(SER_hh_tesh!G13=0,0,SER_hh_tesh!G13/SER_summary!G$26)</f>
        <v>158.1045968722598</v>
      </c>
      <c r="H13" s="132">
        <f>IF(SER_hh_tesh!H13=0,0,SER_hh_tesh!H13/SER_summary!H$26)</f>
        <v>144.02073647524657</v>
      </c>
      <c r="I13" s="132">
        <f>IF(SER_hh_tesh!I13=0,0,SER_hh_tesh!I13/SER_summary!I$26)</f>
        <v>164.50301007403044</v>
      </c>
      <c r="J13" s="132">
        <f>IF(SER_hh_tesh!J13=0,0,SER_hh_tesh!J13/SER_summary!J$26)</f>
        <v>147.29080642883298</v>
      </c>
      <c r="K13" s="132">
        <f>IF(SER_hh_tesh!K13=0,0,SER_hh_tesh!K13/SER_summary!K$26)</f>
        <v>161.82410429108637</v>
      </c>
      <c r="L13" s="132">
        <f>IF(SER_hh_tesh!L13=0,0,SER_hh_tesh!L13/SER_summary!L$26)</f>
        <v>134.18025049422812</v>
      </c>
      <c r="M13" s="132">
        <f>IF(SER_hh_tesh!M13=0,0,SER_hh_tesh!M13/SER_summary!M$26)</f>
        <v>101.13685619731184</v>
      </c>
      <c r="N13" s="132">
        <f>IF(SER_hh_tesh!N13=0,0,SER_hh_tesh!N13/SER_summary!N$26)</f>
        <v>105.96651861856952</v>
      </c>
      <c r="O13" s="132">
        <f>IF(SER_hh_tesh!O13=0,0,SER_hh_tesh!O13/SER_summary!O$26)</f>
        <v>108.49991051714127</v>
      </c>
      <c r="P13" s="132">
        <f>IF(SER_hh_tesh!P13=0,0,SER_hh_tesh!P13/SER_summary!P$26)</f>
        <v>120.88034022726784</v>
      </c>
      <c r="Q13" s="132">
        <f>IF(SER_hh_tesh!Q13=0,0,SER_hh_tesh!Q13/SER_summary!Q$26)</f>
        <v>96.120212567888203</v>
      </c>
      <c r="R13" s="132">
        <f>IF(SER_hh_tesh!R13=0,0,SER_hh_tesh!R13/SER_summary!R$26)</f>
        <v>89.709183024906039</v>
      </c>
      <c r="S13" s="132">
        <f>IF(SER_hh_tesh!S13=0,0,SER_hh_tesh!S13/SER_summary!S$26)</f>
        <v>87.063122566680178</v>
      </c>
      <c r="T13" s="132">
        <f>IF(SER_hh_tesh!T13=0,0,SER_hh_tesh!T13/SER_summary!T$26)</f>
        <v>96.894206128854933</v>
      </c>
      <c r="U13" s="132">
        <f>IF(SER_hh_tesh!U13=0,0,SER_hh_tesh!U13/SER_summary!U$26)</f>
        <v>89.029720665315452</v>
      </c>
      <c r="V13" s="132">
        <f>IF(SER_hh_tesh!V13=0,0,SER_hh_tesh!V13/SER_summary!V$26)</f>
        <v>79.251526860468502</v>
      </c>
      <c r="W13" s="132">
        <f>IF(SER_hh_tesh!W13=0,0,SER_hh_tesh!W13/SER_summary!W$26)</f>
        <v>31.584110242930588</v>
      </c>
      <c r="X13" s="132">
        <f>IF(SER_hh_tesh!X13=0,0,SER_hh_tesh!X13/SER_summary!X$26)</f>
        <v>100.39229090887245</v>
      </c>
      <c r="Y13" s="132">
        <f>IF(SER_hh_tesh!Y13=0,0,SER_hh_tesh!Y13/SER_summary!Y$26)</f>
        <v>78.872126791862954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195.10089439881062</v>
      </c>
      <c r="C14" s="65">
        <f>IF(SER_hh_tesh!C14=0,0,SER_hh_tesh!C14/SER_summary!C$26)</f>
        <v>198.92784129730524</v>
      </c>
      <c r="D14" s="65">
        <f>IF(SER_hh_tesh!D14=0,0,SER_hh_tesh!D14/SER_summary!D$26)</f>
        <v>177.12163824877732</v>
      </c>
      <c r="E14" s="65">
        <f>IF(SER_hh_tesh!E14=0,0,SER_hh_tesh!E14/SER_summary!E$26)</f>
        <v>152.71251052282418</v>
      </c>
      <c r="F14" s="65">
        <f>IF(SER_hh_tesh!F14=0,0,SER_hh_tesh!F14/SER_summary!F$26)</f>
        <v>171.29605332683261</v>
      </c>
      <c r="G14" s="65">
        <f>IF(SER_hh_tesh!G14=0,0,SER_hh_tesh!G14/SER_summary!G$26)</f>
        <v>191.20574685262861</v>
      </c>
      <c r="H14" s="65">
        <f>IF(SER_hh_tesh!H14=0,0,SER_hh_tesh!H14/SER_summary!H$26)</f>
        <v>165.72236822369376</v>
      </c>
      <c r="I14" s="65">
        <f>IF(SER_hh_tesh!I14=0,0,SER_hh_tesh!I14/SER_summary!I$26)</f>
        <v>160.15518710755634</v>
      </c>
      <c r="J14" s="65">
        <f>IF(SER_hh_tesh!J14=0,0,SER_hh_tesh!J14/SER_summary!J$26)</f>
        <v>147.34981507741333</v>
      </c>
      <c r="K14" s="65">
        <f>IF(SER_hh_tesh!K14=0,0,SER_hh_tesh!K14/SER_summary!K$26)</f>
        <v>165.07846770617343</v>
      </c>
      <c r="L14" s="65">
        <f>IF(SER_hh_tesh!L14=0,0,SER_hh_tesh!L14/SER_summary!L$26)</f>
        <v>180.48090302991659</v>
      </c>
      <c r="M14" s="65">
        <f>IF(SER_hh_tesh!M14=0,0,SER_hh_tesh!M14/SER_summary!M$26)</f>
        <v>226.70186169351479</v>
      </c>
      <c r="N14" s="65">
        <f>IF(SER_hh_tesh!N14=0,0,SER_hh_tesh!N14/SER_summary!N$26)</f>
        <v>53.587693892421434</v>
      </c>
      <c r="O14" s="65">
        <f>IF(SER_hh_tesh!O14=0,0,SER_hh_tesh!O14/SER_summary!O$26)</f>
        <v>69.382490821438779</v>
      </c>
      <c r="P14" s="65">
        <f>IF(SER_hh_tesh!P14=0,0,SER_hh_tesh!P14/SER_summary!P$26)</f>
        <v>96.574093027064222</v>
      </c>
      <c r="Q14" s="65">
        <f>IF(SER_hh_tesh!Q14=0,0,SER_hh_tesh!Q14/SER_summary!Q$26)</f>
        <v>104.17346268356999</v>
      </c>
      <c r="R14" s="65">
        <f>IF(SER_hh_tesh!R14=0,0,SER_hh_tesh!R14/SER_summary!R$26)</f>
        <v>101.0195344029151</v>
      </c>
      <c r="S14" s="65">
        <f>IF(SER_hh_tesh!S14=0,0,SER_hh_tesh!S14/SER_summary!S$26)</f>
        <v>101.56623821132794</v>
      </c>
      <c r="T14" s="65">
        <f>IF(SER_hh_tesh!T14=0,0,SER_hh_tesh!T14/SER_summary!T$26)</f>
        <v>105.62106883378839</v>
      </c>
      <c r="U14" s="65">
        <f>IF(SER_hh_tesh!U14=0,0,SER_hh_tesh!U14/SER_summary!U$26)</f>
        <v>105.2250825574399</v>
      </c>
      <c r="V14" s="65">
        <f>IF(SER_hh_tesh!V14=0,0,SER_hh_tesh!V14/SER_summary!V$26)</f>
        <v>96.309346854381303</v>
      </c>
      <c r="W14" s="65">
        <f>IF(SER_hh_tesh!W14=0,0,SER_hh_tesh!W14/SER_summary!W$26)</f>
        <v>95.953703467297345</v>
      </c>
      <c r="X14" s="65">
        <f>IF(SER_hh_tesh!X14=0,0,SER_hh_tesh!X14/SER_summary!X$26)</f>
        <v>99.5218450935878</v>
      </c>
      <c r="Y14" s="65">
        <f>IF(SER_hh_tesh!Y14=0,0,SER_hh_tesh!Y14/SER_summary!Y$26)</f>
        <v>69.20962787844644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3.0399113520365129</v>
      </c>
      <c r="C15" s="134">
        <f>IF(SER_hh_tesh!C15=0,0,SER_hh_tesh!C15/SER_summary!C$26)</f>
        <v>3.1512773487855794</v>
      </c>
      <c r="D15" s="134">
        <f>IF(SER_hh_tesh!D15=0,0,SER_hh_tesh!D15/SER_summary!D$26)</f>
        <v>2.7325898946979077</v>
      </c>
      <c r="E15" s="134">
        <f>IF(SER_hh_tesh!E15=0,0,SER_hh_tesh!E15/SER_summary!E$26)</f>
        <v>2.7357357575187495</v>
      </c>
      <c r="F15" s="134">
        <f>IF(SER_hh_tesh!F15=0,0,SER_hh_tesh!F15/SER_summary!F$26)</f>
        <v>3.3428197057658369</v>
      </c>
      <c r="G15" s="134">
        <f>IF(SER_hh_tesh!G15=0,0,SER_hh_tesh!G15/SER_summary!G$26)</f>
        <v>3.1293186323746007</v>
      </c>
      <c r="H15" s="134">
        <f>IF(SER_hh_tesh!H15=0,0,SER_hh_tesh!H15/SER_summary!H$26)</f>
        <v>2.6682415072369978</v>
      </c>
      <c r="I15" s="134">
        <f>IF(SER_hh_tesh!I15=0,0,SER_hh_tesh!I15/SER_summary!I$26)</f>
        <v>2.0374020722381991</v>
      </c>
      <c r="J15" s="134">
        <f>IF(SER_hh_tesh!J15=0,0,SER_hh_tesh!J15/SER_summary!J$26)</f>
        <v>1.9547867264379415</v>
      </c>
      <c r="K15" s="134">
        <f>IF(SER_hh_tesh!K15=0,0,SER_hh_tesh!K15/SER_summary!K$26)</f>
        <v>2.1580421138817356</v>
      </c>
      <c r="L15" s="134">
        <f>IF(SER_hh_tesh!L15=0,0,SER_hh_tesh!L15/SER_summary!L$26)</f>
        <v>2.3262858028311988</v>
      </c>
      <c r="M15" s="134">
        <f>IF(SER_hh_tesh!M15=0,0,SER_hh_tesh!M15/SER_summary!M$26)</f>
        <v>2.252762631912665</v>
      </c>
      <c r="N15" s="134">
        <f>IF(SER_hh_tesh!N15=0,0,SER_hh_tesh!N15/SER_summary!N$26)</f>
        <v>1.6431009540735022</v>
      </c>
      <c r="O15" s="134">
        <f>IF(SER_hh_tesh!O15=0,0,SER_hh_tesh!O15/SER_summary!O$26)</f>
        <v>1.6065577423680388</v>
      </c>
      <c r="P15" s="134">
        <f>IF(SER_hh_tesh!P15=0,0,SER_hh_tesh!P15/SER_summary!P$26)</f>
        <v>1.3208583081257592</v>
      </c>
      <c r="Q15" s="134">
        <f>IF(SER_hh_tesh!Q15=0,0,SER_hh_tesh!Q15/SER_summary!Q$26)</f>
        <v>1.4117569080983947</v>
      </c>
      <c r="R15" s="134">
        <f>IF(SER_hh_tesh!R15=0,0,SER_hh_tesh!R15/SER_summary!R$26)</f>
        <v>1.4093147691992256</v>
      </c>
      <c r="S15" s="134">
        <f>IF(SER_hh_tesh!S15=0,0,SER_hh_tesh!S15/SER_summary!S$26)</f>
        <v>1.3661897599997859</v>
      </c>
      <c r="T15" s="134">
        <f>IF(SER_hh_tesh!T15=0,0,SER_hh_tesh!T15/SER_summary!T$26)</f>
        <v>1.3005785424937746</v>
      </c>
      <c r="U15" s="134">
        <f>IF(SER_hh_tesh!U15=0,0,SER_hh_tesh!U15/SER_summary!U$26)</f>
        <v>1.2637453229332674</v>
      </c>
      <c r="V15" s="134">
        <f>IF(SER_hh_tesh!V15=0,0,SER_hh_tesh!V15/SER_summary!V$26)</f>
        <v>1.3105490316655766</v>
      </c>
      <c r="W15" s="134">
        <f>IF(SER_hh_tesh!W15=0,0,SER_hh_tesh!W15/SER_summary!W$26)</f>
        <v>1.4077741495846974</v>
      </c>
      <c r="X15" s="134">
        <f>IF(SER_hh_tesh!X15=0,0,SER_hh_tesh!X15/SER_summary!X$26)</f>
        <v>1.1482723252429121</v>
      </c>
      <c r="Y15" s="134">
        <f>IF(SER_hh_tesh!Y15=0,0,SER_hh_tesh!Y15/SER_summary!Y$26)</f>
        <v>0.88394851017154019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24.226832115813465</v>
      </c>
      <c r="C16" s="130">
        <f>IF(SER_hh_tesh!C16=0,0,SER_hh_tesh!C16/SER_summary!C$26)</f>
        <v>22.184646612136714</v>
      </c>
      <c r="D16" s="130">
        <f>IF(SER_hh_tesh!D16=0,0,SER_hh_tesh!D16/SER_summary!D$26)</f>
        <v>23.500370263579288</v>
      </c>
      <c r="E16" s="130">
        <f>IF(SER_hh_tesh!E16=0,0,SER_hh_tesh!E16/SER_summary!E$26)</f>
        <v>27.006632037355185</v>
      </c>
      <c r="F16" s="130">
        <f>IF(SER_hh_tesh!F16=0,0,SER_hh_tesh!F16/SER_summary!F$26)</f>
        <v>21.655937791326995</v>
      </c>
      <c r="G16" s="130">
        <f>IF(SER_hh_tesh!G16=0,0,SER_hh_tesh!G16/SER_summary!G$26)</f>
        <v>21.716190977861853</v>
      </c>
      <c r="H16" s="130">
        <f>IF(SER_hh_tesh!H16=0,0,SER_hh_tesh!H16/SER_summary!H$26)</f>
        <v>24.148706435152263</v>
      </c>
      <c r="I16" s="130">
        <f>IF(SER_hh_tesh!I16=0,0,SER_hh_tesh!I16/SER_summary!I$26)</f>
        <v>26.482376652225</v>
      </c>
      <c r="J16" s="130">
        <f>IF(SER_hh_tesh!J16=0,0,SER_hh_tesh!J16/SER_summary!J$26)</f>
        <v>22.785489673091782</v>
      </c>
      <c r="K16" s="130">
        <f>IF(SER_hh_tesh!K16=0,0,SER_hh_tesh!K16/SER_summary!K$26)</f>
        <v>23.104943404331461</v>
      </c>
      <c r="L16" s="130">
        <f>IF(SER_hh_tesh!L16=0,0,SER_hh_tesh!L16/SER_summary!L$26)</f>
        <v>24.379587559216084</v>
      </c>
      <c r="M16" s="130">
        <f>IF(SER_hh_tesh!M16=0,0,SER_hh_tesh!M16/SER_summary!M$26)</f>
        <v>24.177299161703054</v>
      </c>
      <c r="N16" s="130">
        <f>IF(SER_hh_tesh!N16=0,0,SER_hh_tesh!N16/SER_summary!N$26)</f>
        <v>30.910548403673566</v>
      </c>
      <c r="O16" s="130">
        <f>IF(SER_hh_tesh!O16=0,0,SER_hh_tesh!O16/SER_summary!O$26)</f>
        <v>25.609833715612453</v>
      </c>
      <c r="P16" s="130">
        <f>IF(SER_hh_tesh!P16=0,0,SER_hh_tesh!P16/SER_summary!P$26)</f>
        <v>22.840593360034102</v>
      </c>
      <c r="Q16" s="130">
        <f>IF(SER_hh_tesh!Q16=0,0,SER_hh_tesh!Q16/SER_summary!Q$26)</f>
        <v>33.384690262474813</v>
      </c>
      <c r="R16" s="130">
        <f>IF(SER_hh_tesh!R16=0,0,SER_hh_tesh!R16/SER_summary!R$26)</f>
        <v>23.528413972334569</v>
      </c>
      <c r="S16" s="130">
        <f>IF(SER_hh_tesh!S16=0,0,SER_hh_tesh!S16/SER_summary!S$26)</f>
        <v>28.389958458811485</v>
      </c>
      <c r="T16" s="130">
        <f>IF(SER_hh_tesh!T16=0,0,SER_hh_tesh!T16/SER_summary!T$26)</f>
        <v>27.116395133743904</v>
      </c>
      <c r="U16" s="130">
        <f>IF(SER_hh_tesh!U16=0,0,SER_hh_tesh!U16/SER_summary!U$26)</f>
        <v>29.068804944613326</v>
      </c>
      <c r="V16" s="130">
        <f>IF(SER_hh_tesh!V16=0,0,SER_hh_tesh!V16/SER_summary!V$26)</f>
        <v>23.523194662957096</v>
      </c>
      <c r="W16" s="130">
        <f>IF(SER_hh_tesh!W16=0,0,SER_hh_tesh!W16/SER_summary!W$26)</f>
        <v>29.74416922493592</v>
      </c>
      <c r="X16" s="130">
        <f>IF(SER_hh_tesh!X16=0,0,SER_hh_tesh!X16/SER_summary!X$26)</f>
        <v>30.437427274454379</v>
      </c>
      <c r="Y16" s="130">
        <f>IF(SER_hh_tesh!Y16=0,0,SER_hh_tesh!Y16/SER_summary!Y$26)</f>
        <v>26.890350358094054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24.226832115813465</v>
      </c>
      <c r="C17" s="132">
        <f>IF(SER_hh_tesh!C17=0,0,SER_hh_tesh!C17/SER_summary!C$26)</f>
        <v>22.184646612136639</v>
      </c>
      <c r="D17" s="132">
        <f>IF(SER_hh_tesh!D17=0,0,SER_hh_tesh!D17/SER_summary!D$26)</f>
        <v>23.500370263577441</v>
      </c>
      <c r="E17" s="132">
        <f>IF(SER_hh_tesh!E17=0,0,SER_hh_tesh!E17/SER_summary!E$26)</f>
        <v>27.006632037355153</v>
      </c>
      <c r="F17" s="132">
        <f>IF(SER_hh_tesh!F17=0,0,SER_hh_tesh!F17/SER_summary!F$26)</f>
        <v>21.655937791328665</v>
      </c>
      <c r="G17" s="132">
        <f>IF(SER_hh_tesh!G17=0,0,SER_hh_tesh!G17/SER_summary!G$26)</f>
        <v>21.716190977863935</v>
      </c>
      <c r="H17" s="132">
        <f>IF(SER_hh_tesh!H17=0,0,SER_hh_tesh!H17/SER_summary!H$26)</f>
        <v>24.14870643515232</v>
      </c>
      <c r="I17" s="132">
        <f>IF(SER_hh_tesh!I17=0,0,SER_hh_tesh!I17/SER_summary!I$26)</f>
        <v>26.482376652223742</v>
      </c>
      <c r="J17" s="132">
        <f>IF(SER_hh_tesh!J17=0,0,SER_hh_tesh!J17/SER_summary!J$26)</f>
        <v>22.785489673090893</v>
      </c>
      <c r="K17" s="132">
        <f>IF(SER_hh_tesh!K17=0,0,SER_hh_tesh!K17/SER_summary!K$26)</f>
        <v>23.104943404330648</v>
      </c>
      <c r="L17" s="132">
        <f>IF(SER_hh_tesh!L17=0,0,SER_hh_tesh!L17/SER_summary!L$26)</f>
        <v>24.37958755921542</v>
      </c>
      <c r="M17" s="132">
        <f>IF(SER_hh_tesh!M17=0,0,SER_hh_tesh!M17/SER_summary!M$26)</f>
        <v>24.177299161702837</v>
      </c>
      <c r="N17" s="132">
        <f>IF(SER_hh_tesh!N17=0,0,SER_hh_tesh!N17/SER_summary!N$26)</f>
        <v>30.910548403673758</v>
      </c>
      <c r="O17" s="132">
        <f>IF(SER_hh_tesh!O17=0,0,SER_hh_tesh!O17/SER_summary!O$26)</f>
        <v>25.60983371561618</v>
      </c>
      <c r="P17" s="132">
        <f>IF(SER_hh_tesh!P17=0,0,SER_hh_tesh!P17/SER_summary!P$26)</f>
        <v>22.840593360038895</v>
      </c>
      <c r="Q17" s="132">
        <f>IF(SER_hh_tesh!Q17=0,0,SER_hh_tesh!Q17/SER_summary!Q$26)</f>
        <v>33.384690262478436</v>
      </c>
      <c r="R17" s="132">
        <f>IF(SER_hh_tesh!R17=0,0,SER_hh_tesh!R17/SER_summary!R$26)</f>
        <v>23.528413972330586</v>
      </c>
      <c r="S17" s="132">
        <f>IF(SER_hh_tesh!S17=0,0,SER_hh_tesh!S17/SER_summary!S$26)</f>
        <v>28.389958458803534</v>
      </c>
      <c r="T17" s="132">
        <f>IF(SER_hh_tesh!T17=0,0,SER_hh_tesh!T17/SER_summary!T$26)</f>
        <v>27.116395133737623</v>
      </c>
      <c r="U17" s="132">
        <f>IF(SER_hh_tesh!U17=0,0,SER_hh_tesh!U17/SER_summary!U$26)</f>
        <v>29.068804944608257</v>
      </c>
      <c r="V17" s="132">
        <f>IF(SER_hh_tesh!V17=0,0,SER_hh_tesh!V17/SER_summary!V$26)</f>
        <v>20.719126143269456</v>
      </c>
      <c r="W17" s="132">
        <f>IF(SER_hh_tesh!W17=0,0,SER_hh_tesh!W17/SER_summary!W$26)</f>
        <v>26.379052756234003</v>
      </c>
      <c r="X17" s="132">
        <f>IF(SER_hh_tesh!X17=0,0,SER_hh_tesh!X17/SER_summary!X$26)</f>
        <v>29.352224265340404</v>
      </c>
      <c r="Y17" s="132">
        <f>IF(SER_hh_tesh!Y17=0,0,SER_hh_tesh!Y17/SER_summary!Y$26)</f>
        <v>26.890350358094693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24.226832115813465</v>
      </c>
      <c r="C18" s="132">
        <f>IF(SER_hh_tesh!C18=0,0,SER_hh_tesh!C18/SER_summary!C$26)</f>
        <v>22.184646612136707</v>
      </c>
      <c r="D18" s="132">
        <f>IF(SER_hh_tesh!D18=0,0,SER_hh_tesh!D18/SER_summary!D$26)</f>
        <v>23.500370263579292</v>
      </c>
      <c r="E18" s="132">
        <f>IF(SER_hh_tesh!E18=0,0,SER_hh_tesh!E18/SER_summary!E$26)</f>
        <v>27.006632037355189</v>
      </c>
      <c r="F18" s="132">
        <f>IF(SER_hh_tesh!F18=0,0,SER_hh_tesh!F18/SER_summary!F$26)</f>
        <v>21.655937791326995</v>
      </c>
      <c r="G18" s="132">
        <f>IF(SER_hh_tesh!G18=0,0,SER_hh_tesh!G18/SER_summary!G$26)</f>
        <v>21.716190977861846</v>
      </c>
      <c r="H18" s="132">
        <f>IF(SER_hh_tesh!H18=0,0,SER_hh_tesh!H18/SER_summary!H$26)</f>
        <v>24.148706435152263</v>
      </c>
      <c r="I18" s="132">
        <f>IF(SER_hh_tesh!I18=0,0,SER_hh_tesh!I18/SER_summary!I$26)</f>
        <v>26.48237665222501</v>
      </c>
      <c r="J18" s="132">
        <f>IF(SER_hh_tesh!J18=0,0,SER_hh_tesh!J18/SER_summary!J$26)</f>
        <v>22.785489673091785</v>
      </c>
      <c r="K18" s="132">
        <f>IF(SER_hh_tesh!K18=0,0,SER_hh_tesh!K18/SER_summary!K$26)</f>
        <v>23.104943404331465</v>
      </c>
      <c r="L18" s="132">
        <f>IF(SER_hh_tesh!L18=0,0,SER_hh_tesh!L18/SER_summary!L$26)</f>
        <v>24.379587559216084</v>
      </c>
      <c r="M18" s="132">
        <f>IF(SER_hh_tesh!M18=0,0,SER_hh_tesh!M18/SER_summary!M$26)</f>
        <v>24.177299161703058</v>
      </c>
      <c r="N18" s="132">
        <f>IF(SER_hh_tesh!N18=0,0,SER_hh_tesh!N18/SER_summary!N$26)</f>
        <v>30.910548403673566</v>
      </c>
      <c r="O18" s="132">
        <f>IF(SER_hh_tesh!O18=0,0,SER_hh_tesh!O18/SER_summary!O$26)</f>
        <v>25.609833715612435</v>
      </c>
      <c r="P18" s="132">
        <f>IF(SER_hh_tesh!P18=0,0,SER_hh_tesh!P18/SER_summary!P$26)</f>
        <v>22.840593360034074</v>
      </c>
      <c r="Q18" s="132">
        <f>IF(SER_hh_tesh!Q18=0,0,SER_hh_tesh!Q18/SER_summary!Q$26)</f>
        <v>33.384690262474791</v>
      </c>
      <c r="R18" s="132">
        <f>IF(SER_hh_tesh!R18=0,0,SER_hh_tesh!R18/SER_summary!R$26)</f>
        <v>23.528413972334594</v>
      </c>
      <c r="S18" s="132">
        <f>IF(SER_hh_tesh!S18=0,0,SER_hh_tesh!S18/SER_summary!S$26)</f>
        <v>28.389958458811545</v>
      </c>
      <c r="T18" s="132">
        <f>IF(SER_hh_tesh!T18=0,0,SER_hh_tesh!T18/SER_summary!T$26)</f>
        <v>27.116395133743957</v>
      </c>
      <c r="U18" s="132">
        <f>IF(SER_hh_tesh!U18=0,0,SER_hh_tesh!U18/SER_summary!U$26)</f>
        <v>29.068804944613369</v>
      </c>
      <c r="V18" s="132">
        <f>IF(SER_hh_tesh!V18=0,0,SER_hh_tesh!V18/SER_summary!V$26)</f>
        <v>23.552046143799675</v>
      </c>
      <c r="W18" s="132">
        <f>IF(SER_hh_tesh!W18=0,0,SER_hh_tesh!W18/SER_summary!W$26)</f>
        <v>29.779851114203257</v>
      </c>
      <c r="X18" s="132">
        <f>IF(SER_hh_tesh!X18=0,0,SER_hh_tesh!X18/SER_summary!X$26)</f>
        <v>30.449010966064122</v>
      </c>
      <c r="Y18" s="132">
        <f>IF(SER_hh_tesh!Y18=0,0,SER_hh_tesh!Y18/SER_summary!Y$26)</f>
        <v>26.89035035809405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18.239108790709064</v>
      </c>
      <c r="C19" s="130">
        <f>IF(SER_hh_tesh!C19=0,0,SER_hh_tesh!C19/SER_summary!C$26)</f>
        <v>18.259091376412595</v>
      </c>
      <c r="D19" s="130">
        <f>IF(SER_hh_tesh!D19=0,0,SER_hh_tesh!D19/SER_summary!D$26)</f>
        <v>18.536239260301581</v>
      </c>
      <c r="E19" s="130">
        <f>IF(SER_hh_tesh!E19=0,0,SER_hh_tesh!E19/SER_summary!E$26)</f>
        <v>18.319526381585501</v>
      </c>
      <c r="F19" s="130">
        <f>IF(SER_hh_tesh!F19=0,0,SER_hh_tesh!F19/SER_summary!F$26)</f>
        <v>18.66968296185841</v>
      </c>
      <c r="G19" s="130">
        <f>IF(SER_hh_tesh!G19=0,0,SER_hh_tesh!G19/SER_summary!G$26)</f>
        <v>18.487559862949755</v>
      </c>
      <c r="H19" s="130">
        <f>IF(SER_hh_tesh!H19=0,0,SER_hh_tesh!H19/SER_summary!H$26)</f>
        <v>18.447748005414919</v>
      </c>
      <c r="I19" s="130">
        <f>IF(SER_hh_tesh!I19=0,0,SER_hh_tesh!I19/SER_summary!I$26)</f>
        <v>18.34764803854965</v>
      </c>
      <c r="J19" s="130">
        <f>IF(SER_hh_tesh!J19=0,0,SER_hh_tesh!J19/SER_summary!J$26)</f>
        <v>18.593442722422388</v>
      </c>
      <c r="K19" s="130">
        <f>IF(SER_hh_tesh!K19=0,0,SER_hh_tesh!K19/SER_summary!K$26)</f>
        <v>18.860311632327004</v>
      </c>
      <c r="L19" s="130">
        <f>IF(SER_hh_tesh!L19=0,0,SER_hh_tesh!L19/SER_summary!L$26)</f>
        <v>18.874394276314622</v>
      </c>
      <c r="M19" s="130">
        <f>IF(SER_hh_tesh!M19=0,0,SER_hh_tesh!M19/SER_summary!M$26)</f>
        <v>19.001031753305604</v>
      </c>
      <c r="N19" s="130">
        <f>IF(SER_hh_tesh!N19=0,0,SER_hh_tesh!N19/SER_summary!N$26)</f>
        <v>18.963756558413621</v>
      </c>
      <c r="O19" s="130">
        <f>IF(SER_hh_tesh!O19=0,0,SER_hh_tesh!O19/SER_summary!O$26)</f>
        <v>18.916189453091153</v>
      </c>
      <c r="P19" s="130">
        <f>IF(SER_hh_tesh!P19=0,0,SER_hh_tesh!P19/SER_summary!P$26)</f>
        <v>18.516916920366448</v>
      </c>
      <c r="Q19" s="130">
        <f>IF(SER_hh_tesh!Q19=0,0,SER_hh_tesh!Q19/SER_summary!Q$26)</f>
        <v>18.645455850043152</v>
      </c>
      <c r="R19" s="130">
        <f>IF(SER_hh_tesh!R19=0,0,SER_hh_tesh!R19/SER_summary!R$26)</f>
        <v>18.746026866979975</v>
      </c>
      <c r="S19" s="130">
        <f>IF(SER_hh_tesh!S19=0,0,SER_hh_tesh!S19/SER_summary!S$26)</f>
        <v>18.736553792046667</v>
      </c>
      <c r="T19" s="130">
        <f>IF(SER_hh_tesh!T19=0,0,SER_hh_tesh!T19/SER_summary!T$26)</f>
        <v>18.842625778039821</v>
      </c>
      <c r="U19" s="130">
        <f>IF(SER_hh_tesh!U19=0,0,SER_hh_tesh!U19/SER_summary!U$26)</f>
        <v>18.544237263528053</v>
      </c>
      <c r="V19" s="130">
        <f>IF(SER_hh_tesh!V19=0,0,SER_hh_tesh!V19/SER_summary!V$26)</f>
        <v>16.816013149741728</v>
      </c>
      <c r="W19" s="130">
        <f>IF(SER_hh_tesh!W19=0,0,SER_hh_tesh!W19/SER_summary!W$26)</f>
        <v>17.294255851045097</v>
      </c>
      <c r="X19" s="130">
        <f>IF(SER_hh_tesh!X19=0,0,SER_hh_tesh!X19/SER_summary!X$26)</f>
        <v>17.393545451796239</v>
      </c>
      <c r="Y19" s="130">
        <f>IF(SER_hh_tesh!Y19=0,0,SER_hh_tesh!Y19/SER_summary!Y$26)</f>
        <v>17.245823886359563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0</v>
      </c>
      <c r="C21" s="132">
        <f>IF(SER_hh_tesh!C21=0,0,SER_hh_tesh!C21/SER_summary!C$26)</f>
        <v>0</v>
      </c>
      <c r="D21" s="132">
        <f>IF(SER_hh_tesh!D21=0,0,SER_hh_tesh!D21/SER_summary!D$26)</f>
        <v>0</v>
      </c>
      <c r="E21" s="132">
        <f>IF(SER_hh_tesh!E21=0,0,SER_hh_tesh!E21/SER_summary!E$26)</f>
        <v>0</v>
      </c>
      <c r="F21" s="132">
        <f>IF(SER_hh_tesh!F21=0,0,SER_hh_tesh!F21/SER_summary!F$26)</f>
        <v>0</v>
      </c>
      <c r="G21" s="132">
        <f>IF(SER_hh_tesh!G21=0,0,SER_hh_tesh!G21/SER_summary!G$26)</f>
        <v>0</v>
      </c>
      <c r="H21" s="132">
        <f>IF(SER_hh_tesh!H21=0,0,SER_hh_tesh!H21/SER_summary!H$26)</f>
        <v>0</v>
      </c>
      <c r="I21" s="132">
        <f>IF(SER_hh_tesh!I21=0,0,SER_hh_tesh!I21/SER_summary!I$26)</f>
        <v>0</v>
      </c>
      <c r="J21" s="132">
        <f>IF(SER_hh_tesh!J21=0,0,SER_hh_tesh!J21/SER_summary!J$26)</f>
        <v>0</v>
      </c>
      <c r="K21" s="132">
        <f>IF(SER_hh_tesh!K21=0,0,SER_hh_tesh!K21/SER_summary!K$26)</f>
        <v>0</v>
      </c>
      <c r="L21" s="132">
        <f>IF(SER_hh_tesh!L21=0,0,SER_hh_tesh!L21/SER_summary!L$26)</f>
        <v>0</v>
      </c>
      <c r="M21" s="132">
        <f>IF(SER_hh_tesh!M21=0,0,SER_hh_tesh!M21/SER_summary!M$26)</f>
        <v>0</v>
      </c>
      <c r="N21" s="132">
        <f>IF(SER_hh_tesh!N21=0,0,SER_hh_tesh!N21/SER_summary!N$26)</f>
        <v>0</v>
      </c>
      <c r="O21" s="132">
        <f>IF(SER_hh_tesh!O21=0,0,SER_hh_tesh!O21/SER_summary!O$26)</f>
        <v>0</v>
      </c>
      <c r="P21" s="132">
        <f>IF(SER_hh_tesh!P21=0,0,SER_hh_tesh!P21/SER_summary!P$26)</f>
        <v>0</v>
      </c>
      <c r="Q21" s="132">
        <f>IF(SER_hh_tesh!Q21=0,0,SER_hh_tesh!Q21/SER_summary!Q$26)</f>
        <v>0</v>
      </c>
      <c r="R21" s="132">
        <f>IF(SER_hh_tesh!R21=0,0,SER_hh_tesh!R21/SER_summary!R$26)</f>
        <v>0</v>
      </c>
      <c r="S21" s="132">
        <f>IF(SER_hh_tesh!S21=0,0,SER_hh_tesh!S21/SER_summary!S$26)</f>
        <v>0</v>
      </c>
      <c r="T21" s="132">
        <f>IF(SER_hh_tesh!T21=0,0,SER_hh_tesh!T21/SER_summary!T$26)</f>
        <v>0</v>
      </c>
      <c r="U21" s="132">
        <f>IF(SER_hh_tesh!U21=0,0,SER_hh_tesh!U21/SER_summary!U$26)</f>
        <v>0</v>
      </c>
      <c r="V21" s="132">
        <f>IF(SER_hh_tesh!V21=0,0,SER_hh_tesh!V21/SER_summary!V$26)</f>
        <v>0</v>
      </c>
      <c r="W21" s="132">
        <f>IF(SER_hh_tesh!W21=0,0,SER_hh_tesh!W21/SER_summary!W$26)</f>
        <v>0</v>
      </c>
      <c r="X21" s="132">
        <f>IF(SER_hh_tesh!X21=0,0,SER_hh_tesh!X21/SER_summary!X$26)</f>
        <v>0</v>
      </c>
      <c r="Y21" s="132">
        <f>IF(SER_hh_tesh!Y21=0,0,SER_hh_tesh!Y21/SER_summary!Y$26)</f>
        <v>0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0</v>
      </c>
      <c r="C22" s="132">
        <f>IF(SER_hh_tesh!C22=0,0,SER_hh_tesh!C22/SER_summary!C$26)</f>
        <v>0</v>
      </c>
      <c r="D22" s="132">
        <f>IF(SER_hh_tesh!D22=0,0,SER_hh_tesh!D22/SER_summary!D$26)</f>
        <v>0</v>
      </c>
      <c r="E22" s="132">
        <f>IF(SER_hh_tesh!E22=0,0,SER_hh_tesh!E22/SER_summary!E$26)</f>
        <v>0</v>
      </c>
      <c r="F22" s="132">
        <f>IF(SER_hh_tesh!F22=0,0,SER_hh_tesh!F22/SER_summary!F$26)</f>
        <v>0</v>
      </c>
      <c r="G22" s="132">
        <f>IF(SER_hh_tesh!G22=0,0,SER_hh_tesh!G22/SER_summary!G$26)</f>
        <v>0</v>
      </c>
      <c r="H22" s="132">
        <f>IF(SER_hh_tesh!H22=0,0,SER_hh_tesh!H22/SER_summary!H$26)</f>
        <v>0</v>
      </c>
      <c r="I22" s="132">
        <f>IF(SER_hh_tesh!I22=0,0,SER_hh_tesh!I22/SER_summary!I$26)</f>
        <v>0</v>
      </c>
      <c r="J22" s="132">
        <f>IF(SER_hh_tesh!J22=0,0,SER_hh_tesh!J22/SER_summary!J$26)</f>
        <v>0</v>
      </c>
      <c r="K22" s="132">
        <f>IF(SER_hh_tesh!K22=0,0,SER_hh_tesh!K22/SER_summary!K$26)</f>
        <v>0</v>
      </c>
      <c r="L22" s="132">
        <f>IF(SER_hh_tesh!L22=0,0,SER_hh_tesh!L22/SER_summary!L$26)</f>
        <v>0</v>
      </c>
      <c r="M22" s="132">
        <f>IF(SER_hh_tesh!M22=0,0,SER_hh_tesh!M22/SER_summary!M$26)</f>
        <v>0</v>
      </c>
      <c r="N22" s="132">
        <f>IF(SER_hh_tesh!N22=0,0,SER_hh_tesh!N22/SER_summary!N$26)</f>
        <v>0</v>
      </c>
      <c r="O22" s="132">
        <f>IF(SER_hh_tesh!O22=0,0,SER_hh_tesh!O22/SER_summary!O$26)</f>
        <v>0</v>
      </c>
      <c r="P22" s="132">
        <f>IF(SER_hh_tesh!P22=0,0,SER_hh_tesh!P22/SER_summary!P$26)</f>
        <v>0</v>
      </c>
      <c r="Q22" s="132">
        <f>IF(SER_hh_tesh!Q22=0,0,SER_hh_tesh!Q22/SER_summary!Q$26)</f>
        <v>0</v>
      </c>
      <c r="R22" s="132">
        <f>IF(SER_hh_tesh!R22=0,0,SER_hh_tesh!R22/SER_summary!R$26)</f>
        <v>0</v>
      </c>
      <c r="S22" s="132">
        <f>IF(SER_hh_tesh!S22=0,0,SER_hh_tesh!S22/SER_summary!S$26)</f>
        <v>0</v>
      </c>
      <c r="T22" s="132">
        <f>IF(SER_hh_tesh!T22=0,0,SER_hh_tesh!T22/SER_summary!T$26)</f>
        <v>0</v>
      </c>
      <c r="U22" s="132">
        <f>IF(SER_hh_tesh!U22=0,0,SER_hh_tesh!U22/SER_summary!U$26)</f>
        <v>0</v>
      </c>
      <c r="V22" s="132">
        <f>IF(SER_hh_tesh!V22=0,0,SER_hh_tesh!V22/SER_summary!V$26)</f>
        <v>0</v>
      </c>
      <c r="W22" s="132">
        <f>IF(SER_hh_tesh!W22=0,0,SER_hh_tesh!W22/SER_summary!W$26)</f>
        <v>0</v>
      </c>
      <c r="X22" s="132">
        <f>IF(SER_hh_tesh!X22=0,0,SER_hh_tesh!X22/SER_summary!X$26)</f>
        <v>0</v>
      </c>
      <c r="Y22" s="132">
        <f>IF(SER_hh_tesh!Y22=0,0,SER_hh_tesh!Y22/SER_summary!Y$26)</f>
        <v>0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18.097967741269471</v>
      </c>
      <c r="C23" s="132">
        <f>IF(SER_hh_tesh!C23=0,0,SER_hh_tesh!C23/SER_summary!C$26)</f>
        <v>18.142628239831851</v>
      </c>
      <c r="D23" s="132">
        <f>IF(SER_hh_tesh!D23=0,0,SER_hh_tesh!D23/SER_summary!D$26)</f>
        <v>18.34850190074977</v>
      </c>
      <c r="E23" s="132">
        <f>IF(SER_hh_tesh!E23=0,0,SER_hh_tesh!E23/SER_summary!E$26)</f>
        <v>18.459302936683731</v>
      </c>
      <c r="F23" s="132">
        <f>IF(SER_hh_tesh!F23=0,0,SER_hh_tesh!F23/SER_summary!F$26)</f>
        <v>18.939691646202334</v>
      </c>
      <c r="G23" s="132">
        <f>IF(SER_hh_tesh!G23=0,0,SER_hh_tesh!G23/SER_summary!G$26)</f>
        <v>18.379601351066658</v>
      </c>
      <c r="H23" s="132">
        <f>IF(SER_hh_tesh!H23=0,0,SER_hh_tesh!H23/SER_summary!H$26)</f>
        <v>18.042750207954665</v>
      </c>
      <c r="I23" s="132">
        <f>IF(SER_hh_tesh!I23=0,0,SER_hh_tesh!I23/SER_summary!I$26)</f>
        <v>18.030300395148107</v>
      </c>
      <c r="J23" s="132">
        <f>IF(SER_hh_tesh!J23=0,0,SER_hh_tesh!J23/SER_summary!J$26)</f>
        <v>18.46335772972888</v>
      </c>
      <c r="K23" s="132">
        <f>IF(SER_hh_tesh!K23=0,0,SER_hh_tesh!K23/SER_summary!K$26)</f>
        <v>19.116258498863488</v>
      </c>
      <c r="L23" s="132">
        <f>IF(SER_hh_tesh!L23=0,0,SER_hh_tesh!L23/SER_summary!L$26)</f>
        <v>19.100180591959244</v>
      </c>
      <c r="M23" s="132">
        <f>IF(SER_hh_tesh!M23=0,0,SER_hh_tesh!M23/SER_summary!M$26)</f>
        <v>18.697864050955705</v>
      </c>
      <c r="N23" s="132">
        <f>IF(SER_hh_tesh!N23=0,0,SER_hh_tesh!N23/SER_summary!N$26)</f>
        <v>18.394731495380935</v>
      </c>
      <c r="O23" s="132">
        <f>IF(SER_hh_tesh!O23=0,0,SER_hh_tesh!O23/SER_summary!O$26)</f>
        <v>19.414043715312577</v>
      </c>
      <c r="P23" s="132">
        <f>IF(SER_hh_tesh!P23=0,0,SER_hh_tesh!P23/SER_summary!P$26)</f>
        <v>18.68467289963866</v>
      </c>
      <c r="Q23" s="132">
        <f>IF(SER_hh_tesh!Q23=0,0,SER_hh_tesh!Q23/SER_summary!Q$26)</f>
        <v>18.669852616338378</v>
      </c>
      <c r="R23" s="132">
        <f>IF(SER_hh_tesh!R23=0,0,SER_hh_tesh!R23/SER_summary!R$26)</f>
        <v>18.7424893228571</v>
      </c>
      <c r="S23" s="132">
        <f>IF(SER_hh_tesh!S23=0,0,SER_hh_tesh!S23/SER_summary!S$26)</f>
        <v>18.675299399981398</v>
      </c>
      <c r="T23" s="132">
        <f>IF(SER_hh_tesh!T23=0,0,SER_hh_tesh!T23/SER_summary!T$26)</f>
        <v>18.970822992454355</v>
      </c>
      <c r="U23" s="132">
        <f>IF(SER_hh_tesh!U23=0,0,SER_hh_tesh!U23/SER_summary!U$26)</f>
        <v>18.45584229963136</v>
      </c>
      <c r="V23" s="132">
        <f>IF(SER_hh_tesh!V23=0,0,SER_hh_tesh!V23/SER_summary!V$26)</f>
        <v>17.13836193439802</v>
      </c>
      <c r="W23" s="132">
        <f>IF(SER_hh_tesh!W23=0,0,SER_hh_tesh!W23/SER_summary!W$26)</f>
        <v>17.505982000296402</v>
      </c>
      <c r="X23" s="132">
        <f>IF(SER_hh_tesh!X23=0,0,SER_hh_tesh!X23/SER_summary!X$26)</f>
        <v>17.223343035914098</v>
      </c>
      <c r="Y23" s="132">
        <f>IF(SER_hh_tesh!Y23=0,0,SER_hh_tesh!Y23/SER_summary!Y$26)</f>
        <v>17.026355143051845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26.62297078692594</v>
      </c>
      <c r="O24" s="132">
        <f>IF(SER_hh_tesh!O24=0,0,SER_hh_tesh!O24/SER_summary!O$26)</f>
        <v>20.876403839465333</v>
      </c>
      <c r="P24" s="132">
        <f>IF(SER_hh_tesh!P24=0,0,SER_hh_tesh!P24/SER_summary!P$26)</f>
        <v>18.968113252321182</v>
      </c>
      <c r="Q24" s="132">
        <f>IF(SER_hh_tesh!Q24=0,0,SER_hh_tesh!Q24/SER_summary!Q$26)</f>
        <v>18.730795891491979</v>
      </c>
      <c r="R24" s="132">
        <f>IF(SER_hh_tesh!R24=0,0,SER_hh_tesh!R24/SER_summary!R$26)</f>
        <v>18.676146352839059</v>
      </c>
      <c r="S24" s="132">
        <f>IF(SER_hh_tesh!S24=0,0,SER_hh_tesh!S24/SER_summary!S$26)</f>
        <v>18.803624412720932</v>
      </c>
      <c r="T24" s="132">
        <f>IF(SER_hh_tesh!T24=0,0,SER_hh_tesh!T24/SER_summary!T$26)</f>
        <v>18.509983697594748</v>
      </c>
      <c r="U24" s="132">
        <f>IF(SER_hh_tesh!U24=0,0,SER_hh_tesh!U24/SER_summary!U$26)</f>
        <v>18.632683245201004</v>
      </c>
      <c r="V24" s="132">
        <f>IF(SER_hh_tesh!V24=0,0,SER_hh_tesh!V24/SER_summary!V$26)</f>
        <v>17.495280461298584</v>
      </c>
      <c r="W24" s="132">
        <f>IF(SER_hh_tesh!W24=0,0,SER_hh_tesh!W24/SER_summary!W$26)</f>
        <v>15.514898659221382</v>
      </c>
      <c r="X24" s="132">
        <f>IF(SER_hh_tesh!X24=0,0,SER_hh_tesh!X24/SER_summary!X$26)</f>
        <v>17.220873595716032</v>
      </c>
      <c r="Y24" s="132">
        <f>IF(SER_hh_tesh!Y24=0,0,SER_hh_tesh!Y24/SER_summary!Y$26)</f>
        <v>18.128477441568229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18.258804950870463</v>
      </c>
      <c r="C25" s="132">
        <f>IF(SER_hh_tesh!C25=0,0,SER_hh_tesh!C25/SER_summary!C$26)</f>
        <v>18.294422521907016</v>
      </c>
      <c r="D25" s="132">
        <f>IF(SER_hh_tesh!D25=0,0,SER_hh_tesh!D25/SER_summary!D$26)</f>
        <v>18.359169742005449</v>
      </c>
      <c r="E25" s="132">
        <f>IF(SER_hh_tesh!E25=0,0,SER_hh_tesh!E25/SER_summary!E$26)</f>
        <v>18.257789625882914</v>
      </c>
      <c r="F25" s="132">
        <f>IF(SER_hh_tesh!F25=0,0,SER_hh_tesh!F25/SER_summary!F$26)</f>
        <v>18.194297570451358</v>
      </c>
      <c r="G25" s="132">
        <f>IF(SER_hh_tesh!G25=0,0,SER_hh_tesh!G25/SER_summary!G$26)</f>
        <v>18.708086967492701</v>
      </c>
      <c r="H25" s="132">
        <f>IF(SER_hh_tesh!H25=0,0,SER_hh_tesh!H25/SER_summary!H$26)</f>
        <v>18.38118522848082</v>
      </c>
      <c r="I25" s="132">
        <f>IF(SER_hh_tesh!I25=0,0,SER_hh_tesh!I25/SER_summary!I$26)</f>
        <v>18.210493298429633</v>
      </c>
      <c r="J25" s="132">
        <f>IF(SER_hh_tesh!J25=0,0,SER_hh_tesh!J25/SER_summary!J$26)</f>
        <v>18.874031116406204</v>
      </c>
      <c r="K25" s="132">
        <f>IF(SER_hh_tesh!K25=0,0,SER_hh_tesh!K25/SER_summary!K$26)</f>
        <v>18.92825119539129</v>
      </c>
      <c r="L25" s="132">
        <f>IF(SER_hh_tesh!L25=0,0,SER_hh_tesh!L25/SER_summary!L$26)</f>
        <v>18.908191366423818</v>
      </c>
      <c r="M25" s="132">
        <f>IF(SER_hh_tesh!M25=0,0,SER_hh_tesh!M25/SER_summary!M$26)</f>
        <v>18.933075805002765</v>
      </c>
      <c r="N25" s="132">
        <f>IF(SER_hh_tesh!N25=0,0,SER_hh_tesh!N25/SER_summary!N$26)</f>
        <v>19.181052439295684</v>
      </c>
      <c r="O25" s="132">
        <f>IF(SER_hh_tesh!O25=0,0,SER_hh_tesh!O25/SER_summary!O$26)</f>
        <v>18.737032175363655</v>
      </c>
      <c r="P25" s="132">
        <f>IF(SER_hh_tesh!P25=0,0,SER_hh_tesh!P25/SER_summary!P$26)</f>
        <v>18.463169891827359</v>
      </c>
      <c r="Q25" s="132">
        <f>IF(SER_hh_tesh!Q25=0,0,SER_hh_tesh!Q25/SER_summary!Q$26)</f>
        <v>18.753640127899708</v>
      </c>
      <c r="R25" s="132">
        <f>IF(SER_hh_tesh!R25=0,0,SER_hh_tesh!R25/SER_summary!R$26)</f>
        <v>18.751775958346627</v>
      </c>
      <c r="S25" s="132">
        <f>IF(SER_hh_tesh!S25=0,0,SER_hh_tesh!S25/SER_summary!S$26)</f>
        <v>18.827956427875026</v>
      </c>
      <c r="T25" s="132">
        <f>IF(SER_hh_tesh!T25=0,0,SER_hh_tesh!T25/SER_summary!T$26)</f>
        <v>18.702115662300528</v>
      </c>
      <c r="U25" s="132">
        <f>IF(SER_hh_tesh!U25=0,0,SER_hh_tesh!U25/SER_summary!U$26)</f>
        <v>19.136282451381049</v>
      </c>
      <c r="V25" s="132">
        <f>IF(SER_hh_tesh!V25=0,0,SER_hh_tesh!V25/SER_summary!V$26)</f>
        <v>16.5958267310628</v>
      </c>
      <c r="W25" s="132">
        <f>IF(SER_hh_tesh!W25=0,0,SER_hh_tesh!W25/SER_summary!W$26)</f>
        <v>18.002046173542119</v>
      </c>
      <c r="X25" s="132">
        <f>IF(SER_hh_tesh!X25=0,0,SER_hh_tesh!X25/SER_summary!X$26)</f>
        <v>17.053554108954078</v>
      </c>
      <c r="Y25" s="132">
        <f>IF(SER_hh_tesh!Y25=0,0,SER_hh_tesh!Y25/SER_summary!Y$26)</f>
        <v>16.821605704431185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18.352887893067873</v>
      </c>
      <c r="C26" s="65">
        <f>IF(SER_hh_tesh!C26=0,0,SER_hh_tesh!C26/SER_summary!C$26)</f>
        <v>18.349181334713013</v>
      </c>
      <c r="D26" s="65">
        <f>IF(SER_hh_tesh!D26=0,0,SER_hh_tesh!D26/SER_summary!D$26)</f>
        <v>18.736730140879796</v>
      </c>
      <c r="E26" s="65">
        <f>IF(SER_hh_tesh!E26=0,0,SER_hh_tesh!E26/SER_summary!E$26)</f>
        <v>18.206609632990613</v>
      </c>
      <c r="F26" s="65">
        <f>IF(SER_hh_tesh!F26=0,0,SER_hh_tesh!F26/SER_summary!F$26)</f>
        <v>18.512594079705188</v>
      </c>
      <c r="G26" s="65">
        <f>IF(SER_hh_tesh!G26=0,0,SER_hh_tesh!G26/SER_summary!G$26)</f>
        <v>18.537982209176509</v>
      </c>
      <c r="H26" s="65">
        <f>IF(SER_hh_tesh!H26=0,0,SER_hh_tesh!H26/SER_summary!H$26)</f>
        <v>18.861806025972651</v>
      </c>
      <c r="I26" s="65">
        <f>IF(SER_hh_tesh!I26=0,0,SER_hh_tesh!I26/SER_summary!I$26)</f>
        <v>18.719278074730454</v>
      </c>
      <c r="J26" s="65">
        <f>IF(SER_hh_tesh!J26=0,0,SER_hh_tesh!J26/SER_summary!J$26)</f>
        <v>18.649273571675412</v>
      </c>
      <c r="K26" s="65">
        <f>IF(SER_hh_tesh!K26=0,0,SER_hh_tesh!K26/SER_summary!K$26)</f>
        <v>18.433979244451294</v>
      </c>
      <c r="L26" s="65">
        <f>IF(SER_hh_tesh!L26=0,0,SER_hh_tesh!L26/SER_summary!L$26)</f>
        <v>18.442070519880325</v>
      </c>
      <c r="M26" s="65">
        <f>IF(SER_hh_tesh!M26=0,0,SER_hh_tesh!M26/SER_summary!M$26)</f>
        <v>19.48023942065824</v>
      </c>
      <c r="N26" s="65">
        <f>IF(SER_hh_tesh!N26=0,0,SER_hh_tesh!N26/SER_summary!N$26)</f>
        <v>19.45337581062741</v>
      </c>
      <c r="O26" s="65">
        <f>IF(SER_hh_tesh!O26=0,0,SER_hh_tesh!O26/SER_summary!O$26)</f>
        <v>17.602405174813555</v>
      </c>
      <c r="P26" s="65">
        <f>IF(SER_hh_tesh!P26=0,0,SER_hh_tesh!P26/SER_summary!P$26)</f>
        <v>17.953199893648286</v>
      </c>
      <c r="Q26" s="65">
        <f>IF(SER_hh_tesh!Q26=0,0,SER_hh_tesh!Q26/SER_summary!Q$26)</f>
        <v>18.406162507094169</v>
      </c>
      <c r="R26" s="65">
        <f>IF(SER_hh_tesh!R26=0,0,SER_hh_tesh!R26/SER_summary!R$26)</f>
        <v>18.646507716830691</v>
      </c>
      <c r="S26" s="65">
        <f>IF(SER_hh_tesh!S26=0,0,SER_hh_tesh!S26/SER_summary!S$26)</f>
        <v>18.726432908376594</v>
      </c>
      <c r="T26" s="65">
        <f>IF(SER_hh_tesh!T26=0,0,SER_hh_tesh!T26/SER_summary!T$26)</f>
        <v>18.470007634307184</v>
      </c>
      <c r="U26" s="65">
        <f>IF(SER_hh_tesh!U26=0,0,SER_hh_tesh!U26/SER_summary!U$26)</f>
        <v>18.368318156358704</v>
      </c>
      <c r="V26" s="65">
        <f>IF(SER_hh_tesh!V26=0,0,SER_hh_tesh!V26/SER_summary!V$26)</f>
        <v>15.918068677165511</v>
      </c>
      <c r="W26" s="65">
        <f>IF(SER_hh_tesh!W26=0,0,SER_hh_tesh!W26/SER_summary!W$26)</f>
        <v>16.590865326209013</v>
      </c>
      <c r="X26" s="65">
        <f>IF(SER_hh_tesh!X26=0,0,SER_hh_tesh!X26/SER_summary!X$26)</f>
        <v>17.722002508940168</v>
      </c>
      <c r="Y26" s="65">
        <f>IF(SER_hh_tesh!Y26=0,0,SER_hh_tesh!Y26/SER_summary!Y$26)</f>
        <v>17.562948157287309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</v>
      </c>
      <c r="C27" s="145">
        <f>IF(SER_hh_tesh!C27=0,0,SER_hh_tesh!C27/SER_summary!C$26)</f>
        <v>0</v>
      </c>
      <c r="D27" s="145">
        <f>IF(SER_hh_tesh!D27=0,0,SER_hh_tesh!D27/SER_summary!D$26)</f>
        <v>0</v>
      </c>
      <c r="E27" s="145">
        <f>IF(SER_hh_tesh!E27=0,0,SER_hh_tesh!E27/SER_summary!E$26)</f>
        <v>0</v>
      </c>
      <c r="F27" s="145">
        <f>IF(SER_hh_tesh!F27=0,0,SER_hh_tesh!F27/SER_summary!F$26)</f>
        <v>0</v>
      </c>
      <c r="G27" s="145">
        <f>IF(SER_hh_tesh!G27=0,0,SER_hh_tesh!G27/SER_summary!G$26)</f>
        <v>3.2254990270236868E-3</v>
      </c>
      <c r="H27" s="145">
        <f>IF(SER_hh_tesh!H27=0,0,SER_hh_tesh!H27/SER_summary!H$26)</f>
        <v>6.3633744801633021E-3</v>
      </c>
      <c r="I27" s="145">
        <f>IF(SER_hh_tesh!I27=0,0,SER_hh_tesh!I27/SER_summary!I$26)</f>
        <v>9.3510812792953219E-3</v>
      </c>
      <c r="J27" s="145">
        <f>IF(SER_hh_tesh!J27=0,0,SER_hh_tesh!J27/SER_summary!J$26)</f>
        <v>1.2544187948884738E-2</v>
      </c>
      <c r="K27" s="145">
        <f>IF(SER_hh_tesh!K27=0,0,SER_hh_tesh!K27/SER_summary!K$26)</f>
        <v>1.5750394234898143E-2</v>
      </c>
      <c r="L27" s="145">
        <f>IF(SER_hh_tesh!L27=0,0,SER_hh_tesh!L27/SER_summary!L$26)</f>
        <v>2.2038495922496595E-2</v>
      </c>
      <c r="M27" s="145">
        <f>IF(SER_hh_tesh!M27=0,0,SER_hh_tesh!M27/SER_summary!M$26)</f>
        <v>2.507919559419762E-2</v>
      </c>
      <c r="N27" s="145">
        <f>IF(SER_hh_tesh!N27=0,0,SER_hh_tesh!N27/SER_summary!N$26)</f>
        <v>2.4898586431844949E-2</v>
      </c>
      <c r="O27" s="145">
        <f>IF(SER_hh_tesh!O27=0,0,SER_hh_tesh!O27/SER_summary!O$26)</f>
        <v>2.4639258143362895E-2</v>
      </c>
      <c r="P27" s="145">
        <f>IF(SER_hh_tesh!P27=0,0,SER_hh_tesh!P27/SER_summary!P$26)</f>
        <v>2.6877821912085847E-2</v>
      </c>
      <c r="Q27" s="145">
        <f>IF(SER_hh_tesh!Q27=0,0,SER_hh_tesh!Q27/SER_summary!Q$26)</f>
        <v>2.6858763461722435E-2</v>
      </c>
      <c r="R27" s="145">
        <f>IF(SER_hh_tesh!R27=0,0,SER_hh_tesh!R27/SER_summary!R$26)</f>
        <v>2.6603409837569928E-2</v>
      </c>
      <c r="S27" s="145">
        <f>IF(SER_hh_tesh!S27=0,0,SER_hh_tesh!S27/SER_summary!S$26)</f>
        <v>2.9154618643580481E-2</v>
      </c>
      <c r="T27" s="145">
        <f>IF(SER_hh_tesh!T27=0,0,SER_hh_tesh!T27/SER_summary!T$26)</f>
        <v>2.8759738862538083E-2</v>
      </c>
      <c r="U27" s="145">
        <f>IF(SER_hh_tesh!U27=0,0,SER_hh_tesh!U27/SER_summary!U$26)</f>
        <v>3.1275201857930784E-2</v>
      </c>
      <c r="V27" s="145">
        <f>IF(SER_hh_tesh!V27=0,0,SER_hh_tesh!V27/SER_summary!V$26)</f>
        <v>3.0946124700649898E-2</v>
      </c>
      <c r="W27" s="145">
        <f>IF(SER_hh_tesh!W27=0,0,SER_hh_tesh!W27/SER_summary!W$26)</f>
        <v>3.0638542030168418E-2</v>
      </c>
      <c r="X27" s="145">
        <f>IF(SER_hh_tesh!X27=0,0,SER_hh_tesh!X27/SER_summary!X$26)</f>
        <v>3.3102664294629935E-2</v>
      </c>
      <c r="Y27" s="145">
        <f>IF(SER_hh_tesh!Y27=0,0,SER_hh_tesh!Y27/SER_summary!Y$26)</f>
        <v>3.5543092724078282E-2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0</v>
      </c>
      <c r="C28" s="146">
        <f>IF(SER_hh_tesh!C28=0,0,SER_hh_tesh!C28/SER_summary!C$26)</f>
        <v>0</v>
      </c>
      <c r="D28" s="146">
        <f>IF(SER_hh_tesh!D28=0,0,SER_hh_tesh!D28/SER_summary!D$26)</f>
        <v>0</v>
      </c>
      <c r="E28" s="146">
        <f>IF(SER_hh_tesh!E28=0,0,SER_hh_tesh!E28/SER_summary!E$26)</f>
        <v>0</v>
      </c>
      <c r="F28" s="146">
        <f>IF(SER_hh_tesh!F28=0,0,SER_hh_tesh!F28/SER_summary!F$26)</f>
        <v>0</v>
      </c>
      <c r="G28" s="146">
        <f>IF(SER_hh_tesh!G28=0,0,SER_hh_tesh!G28/SER_summary!G$26)</f>
        <v>14.730017241042038</v>
      </c>
      <c r="H28" s="146">
        <f>IF(SER_hh_tesh!H28=0,0,SER_hh_tesh!H28/SER_summary!H$26)</f>
        <v>13.393575374600884</v>
      </c>
      <c r="I28" s="146">
        <f>IF(SER_hh_tesh!I28=0,0,SER_hh_tesh!I28/SER_summary!I$26)</f>
        <v>14.261429112115891</v>
      </c>
      <c r="J28" s="146">
        <f>IF(SER_hh_tesh!J28=0,0,SER_hh_tesh!J28/SER_summary!J$26)</f>
        <v>13.84822279950224</v>
      </c>
      <c r="K28" s="146">
        <f>IF(SER_hh_tesh!K28=0,0,SER_hh_tesh!K28/SER_summary!K$26)</f>
        <v>14.407583111705076</v>
      </c>
      <c r="L28" s="146">
        <f>IF(SER_hh_tesh!L28=0,0,SER_hh_tesh!L28/SER_summary!L$26)</f>
        <v>14.597443836259361</v>
      </c>
      <c r="M28" s="146">
        <f>IF(SER_hh_tesh!M28=0,0,SER_hh_tesh!M28/SER_summary!M$26)</f>
        <v>14.032963769289102</v>
      </c>
      <c r="N28" s="146">
        <f>IF(SER_hh_tesh!N28=0,0,SER_hh_tesh!N28/SER_summary!N$26)</f>
        <v>15.95987193052196</v>
      </c>
      <c r="O28" s="146">
        <f>IF(SER_hh_tesh!O28=0,0,SER_hh_tesh!O28/SER_summary!O$26)</f>
        <v>15.690307629001516</v>
      </c>
      <c r="P28" s="146">
        <f>IF(SER_hh_tesh!P28=0,0,SER_hh_tesh!P28/SER_summary!P$26)</f>
        <v>15.267747507276235</v>
      </c>
      <c r="Q28" s="146">
        <f>IF(SER_hh_tesh!Q28=0,0,SER_hh_tesh!Q28/SER_summary!Q$26)</f>
        <v>13.677863434393091</v>
      </c>
      <c r="R28" s="146">
        <f>IF(SER_hh_tesh!R28=0,0,SER_hh_tesh!R28/SER_summary!R$26)</f>
        <v>13.90180321235014</v>
      </c>
      <c r="S28" s="146">
        <f>IF(SER_hh_tesh!S28=0,0,SER_hh_tesh!S28/SER_summary!S$26)</f>
        <v>14.170766033515436</v>
      </c>
      <c r="T28" s="146">
        <f>IF(SER_hh_tesh!T28=0,0,SER_hh_tesh!T28/SER_summary!T$26)</f>
        <v>14.128383301254875</v>
      </c>
      <c r="U28" s="146">
        <f>IF(SER_hh_tesh!U28=0,0,SER_hh_tesh!U28/SER_summary!U$26)</f>
        <v>13.987129080053645</v>
      </c>
      <c r="V28" s="146">
        <f>IF(SER_hh_tesh!V28=0,0,SER_hh_tesh!V28/SER_summary!V$26)</f>
        <v>12.321816715976929</v>
      </c>
      <c r="W28" s="146">
        <f>IF(SER_hh_tesh!W28=0,0,SER_hh_tesh!W28/SER_summary!W$26)</f>
        <v>13.60868999904492</v>
      </c>
      <c r="X28" s="146">
        <f>IF(SER_hh_tesh!X28=0,0,SER_hh_tesh!X28/SER_summary!X$26)</f>
        <v>12.999100298372113</v>
      </c>
      <c r="Y28" s="146">
        <f>IF(SER_hh_tesh!Y28=0,0,SER_hh_tesh!Y28/SER_summary!Y$26)</f>
        <v>11.809125021608795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22.585146493275495</v>
      </c>
      <c r="C29" s="130">
        <f>IF(SER_hh_tesh!C29=0,0,SER_hh_tesh!C29/SER_summary!C$26)</f>
        <v>22.474593592037952</v>
      </c>
      <c r="D29" s="130">
        <f>IF(SER_hh_tesh!D29=0,0,SER_hh_tesh!D29/SER_summary!D$26)</f>
        <v>22.301857834037126</v>
      </c>
      <c r="E29" s="130">
        <f>IF(SER_hh_tesh!E29=0,0,SER_hh_tesh!E29/SER_summary!E$26)</f>
        <v>22.158861120844623</v>
      </c>
      <c r="F29" s="130">
        <f>IF(SER_hh_tesh!F29=0,0,SER_hh_tesh!F29/SER_summary!F$26)</f>
        <v>21.81552782836928</v>
      </c>
      <c r="G29" s="130">
        <f>IF(SER_hh_tesh!G29=0,0,SER_hh_tesh!G29/SER_summary!G$26)</f>
        <v>21.571399401123969</v>
      </c>
      <c r="H29" s="130">
        <f>IF(SER_hh_tesh!H29=0,0,SER_hh_tesh!H29/SER_summary!H$26)</f>
        <v>21.600951750138819</v>
      </c>
      <c r="I29" s="130">
        <f>IF(SER_hh_tesh!I29=0,0,SER_hh_tesh!I29/SER_summary!I$26)</f>
        <v>21.042496407267201</v>
      </c>
      <c r="J29" s="130">
        <f>IF(SER_hh_tesh!J29=0,0,SER_hh_tesh!J29/SER_summary!J$26)</f>
        <v>21.072207338521984</v>
      </c>
      <c r="K29" s="130">
        <f>IF(SER_hh_tesh!K29=0,0,SER_hh_tesh!K29/SER_summary!K$26)</f>
        <v>21.227913734477134</v>
      </c>
      <c r="L29" s="130">
        <f>IF(SER_hh_tesh!L29=0,0,SER_hh_tesh!L29/SER_summary!L$26)</f>
        <v>21.657416731787716</v>
      </c>
      <c r="M29" s="130">
        <f>IF(SER_hh_tesh!M29=0,0,SER_hh_tesh!M29/SER_summary!M$26)</f>
        <v>21.514500746744595</v>
      </c>
      <c r="N29" s="130">
        <f>IF(SER_hh_tesh!N29=0,0,SER_hh_tesh!N29/SER_summary!N$26)</f>
        <v>21.12666915533072</v>
      </c>
      <c r="O29" s="130">
        <f>IF(SER_hh_tesh!O29=0,0,SER_hh_tesh!O29/SER_summary!O$26)</f>
        <v>20.903096514643771</v>
      </c>
      <c r="P29" s="130">
        <f>IF(SER_hh_tesh!P29=0,0,SER_hh_tesh!P29/SER_summary!P$26)</f>
        <v>20.166173840655542</v>
      </c>
      <c r="Q29" s="130">
        <f>IF(SER_hh_tesh!Q29=0,0,SER_hh_tesh!Q29/SER_summary!Q$26)</f>
        <v>20.366462090392407</v>
      </c>
      <c r="R29" s="130">
        <f>IF(SER_hh_tesh!R29=0,0,SER_hh_tesh!R29/SER_summary!R$26)</f>
        <v>20.05947211652375</v>
      </c>
      <c r="S29" s="130">
        <f>IF(SER_hh_tesh!S29=0,0,SER_hh_tesh!S29/SER_summary!S$26)</f>
        <v>19.773513556618489</v>
      </c>
      <c r="T29" s="130">
        <f>IF(SER_hh_tesh!T29=0,0,SER_hh_tesh!T29/SER_summary!T$26)</f>
        <v>20.014296079831315</v>
      </c>
      <c r="U29" s="130">
        <f>IF(SER_hh_tesh!U29=0,0,SER_hh_tesh!U29/SER_summary!U$26)</f>
        <v>19.747457280572217</v>
      </c>
      <c r="V29" s="130">
        <f>IF(SER_hh_tesh!V29=0,0,SER_hh_tesh!V29/SER_summary!V$26)</f>
        <v>18.577837329982739</v>
      </c>
      <c r="W29" s="130">
        <f>IF(SER_hh_tesh!W29=0,0,SER_hh_tesh!W29/SER_summary!W$26)</f>
        <v>19.620494059634229</v>
      </c>
      <c r="X29" s="130">
        <f>IF(SER_hh_tesh!X29=0,0,SER_hh_tesh!X29/SER_summary!X$26)</f>
        <v>19.584523486382409</v>
      </c>
      <c r="Y29" s="130">
        <f>IF(SER_hh_tesh!Y29=0,0,SER_hh_tesh!Y29/SER_summary!Y$26)</f>
        <v>19.32456302750364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24.123485756618756</v>
      </c>
      <c r="C30" s="132">
        <f>IF(SER_hh_tesh!C30=0,0,SER_hh_tesh!C30/SER_summary!C$26)</f>
        <v>20.647321488252679</v>
      </c>
      <c r="D30" s="132">
        <f>IF(SER_hh_tesh!D30=0,0,SER_hh_tesh!D30/SER_summary!D$26)</f>
        <v>24.152682404312678</v>
      </c>
      <c r="E30" s="132">
        <f>IF(SER_hh_tesh!E30=0,0,SER_hh_tesh!E30/SER_summary!E$26)</f>
        <v>24.710312954041513</v>
      </c>
      <c r="F30" s="132">
        <f>IF(SER_hh_tesh!F30=0,0,SER_hh_tesh!F30/SER_summary!F$26)</f>
        <v>17.260578205030416</v>
      </c>
      <c r="G30" s="132">
        <f>IF(SER_hh_tesh!G30=0,0,SER_hh_tesh!G30/SER_summary!G$26)</f>
        <v>21.26204273625067</v>
      </c>
      <c r="H30" s="132">
        <f>IF(SER_hh_tesh!H30=0,0,SER_hh_tesh!H30/SER_summary!H$26)</f>
        <v>21.45012655427632</v>
      </c>
      <c r="I30" s="132">
        <f>IF(SER_hh_tesh!I30=0,0,SER_hh_tesh!I30/SER_summary!I$26)</f>
        <v>22.301238635867925</v>
      </c>
      <c r="J30" s="132">
        <f>IF(SER_hh_tesh!J30=0,0,SER_hh_tesh!J30/SER_summary!J$26)</f>
        <v>19.599040687058832</v>
      </c>
      <c r="K30" s="132">
        <f>IF(SER_hh_tesh!K30=0,0,SER_hh_tesh!K30/SER_summary!K$26)</f>
        <v>20.460693117019638</v>
      </c>
      <c r="L30" s="132">
        <f>IF(SER_hh_tesh!L30=0,0,SER_hh_tesh!L30/SER_summary!L$26)</f>
        <v>23.430936501120932</v>
      </c>
      <c r="M30" s="132">
        <f>IF(SER_hh_tesh!M30=0,0,SER_hh_tesh!M30/SER_summary!M$26)</f>
        <v>21.404449160069341</v>
      </c>
      <c r="N30" s="132">
        <f>IF(SER_hh_tesh!N30=0,0,SER_hh_tesh!N30/SER_summary!N$26)</f>
        <v>21.890667484504579</v>
      </c>
      <c r="O30" s="132">
        <f>IF(SER_hh_tesh!O30=0,0,SER_hh_tesh!O30/SER_summary!O$26)</f>
        <v>17.897287919200181</v>
      </c>
      <c r="P30" s="132">
        <f>IF(SER_hh_tesh!P30=0,0,SER_hh_tesh!P30/SER_summary!P$26)</f>
        <v>19.81474169231165</v>
      </c>
      <c r="Q30" s="132">
        <f>IF(SER_hh_tesh!Q30=0,0,SER_hh_tesh!Q30/SER_summary!Q$26)</f>
        <v>23.371759085317866</v>
      </c>
      <c r="R30" s="132">
        <f>IF(SER_hh_tesh!R30=0,0,SER_hh_tesh!R30/SER_summary!R$26)</f>
        <v>19.265583376093957</v>
      </c>
      <c r="S30" s="132">
        <f>IF(SER_hh_tesh!S30=0,0,SER_hh_tesh!S30/SER_summary!S$26)</f>
        <v>16.738474934289506</v>
      </c>
      <c r="T30" s="132">
        <f>IF(SER_hh_tesh!T30=0,0,SER_hh_tesh!T30/SER_summary!T$26)</f>
        <v>20.567830613422149</v>
      </c>
      <c r="U30" s="132">
        <f>IF(SER_hh_tesh!U30=0,0,SER_hh_tesh!U30/SER_summary!U$26)</f>
        <v>17.840563457950406</v>
      </c>
      <c r="V30" s="132">
        <f>IF(SER_hh_tesh!V30=0,0,SER_hh_tesh!V30/SER_summary!V$26)</f>
        <v>25.499671748757077</v>
      </c>
      <c r="W30" s="132">
        <f>IF(SER_hh_tesh!W30=0,0,SER_hh_tesh!W30/SER_summary!W$26)</f>
        <v>17.708479531804166</v>
      </c>
      <c r="X30" s="132">
        <f>IF(SER_hh_tesh!X30=0,0,SER_hh_tesh!X30/SER_summary!X$26)</f>
        <v>18.427218582655119</v>
      </c>
      <c r="Y30" s="132">
        <f>IF(SER_hh_tesh!Y30=0,0,SER_hh_tesh!Y30/SER_summary!Y$26)</f>
        <v>19.401814020152429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16.314446509394717</v>
      </c>
      <c r="C31" s="132">
        <f>IF(SER_hh_tesh!C31=0,0,SER_hh_tesh!C31/SER_summary!C$26)</f>
        <v>24.12806101483304</v>
      </c>
      <c r="D31" s="132">
        <f>IF(SER_hh_tesh!D31=0,0,SER_hh_tesh!D31/SER_summary!D$26)</f>
        <v>20.077680296078494</v>
      </c>
      <c r="E31" s="132">
        <f>IF(SER_hh_tesh!E31=0,0,SER_hh_tesh!E31/SER_summary!E$26)</f>
        <v>21.121734270996274</v>
      </c>
      <c r="F31" s="132">
        <f>IF(SER_hh_tesh!F31=0,0,SER_hh_tesh!F31/SER_summary!F$26)</f>
        <v>22.727262405095825</v>
      </c>
      <c r="G31" s="132">
        <f>IF(SER_hh_tesh!G31=0,0,SER_hh_tesh!G31/SER_summary!G$26)</f>
        <v>21.727086828305566</v>
      </c>
      <c r="H31" s="132">
        <f>IF(SER_hh_tesh!H31=0,0,SER_hh_tesh!H31/SER_summary!H$26)</f>
        <v>21.893135063954357</v>
      </c>
      <c r="I31" s="132">
        <f>IF(SER_hh_tesh!I31=0,0,SER_hh_tesh!I31/SER_summary!I$26)</f>
        <v>21.433508972079522</v>
      </c>
      <c r="J31" s="132">
        <f>IF(SER_hh_tesh!J31=0,0,SER_hh_tesh!J31/SER_summary!J$26)</f>
        <v>21.458450021192228</v>
      </c>
      <c r="K31" s="132">
        <f>IF(SER_hh_tesh!K31=0,0,SER_hh_tesh!K31/SER_summary!K$26)</f>
        <v>21.315731551179855</v>
      </c>
      <c r="L31" s="132">
        <f>IF(SER_hh_tesh!L31=0,0,SER_hh_tesh!L31/SER_summary!L$26)</f>
        <v>21.290705745838718</v>
      </c>
      <c r="M31" s="132">
        <f>IF(SER_hh_tesh!M31=0,0,SER_hh_tesh!M31/SER_summary!M$26)</f>
        <v>21.466548657597034</v>
      </c>
      <c r="N31" s="132">
        <f>IF(SER_hh_tesh!N31=0,0,SER_hh_tesh!N31/SER_summary!N$26)</f>
        <v>21.382096669867881</v>
      </c>
      <c r="O31" s="132">
        <f>IF(SER_hh_tesh!O31=0,0,SER_hh_tesh!O31/SER_summary!O$26)</f>
        <v>21.491155472754023</v>
      </c>
      <c r="P31" s="132">
        <f>IF(SER_hh_tesh!P31=0,0,SER_hh_tesh!P31/SER_summary!P$26)</f>
        <v>20.82610837299281</v>
      </c>
      <c r="Q31" s="132">
        <f>IF(SER_hh_tesh!Q31=0,0,SER_hh_tesh!Q31/SER_summary!Q$26)</f>
        <v>20.247485653660465</v>
      </c>
      <c r="R31" s="132">
        <f>IF(SER_hh_tesh!R31=0,0,SER_hh_tesh!R31/SER_summary!R$26)</f>
        <v>20.02963031498421</v>
      </c>
      <c r="S31" s="132">
        <f>IF(SER_hh_tesh!S31=0,0,SER_hh_tesh!S31/SER_summary!S$26)</f>
        <v>19.872908840878065</v>
      </c>
      <c r="T31" s="132">
        <f>IF(SER_hh_tesh!T31=0,0,SER_hh_tesh!T31/SER_summary!T$26)</f>
        <v>19.791758763142607</v>
      </c>
      <c r="U31" s="132">
        <f>IF(SER_hh_tesh!U31=0,0,SER_hh_tesh!U31/SER_summary!U$26)</f>
        <v>19.661087991267916</v>
      </c>
      <c r="V31" s="132">
        <f>IF(SER_hh_tesh!V31=0,0,SER_hh_tesh!V31/SER_summary!V$26)</f>
        <v>18.566554426525816</v>
      </c>
      <c r="W31" s="132">
        <f>IF(SER_hh_tesh!W31=0,0,SER_hh_tesh!W31/SER_summary!W$26)</f>
        <v>19.923502301230936</v>
      </c>
      <c r="X31" s="132">
        <f>IF(SER_hh_tesh!X31=0,0,SER_hh_tesh!X31/SER_summary!X$26)</f>
        <v>19.610162780128693</v>
      </c>
      <c r="Y31" s="132">
        <f>IF(SER_hh_tesh!Y31=0,0,SER_hh_tesh!Y31/SER_summary!Y$26)</f>
        <v>19.061267247008733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22.797705413401825</v>
      </c>
      <c r="C33" s="68">
        <f>IF(SER_hh_tesh!C33=0,0,SER_hh_tesh!C33/SER_summary!C$26)</f>
        <v>22.704056320864776</v>
      </c>
      <c r="D33" s="68">
        <f>IF(SER_hh_tesh!D33=0,0,SER_hh_tesh!D33/SER_summary!D$26)</f>
        <v>22.341051645316742</v>
      </c>
      <c r="E33" s="68">
        <f>IF(SER_hh_tesh!E33=0,0,SER_hh_tesh!E33/SER_summary!E$26)</f>
        <v>21.921600138065831</v>
      </c>
      <c r="F33" s="68">
        <f>IF(SER_hh_tesh!F33=0,0,SER_hh_tesh!F33/SER_summary!F$26)</f>
        <v>22.267348118526048</v>
      </c>
      <c r="G33" s="68">
        <f>IF(SER_hh_tesh!G33=0,0,SER_hh_tesh!G33/SER_summary!G$26)</f>
        <v>21.536500346579867</v>
      </c>
      <c r="H33" s="68">
        <f>IF(SER_hh_tesh!H33=0,0,SER_hh_tesh!H33/SER_summary!H$26)</f>
        <v>21.420175746651825</v>
      </c>
      <c r="I33" s="68">
        <f>IF(SER_hh_tesh!I33=0,0,SER_hh_tesh!I33/SER_summary!I$26)</f>
        <v>20.512267472529011</v>
      </c>
      <c r="J33" s="68">
        <f>IF(SER_hh_tesh!J33=0,0,SER_hh_tesh!J33/SER_summary!J$26)</f>
        <v>20.954064847104821</v>
      </c>
      <c r="K33" s="68">
        <f>IF(SER_hh_tesh!K33=0,0,SER_hh_tesh!K33/SER_summary!K$26)</f>
        <v>21.265230516820996</v>
      </c>
      <c r="L33" s="68">
        <f>IF(SER_hh_tesh!L33=0,0,SER_hh_tesh!L33/SER_summary!L$26)</f>
        <v>21.771911802516506</v>
      </c>
      <c r="M33" s="68">
        <f>IF(SER_hh_tesh!M33=0,0,SER_hh_tesh!M33/SER_summary!M$26)</f>
        <v>21.59469315540462</v>
      </c>
      <c r="N33" s="68">
        <f>IF(SER_hh_tesh!N33=0,0,SER_hh_tesh!N33/SER_summary!N$26)</f>
        <v>20.631725840481163</v>
      </c>
      <c r="O33" s="68">
        <f>IF(SER_hh_tesh!O33=0,0,SER_hh_tesh!O33/SER_summary!O$26)</f>
        <v>20.427678135409611</v>
      </c>
      <c r="P33" s="68">
        <f>IF(SER_hh_tesh!P33=0,0,SER_hh_tesh!P33/SER_summary!P$26)</f>
        <v>19.171688979556809</v>
      </c>
      <c r="Q33" s="68">
        <f>IF(SER_hh_tesh!Q33=0,0,SER_hh_tesh!Q33/SER_summary!Q$26)</f>
        <v>20.130718996736107</v>
      </c>
      <c r="R33" s="68">
        <f>IF(SER_hh_tesh!R33=0,0,SER_hh_tesh!R33/SER_summary!R$26)</f>
        <v>20.203004323474257</v>
      </c>
      <c r="S33" s="68">
        <f>IF(SER_hh_tesh!S33=0,0,SER_hh_tesh!S33/SER_summary!S$26)</f>
        <v>19.975841538241603</v>
      </c>
      <c r="T33" s="68">
        <f>IF(SER_hh_tesh!T33=0,0,SER_hh_tesh!T33/SER_summary!T$26)</f>
        <v>20.256012800485831</v>
      </c>
      <c r="U33" s="68">
        <f>IF(SER_hh_tesh!U33=0,0,SER_hh_tesh!U33/SER_summary!U$26)</f>
        <v>20.106181799614504</v>
      </c>
      <c r="V33" s="68">
        <f>IF(SER_hh_tesh!V33=0,0,SER_hh_tesh!V33/SER_summary!V$26)</f>
        <v>17.717944252622509</v>
      </c>
      <c r="W33" s="68">
        <f>IF(SER_hh_tesh!W33=0,0,SER_hh_tesh!W33/SER_summary!W$26)</f>
        <v>19.443119931147002</v>
      </c>
      <c r="X33" s="68">
        <f>IF(SER_hh_tesh!X33=0,0,SER_hh_tesh!X33/SER_summary!X$26)</f>
        <v>19.683587519186357</v>
      </c>
      <c r="Y33" s="68">
        <f>IF(SER_hh_tesh!Y33=0,0,SER_hh_tesh!Y33/SER_summary!Y$26)</f>
        <v>19.646356163339949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58.730803834370512</v>
      </c>
      <c r="C3" s="125">
        <f>IF(SER_hh_emih!C3=0,0,SER_hh_emih!C3/SER_summary!C$26)</f>
        <v>61.434439430774539</v>
      </c>
      <c r="D3" s="125">
        <f>IF(SER_hh_emih!D3=0,0,SER_hh_emih!D3/SER_summary!D$26)</f>
        <v>55.083131119263484</v>
      </c>
      <c r="E3" s="125">
        <f>IF(SER_hh_emih!E3=0,0,SER_hh_emih!E3/SER_summary!E$26)</f>
        <v>55.855675885020993</v>
      </c>
      <c r="F3" s="125">
        <f>IF(SER_hh_emih!F3=0,0,SER_hh_emih!F3/SER_summary!F$26)</f>
        <v>68.510515209956978</v>
      </c>
      <c r="G3" s="125">
        <f>IF(SER_hh_emih!G3=0,0,SER_hh_emih!G3/SER_summary!G$26)</f>
        <v>63.503093001021895</v>
      </c>
      <c r="H3" s="125">
        <f>IF(SER_hh_emih!H3=0,0,SER_hh_emih!H3/SER_summary!H$26)</f>
        <v>54.061498253116007</v>
      </c>
      <c r="I3" s="125">
        <f>IF(SER_hh_emih!I3=0,0,SER_hh_emih!I3/SER_summary!I$26)</f>
        <v>41.155450743419543</v>
      </c>
      <c r="J3" s="125">
        <f>IF(SER_hh_emih!J3=0,0,SER_hh_emih!J3/SER_summary!J$26)</f>
        <v>38.970780438843093</v>
      </c>
      <c r="K3" s="125">
        <f>IF(SER_hh_emih!K3=0,0,SER_hh_emih!K3/SER_summary!K$26)</f>
        <v>42.563315973980409</v>
      </c>
      <c r="L3" s="125">
        <f>IF(SER_hh_emih!L3=0,0,SER_hh_emih!L3/SER_summary!L$26)</f>
        <v>46.435683071587341</v>
      </c>
      <c r="M3" s="125">
        <f>IF(SER_hh_emih!M3=0,0,SER_hh_emih!M3/SER_summary!M$26)</f>
        <v>46.427960493718537</v>
      </c>
      <c r="N3" s="125">
        <f>IF(SER_hh_emih!N3=0,0,SER_hh_emih!N3/SER_summary!N$26)</f>
        <v>37.688964410213003</v>
      </c>
      <c r="O3" s="125">
        <f>IF(SER_hh_emih!O3=0,0,SER_hh_emih!O3/SER_summary!O$26)</f>
        <v>37.586521640544568</v>
      </c>
      <c r="P3" s="125">
        <f>IF(SER_hh_emih!P3=0,0,SER_hh_emih!P3/SER_summary!P$26)</f>
        <v>32.519289370221507</v>
      </c>
      <c r="Q3" s="125">
        <f>IF(SER_hh_emih!Q3=0,0,SER_hh_emih!Q3/SER_summary!Q$26)</f>
        <v>33.541904541846598</v>
      </c>
      <c r="R3" s="125">
        <f>IF(SER_hh_emih!R3=0,0,SER_hh_emih!R3/SER_summary!R$26)</f>
        <v>32.340004504530327</v>
      </c>
      <c r="S3" s="125">
        <f>IF(SER_hh_emih!S3=0,0,SER_hh_emih!S3/SER_summary!S$26)</f>
        <v>30.336913469716244</v>
      </c>
      <c r="T3" s="125">
        <f>IF(SER_hh_emih!T3=0,0,SER_hh_emih!T3/SER_summary!T$26)</f>
        <v>28.557613012624049</v>
      </c>
      <c r="U3" s="125">
        <f>IF(SER_hh_emih!U3=0,0,SER_hh_emih!U3/SER_summary!U$26)</f>
        <v>27.072018108406407</v>
      </c>
      <c r="V3" s="125">
        <f>IF(SER_hh_emih!V3=0,0,SER_hh_emih!V3/SER_summary!V$26)</f>
        <v>27.024138051133299</v>
      </c>
      <c r="W3" s="125">
        <f>IF(SER_hh_emih!W3=0,0,SER_hh_emih!W3/SER_summary!W$26)</f>
        <v>27.988003632625794</v>
      </c>
      <c r="X3" s="125">
        <f>IF(SER_hh_emih!X3=0,0,SER_hh_emih!X3/SER_summary!X$26)</f>
        <v>23.006013122607339</v>
      </c>
      <c r="Y3" s="125">
        <f>IF(SER_hh_emih!Y3=0,0,SER_hh_emih!Y3/SER_summary!Y$26)</f>
        <v>18.227993855007057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53.655679663961443</v>
      </c>
      <c r="C4" s="130">
        <f>IF(SER_hh_emih!C4=0,0,SER_hh_emih!C4/SER_summary!C$26)</f>
        <v>56.324071643181071</v>
      </c>
      <c r="D4" s="130">
        <f>IF(SER_hh_emih!D4=0,0,SER_hh_emih!D4/SER_summary!D$26)</f>
        <v>49.593667938522096</v>
      </c>
      <c r="E4" s="130">
        <f>IF(SER_hh_emih!E4=0,0,SER_hh_emih!E4/SER_summary!E$26)</f>
        <v>50.116161909025259</v>
      </c>
      <c r="F4" s="130">
        <f>IF(SER_hh_emih!F4=0,0,SER_hh_emih!F4/SER_summary!F$26)</f>
        <v>62.667913326693061</v>
      </c>
      <c r="G4" s="130">
        <f>IF(SER_hh_emih!G4=0,0,SER_hh_emih!G4/SER_summary!G$26)</f>
        <v>57.418514554093747</v>
      </c>
      <c r="H4" s="130">
        <f>IF(SER_hh_emih!H4=0,0,SER_hh_emih!H4/SER_summary!H$26)</f>
        <v>47.716994169903927</v>
      </c>
      <c r="I4" s="130">
        <f>IF(SER_hh_emih!I4=0,0,SER_hh_emih!I4/SER_summary!I$26)</f>
        <v>34.548391231594529</v>
      </c>
      <c r="J4" s="130">
        <f>IF(SER_hh_emih!J4=0,0,SER_hh_emih!J4/SER_summary!J$26)</f>
        <v>32.087659360554049</v>
      </c>
      <c r="K4" s="130">
        <f>IF(SER_hh_emih!K4=0,0,SER_hh_emih!K4/SER_summary!K$26)</f>
        <v>35.310766247572495</v>
      </c>
      <c r="L4" s="130">
        <f>IF(SER_hh_emih!L4=0,0,SER_hh_emih!L4/SER_summary!L$26)</f>
        <v>38.861518282017819</v>
      </c>
      <c r="M4" s="130">
        <f>IF(SER_hh_emih!M4=0,0,SER_hh_emih!M4/SER_summary!M$26)</f>
        <v>38.709278090604052</v>
      </c>
      <c r="N4" s="130">
        <f>IF(SER_hh_emih!N4=0,0,SER_hh_emih!N4/SER_summary!N$26)</f>
        <v>29.843058106277887</v>
      </c>
      <c r="O4" s="130">
        <f>IF(SER_hh_emih!O4=0,0,SER_hh_emih!O4/SER_summary!O$26)</f>
        <v>29.44291117476223</v>
      </c>
      <c r="P4" s="130">
        <f>IF(SER_hh_emih!P4=0,0,SER_hh_emih!P4/SER_summary!P$26)</f>
        <v>24.511149590900878</v>
      </c>
      <c r="Q4" s="130">
        <f>IF(SER_hh_emih!Q4=0,0,SER_hh_emih!Q4/SER_summary!Q$26)</f>
        <v>25.599796084103332</v>
      </c>
      <c r="R4" s="130">
        <f>IF(SER_hh_emih!R4=0,0,SER_hh_emih!R4/SER_summary!R$26)</f>
        <v>24.665105684613827</v>
      </c>
      <c r="S4" s="130">
        <f>IF(SER_hh_emih!S4=0,0,SER_hh_emih!S4/SER_summary!S$26)</f>
        <v>22.87751194947764</v>
      </c>
      <c r="T4" s="130">
        <f>IF(SER_hh_emih!T4=0,0,SER_hh_emih!T4/SER_summary!T$26)</f>
        <v>21.06149856128982</v>
      </c>
      <c r="U4" s="130">
        <f>IF(SER_hh_emih!U4=0,0,SER_hh_emih!U4/SER_summary!U$26)</f>
        <v>19.826814062941661</v>
      </c>
      <c r="V4" s="130">
        <f>IF(SER_hh_emih!V4=0,0,SER_hh_emih!V4/SER_summary!V$26)</f>
        <v>20.166791897503451</v>
      </c>
      <c r="W4" s="130">
        <f>IF(SER_hh_emih!W4=0,0,SER_hh_emih!W4/SER_summary!W$26)</f>
        <v>21.132918973572504</v>
      </c>
      <c r="X4" s="130">
        <f>IF(SER_hh_emih!X4=0,0,SER_hh_emih!X4/SER_summary!X$26)</f>
        <v>16.473123536983753</v>
      </c>
      <c r="Y4" s="130">
        <f>IF(SER_hh_emih!Y4=0,0,SER_hh_emih!Y4/SER_summary!Y$26)</f>
        <v>12.027322844723441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150.41645600066948</v>
      </c>
      <c r="C5" s="132">
        <f>IF(SER_hh_emih!C5=0,0,SER_hh_emih!C5/SER_summary!C$26)</f>
        <v>116.77266984355366</v>
      </c>
      <c r="D5" s="132">
        <f>IF(SER_hh_emih!D5=0,0,SER_hh_emih!D5/SER_summary!D$26)</f>
        <v>113.73708418841426</v>
      </c>
      <c r="E5" s="132">
        <f>IF(SER_hh_emih!E5=0,0,SER_hh_emih!E5/SER_summary!E$26)</f>
        <v>141.2033063485236</v>
      </c>
      <c r="F5" s="132">
        <f>IF(SER_hh_emih!F5=0,0,SER_hh_emih!F5/SER_summary!F$26)</f>
        <v>128.07856763356017</v>
      </c>
      <c r="G5" s="132">
        <f>IF(SER_hh_emih!G5=0,0,SER_hh_emih!G5/SER_summary!G$26)</f>
        <v>69.370186152837533</v>
      </c>
      <c r="H5" s="132">
        <f>IF(SER_hh_emih!H5=0,0,SER_hh_emih!H5/SER_summary!H$26)</f>
        <v>126.68037217384853</v>
      </c>
      <c r="I5" s="132">
        <f>IF(SER_hh_emih!I5=0,0,SER_hh_emih!I5/SER_summary!I$26)</f>
        <v>105.28118379231525</v>
      </c>
      <c r="J5" s="132">
        <f>IF(SER_hh_emih!J5=0,0,SER_hh_emih!J5/SER_summary!J$26)</f>
        <v>101.61320165952461</v>
      </c>
      <c r="K5" s="132">
        <f>IF(SER_hh_emih!K5=0,0,SER_hh_emih!K5/SER_summary!K$26)</f>
        <v>95.762625418478024</v>
      </c>
      <c r="L5" s="132">
        <f>IF(SER_hh_emih!L5=0,0,SER_hh_emih!L5/SER_summary!L$26)</f>
        <v>106.26921480960813</v>
      </c>
      <c r="M5" s="132">
        <f>IF(SER_hh_emih!M5=0,0,SER_hh_emih!M5/SER_summary!M$26)</f>
        <v>120.09428898709569</v>
      </c>
      <c r="N5" s="132">
        <f>IF(SER_hh_emih!N5=0,0,SER_hh_emih!N5/SER_summary!N$26)</f>
        <v>32.419219786648149</v>
      </c>
      <c r="O5" s="132">
        <f>IF(SER_hh_emih!O5=0,0,SER_hh_emih!O5/SER_summary!O$26)</f>
        <v>66.475543424107641</v>
      </c>
      <c r="P5" s="132">
        <f>IF(SER_hh_emih!P5=0,0,SER_hh_emih!P5/SER_summary!P$26)</f>
        <v>51.033535252906205</v>
      </c>
      <c r="Q5" s="132">
        <f>IF(SER_hh_emih!Q5=0,0,SER_hh_emih!Q5/SER_summary!Q$26)</f>
        <v>59.432788187409983</v>
      </c>
      <c r="R5" s="132">
        <f>IF(SER_hh_emih!R5=0,0,SER_hh_emih!R5/SER_summary!R$26)</f>
        <v>63.056068119400166</v>
      </c>
      <c r="S5" s="132">
        <f>IF(SER_hh_emih!S5=0,0,SER_hh_emih!S5/SER_summary!S$26)</f>
        <v>43.63665221893676</v>
      </c>
      <c r="T5" s="132">
        <f>IF(SER_hh_emih!T5=0,0,SER_hh_emih!T5/SER_summary!T$26)</f>
        <v>52.188407719444051</v>
      </c>
      <c r="U5" s="132">
        <f>IF(SER_hh_emih!U5=0,0,SER_hh_emih!U5/SER_summary!U$26)</f>
        <v>57.680161362957442</v>
      </c>
      <c r="V5" s="132">
        <f>IF(SER_hh_emih!V5=0,0,SER_hh_emih!V5/SER_summary!V$26)</f>
        <v>48.693077852170028</v>
      </c>
      <c r="W5" s="132">
        <f>IF(SER_hh_emih!W5=0,0,SER_hh_emih!W5/SER_summary!W$26)</f>
        <v>51.503265355402725</v>
      </c>
      <c r="X5" s="132">
        <f>IF(SER_hh_emih!X5=0,0,SER_hh_emih!X5/SER_summary!X$26)</f>
        <v>67.483844936682203</v>
      </c>
      <c r="Y5" s="132">
        <f>IF(SER_hh_emih!Y5=0,0,SER_hh_emih!Y5/SER_summary!Y$26)</f>
        <v>30.082098192279741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113.56002721108811</v>
      </c>
      <c r="C7" s="132">
        <f>IF(SER_hh_emih!C7=0,0,SER_hh_emih!C7/SER_summary!C$26)</f>
        <v>135.78037219137028</v>
      </c>
      <c r="D7" s="132">
        <f>IF(SER_hh_emih!D7=0,0,SER_hh_emih!D7/SER_summary!D$26)</f>
        <v>90.6695222178937</v>
      </c>
      <c r="E7" s="132">
        <f>IF(SER_hh_emih!E7=0,0,SER_hh_emih!E7/SER_summary!E$26)</f>
        <v>87.845488638782228</v>
      </c>
      <c r="F7" s="132">
        <f>IF(SER_hh_emih!F7=0,0,SER_hh_emih!F7/SER_summary!F$26)</f>
        <v>103.0679496719218</v>
      </c>
      <c r="G7" s="132">
        <f>IF(SER_hh_emih!G7=0,0,SER_hh_emih!G7/SER_summary!G$26)</f>
        <v>132.88618935832528</v>
      </c>
      <c r="H7" s="132">
        <f>IF(SER_hh_emih!H7=0,0,SER_hh_emih!H7/SER_summary!H$26)</f>
        <v>136.39197278942549</v>
      </c>
      <c r="I7" s="132">
        <f>IF(SER_hh_emih!I7=0,0,SER_hh_emih!I7/SER_summary!I$26)</f>
        <v>0</v>
      </c>
      <c r="J7" s="132">
        <f>IF(SER_hh_emih!J7=0,0,SER_hh_emih!J7/SER_summary!J$26)</f>
        <v>0</v>
      </c>
      <c r="K7" s="132">
        <f>IF(SER_hh_emih!K7=0,0,SER_hh_emih!K7/SER_summary!K$26)</f>
        <v>0</v>
      </c>
      <c r="L7" s="132">
        <f>IF(SER_hh_emih!L7=0,0,SER_hh_emih!L7/SER_summary!L$26)</f>
        <v>0</v>
      </c>
      <c r="M7" s="132">
        <f>IF(SER_hh_emih!M7=0,0,SER_hh_emih!M7/SER_summary!M$26)</f>
        <v>0</v>
      </c>
      <c r="N7" s="132">
        <f>IF(SER_hh_emih!N7=0,0,SER_hh_emih!N7/SER_summary!N$26)</f>
        <v>77.904308998753336</v>
      </c>
      <c r="O7" s="132">
        <f>IF(SER_hh_emih!O7=0,0,SER_hh_emih!O7/SER_summary!O$26)</f>
        <v>30.407149242780854</v>
      </c>
      <c r="P7" s="132">
        <f>IF(SER_hh_emih!P7=0,0,SER_hh_emih!P7/SER_summary!P$26)</f>
        <v>38.804241379337348</v>
      </c>
      <c r="Q7" s="132">
        <f>IF(SER_hh_emih!Q7=0,0,SER_hh_emih!Q7/SER_summary!Q$26)</f>
        <v>48.216438467701586</v>
      </c>
      <c r="R7" s="132">
        <f>IF(SER_hh_emih!R7=0,0,SER_hh_emih!R7/SER_summary!R$26)</f>
        <v>48.292852710239515</v>
      </c>
      <c r="S7" s="132">
        <f>IF(SER_hh_emih!S7=0,0,SER_hh_emih!S7/SER_summary!S$26)</f>
        <v>40.781515769242517</v>
      </c>
      <c r="T7" s="132">
        <f>IF(SER_hh_emih!T7=0,0,SER_hh_emih!T7/SER_summary!T$26)</f>
        <v>43.932897873048752</v>
      </c>
      <c r="U7" s="132">
        <f>IF(SER_hh_emih!U7=0,0,SER_hh_emih!U7/SER_summary!U$26)</f>
        <v>38.206852348039867</v>
      </c>
      <c r="V7" s="132">
        <f>IF(SER_hh_emih!V7=0,0,SER_hh_emih!V7/SER_summary!V$26)</f>
        <v>38.494283507310293</v>
      </c>
      <c r="W7" s="132">
        <f>IF(SER_hh_emih!W7=0,0,SER_hh_emih!W7/SER_summary!W$26)</f>
        <v>46.447766729178397</v>
      </c>
      <c r="X7" s="132">
        <f>IF(SER_hh_emih!X7=0,0,SER_hh_emih!X7/SER_summary!X$26)</f>
        <v>32.837330488363278</v>
      </c>
      <c r="Y7" s="132">
        <f>IF(SER_hh_emih!Y7=0,0,SER_hh_emih!Y7/SER_summary!Y$26)</f>
        <v>29.499828262117457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0</v>
      </c>
      <c r="C8" s="132">
        <f>IF(SER_hh_emih!C8=0,0,SER_hh_emih!C8/SER_summary!C$26)</f>
        <v>0</v>
      </c>
      <c r="D8" s="132">
        <f>IF(SER_hh_emih!D8=0,0,SER_hh_emih!D8/SER_summary!D$26)</f>
        <v>0</v>
      </c>
      <c r="E8" s="132">
        <f>IF(SER_hh_emih!E8=0,0,SER_hh_emih!E8/SER_summary!E$26)</f>
        <v>0</v>
      </c>
      <c r="F8" s="132">
        <f>IF(SER_hh_emih!F8=0,0,SER_hh_emih!F8/SER_summary!F$26)</f>
        <v>0</v>
      </c>
      <c r="G8" s="132">
        <f>IF(SER_hh_emih!G8=0,0,SER_hh_emih!G8/SER_summary!G$26)</f>
        <v>0</v>
      </c>
      <c r="H8" s="132">
        <f>IF(SER_hh_emih!H8=0,0,SER_hh_emih!H8/SER_summary!H$26)</f>
        <v>0</v>
      </c>
      <c r="I8" s="132">
        <f>IF(SER_hh_emih!I8=0,0,SER_hh_emih!I8/SER_summary!I$26)</f>
        <v>0</v>
      </c>
      <c r="J8" s="132">
        <f>IF(SER_hh_emih!J8=0,0,SER_hh_emih!J8/SER_summary!J$26)</f>
        <v>0</v>
      </c>
      <c r="K8" s="132">
        <f>IF(SER_hh_emih!K8=0,0,SER_hh_emih!K8/SER_summary!K$26)</f>
        <v>0</v>
      </c>
      <c r="L8" s="132">
        <f>IF(SER_hh_emih!L8=0,0,SER_hh_emih!L8/SER_summary!L$26)</f>
        <v>0</v>
      </c>
      <c r="M8" s="132">
        <f>IF(SER_hh_emih!M8=0,0,SER_hh_emih!M8/SER_summary!M$26)</f>
        <v>0</v>
      </c>
      <c r="N8" s="132">
        <f>IF(SER_hh_emih!N8=0,0,SER_hh_emih!N8/SER_summary!N$26)</f>
        <v>0</v>
      </c>
      <c r="O8" s="132">
        <f>IF(SER_hh_emih!O8=0,0,SER_hh_emih!O8/SER_summary!O$26)</f>
        <v>0</v>
      </c>
      <c r="P8" s="132">
        <f>IF(SER_hh_emih!P8=0,0,SER_hh_emih!P8/SER_summary!P$26)</f>
        <v>0</v>
      </c>
      <c r="Q8" s="132">
        <f>IF(SER_hh_emih!Q8=0,0,SER_hh_emih!Q8/SER_summary!Q$26)</f>
        <v>0</v>
      </c>
      <c r="R8" s="132">
        <f>IF(SER_hh_emih!R8=0,0,SER_hh_emih!R8/SER_summary!R$26)</f>
        <v>2.3469852471954455</v>
      </c>
      <c r="S8" s="132">
        <f>IF(SER_hh_emih!S8=0,0,SER_hh_emih!S8/SER_summary!S$26)</f>
        <v>5.6164524026127323</v>
      </c>
      <c r="T8" s="132">
        <f>IF(SER_hh_emih!T8=0,0,SER_hh_emih!T8/SER_summary!T$26)</f>
        <v>7.4350388756847341</v>
      </c>
      <c r="U8" s="132">
        <f>IF(SER_hh_emih!U8=0,0,SER_hh_emih!U8/SER_summary!U$26)</f>
        <v>6.3248613637337936</v>
      </c>
      <c r="V8" s="132">
        <f>IF(SER_hh_emih!V8=0,0,SER_hh_emih!V8/SER_summary!V$26)</f>
        <v>8.505311408748744</v>
      </c>
      <c r="W8" s="132">
        <f>IF(SER_hh_emih!W8=0,0,SER_hh_emih!W8/SER_summary!W$26)</f>
        <v>6.19761162552917</v>
      </c>
      <c r="X8" s="132">
        <f>IF(SER_hh_emih!X8=0,0,SER_hh_emih!X8/SER_summary!X$26)</f>
        <v>6.0870731914000027</v>
      </c>
      <c r="Y8" s="132">
        <f>IF(SER_hh_emih!Y8=0,0,SER_hh_emih!Y8/SER_summary!Y$26)</f>
        <v>5.4682020923048533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76.568817100535554</v>
      </c>
      <c r="C9" s="132">
        <f>IF(SER_hh_emih!C9=0,0,SER_hh_emih!C9/SER_summary!C$26)</f>
        <v>79.81126610127366</v>
      </c>
      <c r="D9" s="132">
        <f>IF(SER_hh_emih!D9=0,0,SER_hh_emih!D9/SER_summary!D$26)</f>
        <v>68.794627168012354</v>
      </c>
      <c r="E9" s="132">
        <f>IF(SER_hh_emih!E9=0,0,SER_hh_emih!E9/SER_summary!E$26)</f>
        <v>67.523721356196347</v>
      </c>
      <c r="F9" s="132">
        <f>IF(SER_hh_emih!F9=0,0,SER_hh_emih!F9/SER_summary!F$26)</f>
        <v>83.033467534150731</v>
      </c>
      <c r="G9" s="132">
        <f>IF(SER_hh_emih!G9=0,0,SER_hh_emih!G9/SER_summary!G$26)</f>
        <v>77.861205461055789</v>
      </c>
      <c r="H9" s="132">
        <f>IF(SER_hh_emih!H9=0,0,SER_hh_emih!H9/SER_summary!H$26)</f>
        <v>67.865781858658508</v>
      </c>
      <c r="I9" s="132">
        <f>IF(SER_hh_emih!I9=0,0,SER_hh_emih!I9/SER_summary!I$26)</f>
        <v>53.029320131392467</v>
      </c>
      <c r="J9" s="132">
        <f>IF(SER_hh_emih!J9=0,0,SER_hh_emih!J9/SER_summary!J$26)</f>
        <v>51.951251885658003</v>
      </c>
      <c r="K9" s="132">
        <f>IF(SER_hh_emih!K9=0,0,SER_hh_emih!K9/SER_summary!K$26)</f>
        <v>58.008535007432407</v>
      </c>
      <c r="L9" s="132">
        <f>IF(SER_hh_emih!L9=0,0,SER_hh_emih!L9/SER_summary!L$26)</f>
        <v>61.709271325775326</v>
      </c>
      <c r="M9" s="132">
        <f>IF(SER_hh_emih!M9=0,0,SER_hh_emih!M9/SER_summary!M$26)</f>
        <v>58.270789841531261</v>
      </c>
      <c r="N9" s="132">
        <f>IF(SER_hh_emih!N9=0,0,SER_hh_emih!N9/SER_summary!N$26)</f>
        <v>40.966778651486194</v>
      </c>
      <c r="O9" s="132">
        <f>IF(SER_hh_emih!O9=0,0,SER_hh_emih!O9/SER_summary!O$26)</f>
        <v>39.500351242477997</v>
      </c>
      <c r="P9" s="132">
        <f>IF(SER_hh_emih!P9=0,0,SER_hh_emih!P9/SER_summary!P$26)</f>
        <v>32.247322952673379</v>
      </c>
      <c r="Q9" s="132">
        <f>IF(SER_hh_emih!Q9=0,0,SER_hh_emih!Q9/SER_summary!Q$26)</f>
        <v>34.241971232313773</v>
      </c>
      <c r="R9" s="132">
        <f>IF(SER_hh_emih!R9=0,0,SER_hh_emih!R9/SER_summary!R$26)</f>
        <v>34.121442119191691</v>
      </c>
      <c r="S9" s="132">
        <f>IF(SER_hh_emih!S9=0,0,SER_hh_emih!S9/SER_summary!S$26)</f>
        <v>32.975070733733439</v>
      </c>
      <c r="T9" s="132">
        <f>IF(SER_hh_emih!T9=0,0,SER_hh_emih!T9/SER_summary!T$26)</f>
        <v>30.808218385979501</v>
      </c>
      <c r="U9" s="132">
        <f>IF(SER_hh_emih!U9=0,0,SER_hh_emih!U9/SER_summary!U$26)</f>
        <v>29.40574567277665</v>
      </c>
      <c r="V9" s="132">
        <f>IF(SER_hh_emih!V9=0,0,SER_hh_emih!V9/SER_summary!V$26)</f>
        <v>30.09208104225733</v>
      </c>
      <c r="W9" s="132">
        <f>IF(SER_hh_emih!W9=0,0,SER_hh_emih!W9/SER_summary!W$26)</f>
        <v>31.99652296422142</v>
      </c>
      <c r="X9" s="132">
        <f>IF(SER_hh_emih!X9=0,0,SER_hh_emih!X9/SER_summary!X$26)</f>
        <v>26.056273406431835</v>
      </c>
      <c r="Y9" s="132">
        <f>IF(SER_hh_emih!Y9=0,0,SER_hh_emih!Y9/SER_summary!Y$26)</f>
        <v>19.817010738557791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11.492532615667235</v>
      </c>
      <c r="O10" s="132">
        <f>IF(SER_hh_emih!O10=0,0,SER_hh_emih!O10/SER_summary!O$26)</f>
        <v>9.7324906108147964</v>
      </c>
      <c r="P10" s="132">
        <f>IF(SER_hh_emih!P10=0,0,SER_hh_emih!P10/SER_summary!P$26)</f>
        <v>6.5291618507194196</v>
      </c>
      <c r="Q10" s="132">
        <f>IF(SER_hh_emih!Q10=0,0,SER_hh_emih!Q10/SER_summary!Q$26)</f>
        <v>12.907663303398424</v>
      </c>
      <c r="R10" s="132">
        <f>IF(SER_hh_emih!R10=0,0,SER_hh_emih!R10/SER_summary!R$26)</f>
        <v>7.9792242344515287</v>
      </c>
      <c r="S10" s="132">
        <f>IF(SER_hh_emih!S10=0,0,SER_hh_emih!S10/SER_summary!S$26)</f>
        <v>9.979642972208973</v>
      </c>
      <c r="T10" s="132">
        <f>IF(SER_hh_emih!T10=0,0,SER_hh_emih!T10/SER_summary!T$26)</f>
        <v>13.077153278806684</v>
      </c>
      <c r="U10" s="132">
        <f>IF(SER_hh_emih!U10=0,0,SER_hh_emih!U10/SER_summary!U$26)</f>
        <v>15.152825069578002</v>
      </c>
      <c r="V10" s="132">
        <f>IF(SER_hh_emih!V10=0,0,SER_hh_emih!V10/SER_summary!V$26)</f>
        <v>16.141133079211702</v>
      </c>
      <c r="W10" s="132">
        <f>IF(SER_hh_emih!W10=0,0,SER_hh_emih!W10/SER_summary!W$26)</f>
        <v>13.609660786616423</v>
      </c>
      <c r="X10" s="132">
        <f>IF(SER_hh_emih!X10=0,0,SER_hh_emih!X10/SER_summary!X$26)</f>
        <v>12.893180037611311</v>
      </c>
      <c r="Y10" s="132">
        <f>IF(SER_hh_emih!Y10=0,0,SER_hh_emih!Y10/SER_summary!Y$26)</f>
        <v>8.8789558267374726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1.1045752797042977E-2</v>
      </c>
      <c r="C16" s="130">
        <f>IF(SER_hh_emih!C16=0,0,SER_hh_emih!C16/SER_summary!C$26)</f>
        <v>1.091119800445985E-2</v>
      </c>
      <c r="D16" s="130">
        <f>IF(SER_hh_emih!D16=0,0,SER_hh_emih!D16/SER_summary!D$26)</f>
        <v>1.2743393542808424E-2</v>
      </c>
      <c r="E16" s="130">
        <f>IF(SER_hh_emih!E16=0,0,SER_hh_emih!E16/SER_summary!E$26)</f>
        <v>1.547031347211591E-2</v>
      </c>
      <c r="F16" s="130">
        <f>IF(SER_hh_emih!F16=0,0,SER_hh_emih!F16/SER_summary!F$26)</f>
        <v>1.166413769303434E-2</v>
      </c>
      <c r="G16" s="130">
        <f>IF(SER_hh_emih!G16=0,0,SER_hh_emih!G16/SER_summary!G$26)</f>
        <v>1.1936042277542584E-2</v>
      </c>
      <c r="H16" s="130">
        <f>IF(SER_hh_emih!H16=0,0,SER_hh_emih!H16/SER_summary!H$26)</f>
        <v>1.4052087949812815E-2</v>
      </c>
      <c r="I16" s="130">
        <f>IF(SER_hh_emih!I16=0,0,SER_hh_emih!I16/SER_summary!I$26)</f>
        <v>1.5991124008646614E-2</v>
      </c>
      <c r="J16" s="130">
        <f>IF(SER_hh_emih!J16=0,0,SER_hh_emih!J16/SER_summary!J$26)</f>
        <v>1.3289408671273218E-2</v>
      </c>
      <c r="K16" s="130">
        <f>IF(SER_hh_emih!K16=0,0,SER_hh_emih!K16/SER_summary!K$26)</f>
        <v>1.3959487808634109E-2</v>
      </c>
      <c r="L16" s="130">
        <f>IF(SER_hh_emih!L16=0,0,SER_hh_emih!L16/SER_summary!L$26)</f>
        <v>1.6160685546785184E-2</v>
      </c>
      <c r="M16" s="130">
        <f>IF(SER_hh_emih!M16=0,0,SER_hh_emih!M16/SER_summary!M$26)</f>
        <v>1.7539672872733975E-2</v>
      </c>
      <c r="N16" s="130">
        <f>IF(SER_hh_emih!N16=0,0,SER_hh_emih!N16/SER_summary!N$26)</f>
        <v>2.4650903608528882E-2</v>
      </c>
      <c r="O16" s="130">
        <f>IF(SER_hh_emih!O16=0,0,SER_hh_emih!O16/SER_summary!O$26)</f>
        <v>2.212862914242425E-2</v>
      </c>
      <c r="P16" s="130">
        <f>IF(SER_hh_emih!P16=0,0,SER_hh_emih!P16/SER_summary!P$26)</f>
        <v>2.0350637359755352E-2</v>
      </c>
      <c r="Q16" s="130">
        <f>IF(SER_hh_emih!Q16=0,0,SER_hh_emih!Q16/SER_summary!Q$26)</f>
        <v>3.1515564487513602E-2</v>
      </c>
      <c r="R16" s="130">
        <f>IF(SER_hh_emih!R16=0,0,SER_hh_emih!R16/SER_summary!R$26)</f>
        <v>2.2999330297902406E-2</v>
      </c>
      <c r="S16" s="130">
        <f>IF(SER_hh_emih!S16=0,0,SER_hh_emih!S16/SER_summary!S$26)</f>
        <v>3.11524800684694E-2</v>
      </c>
      <c r="T16" s="130">
        <f>IF(SER_hh_emih!T16=0,0,SER_hh_emih!T16/SER_summary!T$26)</f>
        <v>3.0987712402432106E-2</v>
      </c>
      <c r="U16" s="130">
        <f>IF(SER_hh_emih!U16=0,0,SER_hh_emih!U16/SER_summary!U$26)</f>
        <v>3.8070231291545333E-2</v>
      </c>
      <c r="V16" s="130">
        <f>IF(SER_hh_emih!V16=0,0,SER_hh_emih!V16/SER_summary!V$26)</f>
        <v>2.9145517208750474E-2</v>
      </c>
      <c r="W16" s="130">
        <f>IF(SER_hh_emih!W16=0,0,SER_hh_emih!W16/SER_summary!W$26)</f>
        <v>3.7740550249711499E-2</v>
      </c>
      <c r="X16" s="130">
        <f>IF(SER_hh_emih!X16=0,0,SER_hh_emih!X16/SER_summary!X$26)</f>
        <v>4.1805405947116812E-2</v>
      </c>
      <c r="Y16" s="130">
        <f>IF(SER_hh_emih!Y16=0,0,SER_hh_emih!Y16/SER_summary!Y$26)</f>
        <v>3.7377052878918543E-2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4.5893155905567724</v>
      </c>
      <c r="C17" s="132">
        <f>IF(SER_hh_emih!C17=0,0,SER_hh_emih!C17/SER_summary!C$26)</f>
        <v>4.1309786587964856</v>
      </c>
      <c r="D17" s="132">
        <f>IF(SER_hh_emih!D17=0,0,SER_hh_emih!D17/SER_summary!D$26)</f>
        <v>4.2865392116966117</v>
      </c>
      <c r="E17" s="132">
        <f>IF(SER_hh_emih!E17=0,0,SER_hh_emih!E17/SER_summary!E$26)</f>
        <v>4.8483147127050286</v>
      </c>
      <c r="F17" s="132">
        <f>IF(SER_hh_emih!F17=0,0,SER_hh_emih!F17/SER_summary!F$26)</f>
        <v>3.8449851835974949</v>
      </c>
      <c r="G17" s="132">
        <f>IF(SER_hh_emih!G17=0,0,SER_hh_emih!G17/SER_summary!G$26)</f>
        <v>3.7956128991270357</v>
      </c>
      <c r="H17" s="132">
        <f>IF(SER_hh_emih!H17=0,0,SER_hh_emih!H17/SER_summary!H$26)</f>
        <v>4.1364305941015989</v>
      </c>
      <c r="I17" s="132">
        <f>IF(SER_hh_emih!I17=0,0,SER_hh_emih!I17/SER_summary!I$26)</f>
        <v>4.4522290914108771</v>
      </c>
      <c r="J17" s="132">
        <f>IF(SER_hh_emih!J17=0,0,SER_hh_emih!J17/SER_summary!J$26)</f>
        <v>3.7776570953079416</v>
      </c>
      <c r="K17" s="132">
        <f>IF(SER_hh_emih!K17=0,0,SER_hh_emih!K17/SER_summary!K$26)</f>
        <v>3.7929366230313777</v>
      </c>
      <c r="L17" s="132">
        <f>IF(SER_hh_emih!L17=0,0,SER_hh_emih!L17/SER_summary!L$26)</f>
        <v>3.947126354747986</v>
      </c>
      <c r="M17" s="132">
        <f>IF(SER_hh_emih!M17=0,0,SER_hh_emih!M17/SER_summary!M$26)</f>
        <v>3.8537542435209016</v>
      </c>
      <c r="N17" s="132">
        <f>IF(SER_hh_emih!N17=0,0,SER_hh_emih!N17/SER_summary!N$26)</f>
        <v>4.848517571038875</v>
      </c>
      <c r="O17" s="132">
        <f>IF(SER_hh_emih!O17=0,0,SER_hh_emih!O17/SER_summary!O$26)</f>
        <v>3.957052382594902</v>
      </c>
      <c r="P17" s="132">
        <f>IF(SER_hh_emih!P17=0,0,SER_hh_emih!P17/SER_summary!P$26)</f>
        <v>3.4977041860945359</v>
      </c>
      <c r="Q17" s="132">
        <f>IF(SER_hh_emih!Q17=0,0,SER_hh_emih!Q17/SER_summary!Q$26)</f>
        <v>5.0371947064194957</v>
      </c>
      <c r="R17" s="132">
        <f>IF(SER_hh_emih!R17=0,0,SER_hh_emih!R17/SER_summary!R$26)</f>
        <v>3.4990593001593284</v>
      </c>
      <c r="S17" s="132">
        <f>IF(SER_hh_emih!S17=0,0,SER_hh_emih!S17/SER_summary!S$26)</f>
        <v>4.1462161614358308</v>
      </c>
      <c r="T17" s="132">
        <f>IF(SER_hh_emih!T17=0,0,SER_hh_emih!T17/SER_summary!T$26)</f>
        <v>3.9007120935735955</v>
      </c>
      <c r="U17" s="132">
        <f>IF(SER_hh_emih!U17=0,0,SER_hh_emih!U17/SER_summary!U$26)</f>
        <v>4.0891641373378746</v>
      </c>
      <c r="V17" s="132">
        <f>IF(SER_hh_emih!V17=0,0,SER_hh_emih!V17/SER_summary!V$26)</f>
        <v>2.8617913609694883</v>
      </c>
      <c r="W17" s="132">
        <f>IF(SER_hh_emih!W17=0,0,SER_hh_emih!W17/SER_summary!W$26)</f>
        <v>3.5970068837011278</v>
      </c>
      <c r="X17" s="132">
        <f>IF(SER_hh_emih!X17=0,0,SER_hh_emih!X17/SER_summary!X$26)</f>
        <v>3.9582902243866718</v>
      </c>
      <c r="Y17" s="132">
        <f>IF(SER_hh_emih!Y17=0,0,SER_hh_emih!Y17/SER_summary!Y$26)</f>
        <v>3.5854526029524898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2.8948688145773609</v>
      </c>
      <c r="C19" s="130">
        <f>IF(SER_hh_emih!C19=0,0,SER_hh_emih!C19/SER_summary!C$26)</f>
        <v>2.8827903069122751</v>
      </c>
      <c r="D19" s="130">
        <f>IF(SER_hh_emih!D19=0,0,SER_hh_emih!D19/SER_summary!D$26)</f>
        <v>2.9636701015250333</v>
      </c>
      <c r="E19" s="130">
        <f>IF(SER_hh_emih!E19=0,0,SER_hh_emih!E19/SER_summary!E$26)</f>
        <v>2.9856468608444811</v>
      </c>
      <c r="F19" s="130">
        <f>IF(SER_hh_emih!F19=0,0,SER_hh_emih!F19/SER_summary!F$26)</f>
        <v>3.1070133873570382</v>
      </c>
      <c r="G19" s="130">
        <f>IF(SER_hh_emih!G19=0,0,SER_hh_emih!G19/SER_summary!G$26)</f>
        <v>3.0102958441899368</v>
      </c>
      <c r="H19" s="130">
        <f>IF(SER_hh_emih!H19=0,0,SER_hh_emih!H19/SER_summary!H$26)</f>
        <v>2.9892347572058777</v>
      </c>
      <c r="I19" s="130">
        <f>IF(SER_hh_emih!I19=0,0,SER_hh_emih!I19/SER_summary!I$26)</f>
        <v>3.0867948239574687</v>
      </c>
      <c r="J19" s="130">
        <f>IF(SER_hh_emih!J19=0,0,SER_hh_emih!J19/SER_summary!J$26)</f>
        <v>3.2532293883883332</v>
      </c>
      <c r="K19" s="130">
        <f>IF(SER_hh_emih!K19=0,0,SER_hh_emih!K19/SER_summary!K$26)</f>
        <v>3.4814132842794936</v>
      </c>
      <c r="L19" s="130">
        <f>IF(SER_hh_emih!L19=0,0,SER_hh_emih!L19/SER_summary!L$26)</f>
        <v>3.5722396378295938</v>
      </c>
      <c r="M19" s="130">
        <f>IF(SER_hh_emih!M19=0,0,SER_hh_emih!M19/SER_summary!M$26)</f>
        <v>3.5764003885710633</v>
      </c>
      <c r="N19" s="130">
        <f>IF(SER_hh_emih!N19=0,0,SER_hh_emih!N19/SER_summary!N$26)</f>
        <v>3.5425681293792479</v>
      </c>
      <c r="O19" s="130">
        <f>IF(SER_hh_emih!O19=0,0,SER_hh_emih!O19/SER_summary!O$26)</f>
        <v>3.8148330376866868</v>
      </c>
      <c r="P19" s="130">
        <f>IF(SER_hh_emih!P19=0,0,SER_hh_emih!P19/SER_summary!P$26)</f>
        <v>3.7534261336030452</v>
      </c>
      <c r="Q19" s="130">
        <f>IF(SER_hh_emih!Q19=0,0,SER_hh_emih!Q19/SER_summary!Q$26)</f>
        <v>3.746267579964222</v>
      </c>
      <c r="R19" s="130">
        <f>IF(SER_hh_emih!R19=0,0,SER_hh_emih!R19/SER_summary!R$26)</f>
        <v>3.6992247570981425</v>
      </c>
      <c r="S19" s="130">
        <f>IF(SER_hh_emih!S19=0,0,SER_hh_emih!S19/SER_summary!S$26)</f>
        <v>3.6287300477657549</v>
      </c>
      <c r="T19" s="130">
        <f>IF(SER_hh_emih!T19=0,0,SER_hh_emih!T19/SER_summary!T$26)</f>
        <v>3.6396144586479586</v>
      </c>
      <c r="U19" s="130">
        <f>IF(SER_hh_emih!U19=0,0,SER_hh_emih!U19/SER_summary!U$26)</f>
        <v>3.4602311878417868</v>
      </c>
      <c r="V19" s="130">
        <f>IF(SER_hh_emih!V19=0,0,SER_hh_emih!V19/SER_summary!V$26)</f>
        <v>3.1308759021851671</v>
      </c>
      <c r="W19" s="130">
        <f>IF(SER_hh_emih!W19=0,0,SER_hh_emih!W19/SER_summary!W$26)</f>
        <v>3.0518463629824262</v>
      </c>
      <c r="X19" s="130">
        <f>IF(SER_hh_emih!X19=0,0,SER_hh_emih!X19/SER_summary!X$26)</f>
        <v>2.8348489011054601</v>
      </c>
      <c r="Y19" s="130">
        <f>IF(SER_hh_emih!Y19=0,0,SER_hh_emih!Y19/SER_summary!Y$26)</f>
        <v>2.6704777837703717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0</v>
      </c>
      <c r="C21" s="132">
        <f>IF(SER_hh_emih!C21=0,0,SER_hh_emih!C21/SER_summary!C$26)</f>
        <v>0</v>
      </c>
      <c r="D21" s="132">
        <f>IF(SER_hh_emih!D21=0,0,SER_hh_emih!D21/SER_summary!D$26)</f>
        <v>0</v>
      </c>
      <c r="E21" s="132">
        <f>IF(SER_hh_emih!E21=0,0,SER_hh_emih!E21/SER_summary!E$26)</f>
        <v>0</v>
      </c>
      <c r="F21" s="132">
        <f>IF(SER_hh_emih!F21=0,0,SER_hh_emih!F21/SER_summary!F$26)</f>
        <v>0</v>
      </c>
      <c r="G21" s="132">
        <f>IF(SER_hh_emih!G21=0,0,SER_hh_emih!G21/SER_summary!G$26)</f>
        <v>0</v>
      </c>
      <c r="H21" s="132">
        <f>IF(SER_hh_emih!H21=0,0,SER_hh_emih!H21/SER_summary!H$26)</f>
        <v>0</v>
      </c>
      <c r="I21" s="132">
        <f>IF(SER_hh_emih!I21=0,0,SER_hh_emih!I21/SER_summary!I$26)</f>
        <v>0</v>
      </c>
      <c r="J21" s="132">
        <f>IF(SER_hh_emih!J21=0,0,SER_hh_emih!J21/SER_summary!J$26)</f>
        <v>0</v>
      </c>
      <c r="K21" s="132">
        <f>IF(SER_hh_emih!K21=0,0,SER_hh_emih!K21/SER_summary!K$26)</f>
        <v>0</v>
      </c>
      <c r="L21" s="132">
        <f>IF(SER_hh_emih!L21=0,0,SER_hh_emih!L21/SER_summary!L$26)</f>
        <v>0</v>
      </c>
      <c r="M21" s="132">
        <f>IF(SER_hh_emih!M21=0,0,SER_hh_emih!M21/SER_summary!M$26)</f>
        <v>0</v>
      </c>
      <c r="N21" s="132">
        <f>IF(SER_hh_emih!N21=0,0,SER_hh_emih!N21/SER_summary!N$26)</f>
        <v>0</v>
      </c>
      <c r="O21" s="132">
        <f>IF(SER_hh_emih!O21=0,0,SER_hh_emih!O21/SER_summary!O$26)</f>
        <v>0</v>
      </c>
      <c r="P21" s="132">
        <f>IF(SER_hh_emih!P21=0,0,SER_hh_emih!P21/SER_summary!P$26)</f>
        <v>0</v>
      </c>
      <c r="Q21" s="132">
        <f>IF(SER_hh_emih!Q21=0,0,SER_hh_emih!Q21/SER_summary!Q$26)</f>
        <v>0</v>
      </c>
      <c r="R21" s="132">
        <f>IF(SER_hh_emih!R21=0,0,SER_hh_emih!R21/SER_summary!R$26)</f>
        <v>0</v>
      </c>
      <c r="S21" s="132">
        <f>IF(SER_hh_emih!S21=0,0,SER_hh_emih!S21/SER_summary!S$26)</f>
        <v>0</v>
      </c>
      <c r="T21" s="132">
        <f>IF(SER_hh_emih!T21=0,0,SER_hh_emih!T21/SER_summary!T$26)</f>
        <v>0</v>
      </c>
      <c r="U21" s="132">
        <f>IF(SER_hh_emih!U21=0,0,SER_hh_emih!U21/SER_summary!U$26)</f>
        <v>0</v>
      </c>
      <c r="V21" s="132">
        <f>IF(SER_hh_emih!V21=0,0,SER_hh_emih!V21/SER_summary!V$26)</f>
        <v>0</v>
      </c>
      <c r="W21" s="132">
        <f>IF(SER_hh_emih!W21=0,0,SER_hh_emih!W21/SER_summary!W$26)</f>
        <v>0</v>
      </c>
      <c r="X21" s="132">
        <f>IF(SER_hh_emih!X21=0,0,SER_hh_emih!X21/SER_summary!X$26)</f>
        <v>0</v>
      </c>
      <c r="Y21" s="132">
        <f>IF(SER_hh_emih!Y21=0,0,SER_hh_emih!Y21/SER_summary!Y$26)</f>
        <v>0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0</v>
      </c>
      <c r="C22" s="132">
        <f>IF(SER_hh_emih!C22=0,0,SER_hh_emih!C22/SER_summary!C$26)</f>
        <v>0</v>
      </c>
      <c r="D22" s="132">
        <f>IF(SER_hh_emih!D22=0,0,SER_hh_emih!D22/SER_summary!D$26)</f>
        <v>0</v>
      </c>
      <c r="E22" s="132">
        <f>IF(SER_hh_emih!E22=0,0,SER_hh_emih!E22/SER_summary!E$26)</f>
        <v>0</v>
      </c>
      <c r="F22" s="132">
        <f>IF(SER_hh_emih!F22=0,0,SER_hh_emih!F22/SER_summary!F$26)</f>
        <v>0</v>
      </c>
      <c r="G22" s="132">
        <f>IF(SER_hh_emih!G22=0,0,SER_hh_emih!G22/SER_summary!G$26)</f>
        <v>0</v>
      </c>
      <c r="H22" s="132">
        <f>IF(SER_hh_emih!H22=0,0,SER_hh_emih!H22/SER_summary!H$26)</f>
        <v>0</v>
      </c>
      <c r="I22" s="132">
        <f>IF(SER_hh_emih!I22=0,0,SER_hh_emih!I22/SER_summary!I$26)</f>
        <v>0</v>
      </c>
      <c r="J22" s="132">
        <f>IF(SER_hh_emih!J22=0,0,SER_hh_emih!J22/SER_summary!J$26)</f>
        <v>0</v>
      </c>
      <c r="K22" s="132">
        <f>IF(SER_hh_emih!K22=0,0,SER_hh_emih!K22/SER_summary!K$26)</f>
        <v>0</v>
      </c>
      <c r="L22" s="132">
        <f>IF(SER_hh_emih!L22=0,0,SER_hh_emih!L22/SER_summary!L$26)</f>
        <v>0</v>
      </c>
      <c r="M22" s="132">
        <f>IF(SER_hh_emih!M22=0,0,SER_hh_emih!M22/SER_summary!M$26)</f>
        <v>0</v>
      </c>
      <c r="N22" s="132">
        <f>IF(SER_hh_emih!N22=0,0,SER_hh_emih!N22/SER_summary!N$26)</f>
        <v>0</v>
      </c>
      <c r="O22" s="132">
        <f>IF(SER_hh_emih!O22=0,0,SER_hh_emih!O22/SER_summary!O$26)</f>
        <v>0</v>
      </c>
      <c r="P22" s="132">
        <f>IF(SER_hh_emih!P22=0,0,SER_hh_emih!P22/SER_summary!P$26)</f>
        <v>0</v>
      </c>
      <c r="Q22" s="132">
        <f>IF(SER_hh_emih!Q22=0,0,SER_hh_emih!Q22/SER_summary!Q$26)</f>
        <v>0</v>
      </c>
      <c r="R22" s="132">
        <f>IF(SER_hh_emih!R22=0,0,SER_hh_emih!R22/SER_summary!R$26)</f>
        <v>0</v>
      </c>
      <c r="S22" s="132">
        <f>IF(SER_hh_emih!S22=0,0,SER_hh_emih!S22/SER_summary!S$26)</f>
        <v>0</v>
      </c>
      <c r="T22" s="132">
        <f>IF(SER_hh_emih!T22=0,0,SER_hh_emih!T22/SER_summary!T$26)</f>
        <v>0</v>
      </c>
      <c r="U22" s="132">
        <f>IF(SER_hh_emih!U22=0,0,SER_hh_emih!U22/SER_summary!U$26)</f>
        <v>0</v>
      </c>
      <c r="V22" s="132">
        <f>IF(SER_hh_emih!V22=0,0,SER_hh_emih!V22/SER_summary!V$26)</f>
        <v>0</v>
      </c>
      <c r="W22" s="132">
        <f>IF(SER_hh_emih!W22=0,0,SER_hh_emih!W22/SER_summary!W$26)</f>
        <v>0</v>
      </c>
      <c r="X22" s="132">
        <f>IF(SER_hh_emih!X22=0,0,SER_hh_emih!X22/SER_summary!X$26)</f>
        <v>0</v>
      </c>
      <c r="Y22" s="132">
        <f>IF(SER_hh_emih!Y22=0,0,SER_hh_emih!Y22/SER_summary!Y$26)</f>
        <v>0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7.0811248440358554</v>
      </c>
      <c r="C23" s="132">
        <f>IF(SER_hh_emih!C23=0,0,SER_hh_emih!C23/SER_summary!C$26)</f>
        <v>7.0340804951158313</v>
      </c>
      <c r="D23" s="132">
        <f>IF(SER_hh_emih!D23=0,0,SER_hh_emih!D23/SER_summary!D$26)</f>
        <v>7.024355182099848</v>
      </c>
      <c r="E23" s="132">
        <f>IF(SER_hh_emih!E23=0,0,SER_hh_emih!E23/SER_summary!E$26)</f>
        <v>6.9821754606701729</v>
      </c>
      <c r="F23" s="132">
        <f>IF(SER_hh_emih!F23=0,0,SER_hh_emih!F23/SER_summary!F$26)</f>
        <v>7.0764991634630974</v>
      </c>
      <c r="G23" s="132">
        <f>IF(SER_hh_emih!G23=0,0,SER_hh_emih!G23/SER_summary!G$26)</f>
        <v>6.7880421371291577</v>
      </c>
      <c r="H23" s="132">
        <f>IF(SER_hh_emih!H23=0,0,SER_hh_emih!H23/SER_summary!H$26)</f>
        <v>6.5761896603276551</v>
      </c>
      <c r="I23" s="132">
        <f>IF(SER_hh_emih!I23=0,0,SER_hh_emih!I23/SER_summary!I$26)</f>
        <v>6.4666561785156524</v>
      </c>
      <c r="J23" s="132">
        <f>IF(SER_hh_emih!J23=0,0,SER_hh_emih!J23/SER_summary!J$26)</f>
        <v>6.5408624828358839</v>
      </c>
      <c r="K23" s="132">
        <f>IF(SER_hh_emih!K23=0,0,SER_hh_emih!K23/SER_summary!K$26)</f>
        <v>6.6735201836425455</v>
      </c>
      <c r="L23" s="132">
        <f>IF(SER_hh_emih!L23=0,0,SER_hh_emih!L23/SER_summary!L$26)</f>
        <v>6.573435818150835</v>
      </c>
      <c r="M23" s="132">
        <f>IF(SER_hh_emih!M23=0,0,SER_hh_emih!M23/SER_summary!M$26)</f>
        <v>6.3310828474789238</v>
      </c>
      <c r="N23" s="132">
        <f>IF(SER_hh_emih!N23=0,0,SER_hh_emih!N23/SER_summary!N$26)</f>
        <v>6.1206216351871703</v>
      </c>
      <c r="O23" s="132">
        <f>IF(SER_hh_emih!O23=0,0,SER_hh_emih!O23/SER_summary!O$26)</f>
        <v>6.3101360249305554</v>
      </c>
      <c r="P23" s="132">
        <f>IF(SER_hh_emih!P23=0,0,SER_hh_emih!P23/SER_summary!P$26)</f>
        <v>5.994120854154156</v>
      </c>
      <c r="Q23" s="132">
        <f>IF(SER_hh_emih!Q23=0,0,SER_hh_emih!Q23/SER_summary!Q$26)</f>
        <v>5.9171716659163263</v>
      </c>
      <c r="R23" s="132">
        <f>IF(SER_hh_emih!R23=0,0,SER_hh_emih!R23/SER_summary!R$26)</f>
        <v>5.8456867161151411</v>
      </c>
      <c r="S23" s="132">
        <f>IF(SER_hh_emih!S23=0,0,SER_hh_emih!S23/SER_summary!S$26)</f>
        <v>5.706338358417673</v>
      </c>
      <c r="T23" s="132">
        <f>IF(SER_hh_emih!T23=0,0,SER_hh_emih!T23/SER_summary!T$26)</f>
        <v>5.6758084110852121</v>
      </c>
      <c r="U23" s="132">
        <f>IF(SER_hh_emih!U23=0,0,SER_hh_emih!U23/SER_summary!U$26)</f>
        <v>5.4126734791433826</v>
      </c>
      <c r="V23" s="132">
        <f>IF(SER_hh_emih!V23=0,0,SER_hh_emih!V23/SER_summary!V$26)</f>
        <v>4.9335029106940578</v>
      </c>
      <c r="W23" s="132">
        <f>IF(SER_hh_emih!W23=0,0,SER_hh_emih!W23/SER_summary!W$26)</f>
        <v>4.9572449929754185</v>
      </c>
      <c r="X23" s="132">
        <f>IF(SER_hh_emih!X23=0,0,SER_hh_emih!X23/SER_summary!X$26)</f>
        <v>4.8000746303156934</v>
      </c>
      <c r="Y23" s="132">
        <f>IF(SER_hh_emih!Y23=0,0,SER_hh_emih!Y23/SER_summary!Y$26)</f>
        <v>4.6507253047408392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1.8541024881198918</v>
      </c>
      <c r="O24" s="132">
        <f>IF(SER_hh_emih!O24=0,0,SER_hh_emih!O24/SER_summary!O$26)</f>
        <v>1.3741981883556402</v>
      </c>
      <c r="P24" s="132">
        <f>IF(SER_hh_emih!P24=0,0,SER_hh_emih!P24/SER_summary!P$26)</f>
        <v>1.0357500115601583</v>
      </c>
      <c r="Q24" s="132">
        <f>IF(SER_hh_emih!Q24=0,0,SER_hh_emih!Q24/SER_summary!Q$26)</f>
        <v>1.6691861893067119</v>
      </c>
      <c r="R24" s="132">
        <f>IF(SER_hh_emih!R24=0,0,SER_hh_emih!R24/SER_summary!R$26)</f>
        <v>1.147715235941533</v>
      </c>
      <c r="S24" s="132">
        <f>IF(SER_hh_emih!S24=0,0,SER_hh_emih!S24/SER_summary!S$26)</f>
        <v>1.412332254504957</v>
      </c>
      <c r="T24" s="132">
        <f>IF(SER_hh_emih!T24=0,0,SER_hh_emih!T24/SER_summary!T$26)</f>
        <v>1.9457174834558808</v>
      </c>
      <c r="U24" s="132">
        <f>IF(SER_hh_emih!U24=0,0,SER_hh_emih!U24/SER_summary!U$26)</f>
        <v>2.0412908795595519</v>
      </c>
      <c r="V24" s="132">
        <f>IF(SER_hh_emih!V24=0,0,SER_hh_emih!V24/SER_summary!V$26)</f>
        <v>2.1751936116737922</v>
      </c>
      <c r="W24" s="132">
        <f>IF(SER_hh_emih!W24=0,0,SER_hh_emih!W24/SER_summary!W$26)</f>
        <v>1.9120994173229571</v>
      </c>
      <c r="X24" s="132">
        <f>IF(SER_hh_emih!X24=0,0,SER_hh_emih!X24/SER_summary!X$26)</f>
        <v>1.9474093382722357</v>
      </c>
      <c r="Y24" s="132">
        <f>IF(SER_hh_emih!Y24=0,0,SER_hh_emih!Y24/SER_summary!Y$26)</f>
        <v>1.5429115889651861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2.1784634952019402</v>
      </c>
      <c r="C29" s="130">
        <f>IF(SER_hh_emih!C29=0,0,SER_hh_emih!C29/SER_summary!C$26)</f>
        <v>2.22577608186874</v>
      </c>
      <c r="D29" s="130">
        <f>IF(SER_hh_emih!D29=0,0,SER_hh_emih!D29/SER_summary!D$26)</f>
        <v>2.5235966585617846</v>
      </c>
      <c r="E29" s="130">
        <f>IF(SER_hh_emih!E29=0,0,SER_hh_emih!E29/SER_summary!E$26)</f>
        <v>2.7511491724578367</v>
      </c>
      <c r="F29" s="130">
        <f>IF(SER_hh_emih!F29=0,0,SER_hh_emih!F29/SER_summary!F$26)</f>
        <v>2.7334252983172145</v>
      </c>
      <c r="G29" s="130">
        <f>IF(SER_hh_emih!G29=0,0,SER_hh_emih!G29/SER_summary!G$26)</f>
        <v>3.0719984960415632</v>
      </c>
      <c r="H29" s="130">
        <f>IF(SER_hh_emih!H29=0,0,SER_hh_emih!H29/SER_summary!H$26)</f>
        <v>3.3524022110074121</v>
      </c>
      <c r="I29" s="130">
        <f>IF(SER_hh_emih!I29=0,0,SER_hh_emih!I29/SER_summary!I$26)</f>
        <v>3.5168213814440761</v>
      </c>
      <c r="J29" s="130">
        <f>IF(SER_hh_emih!J29=0,0,SER_hh_emih!J29/SER_summary!J$26)</f>
        <v>3.6268614358892384</v>
      </c>
      <c r="K29" s="130">
        <f>IF(SER_hh_emih!K29=0,0,SER_hh_emih!K29/SER_summary!K$26)</f>
        <v>3.7677902687123033</v>
      </c>
      <c r="L29" s="130">
        <f>IF(SER_hh_emih!L29=0,0,SER_hh_emih!L29/SER_summary!L$26)</f>
        <v>3.997877673375875</v>
      </c>
      <c r="M29" s="130">
        <f>IF(SER_hh_emih!M29=0,0,SER_hh_emih!M29/SER_summary!M$26)</f>
        <v>4.1377857539779876</v>
      </c>
      <c r="N29" s="130">
        <f>IF(SER_hh_emih!N29=0,0,SER_hh_emih!N29/SER_summary!N$26)</f>
        <v>4.2968129786565292</v>
      </c>
      <c r="O29" s="130">
        <f>IF(SER_hh_emih!O29=0,0,SER_hh_emih!O29/SER_summary!O$26)</f>
        <v>4.3228691034627502</v>
      </c>
      <c r="P29" s="130">
        <f>IF(SER_hh_emih!P29=0,0,SER_hh_emih!P29/SER_summary!P$26)</f>
        <v>4.249190539334621</v>
      </c>
      <c r="Q29" s="130">
        <f>IF(SER_hh_emih!Q29=0,0,SER_hh_emih!Q29/SER_summary!Q$26)</f>
        <v>4.1871311389093844</v>
      </c>
      <c r="R29" s="130">
        <f>IF(SER_hh_emih!R29=0,0,SER_hh_emih!R29/SER_summary!R$26)</f>
        <v>3.9692002350100637</v>
      </c>
      <c r="S29" s="130">
        <f>IF(SER_hh_emih!S29=0,0,SER_hh_emih!S29/SER_summary!S$26)</f>
        <v>3.8218709714143118</v>
      </c>
      <c r="T29" s="130">
        <f>IF(SER_hh_emih!T29=0,0,SER_hh_emih!T29/SER_summary!T$26)</f>
        <v>3.8475012784078908</v>
      </c>
      <c r="U29" s="130">
        <f>IF(SER_hh_emih!U29=0,0,SER_hh_emih!U29/SER_summary!U$26)</f>
        <v>3.7736567311255316</v>
      </c>
      <c r="V29" s="130">
        <f>IF(SER_hh_emih!V29=0,0,SER_hh_emih!V29/SER_summary!V$26)</f>
        <v>3.7175912250103593</v>
      </c>
      <c r="W29" s="130">
        <f>IF(SER_hh_emih!W29=0,0,SER_hh_emih!W29/SER_summary!W$26)</f>
        <v>3.7916972367437798</v>
      </c>
      <c r="X29" s="130">
        <f>IF(SER_hh_emih!X29=0,0,SER_hh_emih!X29/SER_summary!X$26)</f>
        <v>3.6852712358539748</v>
      </c>
      <c r="Y29" s="130">
        <f>IF(SER_hh_emih!Y29=0,0,SER_hh_emih!Y29/SER_summary!Y$26)</f>
        <v>3.5186975479424669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8.9734357178571713</v>
      </c>
      <c r="C30" s="132">
        <f>IF(SER_hh_emih!C30=0,0,SER_hh_emih!C30/SER_summary!C$26)</f>
        <v>7.6766950278845334</v>
      </c>
      <c r="D30" s="132">
        <f>IF(SER_hh_emih!D30=0,0,SER_hh_emih!D30/SER_summary!D$26)</f>
        <v>8.9740251488092575</v>
      </c>
      <c r="E30" s="132">
        <f>IF(SER_hh_emih!E30=0,0,SER_hh_emih!E30/SER_summary!E$26)</f>
        <v>9.1798462295272234</v>
      </c>
      <c r="F30" s="132">
        <f>IF(SER_hh_emih!F30=0,0,SER_hh_emih!F30/SER_summary!F$26)</f>
        <v>6.411072818669358</v>
      </c>
      <c r="G30" s="132">
        <f>IF(SER_hh_emih!G30=0,0,SER_hh_emih!G30/SER_summary!G$26)</f>
        <v>7.8960208472496207</v>
      </c>
      <c r="H30" s="132">
        <f>IF(SER_hh_emih!H30=0,0,SER_hh_emih!H30/SER_summary!H$26)</f>
        <v>7.9567296758920518</v>
      </c>
      <c r="I30" s="132">
        <f>IF(SER_hh_emih!I30=0,0,SER_hh_emih!I30/SER_summary!I$26)</f>
        <v>8.2556369084647283</v>
      </c>
      <c r="J30" s="132">
        <f>IF(SER_hh_emih!J30=0,0,SER_hh_emih!J30/SER_summary!J$26)</f>
        <v>7.2404276000251233</v>
      </c>
      <c r="K30" s="132">
        <f>IF(SER_hh_emih!K30=0,0,SER_hh_emih!K30/SER_summary!K$26)</f>
        <v>7.5394100133698361</v>
      </c>
      <c r="L30" s="132">
        <f>IF(SER_hh_emih!L30=0,0,SER_hh_emih!L30/SER_summary!L$26)</f>
        <v>8.6193530284273852</v>
      </c>
      <c r="M30" s="132">
        <f>IF(SER_hh_emih!M30=0,0,SER_hh_emih!M30/SER_summary!M$26)</f>
        <v>7.873654627336621</v>
      </c>
      <c r="N30" s="132">
        <f>IF(SER_hh_emih!N30=0,0,SER_hh_emih!N30/SER_summary!N$26)</f>
        <v>8.0522177101960537</v>
      </c>
      <c r="O30" s="132">
        <f>IF(SER_hh_emih!O30=0,0,SER_hh_emih!O30/SER_summary!O$26)</f>
        <v>6.5829470861470121</v>
      </c>
      <c r="P30" s="132">
        <f>IF(SER_hh_emih!P30=0,0,SER_hh_emih!P30/SER_summary!P$26)</f>
        <v>7.287753696039676</v>
      </c>
      <c r="Q30" s="132">
        <f>IF(SER_hh_emih!Q30=0,0,SER_hh_emih!Q30/SER_summary!Q$26)</f>
        <v>8.5954690842118495</v>
      </c>
      <c r="R30" s="132">
        <f>IF(SER_hh_emih!R30=0,0,SER_hh_emih!R30/SER_summary!R$26)</f>
        <v>7.0845609116204704</v>
      </c>
      <c r="S30" s="132">
        <f>IF(SER_hh_emih!S30=0,0,SER_hh_emih!S30/SER_summary!S$26)</f>
        <v>6.1527358264359355</v>
      </c>
      <c r="T30" s="132">
        <f>IF(SER_hh_emih!T30=0,0,SER_hh_emih!T30/SER_summary!T$26)</f>
        <v>7.5493647545742384</v>
      </c>
      <c r="U30" s="132">
        <f>IF(SER_hh_emih!U30=0,0,SER_hh_emih!U30/SER_summary!U$26)</f>
        <v>6.5380610218995825</v>
      </c>
      <c r="V30" s="132">
        <f>IF(SER_hh_emih!V30=0,0,SER_hh_emih!V30/SER_summary!V$26)</f>
        <v>9.3331596896120832</v>
      </c>
      <c r="W30" s="132">
        <f>IF(SER_hh_emih!W30=0,0,SER_hh_emih!W30/SER_summary!W$26)</f>
        <v>6.4752650364711482</v>
      </c>
      <c r="X30" s="132">
        <f>IF(SER_hh_emih!X30=0,0,SER_hh_emih!X30/SER_summary!X$26)</f>
        <v>6.7351537088884772</v>
      </c>
      <c r="Y30" s="132">
        <f>IF(SER_hh_emih!Y30=0,0,SER_hh_emih!Y30/SER_summary!Y$26)</f>
        <v>7.0907950137507907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5.2822823839159723</v>
      </c>
      <c r="C31" s="132">
        <f>IF(SER_hh_emih!C31=0,0,SER_hh_emih!C31/SER_summary!C$26)</f>
        <v>7.7818567366202105</v>
      </c>
      <c r="D31" s="132">
        <f>IF(SER_hh_emih!D31=0,0,SER_hh_emih!D31/SER_summary!D$26)</f>
        <v>6.4551214150931928</v>
      </c>
      <c r="E31" s="132">
        <f>IF(SER_hh_emih!E31=0,0,SER_hh_emih!E31/SER_summary!E$26)</f>
        <v>6.7824584480492511</v>
      </c>
      <c r="F31" s="132">
        <f>IF(SER_hh_emih!F31=0,0,SER_hh_emih!F31/SER_summary!F$26)</f>
        <v>7.2890752081222399</v>
      </c>
      <c r="G31" s="132">
        <f>IF(SER_hh_emih!G31=0,0,SER_hh_emih!G31/SER_summary!G$26)</f>
        <v>6.9646043470223464</v>
      </c>
      <c r="H31" s="132">
        <f>IF(SER_hh_emih!H31=0,0,SER_hh_emih!H31/SER_summary!H$26)</f>
        <v>7.0099957742702568</v>
      </c>
      <c r="I31" s="132">
        <f>IF(SER_hh_emih!I31=0,0,SER_hh_emih!I31/SER_summary!I$26)</f>
        <v>6.8539125131444125</v>
      </c>
      <c r="J31" s="132">
        <f>IF(SER_hh_emih!J31=0,0,SER_hh_emih!J31/SER_summary!J$26)</f>
        <v>6.8641635053379018</v>
      </c>
      <c r="K31" s="132">
        <f>IF(SER_hh_emih!K31=0,0,SER_hh_emih!K31/SER_summary!K$26)</f>
        <v>6.8134529318643899</v>
      </c>
      <c r="L31" s="132">
        <f>IF(SER_hh_emih!L31=0,0,SER_hh_emih!L31/SER_summary!L$26)</f>
        <v>6.8073605004068112</v>
      </c>
      <c r="M31" s="132">
        <f>IF(SER_hh_emih!M31=0,0,SER_hh_emih!M31/SER_summary!M$26)</f>
        <v>6.863806956172434</v>
      </c>
      <c r="N31" s="132">
        <f>IF(SER_hh_emih!N31=0,0,SER_hh_emih!N31/SER_summary!N$26)</f>
        <v>6.8347917440537795</v>
      </c>
      <c r="O31" s="132">
        <f>IF(SER_hh_emih!O31=0,0,SER_hh_emih!O31/SER_summary!O$26)</f>
        <v>6.8556282147427057</v>
      </c>
      <c r="P31" s="132">
        <f>IF(SER_hh_emih!P31=0,0,SER_hh_emih!P31/SER_summary!P$26)</f>
        <v>6.6584543470767841</v>
      </c>
      <c r="Q31" s="132">
        <f>IF(SER_hh_emih!Q31=0,0,SER_hh_emih!Q31/SER_summary!Q$26)</f>
        <v>6.4670985815431807</v>
      </c>
      <c r="R31" s="132">
        <f>IF(SER_hh_emih!R31=0,0,SER_hh_emih!R31/SER_summary!R$26)</f>
        <v>6.3915139926245956</v>
      </c>
      <c r="S31" s="132">
        <f>IF(SER_hh_emih!S31=0,0,SER_hh_emih!S31/SER_summary!S$26)</f>
        <v>6.3345374480396179</v>
      </c>
      <c r="T31" s="132">
        <f>IF(SER_hh_emih!T31=0,0,SER_hh_emih!T31/SER_summary!T$26)</f>
        <v>6.3053265101952203</v>
      </c>
      <c r="U31" s="132">
        <f>IF(SER_hh_emih!U31=0,0,SER_hh_emih!U31/SER_summary!U$26)</f>
        <v>6.2563921683478831</v>
      </c>
      <c r="V31" s="132">
        <f>IF(SER_hh_emih!V31=0,0,SER_hh_emih!V31/SER_summary!V$26)</f>
        <v>5.9034391054944564</v>
      </c>
      <c r="W31" s="132">
        <f>IF(SER_hh_emih!W31=0,0,SER_hh_emih!W31/SER_summary!W$26)</f>
        <v>6.3299290577761687</v>
      </c>
      <c r="X31" s="132">
        <f>IF(SER_hh_emih!X31=0,0,SER_hh_emih!X31/SER_summary!X$26)</f>
        <v>6.2227265905031519</v>
      </c>
      <c r="Y31" s="132">
        <f>IF(SER_hh_emih!Y31=0,0,SER_hh_emih!Y31/SER_summary!Y$26)</f>
        <v>6.0287947387760106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1999.3299083498996</v>
      </c>
      <c r="D3" s="124">
        <f t="shared" si="0"/>
        <v>2291.238368957117</v>
      </c>
      <c r="E3" s="124">
        <f t="shared" si="0"/>
        <v>3644.1263639952795</v>
      </c>
      <c r="F3" s="124">
        <f t="shared" si="0"/>
        <v>1806.6436877149649</v>
      </c>
      <c r="G3" s="124">
        <f t="shared" si="0"/>
        <v>2579.2024487312115</v>
      </c>
      <c r="H3" s="124">
        <f t="shared" si="0"/>
        <v>1701.907528137599</v>
      </c>
      <c r="I3" s="124">
        <f t="shared" si="0"/>
        <v>2283.4410056151046</v>
      </c>
      <c r="J3" s="124">
        <f t="shared" si="0"/>
        <v>396.02793783558559</v>
      </c>
      <c r="K3" s="124">
        <f t="shared" si="0"/>
        <v>393.46820047192068</v>
      </c>
      <c r="L3" s="124">
        <f t="shared" si="0"/>
        <v>415.35848501111218</v>
      </c>
      <c r="M3" s="124">
        <f t="shared" si="0"/>
        <v>825.39045585135943</v>
      </c>
      <c r="N3" s="124">
        <f t="shared" si="0"/>
        <v>1107.9240056884578</v>
      </c>
      <c r="O3" s="124">
        <f t="shared" si="0"/>
        <v>1440.395455149664</v>
      </c>
      <c r="P3" s="124">
        <f t="shared" si="0"/>
        <v>3547.6736012260235</v>
      </c>
      <c r="Q3" s="124">
        <f t="shared" si="0"/>
        <v>486.5486823326313</v>
      </c>
      <c r="R3" s="124">
        <f t="shared" si="0"/>
        <v>1523.063312077504</v>
      </c>
      <c r="S3" s="124">
        <f t="shared" si="0"/>
        <v>1993.4116547492713</v>
      </c>
      <c r="T3" s="124">
        <f t="shared" si="0"/>
        <v>1996.5931737116362</v>
      </c>
      <c r="U3" s="124">
        <f t="shared" si="0"/>
        <v>1794.6469335257723</v>
      </c>
      <c r="V3" s="124">
        <f t="shared" si="0"/>
        <v>1711.2922855012705</v>
      </c>
      <c r="W3" s="124">
        <f t="shared" si="0"/>
        <v>1664.2260782986955</v>
      </c>
      <c r="X3" s="124">
        <f t="shared" si="0"/>
        <v>1616.239836682345</v>
      </c>
      <c r="Y3" s="124">
        <f t="shared" si="0"/>
        <v>1582.8539988817415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1999.3299083498996</v>
      </c>
      <c r="D4" s="139">
        <f t="shared" si="1"/>
        <v>2291.238368957117</v>
      </c>
      <c r="E4" s="139">
        <f t="shared" si="1"/>
        <v>3644.1263639952795</v>
      </c>
      <c r="F4" s="139">
        <f t="shared" si="1"/>
        <v>1806.6436877149649</v>
      </c>
      <c r="G4" s="139">
        <f t="shared" si="1"/>
        <v>2579.2024487312115</v>
      </c>
      <c r="H4" s="139">
        <f t="shared" si="1"/>
        <v>1701.907528137599</v>
      </c>
      <c r="I4" s="139">
        <f t="shared" si="1"/>
        <v>2283.4410056151046</v>
      </c>
      <c r="J4" s="139">
        <f t="shared" si="1"/>
        <v>396.02793783558559</v>
      </c>
      <c r="K4" s="139">
        <f t="shared" si="1"/>
        <v>393.46820047192068</v>
      </c>
      <c r="L4" s="139">
        <f t="shared" si="1"/>
        <v>415.35848501111218</v>
      </c>
      <c r="M4" s="139">
        <f t="shared" si="1"/>
        <v>825.39045585135943</v>
      </c>
      <c r="N4" s="139">
        <f t="shared" si="1"/>
        <v>1107.9240056884578</v>
      </c>
      <c r="O4" s="139">
        <f t="shared" si="1"/>
        <v>1440.395455149664</v>
      </c>
      <c r="P4" s="139">
        <f t="shared" si="1"/>
        <v>3547.6736012260235</v>
      </c>
      <c r="Q4" s="139">
        <f t="shared" si="1"/>
        <v>486.5486823326313</v>
      </c>
      <c r="R4" s="139">
        <f t="shared" ref="R4:W4" si="2">SUM(R5:R14)</f>
        <v>1523.063312077504</v>
      </c>
      <c r="S4" s="139">
        <f t="shared" si="2"/>
        <v>1993.4116547492713</v>
      </c>
      <c r="T4" s="139">
        <f t="shared" si="2"/>
        <v>1996.5931737116362</v>
      </c>
      <c r="U4" s="139">
        <f t="shared" si="2"/>
        <v>1794.6469335257723</v>
      </c>
      <c r="V4" s="139">
        <f t="shared" si="2"/>
        <v>1711.2922855012705</v>
      </c>
      <c r="W4" s="139">
        <f t="shared" si="2"/>
        <v>1664.2260782986955</v>
      </c>
      <c r="X4" s="139">
        <f t="shared" ref="X4:Y4" si="3">SUM(X5:X14)</f>
        <v>1616.239836682345</v>
      </c>
      <c r="Y4" s="139">
        <f t="shared" si="3"/>
        <v>1582.8539988817415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1.0602614282895031</v>
      </c>
      <c r="N5" s="140">
        <v>4.3593891394826532</v>
      </c>
      <c r="O5" s="140">
        <v>11.752980616149507</v>
      </c>
      <c r="P5" s="140">
        <v>14.29860866832836</v>
      </c>
      <c r="Q5" s="140">
        <v>1.5504721668859949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0</v>
      </c>
      <c r="D7" s="140">
        <v>0</v>
      </c>
      <c r="E7" s="140">
        <v>0</v>
      </c>
      <c r="F7" s="140">
        <v>0</v>
      </c>
      <c r="G7" s="140">
        <v>0</v>
      </c>
      <c r="H7" s="140">
        <v>0</v>
      </c>
      <c r="I7" s="140">
        <v>0</v>
      </c>
      <c r="J7" s="140">
        <v>0</v>
      </c>
      <c r="K7" s="140">
        <v>0</v>
      </c>
      <c r="L7" s="140">
        <v>0</v>
      </c>
      <c r="M7" s="140">
        <v>0</v>
      </c>
      <c r="N7" s="140">
        <v>39.570472324940077</v>
      </c>
      <c r="O7" s="140">
        <v>33.702534804933791</v>
      </c>
      <c r="P7" s="140">
        <v>219.68279357472207</v>
      </c>
      <c r="Q7" s="140">
        <v>42.237564223367833</v>
      </c>
      <c r="R7" s="140">
        <v>92.910977558531926</v>
      </c>
      <c r="S7" s="140">
        <v>41.256954532916687</v>
      </c>
      <c r="T7" s="140">
        <v>38.23610988973072</v>
      </c>
      <c r="U7" s="140">
        <v>14.140953328304047</v>
      </c>
      <c r="V7" s="140">
        <v>25.212226610392111</v>
      </c>
      <c r="W7" s="140">
        <v>39.055328146754441</v>
      </c>
      <c r="X7" s="140">
        <v>20.973969460782037</v>
      </c>
      <c r="Y7" s="140">
        <v>17.484972790914465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0.28469217481395226</v>
      </c>
      <c r="S8" s="140">
        <v>0.47187730014219875</v>
      </c>
      <c r="T8" s="140">
        <v>0.80275530040719967</v>
      </c>
      <c r="U8" s="140">
        <v>0.66810286875173053</v>
      </c>
      <c r="V8" s="140">
        <v>0.77928883072020905</v>
      </c>
      <c r="W8" s="140">
        <v>0.44668568777531403</v>
      </c>
      <c r="X8" s="140">
        <v>0.60091490731142683</v>
      </c>
      <c r="Y8" s="140">
        <v>0.82954868359984979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1560.8703803103529</v>
      </c>
      <c r="D9" s="140">
        <v>2048.0925333904852</v>
      </c>
      <c r="E9" s="140">
        <v>3273.9568551810949</v>
      </c>
      <c r="F9" s="140">
        <v>1505.3592919819534</v>
      </c>
      <c r="G9" s="140">
        <v>1388.0061486509796</v>
      </c>
      <c r="H9" s="140">
        <v>465.58239871457801</v>
      </c>
      <c r="I9" s="140">
        <v>376.31499049983603</v>
      </c>
      <c r="J9" s="140">
        <v>80.184627567972953</v>
      </c>
      <c r="K9" s="140">
        <v>232.44174265771034</v>
      </c>
      <c r="L9" s="140">
        <v>364.68947748165726</v>
      </c>
      <c r="M9" s="140">
        <v>722.17427232113675</v>
      </c>
      <c r="N9" s="140">
        <v>894.24726300083773</v>
      </c>
      <c r="O9" s="140">
        <v>1141.1719483075233</v>
      </c>
      <c r="P9" s="140">
        <v>2534.4225687695975</v>
      </c>
      <c r="Q9" s="140">
        <v>119.18132047368456</v>
      </c>
      <c r="R9" s="140">
        <v>578.51982194139168</v>
      </c>
      <c r="S9" s="140">
        <v>991.53511219735594</v>
      </c>
      <c r="T9" s="140">
        <v>1155.6291891467965</v>
      </c>
      <c r="U9" s="140">
        <v>1177.3021731049232</v>
      </c>
      <c r="V9" s="140">
        <v>1079.2146266908114</v>
      </c>
      <c r="W9" s="140">
        <v>710.45375579110964</v>
      </c>
      <c r="X9" s="140">
        <v>420.70899737153951</v>
      </c>
      <c r="Y9" s="140">
        <v>387.02355721741145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34.441087476606882</v>
      </c>
      <c r="D10" s="140">
        <v>37.056768921198596</v>
      </c>
      <c r="E10" s="140">
        <v>37.852296424730852</v>
      </c>
      <c r="F10" s="140">
        <v>10.108771574750627</v>
      </c>
      <c r="G10" s="140">
        <v>0</v>
      </c>
      <c r="H10" s="140">
        <v>0</v>
      </c>
      <c r="I10" s="140">
        <v>26.35577009531098</v>
      </c>
      <c r="J10" s="140">
        <v>10.054132073377339</v>
      </c>
      <c r="K10" s="140">
        <v>7.7704600807662816</v>
      </c>
      <c r="L10" s="140">
        <v>9.1556894921127991</v>
      </c>
      <c r="M10" s="140">
        <v>19.02612723228048</v>
      </c>
      <c r="N10" s="140">
        <v>27.929489207402494</v>
      </c>
      <c r="O10" s="140">
        <v>33.593608122359321</v>
      </c>
      <c r="P10" s="140">
        <v>52.37984950843979</v>
      </c>
      <c r="Q10" s="140">
        <v>8.7569400191055564</v>
      </c>
      <c r="R10" s="140">
        <v>3.9728584107070866</v>
      </c>
      <c r="S10" s="140">
        <v>21.784728519879486</v>
      </c>
      <c r="T10" s="140">
        <v>14.961670568540134</v>
      </c>
      <c r="U10" s="140">
        <v>18.252017007816448</v>
      </c>
      <c r="V10" s="140">
        <v>0</v>
      </c>
      <c r="W10" s="140">
        <v>14.351924679849054</v>
      </c>
      <c r="X10" s="140">
        <v>45.661350408468465</v>
      </c>
      <c r="Y10" s="140">
        <v>88.986691365794272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81.823875713873903</v>
      </c>
      <c r="D11" s="140">
        <v>100.7475104564093</v>
      </c>
      <c r="E11" s="140">
        <v>55.442578068532946</v>
      </c>
      <c r="F11" s="140">
        <v>0</v>
      </c>
      <c r="G11" s="140">
        <v>82.593858278687961</v>
      </c>
      <c r="H11" s="140">
        <v>141.02145131268279</v>
      </c>
      <c r="I11" s="140">
        <v>222.63665886558167</v>
      </c>
      <c r="J11" s="140">
        <v>44.718494106943965</v>
      </c>
      <c r="K11" s="140">
        <v>22.634293668115848</v>
      </c>
      <c r="L11" s="140">
        <v>26.250114206814278</v>
      </c>
      <c r="M11" s="140">
        <v>53.459263768943607</v>
      </c>
      <c r="N11" s="140">
        <v>50.440528722239669</v>
      </c>
      <c r="O11" s="140">
        <v>28.023781814457461</v>
      </c>
      <c r="P11" s="140">
        <v>0</v>
      </c>
      <c r="Q11" s="140">
        <v>0</v>
      </c>
      <c r="R11" s="140">
        <v>0</v>
      </c>
      <c r="S11" s="140">
        <v>53.338275926212958</v>
      </c>
      <c r="T11" s="140">
        <v>47.055808654292107</v>
      </c>
      <c r="U11" s="140">
        <v>46.850739957919458</v>
      </c>
      <c r="V11" s="140">
        <v>43.78616482267806</v>
      </c>
      <c r="W11" s="140">
        <v>144.1074478877407</v>
      </c>
      <c r="X11" s="140">
        <v>195.69351621725448</v>
      </c>
      <c r="Y11" s="140">
        <v>208.42401625519688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273.60032851432703</v>
      </c>
      <c r="D12" s="140">
        <v>105.27050447262224</v>
      </c>
      <c r="E12" s="140">
        <v>156.79114404818151</v>
      </c>
      <c r="F12" s="140">
        <v>0</v>
      </c>
      <c r="G12" s="140">
        <v>243.19730017199453</v>
      </c>
      <c r="H12" s="140">
        <v>352.35535378697904</v>
      </c>
      <c r="I12" s="140">
        <v>651.51488852091518</v>
      </c>
      <c r="J12" s="140">
        <v>114.74224006383405</v>
      </c>
      <c r="K12" s="140">
        <v>30.059638054105598</v>
      </c>
      <c r="L12" s="140">
        <v>14.928249689070464</v>
      </c>
      <c r="M12" s="140">
        <v>28.478607187026924</v>
      </c>
      <c r="N12" s="140">
        <v>88.585685820710808</v>
      </c>
      <c r="O12" s="140">
        <v>187.11328808051707</v>
      </c>
      <c r="P12" s="140">
        <v>637.73940470036041</v>
      </c>
      <c r="Q12" s="140">
        <v>164.39547875316731</v>
      </c>
      <c r="R12" s="140">
        <v>402.35197111743827</v>
      </c>
      <c r="S12" s="140">
        <v>338.80917566746723</v>
      </c>
      <c r="T12" s="140">
        <v>195.08678483216505</v>
      </c>
      <c r="U12" s="140">
        <v>165.26578121412163</v>
      </c>
      <c r="V12" s="140">
        <v>203.00469534036588</v>
      </c>
      <c r="W12" s="140">
        <v>255.21601127809035</v>
      </c>
      <c r="X12" s="140">
        <v>251.80964683778174</v>
      </c>
      <c r="Y12" s="140">
        <v>200.04637836401935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3.7664182686523939E-2</v>
      </c>
      <c r="D13" s="140">
        <v>7.1051716401883208E-2</v>
      </c>
      <c r="E13" s="140">
        <v>0.17924502932266495</v>
      </c>
      <c r="F13" s="140">
        <v>0.22606795593400444</v>
      </c>
      <c r="G13" s="140">
        <v>0.69332964935909225</v>
      </c>
      <c r="H13" s="140">
        <v>0.72006844188604779</v>
      </c>
      <c r="I13" s="140">
        <v>1.169898987525581</v>
      </c>
      <c r="J13" s="140">
        <v>0.20475796750051903</v>
      </c>
      <c r="K13" s="140">
        <v>0.17234053225979071</v>
      </c>
      <c r="L13" s="140">
        <v>0.33495414145739782</v>
      </c>
      <c r="M13" s="140">
        <v>1.1919239136820792</v>
      </c>
      <c r="N13" s="140">
        <v>2.7911774728444185</v>
      </c>
      <c r="O13" s="140">
        <v>5.0373134037238882</v>
      </c>
      <c r="P13" s="140">
        <v>16.606007851092425</v>
      </c>
      <c r="Q13" s="140">
        <v>0.76944290043084218</v>
      </c>
      <c r="R13" s="140">
        <v>5.3058069192132491</v>
      </c>
      <c r="S13" s="140">
        <v>11.452736860967466</v>
      </c>
      <c r="T13" s="140">
        <v>26.554069670625601</v>
      </c>
      <c r="U13" s="140">
        <v>24.586020439296057</v>
      </c>
      <c r="V13" s="140">
        <v>94.843156376591921</v>
      </c>
      <c r="W13" s="140">
        <v>183.95082435379766</v>
      </c>
      <c r="X13" s="140">
        <v>295.28893875451325</v>
      </c>
      <c r="Y13" s="140">
        <v>270.51688878337927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48.556572152052432</v>
      </c>
      <c r="D14" s="141">
        <v>0</v>
      </c>
      <c r="E14" s="141">
        <v>119.90424524341661</v>
      </c>
      <c r="F14" s="141">
        <v>290.94955620232679</v>
      </c>
      <c r="G14" s="141">
        <v>864.71181198018996</v>
      </c>
      <c r="H14" s="141">
        <v>742.22825588147327</v>
      </c>
      <c r="I14" s="141">
        <v>1005.4487986459351</v>
      </c>
      <c r="J14" s="141">
        <v>146.12368605595674</v>
      </c>
      <c r="K14" s="141">
        <v>100.38972547896283</v>
      </c>
      <c r="L14" s="141">
        <v>0</v>
      </c>
      <c r="M14" s="141">
        <v>0</v>
      </c>
      <c r="N14" s="141">
        <v>0</v>
      </c>
      <c r="O14" s="141">
        <v>0</v>
      </c>
      <c r="P14" s="141">
        <v>72.544368153483134</v>
      </c>
      <c r="Q14" s="141">
        <v>149.6574637959892</v>
      </c>
      <c r="R14" s="141">
        <v>439.71718395540773</v>
      </c>
      <c r="S14" s="141">
        <v>534.76279374432954</v>
      </c>
      <c r="T14" s="141">
        <v>518.26678564907911</v>
      </c>
      <c r="U14" s="141">
        <v>347.58114560463963</v>
      </c>
      <c r="V14" s="141">
        <v>264.45212682971083</v>
      </c>
      <c r="W14" s="141">
        <v>316.64410047357831</v>
      </c>
      <c r="X14" s="141">
        <v>385.50250272469401</v>
      </c>
      <c r="Y14" s="141">
        <v>409.54194542142579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1950.7356720151606</v>
      </c>
      <c r="D15" s="143">
        <f t="shared" si="4"/>
        <v>2291.167317240715</v>
      </c>
      <c r="E15" s="143">
        <f t="shared" si="4"/>
        <v>3524.0428737225402</v>
      </c>
      <c r="F15" s="143">
        <f t="shared" si="4"/>
        <v>1515.468063556704</v>
      </c>
      <c r="G15" s="143">
        <f t="shared" si="4"/>
        <v>1713.7973071016622</v>
      </c>
      <c r="H15" s="143">
        <f t="shared" si="4"/>
        <v>958.9592038142398</v>
      </c>
      <c r="I15" s="143">
        <f t="shared" si="4"/>
        <v>1276.8223079816439</v>
      </c>
      <c r="J15" s="143">
        <f t="shared" si="4"/>
        <v>249.69949381212831</v>
      </c>
      <c r="K15" s="143">
        <f t="shared" si="4"/>
        <v>292.90613446069807</v>
      </c>
      <c r="L15" s="143">
        <f t="shared" si="4"/>
        <v>415.02353086965479</v>
      </c>
      <c r="M15" s="143">
        <f t="shared" si="4"/>
        <v>824.19853193767733</v>
      </c>
      <c r="N15" s="143">
        <f t="shared" si="4"/>
        <v>1105.1328282156135</v>
      </c>
      <c r="O15" s="143">
        <f t="shared" si="4"/>
        <v>1435.3581417459402</v>
      </c>
      <c r="P15" s="143">
        <f t="shared" si="4"/>
        <v>3458.5232252214482</v>
      </c>
      <c r="Q15" s="143">
        <f t="shared" si="4"/>
        <v>336.12177563621128</v>
      </c>
      <c r="R15" s="143">
        <f t="shared" ref="R15:W15" si="5">SUM(R5:R12)</f>
        <v>1078.040321202883</v>
      </c>
      <c r="S15" s="143">
        <f t="shared" si="5"/>
        <v>1447.1961241439744</v>
      </c>
      <c r="T15" s="143">
        <f t="shared" si="5"/>
        <v>1451.7723183919315</v>
      </c>
      <c r="U15" s="143">
        <f t="shared" si="5"/>
        <v>1422.4797674818365</v>
      </c>
      <c r="V15" s="143">
        <f t="shared" si="5"/>
        <v>1351.9970022949678</v>
      </c>
      <c r="W15" s="143">
        <f t="shared" si="5"/>
        <v>1163.6311534713195</v>
      </c>
      <c r="X15" s="143">
        <f t="shared" ref="X15:Y15" si="6">SUM(X5:X12)</f>
        <v>935.44839520313769</v>
      </c>
      <c r="Y15" s="143">
        <f t="shared" si="6"/>
        <v>902.79516467693634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1999.3299083498998</v>
      </c>
      <c r="D16" s="139">
        <f t="shared" si="7"/>
        <v>2291.238368957117</v>
      </c>
      <c r="E16" s="139">
        <f t="shared" si="7"/>
        <v>2620.3033722751175</v>
      </c>
      <c r="F16" s="139">
        <f t="shared" si="7"/>
        <v>1806.6436877149652</v>
      </c>
      <c r="G16" s="139">
        <f t="shared" si="7"/>
        <v>2579.2024487312115</v>
      </c>
      <c r="H16" s="139">
        <f t="shared" si="7"/>
        <v>1701.9075281375992</v>
      </c>
      <c r="I16" s="139">
        <f t="shared" si="7"/>
        <v>2283.4410056151041</v>
      </c>
      <c r="J16" s="139">
        <f t="shared" si="7"/>
        <v>396.02793783558553</v>
      </c>
      <c r="K16" s="139">
        <f t="shared" si="7"/>
        <v>393.46820047192068</v>
      </c>
      <c r="L16" s="139">
        <f t="shared" si="7"/>
        <v>415.35848501111218</v>
      </c>
      <c r="M16" s="139">
        <f t="shared" si="7"/>
        <v>825.39045585135943</v>
      </c>
      <c r="N16" s="139">
        <f t="shared" si="7"/>
        <v>1107.924005688458</v>
      </c>
      <c r="O16" s="139">
        <f t="shared" si="7"/>
        <v>1440.3954551496645</v>
      </c>
      <c r="P16" s="139">
        <f t="shared" si="7"/>
        <v>3547.6736012260239</v>
      </c>
      <c r="Q16" s="139">
        <f t="shared" si="7"/>
        <v>486.54868233263142</v>
      </c>
      <c r="R16" s="139">
        <f t="shared" ref="R16:W16" si="8">SUM(R17:R18)</f>
        <v>1523.063312077504</v>
      </c>
      <c r="S16" s="139">
        <f t="shared" si="8"/>
        <v>1993.4116547492715</v>
      </c>
      <c r="T16" s="139">
        <f t="shared" si="8"/>
        <v>1996.5931737116362</v>
      </c>
      <c r="U16" s="139">
        <f t="shared" si="8"/>
        <v>1794.6469335257723</v>
      </c>
      <c r="V16" s="139">
        <f t="shared" si="8"/>
        <v>1711.29228550127</v>
      </c>
      <c r="W16" s="139">
        <f t="shared" si="8"/>
        <v>1664.2260782986955</v>
      </c>
      <c r="X16" s="139">
        <f t="shared" ref="X16:Y16" si="9">SUM(X17:X18)</f>
        <v>1616.2398366823447</v>
      </c>
      <c r="Y16" s="139">
        <f t="shared" si="9"/>
        <v>1582.8539988817417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7.8046821390703247</v>
      </c>
      <c r="D17" s="140">
        <v>10.023740774905786</v>
      </c>
      <c r="E17" s="140">
        <v>10.357887854710036</v>
      </c>
      <c r="F17" s="140">
        <v>3.3049276969158021</v>
      </c>
      <c r="G17" s="140">
        <v>8.8231986729152414</v>
      </c>
      <c r="H17" s="140">
        <v>7.2689723526969159</v>
      </c>
      <c r="I17" s="140">
        <v>9.3700786173035819</v>
      </c>
      <c r="J17" s="140">
        <v>1.0463796373223915</v>
      </c>
      <c r="K17" s="140">
        <v>2.0595776685364409</v>
      </c>
      <c r="L17" s="140">
        <v>2.9388150283137824</v>
      </c>
      <c r="M17" s="140">
        <v>5.9125686879276165</v>
      </c>
      <c r="N17" s="140">
        <v>8.2487526321544475</v>
      </c>
      <c r="O17" s="140">
        <v>10.918982131382249</v>
      </c>
      <c r="P17" s="140">
        <v>19.638234012254344</v>
      </c>
      <c r="Q17" s="140">
        <v>3.7643263732110763</v>
      </c>
      <c r="R17" s="140">
        <v>10.857346292814581</v>
      </c>
      <c r="S17" s="140">
        <v>24.511925180582878</v>
      </c>
      <c r="T17" s="140">
        <v>17.886978620545669</v>
      </c>
      <c r="U17" s="140">
        <v>30.961070364623893</v>
      </c>
      <c r="V17" s="140">
        <v>23.813668228348945</v>
      </c>
      <c r="W17" s="140">
        <v>16.907826430564896</v>
      </c>
      <c r="X17" s="140">
        <v>13.680187623116845</v>
      </c>
      <c r="Y17" s="140">
        <v>11.660278694056588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1991.5252262108295</v>
      </c>
      <c r="D18" s="140">
        <v>2281.2146281822111</v>
      </c>
      <c r="E18" s="140">
        <v>2609.9454844204074</v>
      </c>
      <c r="F18" s="140">
        <v>1803.3387600180492</v>
      </c>
      <c r="G18" s="140">
        <v>2570.3792500582963</v>
      </c>
      <c r="H18" s="140">
        <v>1694.6385557849023</v>
      </c>
      <c r="I18" s="140">
        <v>2274.0709269978006</v>
      </c>
      <c r="J18" s="140">
        <v>394.98155819826314</v>
      </c>
      <c r="K18" s="140">
        <v>391.40862280338422</v>
      </c>
      <c r="L18" s="140">
        <v>412.41966998279838</v>
      </c>
      <c r="M18" s="140">
        <v>819.47788716343177</v>
      </c>
      <c r="N18" s="140">
        <v>1099.6752530563035</v>
      </c>
      <c r="O18" s="140">
        <v>1429.4764730182821</v>
      </c>
      <c r="P18" s="140">
        <v>3528.0353672137694</v>
      </c>
      <c r="Q18" s="140">
        <v>482.78435595942034</v>
      </c>
      <c r="R18" s="140">
        <v>1512.2059657846894</v>
      </c>
      <c r="S18" s="140">
        <v>1968.8997295686886</v>
      </c>
      <c r="T18" s="140">
        <v>1978.7061950910904</v>
      </c>
      <c r="U18" s="140">
        <v>1763.6858631611483</v>
      </c>
      <c r="V18" s="140">
        <v>1687.4786172729212</v>
      </c>
      <c r="W18" s="140">
        <v>1647.3182518681306</v>
      </c>
      <c r="X18" s="140">
        <v>1602.5596490592279</v>
      </c>
      <c r="Y18" s="140">
        <v>1571.1937201876851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1999.3299083498996</v>
      </c>
      <c r="D19" s="139">
        <f t="shared" si="10"/>
        <v>2291.238368957117</v>
      </c>
      <c r="E19" s="139">
        <f t="shared" si="10"/>
        <v>3644.1263639952795</v>
      </c>
      <c r="F19" s="139">
        <f t="shared" si="10"/>
        <v>1806.6436877149649</v>
      </c>
      <c r="G19" s="139">
        <f t="shared" si="10"/>
        <v>2579.202448731211</v>
      </c>
      <c r="H19" s="139">
        <f t="shared" si="10"/>
        <v>1701.9075281375995</v>
      </c>
      <c r="I19" s="139">
        <f t="shared" si="10"/>
        <v>2283.4410056151046</v>
      </c>
      <c r="J19" s="139">
        <f t="shared" si="10"/>
        <v>396.02793783558565</v>
      </c>
      <c r="K19" s="139">
        <f t="shared" si="10"/>
        <v>393.46820047192068</v>
      </c>
      <c r="L19" s="139">
        <f t="shared" si="10"/>
        <v>415.35848501111218</v>
      </c>
      <c r="M19" s="139">
        <f t="shared" si="10"/>
        <v>825.39045585135932</v>
      </c>
      <c r="N19" s="139">
        <f t="shared" si="10"/>
        <v>1107.924005688458</v>
      </c>
      <c r="O19" s="139">
        <f t="shared" si="10"/>
        <v>1440.3954551496643</v>
      </c>
      <c r="P19" s="139">
        <f t="shared" si="10"/>
        <v>3547.6736012260235</v>
      </c>
      <c r="Q19" s="139">
        <f t="shared" si="10"/>
        <v>486.54868233263147</v>
      </c>
      <c r="R19" s="139">
        <f t="shared" ref="R19:W19" si="11">SUM(R20:R26)</f>
        <v>1523.0633120775042</v>
      </c>
      <c r="S19" s="139">
        <f t="shared" si="11"/>
        <v>1993.4116547492713</v>
      </c>
      <c r="T19" s="139">
        <f t="shared" si="11"/>
        <v>1996.5931737116362</v>
      </c>
      <c r="U19" s="139">
        <f t="shared" si="11"/>
        <v>1794.6469335257725</v>
      </c>
      <c r="V19" s="139">
        <f t="shared" si="11"/>
        <v>1711.2922855012703</v>
      </c>
      <c r="W19" s="139">
        <f t="shared" si="11"/>
        <v>1664.2260782986955</v>
      </c>
      <c r="X19" s="139">
        <f t="shared" ref="X19:Y19" si="12">SUM(X20:X26)</f>
        <v>1616.239836682345</v>
      </c>
      <c r="Y19" s="139">
        <f t="shared" si="12"/>
        <v>1582.8539988817415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838.59848997487222</v>
      </c>
      <c r="D23" s="140">
        <v>1223.0115652535367</v>
      </c>
      <c r="E23" s="140">
        <v>1697.605387364539</v>
      </c>
      <c r="F23" s="140">
        <v>982.5215929806526</v>
      </c>
      <c r="G23" s="140">
        <v>1196.5954737662441</v>
      </c>
      <c r="H23" s="140">
        <v>930.65469829722861</v>
      </c>
      <c r="I23" s="140">
        <v>1534.3592609768475</v>
      </c>
      <c r="J23" s="140">
        <v>277.03642226583133</v>
      </c>
      <c r="K23" s="140">
        <v>291.05946875395796</v>
      </c>
      <c r="L23" s="140">
        <v>283.79984810184607</v>
      </c>
      <c r="M23" s="140">
        <v>548.39644642975315</v>
      </c>
      <c r="N23" s="140">
        <v>586.29173382394833</v>
      </c>
      <c r="O23" s="140">
        <v>1043.2530979714534</v>
      </c>
      <c r="P23" s="140">
        <v>3002.8245348005694</v>
      </c>
      <c r="Q23" s="140">
        <v>291.6659268877055</v>
      </c>
      <c r="R23" s="140">
        <v>857.5536840505124</v>
      </c>
      <c r="S23" s="140">
        <v>1133.2407448410745</v>
      </c>
      <c r="T23" s="140">
        <v>1214.4127754402828</v>
      </c>
      <c r="U23" s="140">
        <v>992.48526120931149</v>
      </c>
      <c r="V23" s="140">
        <v>920.38748349712409</v>
      </c>
      <c r="W23" s="140">
        <v>685.70718387769648</v>
      </c>
      <c r="X23" s="140">
        <v>547.32220148303657</v>
      </c>
      <c r="Y23" s="140">
        <v>751.90115396667989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186.03975946994422</v>
      </c>
      <c r="O24" s="140">
        <v>75.045745182600257</v>
      </c>
      <c r="P24" s="140">
        <v>128.37685112721846</v>
      </c>
      <c r="Q24" s="140">
        <v>0</v>
      </c>
      <c r="R24" s="140">
        <v>0</v>
      </c>
      <c r="S24" s="140">
        <v>0</v>
      </c>
      <c r="T24" s="140">
        <v>0</v>
      </c>
      <c r="U24" s="140">
        <v>3.8259798439232924</v>
      </c>
      <c r="V24" s="140">
        <v>14.208655548402184</v>
      </c>
      <c r="W24" s="140">
        <v>18.033536762241035</v>
      </c>
      <c r="X24" s="140">
        <v>45.446752042919897</v>
      </c>
      <c r="Y24" s="140">
        <v>74.992079484213576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154.20109781749301</v>
      </c>
      <c r="D25" s="140">
        <v>181.4314413876078</v>
      </c>
      <c r="E25" s="140">
        <v>291.72808849462973</v>
      </c>
      <c r="F25" s="140">
        <v>193.72130323235754</v>
      </c>
      <c r="G25" s="140">
        <v>309.98403276780505</v>
      </c>
      <c r="H25" s="140">
        <v>222.59737614506719</v>
      </c>
      <c r="I25" s="140">
        <v>286.76028248910501</v>
      </c>
      <c r="J25" s="140">
        <v>66.910950490355475</v>
      </c>
      <c r="K25" s="140">
        <v>56.798337618843647</v>
      </c>
      <c r="L25" s="140">
        <v>53.042695998955097</v>
      </c>
      <c r="M25" s="140">
        <v>91.137765863606745</v>
      </c>
      <c r="N25" s="140">
        <v>119.95331955635302</v>
      </c>
      <c r="O25" s="140">
        <v>139.97913026643749</v>
      </c>
      <c r="P25" s="140">
        <v>271.78119593262909</v>
      </c>
      <c r="Q25" s="140">
        <v>60.224675883279559</v>
      </c>
      <c r="R25" s="140">
        <v>151.92939825077042</v>
      </c>
      <c r="S25" s="140">
        <v>192.25904372972016</v>
      </c>
      <c r="T25" s="140">
        <v>173.52710144465624</v>
      </c>
      <c r="U25" s="140">
        <v>174.757679089204</v>
      </c>
      <c r="V25" s="140">
        <v>106.76922136220053</v>
      </c>
      <c r="W25" s="140">
        <v>105.5586877037473</v>
      </c>
      <c r="X25" s="140">
        <v>39.618381961872274</v>
      </c>
      <c r="Y25" s="140">
        <v>63.13184938260467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1006.5303205575344</v>
      </c>
      <c r="D26" s="141">
        <v>886.79536231597251</v>
      </c>
      <c r="E26" s="141">
        <v>1654.7928881361106</v>
      </c>
      <c r="F26" s="141">
        <v>630.40079150195481</v>
      </c>
      <c r="G26" s="141">
        <v>1072.622942197162</v>
      </c>
      <c r="H26" s="141">
        <v>548.65545369530366</v>
      </c>
      <c r="I26" s="141">
        <v>462.32146214915178</v>
      </c>
      <c r="J26" s="141">
        <v>52.080565079398788</v>
      </c>
      <c r="K26" s="141">
        <v>45.610394099119056</v>
      </c>
      <c r="L26" s="141">
        <v>78.515940910311016</v>
      </c>
      <c r="M26" s="141">
        <v>185.85624355799936</v>
      </c>
      <c r="N26" s="141">
        <v>215.63919283821238</v>
      </c>
      <c r="O26" s="141">
        <v>182.11748172917299</v>
      </c>
      <c r="P26" s="141">
        <v>144.69101936560651</v>
      </c>
      <c r="Q26" s="141">
        <v>134.65807956164639</v>
      </c>
      <c r="R26" s="141">
        <v>513.58022977622136</v>
      </c>
      <c r="S26" s="141">
        <v>667.91186617847677</v>
      </c>
      <c r="T26" s="141">
        <v>608.65329682669721</v>
      </c>
      <c r="U26" s="141">
        <v>623.57801338333354</v>
      </c>
      <c r="V26" s="141">
        <v>669.92692509354367</v>
      </c>
      <c r="W26" s="141">
        <v>854.92666995501077</v>
      </c>
      <c r="X26" s="141">
        <v>983.85250119451632</v>
      </c>
      <c r="Y26" s="141">
        <v>692.82891604824351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0</v>
      </c>
      <c r="D27" s="150">
        <v>0</v>
      </c>
      <c r="E27" s="150">
        <v>0</v>
      </c>
      <c r="F27" s="150">
        <v>0</v>
      </c>
      <c r="G27" s="150">
        <v>19.975793490687138</v>
      </c>
      <c r="H27" s="150">
        <v>23.364526775480766</v>
      </c>
      <c r="I27" s="150">
        <v>17.769089105672666</v>
      </c>
      <c r="J27" s="150">
        <v>18.415217672704387</v>
      </c>
      <c r="K27" s="150">
        <v>13.547905131492465</v>
      </c>
      <c r="L27" s="150">
        <v>30.170082938809738</v>
      </c>
      <c r="M27" s="150">
        <v>24.209168588700141</v>
      </c>
      <c r="N27" s="150">
        <v>2.6853263349092786E-14</v>
      </c>
      <c r="O27" s="150">
        <v>2.3750318590914015</v>
      </c>
      <c r="P27" s="150">
        <v>24.01576654848305</v>
      </c>
      <c r="Q27" s="150">
        <v>18.654261731861244</v>
      </c>
      <c r="R27" s="150">
        <v>0.79275803630317587</v>
      </c>
      <c r="S27" s="150">
        <v>22.9384190303753</v>
      </c>
      <c r="T27" s="150">
        <v>9.5916267187629991</v>
      </c>
      <c r="U27" s="150">
        <v>35.093691458794268</v>
      </c>
      <c r="V27" s="150">
        <v>46.558700139905135</v>
      </c>
      <c r="W27" s="150">
        <v>1.5215061158847285E-13</v>
      </c>
      <c r="X27" s="150">
        <v>49.346000166113271</v>
      </c>
      <c r="Y27" s="150">
        <v>68.272026281639413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1999.3299083498994</v>
      </c>
      <c r="D29" s="139">
        <f t="shared" si="13"/>
        <v>2291.238368957117</v>
      </c>
      <c r="E29" s="139">
        <f t="shared" si="13"/>
        <v>3644.1263639952795</v>
      </c>
      <c r="F29" s="139">
        <f t="shared" si="13"/>
        <v>1806.6436877149649</v>
      </c>
      <c r="G29" s="139">
        <f t="shared" si="13"/>
        <v>2579.202448731211</v>
      </c>
      <c r="H29" s="139">
        <f t="shared" si="13"/>
        <v>1701.9075281375992</v>
      </c>
      <c r="I29" s="139">
        <f t="shared" si="13"/>
        <v>2283.4410056151046</v>
      </c>
      <c r="J29" s="139">
        <f t="shared" si="13"/>
        <v>396.02793783558553</v>
      </c>
      <c r="K29" s="139">
        <f t="shared" si="13"/>
        <v>393.46820047192068</v>
      </c>
      <c r="L29" s="139">
        <f t="shared" si="13"/>
        <v>415.35848501111218</v>
      </c>
      <c r="M29" s="139">
        <f t="shared" si="13"/>
        <v>825.39045585135921</v>
      </c>
      <c r="N29" s="139">
        <f t="shared" si="13"/>
        <v>1107.9240056884578</v>
      </c>
      <c r="O29" s="139">
        <f t="shared" si="13"/>
        <v>1440.3954551496643</v>
      </c>
      <c r="P29" s="139">
        <f t="shared" si="13"/>
        <v>3547.6736012260239</v>
      </c>
      <c r="Q29" s="139">
        <f t="shared" si="13"/>
        <v>486.54868233263142</v>
      </c>
      <c r="R29" s="139">
        <f t="shared" ref="R29:W29" si="14">SUM(R30:R33)</f>
        <v>1523.0633120775042</v>
      </c>
      <c r="S29" s="139">
        <f t="shared" si="14"/>
        <v>1993.4116547492715</v>
      </c>
      <c r="T29" s="139">
        <f t="shared" si="14"/>
        <v>1996.5931737116362</v>
      </c>
      <c r="U29" s="139">
        <f t="shared" si="14"/>
        <v>1794.6469335257721</v>
      </c>
      <c r="V29" s="139">
        <f t="shared" si="14"/>
        <v>1711.29228550127</v>
      </c>
      <c r="W29" s="139">
        <f t="shared" si="14"/>
        <v>1664.2260782986955</v>
      </c>
      <c r="X29" s="139">
        <f t="shared" ref="X29:Y29" si="15">SUM(X30:X33)</f>
        <v>1616.2398366823447</v>
      </c>
      <c r="Y29" s="139">
        <f t="shared" si="15"/>
        <v>1582.8539988817417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143.17143978394716</v>
      </c>
      <c r="D30" s="140">
        <v>198.63607320555042</v>
      </c>
      <c r="E30" s="140">
        <v>0</v>
      </c>
      <c r="F30" s="140">
        <v>0</v>
      </c>
      <c r="G30" s="140">
        <v>0</v>
      </c>
      <c r="H30" s="140">
        <v>122.06292932204984</v>
      </c>
      <c r="I30" s="140">
        <v>279.34856991378138</v>
      </c>
      <c r="J30" s="140">
        <v>46.227282243249505</v>
      </c>
      <c r="K30" s="140">
        <v>54.39625962231537</v>
      </c>
      <c r="L30" s="140">
        <v>46.477313644593551</v>
      </c>
      <c r="M30" s="140">
        <v>0</v>
      </c>
      <c r="N30" s="140">
        <v>0</v>
      </c>
      <c r="O30" s="140">
        <v>0</v>
      </c>
      <c r="P30" s="140">
        <v>56.347223473235786</v>
      </c>
      <c r="Q30" s="140">
        <v>11.491658837791153</v>
      </c>
      <c r="R30" s="140">
        <v>26.983614162405658</v>
      </c>
      <c r="S30" s="140">
        <v>78.800668184209357</v>
      </c>
      <c r="T30" s="140">
        <v>225.26143315971169</v>
      </c>
      <c r="U30" s="140">
        <v>191.42263747825743</v>
      </c>
      <c r="V30" s="140">
        <v>133.12282233867589</v>
      </c>
      <c r="W30" s="140">
        <v>86.224748884476384</v>
      </c>
      <c r="X30" s="140">
        <v>23.074183135614412</v>
      </c>
      <c r="Y30" s="140">
        <v>0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657.84987851511255</v>
      </c>
      <c r="D31" s="140">
        <v>1107.9752391778788</v>
      </c>
      <c r="E31" s="140">
        <v>1872.0793375324704</v>
      </c>
      <c r="F31" s="140">
        <v>1126.947017369793</v>
      </c>
      <c r="G31" s="140">
        <v>1559.9022085817246</v>
      </c>
      <c r="H31" s="140">
        <v>970.62444032593828</v>
      </c>
      <c r="I31" s="140">
        <v>1018.6354651034861</v>
      </c>
      <c r="J31" s="140">
        <v>181.34829731492817</v>
      </c>
      <c r="K31" s="140">
        <v>144.83057799505116</v>
      </c>
      <c r="L31" s="140">
        <v>207.8595483090867</v>
      </c>
      <c r="M31" s="140">
        <v>742.05075792171579</v>
      </c>
      <c r="N31" s="140">
        <v>894.10801929854313</v>
      </c>
      <c r="O31" s="140">
        <v>967.49319494241035</v>
      </c>
      <c r="P31" s="140">
        <v>2028.1938453791911</v>
      </c>
      <c r="Q31" s="140">
        <v>258.33328914613713</v>
      </c>
      <c r="R31" s="140">
        <v>708.47584548996792</v>
      </c>
      <c r="S31" s="140">
        <v>945.9623304318103</v>
      </c>
      <c r="T31" s="140">
        <v>928.59145375444939</v>
      </c>
      <c r="U31" s="140">
        <v>897.72132565822596</v>
      </c>
      <c r="V31" s="140">
        <v>914.2910888308229</v>
      </c>
      <c r="W31" s="140">
        <v>918.48831900106836</v>
      </c>
      <c r="X31" s="140">
        <v>891.74073225808422</v>
      </c>
      <c r="Y31" s="140">
        <v>864.8590545910248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1198.3085900508397</v>
      </c>
      <c r="D33" s="152">
        <v>984.62705657368758</v>
      </c>
      <c r="E33" s="152">
        <v>1772.0470264628091</v>
      </c>
      <c r="F33" s="152">
        <v>679.69667034517192</v>
      </c>
      <c r="G33" s="152">
        <v>1019.3002401494866</v>
      </c>
      <c r="H33" s="152">
        <v>609.22015848961109</v>
      </c>
      <c r="I33" s="152">
        <v>985.45697059783686</v>
      </c>
      <c r="J33" s="152">
        <v>168.45235827740785</v>
      </c>
      <c r="K33" s="152">
        <v>194.24136285455413</v>
      </c>
      <c r="L33" s="152">
        <v>161.02162305743192</v>
      </c>
      <c r="M33" s="152">
        <v>83.339697929643464</v>
      </c>
      <c r="N33" s="152">
        <v>213.81598638991471</v>
      </c>
      <c r="O33" s="152">
        <v>472.90226020725396</v>
      </c>
      <c r="P33" s="152">
        <v>1463.1325323735969</v>
      </c>
      <c r="Q33" s="152">
        <v>216.72373434870315</v>
      </c>
      <c r="R33" s="152">
        <v>787.60385242513053</v>
      </c>
      <c r="S33" s="152">
        <v>968.64865613325196</v>
      </c>
      <c r="T33" s="152">
        <v>842.74028679747516</v>
      </c>
      <c r="U33" s="152">
        <v>705.50297038928875</v>
      </c>
      <c r="V33" s="152">
        <v>663.87837433177128</v>
      </c>
      <c r="W33" s="152">
        <v>659.51301041315082</v>
      </c>
      <c r="X33" s="152">
        <v>701.42492128864615</v>
      </c>
      <c r="Y33" s="152">
        <v>717.99494429071694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63.484686290277793</v>
      </c>
      <c r="D3" s="125">
        <f t="shared" si="0"/>
        <v>66.168847248362468</v>
      </c>
      <c r="E3" s="125">
        <f t="shared" si="0"/>
        <v>102.47626096140198</v>
      </c>
      <c r="F3" s="125">
        <f t="shared" si="0"/>
        <v>58.082192171324195</v>
      </c>
      <c r="G3" s="125">
        <f t="shared" si="0"/>
        <v>72.03372333992246</v>
      </c>
      <c r="H3" s="125">
        <f t="shared" si="0"/>
        <v>38.434198754363557</v>
      </c>
      <c r="I3" s="125">
        <f t="shared" si="0"/>
        <v>45.608172509395011</v>
      </c>
      <c r="J3" s="125">
        <f t="shared" si="0"/>
        <v>7.6803291716227227</v>
      </c>
      <c r="K3" s="125">
        <f t="shared" si="0"/>
        <v>8.487274304064373</v>
      </c>
      <c r="L3" s="125">
        <f t="shared" si="0"/>
        <v>9.6505043959489711</v>
      </c>
      <c r="M3" s="125">
        <f t="shared" si="0"/>
        <v>18.056955200051455</v>
      </c>
      <c r="N3" s="125">
        <f t="shared" si="0"/>
        <v>18.704439292239407</v>
      </c>
      <c r="O3" s="125">
        <f t="shared" si="0"/>
        <v>21.733099153156754</v>
      </c>
      <c r="P3" s="125">
        <f t="shared" si="0"/>
        <v>43.565301537451546</v>
      </c>
      <c r="Q3" s="125">
        <f t="shared" si="0"/>
        <v>5.9454349663273574</v>
      </c>
      <c r="R3" s="125">
        <f t="shared" ref="R3:W3" si="1">SUM(R4,R16,R19,R29)</f>
        <v>17.457220524271797</v>
      </c>
      <c r="S3" s="125">
        <f t="shared" si="1"/>
        <v>21.731929695005491</v>
      </c>
      <c r="T3" s="125">
        <f t="shared" si="1"/>
        <v>20.539594985709599</v>
      </c>
      <c r="U3" s="125">
        <f t="shared" si="1"/>
        <v>17.24821919446277</v>
      </c>
      <c r="V3" s="125">
        <f t="shared" si="1"/>
        <v>14.755763513308493</v>
      </c>
      <c r="W3" s="125">
        <f t="shared" si="1"/>
        <v>13.083481067873313</v>
      </c>
      <c r="X3" s="125">
        <f t="shared" ref="X3:Y3" si="2">SUM(X4,X16,X19,X29)</f>
        <v>11.102578277734761</v>
      </c>
      <c r="Y3" s="125">
        <f t="shared" si="2"/>
        <v>9.7783790593665003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52.583307823735922</v>
      </c>
      <c r="D4" s="130">
        <f t="shared" si="3"/>
        <v>53.729285793667891</v>
      </c>
      <c r="E4" s="130">
        <f t="shared" si="3"/>
        <v>83.606251808946467</v>
      </c>
      <c r="F4" s="130">
        <f t="shared" si="3"/>
        <v>48.228708293424603</v>
      </c>
      <c r="G4" s="130">
        <f t="shared" si="3"/>
        <v>58.549243463506052</v>
      </c>
      <c r="H4" s="130">
        <f t="shared" si="3"/>
        <v>29.451993491349164</v>
      </c>
      <c r="I4" s="130">
        <f t="shared" si="3"/>
        <v>33.727441219638131</v>
      </c>
      <c r="J4" s="130">
        <f t="shared" si="3"/>
        <v>5.683962039467394</v>
      </c>
      <c r="K4" s="130">
        <f t="shared" si="3"/>
        <v>6.5053354262014604</v>
      </c>
      <c r="L4" s="130">
        <f t="shared" si="3"/>
        <v>7.5317917396848237</v>
      </c>
      <c r="M4" s="130">
        <f t="shared" si="3"/>
        <v>13.772848202006433</v>
      </c>
      <c r="N4" s="130">
        <f t="shared" si="3"/>
        <v>12.866438993261275</v>
      </c>
      <c r="O4" s="130">
        <f t="shared" si="3"/>
        <v>14.682495842504842</v>
      </c>
      <c r="P4" s="130">
        <f t="shared" si="3"/>
        <v>27.497667876987666</v>
      </c>
      <c r="Q4" s="130">
        <f t="shared" si="3"/>
        <v>3.7338796446595861</v>
      </c>
      <c r="R4" s="130">
        <f t="shared" ref="R4:W4" si="4">SUM(R5:R15)</f>
        <v>10.991398512024526</v>
      </c>
      <c r="S4" s="130">
        <f t="shared" si="4"/>
        <v>13.273501129036097</v>
      </c>
      <c r="T4" s="130">
        <f t="shared" si="4"/>
        <v>12.061876546163198</v>
      </c>
      <c r="U4" s="130">
        <f t="shared" si="4"/>
        <v>9.8004459666648209</v>
      </c>
      <c r="V4" s="130">
        <f t="shared" si="4"/>
        <v>8.2841992158767326</v>
      </c>
      <c r="W4" s="130">
        <f t="shared" si="4"/>
        <v>6.6344097154357602</v>
      </c>
      <c r="X4" s="130">
        <f t="shared" ref="X4:Y4" si="5">SUM(X5:X15)</f>
        <v>4.9111329209903953</v>
      </c>
      <c r="Y4" s="130">
        <f t="shared" si="5"/>
        <v>3.8634452186419068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1.8967664417490943E-2</v>
      </c>
      <c r="N5" s="132">
        <v>2.3031325353150934E-2</v>
      </c>
      <c r="O5" s="132">
        <v>0.13657309418969746</v>
      </c>
      <c r="P5" s="132">
        <v>0.12439183288258372</v>
      </c>
      <c r="Q5" s="132">
        <v>1.493817368830087E-2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0</v>
      </c>
      <c r="D7" s="132">
        <v>0</v>
      </c>
      <c r="E7" s="132">
        <v>0</v>
      </c>
      <c r="F7" s="132">
        <v>0</v>
      </c>
      <c r="G7" s="132">
        <v>0</v>
      </c>
      <c r="H7" s="132">
        <v>0</v>
      </c>
      <c r="I7" s="132">
        <v>0</v>
      </c>
      <c r="J7" s="132">
        <v>0</v>
      </c>
      <c r="K7" s="132">
        <v>0</v>
      </c>
      <c r="L7" s="132">
        <v>0</v>
      </c>
      <c r="M7" s="132">
        <v>0</v>
      </c>
      <c r="N7" s="132">
        <v>0.7063050625365157</v>
      </c>
      <c r="O7" s="132">
        <v>0.21864870354924856</v>
      </c>
      <c r="P7" s="132">
        <v>1.8091500915082337</v>
      </c>
      <c r="Q7" s="132">
        <v>0.40677938400549429</v>
      </c>
      <c r="R7" s="132">
        <v>0.8638225872199361</v>
      </c>
      <c r="S7" s="132">
        <v>0.306963315960956</v>
      </c>
      <c r="T7" s="132">
        <v>0.28908928793816896</v>
      </c>
      <c r="U7" s="132">
        <v>8.6900319259887809E-2</v>
      </c>
      <c r="V7" s="132">
        <v>0.14371388324243187</v>
      </c>
      <c r="W7" s="132">
        <v>0.22853629985597393</v>
      </c>
      <c r="X7" s="132">
        <v>7.8309392173789558E-2</v>
      </c>
      <c r="Y7" s="132">
        <v>5.9036353735006666E-2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1.8444436570162274E-4</v>
      </c>
      <c r="S8" s="132">
        <v>6.9088159843736267E-4</v>
      </c>
      <c r="T8" s="132">
        <v>1.4681684706545936E-3</v>
      </c>
      <c r="U8" s="132">
        <v>9.6593494743946304E-4</v>
      </c>
      <c r="V8" s="132">
        <v>1.3926778137265156E-3</v>
      </c>
      <c r="W8" s="132">
        <v>4.8748238757314639E-4</v>
      </c>
      <c r="X8" s="132">
        <v>5.8079578543029638E-4</v>
      </c>
      <c r="Y8" s="132">
        <v>7.2483636323253929E-4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43.368172936907762</v>
      </c>
      <c r="D9" s="132">
        <v>48.754480664335389</v>
      </c>
      <c r="E9" s="132">
        <v>75.974539552367474</v>
      </c>
      <c r="F9" s="132">
        <v>42.499810229505194</v>
      </c>
      <c r="G9" s="132">
        <v>36.19041909650857</v>
      </c>
      <c r="H9" s="132">
        <v>10.380200553883649</v>
      </c>
      <c r="I9" s="132">
        <v>6.4177940400274451</v>
      </c>
      <c r="J9" s="132">
        <v>1.305982288393861</v>
      </c>
      <c r="K9" s="132">
        <v>4.1329600845172472</v>
      </c>
      <c r="L9" s="132">
        <v>6.7537033411182223</v>
      </c>
      <c r="M9" s="132">
        <v>12.270335096892708</v>
      </c>
      <c r="N9" s="132">
        <v>10.288627939848105</v>
      </c>
      <c r="O9" s="132">
        <v>11.99307712965868</v>
      </c>
      <c r="P9" s="132">
        <v>20.192703288703566</v>
      </c>
      <c r="Q9" s="132">
        <v>0.93182490167260668</v>
      </c>
      <c r="R9" s="132">
        <v>4.2654633898594971</v>
      </c>
      <c r="S9" s="132">
        <v>6.7386788696485649</v>
      </c>
      <c r="T9" s="132">
        <v>6.9882329180342664</v>
      </c>
      <c r="U9" s="132">
        <v>6.4339340283830229</v>
      </c>
      <c r="V9" s="132">
        <v>5.6357534948885286</v>
      </c>
      <c r="W9" s="132">
        <v>3.360897459092794</v>
      </c>
      <c r="X9" s="132">
        <v>1.4771557057213551</v>
      </c>
      <c r="Y9" s="132">
        <v>1.0527020882437619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0.81550951578681685</v>
      </c>
      <c r="D10" s="132">
        <v>0.93428633513202508</v>
      </c>
      <c r="E10" s="132">
        <v>1.1450259641047664</v>
      </c>
      <c r="F10" s="132">
        <v>0.29132797651459796</v>
      </c>
      <c r="G10" s="132">
        <v>0</v>
      </c>
      <c r="H10" s="132">
        <v>0</v>
      </c>
      <c r="I10" s="132">
        <v>0.50548116286793798</v>
      </c>
      <c r="J10" s="132">
        <v>0.18491201552130138</v>
      </c>
      <c r="K10" s="132">
        <v>0.1501468281756029</v>
      </c>
      <c r="L10" s="132">
        <v>0.17744289895696425</v>
      </c>
      <c r="M10" s="132">
        <v>0.33832017246528173</v>
      </c>
      <c r="N10" s="132">
        <v>0.39775993580102298</v>
      </c>
      <c r="O10" s="132">
        <v>0.41960483550871458</v>
      </c>
      <c r="P10" s="132">
        <v>0.51072115111290384</v>
      </c>
      <c r="Q10" s="132">
        <v>9.8943564480744692E-2</v>
      </c>
      <c r="R10" s="132">
        <v>3.8276885559492539E-2</v>
      </c>
      <c r="S10" s="132">
        <v>0.20364883807090942</v>
      </c>
      <c r="T10" s="132">
        <v>0.1230944707400219</v>
      </c>
      <c r="U10" s="132">
        <v>0.15546499399983363</v>
      </c>
      <c r="V10" s="132">
        <v>0</v>
      </c>
      <c r="W10" s="132">
        <v>7.4975320661038569E-2</v>
      </c>
      <c r="X10" s="132">
        <v>0.22044038230140756</v>
      </c>
      <c r="Y10" s="132">
        <v>0.39247605367109156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1.4896897755519725</v>
      </c>
      <c r="D11" s="132">
        <v>1.7806252865929806</v>
      </c>
      <c r="E11" s="132">
        <v>0.99257527476207486</v>
      </c>
      <c r="F11" s="132">
        <v>0</v>
      </c>
      <c r="G11" s="132">
        <v>1.3468887362554589</v>
      </c>
      <c r="H11" s="132">
        <v>2.0964927702423855</v>
      </c>
      <c r="I11" s="132">
        <v>2.9031023869909887</v>
      </c>
      <c r="J11" s="132">
        <v>0.59906121170825533</v>
      </c>
      <c r="K11" s="132">
        <v>0.30105407873707996</v>
      </c>
      <c r="L11" s="132">
        <v>0.33095784567983555</v>
      </c>
      <c r="M11" s="132">
        <v>0.64968178520454822</v>
      </c>
      <c r="N11" s="132">
        <v>0.56953109125032242</v>
      </c>
      <c r="O11" s="132">
        <v>0.32579549972760569</v>
      </c>
      <c r="P11" s="132">
        <v>0</v>
      </c>
      <c r="Q11" s="132">
        <v>0</v>
      </c>
      <c r="R11" s="132">
        <v>0</v>
      </c>
      <c r="S11" s="132">
        <v>0.35577320792374106</v>
      </c>
      <c r="T11" s="132">
        <v>0.26826267781363411</v>
      </c>
      <c r="U11" s="132">
        <v>0.25347341691771968</v>
      </c>
      <c r="V11" s="132">
        <v>0.18626632152150946</v>
      </c>
      <c r="W11" s="132">
        <v>0.58031044923238595</v>
      </c>
      <c r="X11" s="132">
        <v>0.65173899025792392</v>
      </c>
      <c r="Y11" s="132">
        <v>0.64298489113216528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5.4014221743798423</v>
      </c>
      <c r="D12" s="132">
        <v>1.7321484689545106</v>
      </c>
      <c r="E12" s="132">
        <v>2.8194835860439107</v>
      </c>
      <c r="F12" s="132">
        <v>0</v>
      </c>
      <c r="G12" s="132">
        <v>4.2873113227642259</v>
      </c>
      <c r="H12" s="132">
        <v>4.9235984783856441</v>
      </c>
      <c r="I12" s="132">
        <v>8.496751524619647</v>
      </c>
      <c r="J12" s="132">
        <v>1.5809258159640844</v>
      </c>
      <c r="K12" s="132">
        <v>0.38726728578328512</v>
      </c>
      <c r="L12" s="132">
        <v>0.19854523778439073</v>
      </c>
      <c r="M12" s="132">
        <v>0.36373393117074126</v>
      </c>
      <c r="N12" s="132">
        <v>0.75498817555141307</v>
      </c>
      <c r="O12" s="132">
        <v>1.4380698175643445</v>
      </c>
      <c r="P12" s="132">
        <v>4.03333590789134</v>
      </c>
      <c r="Q12" s="132">
        <v>1.1429940025931387</v>
      </c>
      <c r="R12" s="132">
        <v>2.7423350650279263</v>
      </c>
      <c r="S12" s="132">
        <v>2.136302691998476</v>
      </c>
      <c r="T12" s="132">
        <v>1.0863264426104267</v>
      </c>
      <c r="U12" s="132">
        <v>0.82462992701420101</v>
      </c>
      <c r="V12" s="132">
        <v>0.94043199714038594</v>
      </c>
      <c r="W12" s="132">
        <v>1.0720054334132105</v>
      </c>
      <c r="X12" s="132">
        <v>0.83488942865015081</v>
      </c>
      <c r="Y12" s="132">
        <v>0.50700906380073862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3.555322816783937E-4</v>
      </c>
      <c r="D13" s="132">
        <v>5.4581331200967117E-4</v>
      </c>
      <c r="E13" s="132">
        <v>1.01032305352723E-3</v>
      </c>
      <c r="F13" s="132">
        <v>1.3746094557882344E-3</v>
      </c>
      <c r="G13" s="132">
        <v>4.0678828316538709E-3</v>
      </c>
      <c r="H13" s="132">
        <v>3.5984376665224422E-3</v>
      </c>
      <c r="I13" s="132">
        <v>6.2559999411940922E-3</v>
      </c>
      <c r="J13" s="132">
        <v>9.1202421482273761E-4</v>
      </c>
      <c r="K13" s="132">
        <v>7.842346500212936E-4</v>
      </c>
      <c r="L13" s="132">
        <v>1.1729307540040538E-3</v>
      </c>
      <c r="M13" s="132">
        <v>2.8982087931818121E-3</v>
      </c>
      <c r="N13" s="132">
        <v>6.4823631051325889E-3</v>
      </c>
      <c r="O13" s="132">
        <v>1.0818423977237682E-2</v>
      </c>
      <c r="P13" s="132">
        <v>3.643028136709129E-2</v>
      </c>
      <c r="Q13" s="132">
        <v>1.2170315142525289E-3</v>
      </c>
      <c r="R13" s="132">
        <v>7.1408712393099573E-3</v>
      </c>
      <c r="S13" s="132">
        <v>1.3857355643690908E-2</v>
      </c>
      <c r="T13" s="132">
        <v>3.3456144598873493E-2</v>
      </c>
      <c r="U13" s="132">
        <v>2.6362696139391135E-2</v>
      </c>
      <c r="V13" s="132">
        <v>8.3706245893400019E-2</v>
      </c>
      <c r="W13" s="132">
        <v>5.4644788619260622E-2</v>
      </c>
      <c r="X13" s="132">
        <v>0.25070674160426554</v>
      </c>
      <c r="Y13" s="132">
        <v>0.17940980445553473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1.0187311326274999</v>
      </c>
      <c r="D14" s="65">
        <v>0</v>
      </c>
      <c r="E14" s="65">
        <v>1.8687445342541777</v>
      </c>
      <c r="F14" s="65">
        <v>5.0000524155913988</v>
      </c>
      <c r="G14" s="65">
        <v>16.332816147272506</v>
      </c>
      <c r="H14" s="65">
        <v>11.918186129171783</v>
      </c>
      <c r="I14" s="65">
        <v>15.290674182566157</v>
      </c>
      <c r="J14" s="65">
        <v>1.9905770915413479</v>
      </c>
      <c r="K14" s="65">
        <v>1.4888508267641687</v>
      </c>
      <c r="L14" s="65">
        <v>0</v>
      </c>
      <c r="M14" s="65">
        <v>0</v>
      </c>
      <c r="N14" s="65">
        <v>0</v>
      </c>
      <c r="O14" s="65">
        <v>0</v>
      </c>
      <c r="P14" s="65">
        <v>0.52781965522896312</v>
      </c>
      <c r="Q14" s="65">
        <v>1.1175148127131938</v>
      </c>
      <c r="R14" s="65">
        <v>3.0047024222950407</v>
      </c>
      <c r="S14" s="65">
        <v>3.4240656134366816</v>
      </c>
      <c r="T14" s="65">
        <v>3.1791126025898402</v>
      </c>
      <c r="U14" s="65">
        <v>1.9349538682987402</v>
      </c>
      <c r="V14" s="65">
        <v>1.2182301245895775</v>
      </c>
      <c r="W14" s="65">
        <v>1.2125877112208185</v>
      </c>
      <c r="X14" s="65">
        <v>1.3721008914670942</v>
      </c>
      <c r="Y14" s="65">
        <v>1.009692376371762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0.48942675620034193</v>
      </c>
      <c r="D15" s="134">
        <v>0.52719922534098074</v>
      </c>
      <c r="E15" s="134">
        <v>0.80487257436054516</v>
      </c>
      <c r="F15" s="134">
        <v>0.43614306235761996</v>
      </c>
      <c r="G15" s="134">
        <v>0.38774027787363674</v>
      </c>
      <c r="H15" s="134">
        <v>0.12991712199918126</v>
      </c>
      <c r="I15" s="134">
        <v>0.10738192262475776</v>
      </c>
      <c r="J15" s="134">
        <v>2.1591592123721633E-2</v>
      </c>
      <c r="K15" s="134">
        <v>4.427208757405466E-2</v>
      </c>
      <c r="L15" s="134">
        <v>6.9969485391407168E-2</v>
      </c>
      <c r="M15" s="134">
        <v>0.12891134306247809</v>
      </c>
      <c r="N15" s="134">
        <v>0.11971309981561178</v>
      </c>
      <c r="O15" s="134">
        <v>0.13990833832931557</v>
      </c>
      <c r="P15" s="134">
        <v>0.26311566829298771</v>
      </c>
      <c r="Q15" s="134">
        <v>1.9667773991854716E-2</v>
      </c>
      <c r="R15" s="134">
        <v>6.9472846457622653E-2</v>
      </c>
      <c r="S15" s="134">
        <v>9.3520354754640572E-2</v>
      </c>
      <c r="T15" s="134">
        <v>9.2833833367311824E-2</v>
      </c>
      <c r="U15" s="134">
        <v>8.3760781704585091E-2</v>
      </c>
      <c r="V15" s="134">
        <v>7.4704470787174057E-2</v>
      </c>
      <c r="W15" s="134">
        <v>4.9964770952705143E-2</v>
      </c>
      <c r="X15" s="134">
        <v>2.5210593028978087E-2</v>
      </c>
      <c r="Y15" s="134">
        <v>1.9409750868613702E-2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1.5450908815961029</v>
      </c>
      <c r="D16" s="130">
        <f t="shared" si="6"/>
        <v>1.7931787661058067</v>
      </c>
      <c r="E16" s="130">
        <f t="shared" si="6"/>
        <v>2.2544137469010126</v>
      </c>
      <c r="F16" s="130">
        <f t="shared" si="6"/>
        <v>1.1910727547874786</v>
      </c>
      <c r="G16" s="130">
        <f t="shared" si="6"/>
        <v>1.6374072572794351</v>
      </c>
      <c r="H16" s="130">
        <f t="shared" si="6"/>
        <v>1.1495876261654869</v>
      </c>
      <c r="I16" s="130">
        <f t="shared" si="6"/>
        <v>1.6198737453288146</v>
      </c>
      <c r="J16" s="130">
        <f t="shared" si="6"/>
        <v>0.22932924460992984</v>
      </c>
      <c r="K16" s="130">
        <f t="shared" si="6"/>
        <v>0.22011068869371564</v>
      </c>
      <c r="L16" s="130">
        <f t="shared" si="6"/>
        <v>0.23312892862992385</v>
      </c>
      <c r="M16" s="130">
        <f t="shared" si="6"/>
        <v>0.43485577829550293</v>
      </c>
      <c r="N16" s="130">
        <f t="shared" si="6"/>
        <v>0.70333023833344266</v>
      </c>
      <c r="O16" s="130">
        <f t="shared" si="6"/>
        <v>0.71212023945127634</v>
      </c>
      <c r="P16" s="130">
        <f t="shared" si="6"/>
        <v>1.484667302208639</v>
      </c>
      <c r="Q16" s="130">
        <f t="shared" si="6"/>
        <v>0.28103376050577411</v>
      </c>
      <c r="R16" s="130">
        <f t="shared" ref="R16:W16" si="7">SUM(R17:R18)</f>
        <v>0.5870545379142541</v>
      </c>
      <c r="S16" s="130">
        <f t="shared" si="7"/>
        <v>0.90179380846528356</v>
      </c>
      <c r="T16" s="130">
        <f t="shared" si="7"/>
        <v>0.82671631216618713</v>
      </c>
      <c r="U16" s="130">
        <f t="shared" si="7"/>
        <v>0.77533275004114677</v>
      </c>
      <c r="V16" s="130">
        <f t="shared" si="7"/>
        <v>0.56586657402457652</v>
      </c>
      <c r="W16" s="130">
        <f t="shared" si="7"/>
        <v>0.629560827095759</v>
      </c>
      <c r="X16" s="130">
        <f t="shared" ref="X16:Y16" si="8">SUM(X17:X18)</f>
        <v>0.59788907900402621</v>
      </c>
      <c r="Y16" s="130">
        <f t="shared" si="8"/>
        <v>0.52672024292147879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1.1565183206598313E-2</v>
      </c>
      <c r="D17" s="132">
        <v>1.5417617288656857E-2</v>
      </c>
      <c r="E17" s="132">
        <v>1.7951593218460658E-2</v>
      </c>
      <c r="F17" s="132">
        <v>4.4929693603553509E-3</v>
      </c>
      <c r="G17" s="132">
        <v>1.1796330674369283E-2</v>
      </c>
      <c r="H17" s="132">
        <v>1.0561756378478575E-2</v>
      </c>
      <c r="I17" s="132">
        <v>1.4614776398058617E-2</v>
      </c>
      <c r="J17" s="132">
        <v>1.363391370760095E-3</v>
      </c>
      <c r="K17" s="132">
        <v>2.6388970027605018E-3</v>
      </c>
      <c r="L17" s="132">
        <v>3.8478505591076949E-3</v>
      </c>
      <c r="M17" s="132">
        <v>7.4417429476401177E-3</v>
      </c>
      <c r="N17" s="132">
        <v>1.2841597612012192E-2</v>
      </c>
      <c r="O17" s="132">
        <v>1.3626864756082671E-2</v>
      </c>
      <c r="P17" s="132">
        <v>2.1317859539826487E-2</v>
      </c>
      <c r="Q17" s="132">
        <v>5.7190598449462834E-3</v>
      </c>
      <c r="R17" s="132">
        <v>1.1153081935832997E-2</v>
      </c>
      <c r="S17" s="132">
        <v>2.9358284523360097E-2</v>
      </c>
      <c r="T17" s="132">
        <v>1.9466477768193602E-2</v>
      </c>
      <c r="U17" s="132">
        <v>3.4538546999963941E-2</v>
      </c>
      <c r="V17" s="132">
        <v>1.789900954762803E-2</v>
      </c>
      <c r="W17" s="132">
        <v>1.4575274351072183E-2</v>
      </c>
      <c r="X17" s="132">
        <v>1.2483860508680245E-2</v>
      </c>
      <c r="Y17" s="132">
        <v>9.9056227258713901E-3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1.5335256983895045</v>
      </c>
      <c r="D18" s="132">
        <v>1.7777611488171499</v>
      </c>
      <c r="E18" s="132">
        <v>2.236462153682552</v>
      </c>
      <c r="F18" s="132">
        <v>1.1865797854271234</v>
      </c>
      <c r="G18" s="132">
        <v>1.6256109266050658</v>
      </c>
      <c r="H18" s="132">
        <v>1.1390258697870084</v>
      </c>
      <c r="I18" s="132">
        <v>1.6052589689307559</v>
      </c>
      <c r="J18" s="132">
        <v>0.22796585323916974</v>
      </c>
      <c r="K18" s="132">
        <v>0.21747179169095512</v>
      </c>
      <c r="L18" s="132">
        <v>0.22928107807081616</v>
      </c>
      <c r="M18" s="132">
        <v>0.42741403534786282</v>
      </c>
      <c r="N18" s="132">
        <v>0.69048864072143046</v>
      </c>
      <c r="O18" s="132">
        <v>0.69849337469519368</v>
      </c>
      <c r="P18" s="132">
        <v>1.4633494426688125</v>
      </c>
      <c r="Q18" s="132">
        <v>0.2753147006608278</v>
      </c>
      <c r="R18" s="132">
        <v>0.57590145597842113</v>
      </c>
      <c r="S18" s="132">
        <v>0.87243552394192347</v>
      </c>
      <c r="T18" s="132">
        <v>0.80724983439799358</v>
      </c>
      <c r="U18" s="132">
        <v>0.74079420304118282</v>
      </c>
      <c r="V18" s="132">
        <v>0.5479675644769485</v>
      </c>
      <c r="W18" s="132">
        <v>0.6149855527446868</v>
      </c>
      <c r="X18" s="132">
        <v>0.58540521849534599</v>
      </c>
      <c r="Y18" s="132">
        <v>0.51681462019560742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4.4960975805001739</v>
      </c>
      <c r="D19" s="130">
        <f t="shared" si="9"/>
        <v>5.2618607530333579</v>
      </c>
      <c r="E19" s="130">
        <f t="shared" si="9"/>
        <v>8.1430760307515122</v>
      </c>
      <c r="F19" s="130">
        <f t="shared" si="9"/>
        <v>4.1106832238142434</v>
      </c>
      <c r="G19" s="130">
        <f t="shared" si="9"/>
        <v>5.6481684245499197</v>
      </c>
      <c r="H19" s="130">
        <f t="shared" si="9"/>
        <v>3.6861808364061033</v>
      </c>
      <c r="I19" s="130">
        <f t="shared" si="9"/>
        <v>4.928552204335225</v>
      </c>
      <c r="J19" s="130">
        <f t="shared" si="9"/>
        <v>0.8495846485405516</v>
      </c>
      <c r="K19" s="130">
        <f t="shared" si="9"/>
        <v>0.86219051440045513</v>
      </c>
      <c r="L19" s="130">
        <f t="shared" si="9"/>
        <v>0.88322297332113964</v>
      </c>
      <c r="M19" s="130">
        <f t="shared" si="9"/>
        <v>1.7307546616978591</v>
      </c>
      <c r="N19" s="130">
        <f t="shared" si="9"/>
        <v>2.3865193471690329</v>
      </c>
      <c r="O19" s="130">
        <f t="shared" si="9"/>
        <v>2.9080322140635868</v>
      </c>
      <c r="P19" s="130">
        <f t="shared" si="9"/>
        <v>6.7216759887698894</v>
      </c>
      <c r="Q19" s="130">
        <f t="shared" si="9"/>
        <v>0.86351304887216385</v>
      </c>
      <c r="R19" s="130">
        <f t="shared" ref="R19:W19" si="10">SUM(R20:R27)</f>
        <v>2.6608526082683936</v>
      </c>
      <c r="S19" s="130">
        <f t="shared" si="10"/>
        <v>3.3958332718914135</v>
      </c>
      <c r="T19" s="130">
        <f t="shared" si="10"/>
        <v>3.3543981015870865</v>
      </c>
      <c r="U19" s="130">
        <f t="shared" si="10"/>
        <v>2.8870508820653931</v>
      </c>
      <c r="V19" s="130">
        <f t="shared" si="10"/>
        <v>2.4260795138675495</v>
      </c>
      <c r="W19" s="130">
        <f t="shared" si="10"/>
        <v>2.3315204644498104</v>
      </c>
      <c r="X19" s="130">
        <f t="shared" ref="X19:Y19" si="11">SUM(X20:X27)</f>
        <v>2.2663161542580306</v>
      </c>
      <c r="Y19" s="130">
        <f t="shared" si="11"/>
        <v>2.2162490951222682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2.0652383190801658</v>
      </c>
      <c r="D23" s="132">
        <v>3.0098087323012717</v>
      </c>
      <c r="E23" s="132">
        <v>4.151003513687666</v>
      </c>
      <c r="F23" s="132">
        <v>2.4337279422927875</v>
      </c>
      <c r="G23" s="132">
        <v>2.835445294083645</v>
      </c>
      <c r="H23" s="132">
        <v>2.1343347497666527</v>
      </c>
      <c r="I23" s="132">
        <v>3.4689941135567</v>
      </c>
      <c r="J23" s="132">
        <v>0.62786738312704848</v>
      </c>
      <c r="K23" s="132">
        <v>0.67131301763271101</v>
      </c>
      <c r="L23" s="132">
        <v>0.63828932463620691</v>
      </c>
      <c r="M23" s="132">
        <v>1.1882679016490678</v>
      </c>
      <c r="N23" s="132">
        <v>1.2146000246764903</v>
      </c>
      <c r="O23" s="132">
        <v>2.1826267386759199</v>
      </c>
      <c r="P23" s="132">
        <v>5.7656540199695554</v>
      </c>
      <c r="Q23" s="132">
        <v>0.53350395568705244</v>
      </c>
      <c r="R23" s="132">
        <v>1.5465299204707184</v>
      </c>
      <c r="S23" s="132">
        <v>1.9826757804412503</v>
      </c>
      <c r="T23" s="132">
        <v>2.1139289679621989</v>
      </c>
      <c r="U23" s="132">
        <v>1.6443183741672887</v>
      </c>
      <c r="V23" s="132">
        <v>1.3851681976277106</v>
      </c>
      <c r="W23" s="132">
        <v>1.0379776542431922</v>
      </c>
      <c r="X23" s="132">
        <v>0.80572993366624346</v>
      </c>
      <c r="Y23" s="132">
        <v>1.0917911393560378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0.52254967487961745</v>
      </c>
      <c r="O24" s="132">
        <v>0.1620431699222937</v>
      </c>
      <c r="P24" s="132">
        <v>0.24758933305705191</v>
      </c>
      <c r="Q24" s="132">
        <v>0</v>
      </c>
      <c r="R24" s="132">
        <v>0</v>
      </c>
      <c r="S24" s="132">
        <v>0</v>
      </c>
      <c r="T24" s="132">
        <v>0</v>
      </c>
      <c r="U24" s="132">
        <v>6.1350176069615431E-3</v>
      </c>
      <c r="V24" s="132">
        <v>2.1740949830679708E-2</v>
      </c>
      <c r="W24" s="132">
        <v>2.4142496428748574E-2</v>
      </c>
      <c r="X24" s="132">
        <v>6.6376851953617699E-2</v>
      </c>
      <c r="Y24" s="132">
        <v>0.11424071359472469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0.27381632754309759</v>
      </c>
      <c r="D25" s="132">
        <v>0.32186637473591256</v>
      </c>
      <c r="E25" s="132">
        <v>0.51228838664472232</v>
      </c>
      <c r="F25" s="132">
        <v>0.33732623824692587</v>
      </c>
      <c r="G25" s="132">
        <v>0.55167576755897862</v>
      </c>
      <c r="H25" s="132">
        <v>0.38691605759710951</v>
      </c>
      <c r="I25" s="132">
        <v>0.49119979876810138</v>
      </c>
      <c r="J25" s="132">
        <v>0.11739849394638485</v>
      </c>
      <c r="K25" s="132">
        <v>9.9195205426790625E-2</v>
      </c>
      <c r="L25" s="132">
        <v>9.1138623362020915E-2</v>
      </c>
      <c r="M25" s="132">
        <v>0.15680878699039499</v>
      </c>
      <c r="N25" s="132">
        <v>0.20814361977017715</v>
      </c>
      <c r="O25" s="132">
        <v>0.23398552819330787</v>
      </c>
      <c r="P25" s="132">
        <v>0.43999984123844227</v>
      </c>
      <c r="Q25" s="132">
        <v>9.7214632118662631E-2</v>
      </c>
      <c r="R25" s="132">
        <v>0.24457363095683785</v>
      </c>
      <c r="S25" s="132">
        <v>0.30614948517074625</v>
      </c>
      <c r="T25" s="132">
        <v>0.27148704211053087</v>
      </c>
      <c r="U25" s="132">
        <v>0.27488457004333644</v>
      </c>
      <c r="V25" s="132">
        <v>0.14364112100664811</v>
      </c>
      <c r="W25" s="132">
        <v>0.15164235089820596</v>
      </c>
      <c r="X25" s="132">
        <v>5.3174079991673347E-2</v>
      </c>
      <c r="Y25" s="132">
        <v>8.3263922579318334E-2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2.1570429338769106</v>
      </c>
      <c r="D26" s="65">
        <v>1.9301856459961737</v>
      </c>
      <c r="E26" s="65">
        <v>3.4797841304191244</v>
      </c>
      <c r="F26" s="65">
        <v>1.3396290432745297</v>
      </c>
      <c r="G26" s="65">
        <v>2.2382906519527692</v>
      </c>
      <c r="H26" s="65">
        <v>1.1407732596266191</v>
      </c>
      <c r="I26" s="65">
        <v>0.94885604585140915</v>
      </c>
      <c r="J26" s="65">
        <v>8.4742664819841301E-2</v>
      </c>
      <c r="K26" s="65">
        <v>7.6702120941324406E-2</v>
      </c>
      <c r="L26" s="65">
        <v>0.12015263601103392</v>
      </c>
      <c r="M26" s="65">
        <v>0.35984878417174054</v>
      </c>
      <c r="N26" s="65">
        <v>0.44059836740378339</v>
      </c>
      <c r="O26" s="65">
        <v>0.32546036184203736</v>
      </c>
      <c r="P26" s="65">
        <v>0.24040201031010527</v>
      </c>
      <c r="Q26" s="65">
        <v>0.21371109091710255</v>
      </c>
      <c r="R26" s="65">
        <v>0.86893189913864055</v>
      </c>
      <c r="S26" s="65">
        <v>1.0829327968224043</v>
      </c>
      <c r="T26" s="65">
        <v>0.95899049909547007</v>
      </c>
      <c r="U26" s="65">
        <v>0.92558039966950578</v>
      </c>
      <c r="V26" s="65">
        <v>0.83329740319185197</v>
      </c>
      <c r="W26" s="65">
        <v>1.1177579628796637</v>
      </c>
      <c r="X26" s="65">
        <v>1.2936170061176719</v>
      </c>
      <c r="Y26" s="65">
        <v>0.8669895885682638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2.2756710954527897E-2</v>
      </c>
      <c r="H27" s="147">
        <v>2.4156769415721868E-2</v>
      </c>
      <c r="I27" s="147">
        <v>1.9502246159014077E-2</v>
      </c>
      <c r="J27" s="147">
        <v>1.9576106647277072E-2</v>
      </c>
      <c r="K27" s="147">
        <v>1.4980170399629036E-2</v>
      </c>
      <c r="L27" s="147">
        <v>3.3642389311877879E-2</v>
      </c>
      <c r="M27" s="147">
        <v>2.5829188886655714E-2</v>
      </c>
      <c r="N27" s="147">
        <v>6.2766043896442594E-4</v>
      </c>
      <c r="O27" s="147">
        <v>3.9164154300278921E-3</v>
      </c>
      <c r="P27" s="147">
        <v>2.8030784194735252E-2</v>
      </c>
      <c r="Q27" s="147">
        <v>1.9083370149346239E-2</v>
      </c>
      <c r="R27" s="147">
        <v>8.1715770219730009E-4</v>
      </c>
      <c r="S27" s="147">
        <v>2.4075209457013094E-2</v>
      </c>
      <c r="T27" s="147">
        <v>9.9915924188870645E-3</v>
      </c>
      <c r="U27" s="147">
        <v>3.6132520578300575E-2</v>
      </c>
      <c r="V27" s="147">
        <v>4.2231842210658996E-2</v>
      </c>
      <c r="W27" s="147">
        <v>1.4975807797243659E-16</v>
      </c>
      <c r="X27" s="147">
        <v>4.7418282528824143E-2</v>
      </c>
      <c r="Y27" s="147">
        <v>5.9963731023923501E-2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4.8601900044455952</v>
      </c>
      <c r="D29" s="130">
        <f t="shared" si="12"/>
        <v>5.3845219355554068</v>
      </c>
      <c r="E29" s="130">
        <f t="shared" si="12"/>
        <v>8.4725193748029799</v>
      </c>
      <c r="F29" s="130">
        <f t="shared" si="12"/>
        <v>4.5517278992978731</v>
      </c>
      <c r="G29" s="130">
        <f t="shared" si="12"/>
        <v>6.198904194587052</v>
      </c>
      <c r="H29" s="130">
        <f t="shared" si="12"/>
        <v>4.1464368004427978</v>
      </c>
      <c r="I29" s="130">
        <f t="shared" si="12"/>
        <v>5.3323053400928346</v>
      </c>
      <c r="J29" s="130">
        <f t="shared" si="12"/>
        <v>0.91745323900484688</v>
      </c>
      <c r="K29" s="130">
        <f t="shared" si="12"/>
        <v>0.89963767476874168</v>
      </c>
      <c r="L29" s="130">
        <f t="shared" si="12"/>
        <v>1.0023607543130846</v>
      </c>
      <c r="M29" s="130">
        <f t="shared" si="12"/>
        <v>2.1184965580516586</v>
      </c>
      <c r="N29" s="130">
        <f t="shared" si="12"/>
        <v>2.7481507134756562</v>
      </c>
      <c r="O29" s="130">
        <f t="shared" si="12"/>
        <v>3.4304508571370484</v>
      </c>
      <c r="P29" s="130">
        <f t="shared" si="12"/>
        <v>7.8612903694853493</v>
      </c>
      <c r="Q29" s="130">
        <f t="shared" si="12"/>
        <v>1.0670085122898343</v>
      </c>
      <c r="R29" s="130">
        <f t="shared" ref="R29:W29" si="13">SUM(R30:R33)</f>
        <v>3.2179148660646217</v>
      </c>
      <c r="S29" s="130">
        <f t="shared" si="13"/>
        <v>4.1608014856126969</v>
      </c>
      <c r="T29" s="130">
        <f t="shared" si="13"/>
        <v>4.2966040257931279</v>
      </c>
      <c r="U29" s="130">
        <f t="shared" si="13"/>
        <v>3.7853895956914094</v>
      </c>
      <c r="V29" s="130">
        <f t="shared" si="13"/>
        <v>3.479618209539634</v>
      </c>
      <c r="W29" s="130">
        <f t="shared" si="13"/>
        <v>3.4879900608919834</v>
      </c>
      <c r="X29" s="130">
        <f t="shared" ref="X29:Y29" si="14">SUM(X30:X33)</f>
        <v>3.3272401234823095</v>
      </c>
      <c r="Y29" s="130">
        <f t="shared" si="14"/>
        <v>3.1719645026808463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0.37079973674972011</v>
      </c>
      <c r="D30" s="132">
        <v>0.60169622645233933</v>
      </c>
      <c r="E30" s="132">
        <v>0</v>
      </c>
      <c r="F30" s="132">
        <v>0</v>
      </c>
      <c r="G30" s="132">
        <v>0</v>
      </c>
      <c r="H30" s="132">
        <v>0.32817497824278102</v>
      </c>
      <c r="I30" s="132">
        <v>0.78073162764623483</v>
      </c>
      <c r="J30" s="132">
        <v>0.11352565822639091</v>
      </c>
      <c r="K30" s="132">
        <v>0.13943915562059947</v>
      </c>
      <c r="L30" s="132">
        <v>0.13641450022694712</v>
      </c>
      <c r="M30" s="132">
        <v>0</v>
      </c>
      <c r="N30" s="132">
        <v>0</v>
      </c>
      <c r="O30" s="132">
        <v>0</v>
      </c>
      <c r="P30" s="132">
        <v>0.13981388985487397</v>
      </c>
      <c r="Q30" s="132">
        <v>3.3618234905889145E-2</v>
      </c>
      <c r="R30" s="132">
        <v>6.4996212284154309E-2</v>
      </c>
      <c r="S30" s="132">
        <v>0.1646471558580398</v>
      </c>
      <c r="T30" s="132">
        <v>0.57732447144929389</v>
      </c>
      <c r="U30" s="132">
        <v>0.4248652129431722</v>
      </c>
      <c r="V30" s="132">
        <v>0.42183607738955614</v>
      </c>
      <c r="W30" s="132">
        <v>0.18964143372330636</v>
      </c>
      <c r="X30" s="132">
        <v>5.2775909083748671E-2</v>
      </c>
      <c r="Y30" s="132">
        <v>0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1.9492054761241813</v>
      </c>
      <c r="D31" s="132">
        <v>2.7313572503562327</v>
      </c>
      <c r="E31" s="132">
        <v>4.8541731677864695</v>
      </c>
      <c r="F31" s="132">
        <v>3.1436819366188313</v>
      </c>
      <c r="G31" s="132">
        <v>4.1592343219378485</v>
      </c>
      <c r="H31" s="132">
        <v>2.6073554554517799</v>
      </c>
      <c r="I31" s="132">
        <v>2.6784262056720349</v>
      </c>
      <c r="J31" s="132">
        <v>0.47731600886476633</v>
      </c>
      <c r="K31" s="132">
        <v>0.37860053627117202</v>
      </c>
      <c r="L31" s="132">
        <v>0.54263437233180345</v>
      </c>
      <c r="M31" s="132">
        <v>1.9529329107321958</v>
      </c>
      <c r="N31" s="132">
        <v>2.3436922890010834</v>
      </c>
      <c r="O31" s="132">
        <v>2.5488798658991607</v>
      </c>
      <c r="P31" s="132">
        <v>5.1773471346628259</v>
      </c>
      <c r="Q31" s="132">
        <v>0.64081056236659062</v>
      </c>
      <c r="R31" s="132">
        <v>1.7362852269085685</v>
      </c>
      <c r="S31" s="132">
        <v>2.2960246369202908</v>
      </c>
      <c r="T31" s="132">
        <v>2.2402378489079759</v>
      </c>
      <c r="U31" s="132">
        <v>2.1476073070621067</v>
      </c>
      <c r="V31" s="132">
        <v>2.0628587613569667</v>
      </c>
      <c r="W31" s="132">
        <v>2.2224291446136459</v>
      </c>
      <c r="X31" s="132">
        <v>2.1224421192042473</v>
      </c>
      <c r="Y31" s="132">
        <v>2.0007181583980151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2.5401847915716935</v>
      </c>
      <c r="D33" s="68">
        <v>2.051468458746835</v>
      </c>
      <c r="E33" s="68">
        <v>3.61834620701651</v>
      </c>
      <c r="F33" s="68">
        <v>1.4080459626790416</v>
      </c>
      <c r="G33" s="68">
        <v>2.0396698726492035</v>
      </c>
      <c r="H33" s="68">
        <v>1.2109063667482367</v>
      </c>
      <c r="I33" s="68">
        <v>1.8731475067745651</v>
      </c>
      <c r="J33" s="68">
        <v>0.32661157191368956</v>
      </c>
      <c r="K33" s="68">
        <v>0.38159798287697022</v>
      </c>
      <c r="L33" s="68">
        <v>0.32331188175433406</v>
      </c>
      <c r="M33" s="68">
        <v>0.16556364731946296</v>
      </c>
      <c r="N33" s="68">
        <v>0.40445842447457264</v>
      </c>
      <c r="O33" s="68">
        <v>0.88157099123788774</v>
      </c>
      <c r="P33" s="68">
        <v>2.544129344967649</v>
      </c>
      <c r="Q33" s="68">
        <v>0.39257971501735456</v>
      </c>
      <c r="R33" s="68">
        <v>1.416633426871899</v>
      </c>
      <c r="S33" s="68">
        <v>1.7001296928343663</v>
      </c>
      <c r="T33" s="68">
        <v>1.4790417054358587</v>
      </c>
      <c r="U33" s="68">
        <v>1.2129170756861307</v>
      </c>
      <c r="V33" s="68">
        <v>0.99492337079311111</v>
      </c>
      <c r="W33" s="68">
        <v>1.0759194825550309</v>
      </c>
      <c r="X33" s="68">
        <v>1.1520220951943136</v>
      </c>
      <c r="Y33" s="68">
        <v>1.1712463442828314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40.366593611056288</v>
      </c>
      <c r="D3" s="125">
        <f t="shared" si="0"/>
        <v>41.524255009964854</v>
      </c>
      <c r="E3" s="125">
        <f t="shared" si="0"/>
        <v>64.088441161074513</v>
      </c>
      <c r="F3" s="125">
        <f t="shared" si="0"/>
        <v>36.474294441818351</v>
      </c>
      <c r="G3" s="125">
        <f t="shared" si="0"/>
        <v>49.375690671598463</v>
      </c>
      <c r="H3" s="125">
        <f t="shared" si="0"/>
        <v>28.796250340148511</v>
      </c>
      <c r="I3" s="125">
        <f t="shared" si="0"/>
        <v>36.031882057034323</v>
      </c>
      <c r="J3" s="125">
        <f t="shared" si="0"/>
        <v>5.989227516547313</v>
      </c>
      <c r="K3" s="125">
        <f t="shared" si="0"/>
        <v>6.0621311010934607</v>
      </c>
      <c r="L3" s="125">
        <f t="shared" si="0"/>
        <v>6.5648533432877887</v>
      </c>
      <c r="M3" s="125">
        <f t="shared" si="0"/>
        <v>12.44252590359728</v>
      </c>
      <c r="N3" s="125">
        <f t="shared" si="0"/>
        <v>14.050069139059424</v>
      </c>
      <c r="O3" s="125">
        <f t="shared" si="0"/>
        <v>16.76227309388846</v>
      </c>
      <c r="P3" s="125">
        <f t="shared" si="0"/>
        <v>35.323537838836998</v>
      </c>
      <c r="Q3" s="125">
        <f t="shared" si="0"/>
        <v>5.3122223785272675</v>
      </c>
      <c r="R3" s="125">
        <f t="shared" ref="R3:W3" si="1">SUM(R4,R16,R19,R29)</f>
        <v>15.186255046436674</v>
      </c>
      <c r="S3" s="125">
        <f t="shared" si="1"/>
        <v>19.562971855101196</v>
      </c>
      <c r="T3" s="125">
        <f t="shared" si="1"/>
        <v>18.556633613775954</v>
      </c>
      <c r="U3" s="125">
        <f t="shared" si="1"/>
        <v>15.896336045585247</v>
      </c>
      <c r="V3" s="125">
        <f t="shared" si="1"/>
        <v>13.591263284826455</v>
      </c>
      <c r="W3" s="125">
        <f t="shared" si="1"/>
        <v>12.543044460944779</v>
      </c>
      <c r="X3" s="125">
        <f t="shared" ref="X3:Y3" si="2">SUM(X4,X16,X19,X29)</f>
        <v>11.630856688179671</v>
      </c>
      <c r="Y3" s="125">
        <f t="shared" si="2"/>
        <v>10.083312207194016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30.575937389032838</v>
      </c>
      <c r="D4" s="130">
        <f t="shared" si="3"/>
        <v>30.351562213689064</v>
      </c>
      <c r="E4" s="130">
        <f t="shared" si="3"/>
        <v>47.516069776891243</v>
      </c>
      <c r="F4" s="130">
        <f t="shared" si="3"/>
        <v>27.777939090008804</v>
      </c>
      <c r="G4" s="130">
        <f t="shared" si="3"/>
        <v>37.208899340766408</v>
      </c>
      <c r="H4" s="130">
        <f t="shared" si="3"/>
        <v>20.507084042941056</v>
      </c>
      <c r="I4" s="130">
        <f t="shared" si="3"/>
        <v>24.68817027212658</v>
      </c>
      <c r="J4" s="130">
        <f t="shared" si="3"/>
        <v>4.1351305488348551</v>
      </c>
      <c r="K4" s="130">
        <f t="shared" si="3"/>
        <v>4.2072833507176206</v>
      </c>
      <c r="L4" s="130">
        <f t="shared" si="3"/>
        <v>4.5698245248597376</v>
      </c>
      <c r="M4" s="130">
        <f t="shared" si="3"/>
        <v>8.5395945771364623</v>
      </c>
      <c r="N4" s="130">
        <f t="shared" si="3"/>
        <v>8.2771543214409444</v>
      </c>
      <c r="O4" s="130">
        <f t="shared" si="3"/>
        <v>9.928792954811275</v>
      </c>
      <c r="P4" s="130">
        <f t="shared" si="3"/>
        <v>19.615060976836816</v>
      </c>
      <c r="Q4" s="130">
        <f t="shared" si="3"/>
        <v>2.8521421962073279</v>
      </c>
      <c r="R4" s="130">
        <f t="shared" ref="R4:W4" si="4">SUM(R5:R15)</f>
        <v>8.517070348258347</v>
      </c>
      <c r="S4" s="130">
        <f t="shared" si="4"/>
        <v>10.370421251054207</v>
      </c>
      <c r="T4" s="130">
        <f t="shared" si="4"/>
        <v>9.5569348127397706</v>
      </c>
      <c r="U4" s="130">
        <f t="shared" si="4"/>
        <v>7.8171243944702651</v>
      </c>
      <c r="V4" s="130">
        <f t="shared" si="4"/>
        <v>6.8801324157854449</v>
      </c>
      <c r="W4" s="130">
        <f t="shared" si="4"/>
        <v>5.5535760931083722</v>
      </c>
      <c r="X4" s="130">
        <f t="shared" ref="X4:Y4" si="5">SUM(X5:X15)</f>
        <v>4.8378973695574707</v>
      </c>
      <c r="Y4" s="130">
        <f t="shared" si="5"/>
        <v>3.7114194137771337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1.2450912395457092E-2</v>
      </c>
      <c r="N5" s="132">
        <v>1.5221847955943541E-2</v>
      </c>
      <c r="O5" s="132">
        <v>9.0804280699897141E-2</v>
      </c>
      <c r="P5" s="132">
        <v>8.3183661011007257E-2</v>
      </c>
      <c r="Q5" s="132">
        <v>1.0063696409320852E-2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0</v>
      </c>
      <c r="D7" s="132">
        <v>0</v>
      </c>
      <c r="E7" s="132">
        <v>0</v>
      </c>
      <c r="F7" s="132">
        <v>0</v>
      </c>
      <c r="G7" s="132">
        <v>0</v>
      </c>
      <c r="H7" s="132">
        <v>0</v>
      </c>
      <c r="I7" s="132">
        <v>0</v>
      </c>
      <c r="J7" s="132">
        <v>0</v>
      </c>
      <c r="K7" s="132">
        <v>0</v>
      </c>
      <c r="L7" s="132">
        <v>0</v>
      </c>
      <c r="M7" s="132">
        <v>0</v>
      </c>
      <c r="N7" s="132">
        <v>0.40962705195013488</v>
      </c>
      <c r="O7" s="132">
        <v>0.13254305662828264</v>
      </c>
      <c r="P7" s="132">
        <v>1.1513891850032347</v>
      </c>
      <c r="Q7" s="132">
        <v>0.26870519266595777</v>
      </c>
      <c r="R7" s="132">
        <v>0.57855803303308628</v>
      </c>
      <c r="S7" s="132">
        <v>0.20692215075745224</v>
      </c>
      <c r="T7" s="132">
        <v>0.19528881421405458</v>
      </c>
      <c r="U7" s="132">
        <v>5.8740472576627172E-2</v>
      </c>
      <c r="V7" s="132">
        <v>9.7317563673664287E-2</v>
      </c>
      <c r="W7" s="132">
        <v>0.15513856928339742</v>
      </c>
      <c r="X7" s="132">
        <v>5.3244739740025158E-2</v>
      </c>
      <c r="Y7" s="132">
        <v>4.0181790466950876E-2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4.9818494324191333E-4</v>
      </c>
      <c r="S8" s="132">
        <v>1.9179871586475013E-3</v>
      </c>
      <c r="T8" s="132">
        <v>4.1457922741889811E-3</v>
      </c>
      <c r="U8" s="132">
        <v>2.7592235787796526E-3</v>
      </c>
      <c r="V8" s="132">
        <v>4.0201239018663546E-3</v>
      </c>
      <c r="W8" s="132">
        <v>1.4214936001276266E-3</v>
      </c>
      <c r="X8" s="132">
        <v>1.7076575236874448E-3</v>
      </c>
      <c r="Y8" s="132">
        <v>2.1460432897562301E-3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23.392042465372398</v>
      </c>
      <c r="D9" s="132">
        <v>26.508407022556298</v>
      </c>
      <c r="E9" s="132">
        <v>41.657912613564889</v>
      </c>
      <c r="F9" s="132">
        <v>23.498108276755975</v>
      </c>
      <c r="G9" s="132">
        <v>20.184412804930243</v>
      </c>
      <c r="H9" s="132">
        <v>5.841640676708705</v>
      </c>
      <c r="I9" s="132">
        <v>3.6458237882937188</v>
      </c>
      <c r="J9" s="132">
        <v>0.74953884736576881</v>
      </c>
      <c r="K9" s="132">
        <v>2.3992955997781116</v>
      </c>
      <c r="L9" s="132">
        <v>3.9707383381081689</v>
      </c>
      <c r="M9" s="132">
        <v>7.3822878456294223</v>
      </c>
      <c r="N9" s="132">
        <v>6.4133080551088382</v>
      </c>
      <c r="O9" s="132">
        <v>7.8455968466953685</v>
      </c>
      <c r="P9" s="132">
        <v>13.942903517536266</v>
      </c>
      <c r="Q9" s="132">
        <v>0.67193966506489355</v>
      </c>
      <c r="R9" s="132">
        <v>3.142013195035732</v>
      </c>
      <c r="S9" s="132">
        <v>5.0437085572559299</v>
      </c>
      <c r="T9" s="132">
        <v>5.2976623248799921</v>
      </c>
      <c r="U9" s="132">
        <v>4.9311768664752123</v>
      </c>
      <c r="V9" s="132">
        <v>4.3620929547065304</v>
      </c>
      <c r="W9" s="132">
        <v>2.6202720802661137</v>
      </c>
      <c r="X9" s="132">
        <v>1.1570246120500762</v>
      </c>
      <c r="Y9" s="132">
        <v>0.82717771173322885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0.44171863353192525</v>
      </c>
      <c r="D10" s="132">
        <v>0.50630939698244448</v>
      </c>
      <c r="E10" s="132">
        <v>0.62082987152368208</v>
      </c>
      <c r="F10" s="132">
        <v>0.15803835419466053</v>
      </c>
      <c r="G10" s="132">
        <v>0</v>
      </c>
      <c r="H10" s="132">
        <v>0</v>
      </c>
      <c r="I10" s="132">
        <v>0.27463916025725554</v>
      </c>
      <c r="J10" s="132">
        <v>0.1005193287964507</v>
      </c>
      <c r="K10" s="132">
        <v>8.1663274028231383E-2</v>
      </c>
      <c r="L10" s="132">
        <v>9.6559227220491192E-2</v>
      </c>
      <c r="M10" s="132">
        <v>0.1841913366813748</v>
      </c>
      <c r="N10" s="132">
        <v>0.21664116312768211</v>
      </c>
      <c r="O10" s="132">
        <v>0.22861582875511632</v>
      </c>
      <c r="P10" s="132">
        <v>0.27833987340012412</v>
      </c>
      <c r="Q10" s="132">
        <v>5.3942261670260429E-2</v>
      </c>
      <c r="R10" s="132">
        <v>2.0878668762827311E-2</v>
      </c>
      <c r="S10" s="132">
        <v>0.1111477832397358</v>
      </c>
      <c r="T10" s="132">
        <v>6.7222106396832737E-2</v>
      </c>
      <c r="U10" s="132">
        <v>8.4945687306051176E-2</v>
      </c>
      <c r="V10" s="132">
        <v>0</v>
      </c>
      <c r="W10" s="132">
        <v>4.0999873112919291E-2</v>
      </c>
      <c r="X10" s="132">
        <v>0.12170592780767948</v>
      </c>
      <c r="Y10" s="132">
        <v>0.21863247200431585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1.1842130357034835</v>
      </c>
      <c r="D11" s="132">
        <v>1.4179484467421555</v>
      </c>
      <c r="E11" s="132">
        <v>0.79177916538833659</v>
      </c>
      <c r="F11" s="132">
        <v>0</v>
      </c>
      <c r="G11" s="132">
        <v>1.0781371136575832</v>
      </c>
      <c r="H11" s="132">
        <v>1.6810656627204812</v>
      </c>
      <c r="I11" s="132">
        <v>2.3318548857192756</v>
      </c>
      <c r="J11" s="132">
        <v>0.48201121918549966</v>
      </c>
      <c r="K11" s="132">
        <v>0.24264773414637078</v>
      </c>
      <c r="L11" s="132">
        <v>0.26720784647498258</v>
      </c>
      <c r="M11" s="132">
        <v>0.52544671539979271</v>
      </c>
      <c r="N11" s="132">
        <v>0.46143057844257146</v>
      </c>
      <c r="O11" s="132">
        <v>0.26442403502277928</v>
      </c>
      <c r="P11" s="132">
        <v>0</v>
      </c>
      <c r="Q11" s="132">
        <v>0</v>
      </c>
      <c r="R11" s="132">
        <v>0</v>
      </c>
      <c r="S11" s="132">
        <v>0.29051132414860736</v>
      </c>
      <c r="T11" s="132">
        <v>0.21931770148885177</v>
      </c>
      <c r="U11" s="132">
        <v>0.20746282898332727</v>
      </c>
      <c r="V11" s="132">
        <v>0.15262210165374074</v>
      </c>
      <c r="W11" s="132">
        <v>0.47597849028367673</v>
      </c>
      <c r="X11" s="132">
        <v>0.53616879681978258</v>
      </c>
      <c r="Y11" s="132">
        <v>0.53048380479905533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4.3279093639821218</v>
      </c>
      <c r="D12" s="132">
        <v>1.3907827464872773</v>
      </c>
      <c r="E12" s="132">
        <v>2.2686648964321168</v>
      </c>
      <c r="F12" s="132">
        <v>0</v>
      </c>
      <c r="G12" s="132">
        <v>3.4646710946231334</v>
      </c>
      <c r="H12" s="132">
        <v>3.9877302153526553</v>
      </c>
      <c r="I12" s="132">
        <v>6.8973874295607089</v>
      </c>
      <c r="J12" s="132">
        <v>1.2863912295146245</v>
      </c>
      <c r="K12" s="132">
        <v>0.31590714118862062</v>
      </c>
      <c r="L12" s="132">
        <v>0.16238885281534221</v>
      </c>
      <c r="M12" s="132">
        <v>0.29858312511827545</v>
      </c>
      <c r="N12" s="132">
        <v>0.62281117282542808</v>
      </c>
      <c r="O12" s="132">
        <v>1.1939222237691229</v>
      </c>
      <c r="P12" s="132">
        <v>3.3734823178285045</v>
      </c>
      <c r="Q12" s="132">
        <v>0.96265879202685856</v>
      </c>
      <c r="R12" s="132">
        <v>2.3219063170979055</v>
      </c>
      <c r="S12" s="132">
        <v>1.8180622775811404</v>
      </c>
      <c r="T12" s="132">
        <v>0.92905300186371487</v>
      </c>
      <c r="U12" s="132">
        <v>0.70855301347164579</v>
      </c>
      <c r="V12" s="132">
        <v>0.81163259933726217</v>
      </c>
      <c r="W12" s="132">
        <v>0.9289433091483984</v>
      </c>
      <c r="X12" s="132">
        <v>0.72732195740236383</v>
      </c>
      <c r="Y12" s="132">
        <v>0.4439330304809197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5.6125516029527866E-4</v>
      </c>
      <c r="D13" s="132">
        <v>9.1537557990728144E-4</v>
      </c>
      <c r="E13" s="132">
        <v>1.795541135117848E-3</v>
      </c>
      <c r="F13" s="132">
        <v>2.5815125310041484E-3</v>
      </c>
      <c r="G13" s="132">
        <v>8.0559167100133725E-3</v>
      </c>
      <c r="H13" s="132">
        <v>7.499902301086582E-3</v>
      </c>
      <c r="I13" s="132">
        <v>1.3698982865638143E-2</v>
      </c>
      <c r="J13" s="132">
        <v>2.0956815475741196E-3</v>
      </c>
      <c r="K13" s="132">
        <v>1.8894346841471443E-3</v>
      </c>
      <c r="L13" s="132">
        <v>2.9607748493456908E-3</v>
      </c>
      <c r="M13" s="132">
        <v>7.7232988496614054E-3</v>
      </c>
      <c r="N13" s="132">
        <v>1.8401352214734122E-2</v>
      </c>
      <c r="O13" s="132">
        <v>3.2978344911393509E-2</v>
      </c>
      <c r="P13" s="132">
        <v>0.11922620954240529</v>
      </c>
      <c r="Q13" s="132">
        <v>4.1953632716240615E-3</v>
      </c>
      <c r="R13" s="132">
        <v>2.5775123777129469E-2</v>
      </c>
      <c r="S13" s="132">
        <v>5.1475074821486944E-2</v>
      </c>
      <c r="T13" s="132">
        <v>0.12646982810316779</v>
      </c>
      <c r="U13" s="132">
        <v>0.10081752464515482</v>
      </c>
      <c r="V13" s="132">
        <v>0.32350800357044146</v>
      </c>
      <c r="W13" s="132">
        <v>0.21340847821250442</v>
      </c>
      <c r="X13" s="132">
        <v>0.98762924091359094</v>
      </c>
      <c r="Y13" s="132">
        <v>0.71199605544371813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0.74006587908227239</v>
      </c>
      <c r="D14" s="65">
        <v>0</v>
      </c>
      <c r="E14" s="65">
        <v>1.3702151144865633</v>
      </c>
      <c r="F14" s="65">
        <v>3.6830678841695446</v>
      </c>
      <c r="G14" s="65">
        <v>12.085882132971799</v>
      </c>
      <c r="H14" s="65">
        <v>8.8592304638589461</v>
      </c>
      <c r="I14" s="65">
        <v>11.417384102805228</v>
      </c>
      <c r="J14" s="65">
        <v>1.4929826503012154</v>
      </c>
      <c r="K14" s="65">
        <v>1.1216080793180843</v>
      </c>
      <c r="L14" s="65">
        <v>0</v>
      </c>
      <c r="M14" s="65">
        <v>0</v>
      </c>
      <c r="N14" s="65">
        <v>0</v>
      </c>
      <c r="O14" s="65">
        <v>0</v>
      </c>
      <c r="P14" s="65">
        <v>0.40342054422228979</v>
      </c>
      <c r="Q14" s="65">
        <v>0.86096945110655798</v>
      </c>
      <c r="R14" s="65">
        <v>2.3579679791508008</v>
      </c>
      <c r="S14" s="65">
        <v>2.7531557413365673</v>
      </c>
      <c r="T14" s="65">
        <v>2.6249414101516559</v>
      </c>
      <c r="U14" s="65">
        <v>1.638907995728881</v>
      </c>
      <c r="V14" s="65">
        <v>1.0542345981547658</v>
      </c>
      <c r="W14" s="65">
        <v>1.0674490282485296</v>
      </c>
      <c r="X14" s="65">
        <v>1.2278838442712861</v>
      </c>
      <c r="Y14" s="65">
        <v>0.91745875469057536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0.48942675620034193</v>
      </c>
      <c r="D15" s="134">
        <v>0.52719922534098074</v>
      </c>
      <c r="E15" s="134">
        <v>0.80487257436054516</v>
      </c>
      <c r="F15" s="134">
        <v>0.43614306235761996</v>
      </c>
      <c r="G15" s="134">
        <v>0.38774027787363674</v>
      </c>
      <c r="H15" s="134">
        <v>0.12991712199918126</v>
      </c>
      <c r="I15" s="134">
        <v>0.10738192262475776</v>
      </c>
      <c r="J15" s="134">
        <v>2.1591592123721633E-2</v>
      </c>
      <c r="K15" s="134">
        <v>4.427208757405466E-2</v>
      </c>
      <c r="L15" s="134">
        <v>6.9969485391407168E-2</v>
      </c>
      <c r="M15" s="134">
        <v>0.12891134306247809</v>
      </c>
      <c r="N15" s="134">
        <v>0.11971309981561178</v>
      </c>
      <c r="O15" s="134">
        <v>0.13990833832931557</v>
      </c>
      <c r="P15" s="134">
        <v>0.26311566829298771</v>
      </c>
      <c r="Q15" s="134">
        <v>1.9667773991854716E-2</v>
      </c>
      <c r="R15" s="134">
        <v>6.9472846457622653E-2</v>
      </c>
      <c r="S15" s="134">
        <v>9.3520354754640572E-2</v>
      </c>
      <c r="T15" s="134">
        <v>9.2833833367311824E-2</v>
      </c>
      <c r="U15" s="134">
        <v>8.3760781704585091E-2</v>
      </c>
      <c r="V15" s="134">
        <v>7.4704470787174057E-2</v>
      </c>
      <c r="W15" s="134">
        <v>4.9964770952705143E-2</v>
      </c>
      <c r="X15" s="134">
        <v>2.5210593028978087E-2</v>
      </c>
      <c r="Y15" s="134">
        <v>1.9409750868613702E-2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3.4087585791180777</v>
      </c>
      <c r="D16" s="130">
        <f t="shared" si="6"/>
        <v>4.1108560136871555</v>
      </c>
      <c r="E16" s="130">
        <f t="shared" si="6"/>
        <v>5.3702407344144625</v>
      </c>
      <c r="F16" s="130">
        <f t="shared" si="6"/>
        <v>2.9504005060759217</v>
      </c>
      <c r="G16" s="130">
        <f t="shared" si="6"/>
        <v>4.1977299269598012</v>
      </c>
      <c r="H16" s="130">
        <f t="shared" si="6"/>
        <v>3.0497662739426858</v>
      </c>
      <c r="I16" s="130">
        <f t="shared" si="6"/>
        <v>4.4488453234841812</v>
      </c>
      <c r="J16" s="130">
        <f t="shared" si="6"/>
        <v>0.65274576712420829</v>
      </c>
      <c r="K16" s="130">
        <f t="shared" si="6"/>
        <v>0.64572454568562965</v>
      </c>
      <c r="L16" s="130">
        <f t="shared" si="6"/>
        <v>0.70517152731556576</v>
      </c>
      <c r="M16" s="130">
        <f t="shared" si="6"/>
        <v>1.3640577861142178</v>
      </c>
      <c r="N16" s="130">
        <f t="shared" si="6"/>
        <v>2.2968060918701543</v>
      </c>
      <c r="O16" s="130">
        <f t="shared" si="6"/>
        <v>2.4300826014618702</v>
      </c>
      <c r="P16" s="130">
        <f t="shared" si="6"/>
        <v>5.3075931924021127</v>
      </c>
      <c r="Q16" s="130">
        <f t="shared" si="6"/>
        <v>1.0336607870687493</v>
      </c>
      <c r="R16" s="130">
        <f t="shared" ref="R16:W16" si="7">SUM(R17:R18)</f>
        <v>2.2262003604342495</v>
      </c>
      <c r="S16" s="130">
        <f t="shared" si="7"/>
        <v>3.4420311017966574</v>
      </c>
      <c r="T16" s="130">
        <f t="shared" si="7"/>
        <v>3.2045265304570432</v>
      </c>
      <c r="U16" s="130">
        <f t="shared" si="7"/>
        <v>2.9860726074917956</v>
      </c>
      <c r="V16" s="130">
        <f t="shared" si="7"/>
        <v>2.2118319593778168</v>
      </c>
      <c r="W16" s="130">
        <f t="shared" si="7"/>
        <v>2.4895063752282764</v>
      </c>
      <c r="X16" s="130">
        <f t="shared" ref="X16:Y16" si="8">SUM(X17:X18)</f>
        <v>2.3793495014870616</v>
      </c>
      <c r="Y16" s="130">
        <f t="shared" si="8"/>
        <v>2.1077874579875995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1.3313690423724694E-2</v>
      </c>
      <c r="D17" s="132">
        <v>1.8011761521470115E-2</v>
      </c>
      <c r="E17" s="132">
        <v>2.1274329606091325E-2</v>
      </c>
      <c r="F17" s="132">
        <v>5.398612726715297E-3</v>
      </c>
      <c r="G17" s="132">
        <v>1.4365941449079538E-2</v>
      </c>
      <c r="H17" s="132">
        <v>1.3031967527470848E-2</v>
      </c>
      <c r="I17" s="132">
        <v>1.8265047934929626E-2</v>
      </c>
      <c r="J17" s="132">
        <v>1.7255177663770172E-3</v>
      </c>
      <c r="K17" s="132">
        <v>3.381766659798341E-3</v>
      </c>
      <c r="L17" s="132">
        <v>4.9925585571230068E-3</v>
      </c>
      <c r="M17" s="132">
        <v>9.7944126432998307E-3</v>
      </c>
      <c r="N17" s="132">
        <v>1.7174982850031609E-2</v>
      </c>
      <c r="O17" s="132">
        <v>1.854571969876017E-2</v>
      </c>
      <c r="P17" s="132">
        <v>2.9509829776678716E-2</v>
      </c>
      <c r="Q17" s="132">
        <v>8.017567001167002E-3</v>
      </c>
      <c r="R17" s="132">
        <v>1.5889437045972472E-2</v>
      </c>
      <c r="S17" s="132">
        <v>4.2662336473604949E-2</v>
      </c>
      <c r="T17" s="132">
        <v>2.8879169697407975E-2</v>
      </c>
      <c r="U17" s="132">
        <v>5.219832177032626E-2</v>
      </c>
      <c r="V17" s="132">
        <v>2.7500157069474552E-2</v>
      </c>
      <c r="W17" s="132">
        <v>2.267289074081523E-2</v>
      </c>
      <c r="X17" s="132">
        <v>1.9512713948435963E-2</v>
      </c>
      <c r="Y17" s="132">
        <v>1.5494855534429412E-2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3.3954448886943531</v>
      </c>
      <c r="D18" s="132">
        <v>4.0928442521656851</v>
      </c>
      <c r="E18" s="132">
        <v>5.3489664048083716</v>
      </c>
      <c r="F18" s="132">
        <v>2.9450018933492066</v>
      </c>
      <c r="G18" s="132">
        <v>4.1833639855107219</v>
      </c>
      <c r="H18" s="132">
        <v>3.036734306415215</v>
      </c>
      <c r="I18" s="132">
        <v>4.4305802755492518</v>
      </c>
      <c r="J18" s="132">
        <v>0.65102024935783132</v>
      </c>
      <c r="K18" s="132">
        <v>0.64234277902583126</v>
      </c>
      <c r="L18" s="132">
        <v>0.70017896875844277</v>
      </c>
      <c r="M18" s="132">
        <v>1.354263373470918</v>
      </c>
      <c r="N18" s="132">
        <v>2.2796311090201224</v>
      </c>
      <c r="O18" s="132">
        <v>2.41153688176311</v>
      </c>
      <c r="P18" s="132">
        <v>5.2780833626254342</v>
      </c>
      <c r="Q18" s="132">
        <v>1.0256432200675822</v>
      </c>
      <c r="R18" s="132">
        <v>2.2103109233882772</v>
      </c>
      <c r="S18" s="132">
        <v>3.3993687653230524</v>
      </c>
      <c r="T18" s="132">
        <v>3.1756473607596352</v>
      </c>
      <c r="U18" s="132">
        <v>2.9338742857214695</v>
      </c>
      <c r="V18" s="132">
        <v>2.1843318023083422</v>
      </c>
      <c r="W18" s="132">
        <v>2.4668334844874611</v>
      </c>
      <c r="X18" s="132">
        <v>2.3598367875386255</v>
      </c>
      <c r="Y18" s="132">
        <v>2.0922926024531701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2.8194132900444333</v>
      </c>
      <c r="D19" s="130">
        <f t="shared" si="9"/>
        <v>3.2667642557973799</v>
      </c>
      <c r="E19" s="130">
        <f t="shared" si="9"/>
        <v>5.1360169973702785</v>
      </c>
      <c r="F19" s="130">
        <f t="shared" si="9"/>
        <v>2.5926688045827957</v>
      </c>
      <c r="G19" s="130">
        <f t="shared" si="9"/>
        <v>3.6474911859623411</v>
      </c>
      <c r="H19" s="130">
        <f t="shared" si="9"/>
        <v>2.3824703498423654</v>
      </c>
      <c r="I19" s="130">
        <f t="shared" si="9"/>
        <v>3.1589216963382167</v>
      </c>
      <c r="J19" s="130">
        <f t="shared" si="9"/>
        <v>0.55693994873943253</v>
      </c>
      <c r="K19" s="130">
        <f t="shared" si="9"/>
        <v>0.56443979733726213</v>
      </c>
      <c r="L19" s="130">
        <f t="shared" si="9"/>
        <v>0.59181697849092119</v>
      </c>
      <c r="M19" s="130">
        <f t="shared" si="9"/>
        <v>1.1668986895117572</v>
      </c>
      <c r="N19" s="130">
        <f t="shared" si="9"/>
        <v>1.6552688958163462</v>
      </c>
      <c r="O19" s="130">
        <f t="shared" si="9"/>
        <v>2.0467717724283583</v>
      </c>
      <c r="P19" s="130">
        <f t="shared" si="9"/>
        <v>4.875006531589575</v>
      </c>
      <c r="Q19" s="130">
        <f t="shared" si="9"/>
        <v>0.66323917174177538</v>
      </c>
      <c r="R19" s="130">
        <f t="shared" ref="R19:W19" si="10">SUM(R20:R27)</f>
        <v>2.0732426749081703</v>
      </c>
      <c r="S19" s="130">
        <f t="shared" si="10"/>
        <v>2.6962771628747491</v>
      </c>
      <c r="T19" s="130">
        <f t="shared" si="10"/>
        <v>2.6933717914699424</v>
      </c>
      <c r="U19" s="130">
        <f t="shared" si="10"/>
        <v>2.3652617433227183</v>
      </c>
      <c r="V19" s="130">
        <f t="shared" si="10"/>
        <v>2.0127000098204428</v>
      </c>
      <c r="W19" s="130">
        <f t="shared" si="10"/>
        <v>1.9733529207183853</v>
      </c>
      <c r="X19" s="130">
        <f t="shared" ref="X19:Y19" si="11">SUM(X20:X27)</f>
        <v>1.9590062501662062</v>
      </c>
      <c r="Y19" s="130">
        <f t="shared" si="11"/>
        <v>1.8967653033905145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1.1750817165543468</v>
      </c>
      <c r="D23" s="132">
        <v>1.7295232160926561</v>
      </c>
      <c r="E23" s="132">
        <v>2.4097925716875572</v>
      </c>
      <c r="F23" s="132">
        <v>1.4273366513115653</v>
      </c>
      <c r="G23" s="132">
        <v>1.6804675487039658</v>
      </c>
      <c r="H23" s="132">
        <v>1.2785860586859645</v>
      </c>
      <c r="I23" s="132">
        <v>2.1011723321567239</v>
      </c>
      <c r="J23" s="132">
        <v>0.38474772672662022</v>
      </c>
      <c r="K23" s="132">
        <v>0.41652600982215365</v>
      </c>
      <c r="L23" s="132">
        <v>0.40134147307664214</v>
      </c>
      <c r="M23" s="132">
        <v>0.76239359058809353</v>
      </c>
      <c r="N23" s="132">
        <v>0.80179955460803243</v>
      </c>
      <c r="O23" s="132">
        <v>1.495608619955815</v>
      </c>
      <c r="P23" s="132">
        <v>4.1190781618739818</v>
      </c>
      <c r="Q23" s="132">
        <v>0.39477532393575204</v>
      </c>
      <c r="R23" s="132">
        <v>1.1685353733560857</v>
      </c>
      <c r="S23" s="132">
        <v>1.5244519742547966</v>
      </c>
      <c r="T23" s="132">
        <v>1.6490298534114682</v>
      </c>
      <c r="U23" s="132">
        <v>1.2979594998734798</v>
      </c>
      <c r="V23" s="132">
        <v>1.1038497343053684</v>
      </c>
      <c r="W23" s="132">
        <v>0.83235522574733967</v>
      </c>
      <c r="X23" s="132">
        <v>0.64821856948560819</v>
      </c>
      <c r="Y23" s="132">
        <v>0.88002877061499585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0.36899913685547642</v>
      </c>
      <c r="O24" s="132">
        <v>0.11570485010377735</v>
      </c>
      <c r="P24" s="132">
        <v>0.17847192534992828</v>
      </c>
      <c r="Q24" s="132">
        <v>0</v>
      </c>
      <c r="R24" s="132">
        <v>0</v>
      </c>
      <c r="S24" s="132">
        <v>0</v>
      </c>
      <c r="T24" s="132">
        <v>0</v>
      </c>
      <c r="U24" s="132">
        <v>4.7935192207645286E-3</v>
      </c>
      <c r="V24" s="132">
        <v>1.7219492134739049E-2</v>
      </c>
      <c r="W24" s="132">
        <v>1.9328970594825363E-2</v>
      </c>
      <c r="X24" s="132">
        <v>5.3653690044556258E-2</v>
      </c>
      <c r="Y24" s="132">
        <v>9.3171862505908754E-2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0.2178788274988015</v>
      </c>
      <c r="D25" s="132">
        <v>0.25670567788867282</v>
      </c>
      <c r="E25" s="132">
        <v>0.40954653323748902</v>
      </c>
      <c r="F25" s="132">
        <v>0.27031427884218107</v>
      </c>
      <c r="G25" s="132">
        <v>0.44315455281893629</v>
      </c>
      <c r="H25" s="132">
        <v>0.3115731931628426</v>
      </c>
      <c r="I25" s="132">
        <v>0.39655016585166969</v>
      </c>
      <c r="J25" s="132">
        <v>9.5026480575270786E-2</v>
      </c>
      <c r="K25" s="132">
        <v>8.0515233173719433E-2</v>
      </c>
      <c r="L25" s="132">
        <v>7.4192914320255349E-2</v>
      </c>
      <c r="M25" s="132">
        <v>0.12816997248127943</v>
      </c>
      <c r="N25" s="132">
        <v>0.17105799318663542</v>
      </c>
      <c r="O25" s="132">
        <v>0.19366277735950518</v>
      </c>
      <c r="P25" s="132">
        <v>0.36717147549216189</v>
      </c>
      <c r="Q25" s="132">
        <v>8.1748462766474919E-2</v>
      </c>
      <c r="R25" s="132">
        <v>0.20686797128437281</v>
      </c>
      <c r="S25" s="132">
        <v>0.26041728778264966</v>
      </c>
      <c r="T25" s="132">
        <v>0.23218817030116412</v>
      </c>
      <c r="U25" s="132">
        <v>0.23631073205865352</v>
      </c>
      <c r="V25" s="132">
        <v>0.1240871883048103</v>
      </c>
      <c r="W25" s="132">
        <v>0.13158548497997591</v>
      </c>
      <c r="X25" s="132">
        <v>4.6386646200396925E-2</v>
      </c>
      <c r="Y25" s="132">
        <v>7.3005210142394375E-2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1.426452745991285</v>
      </c>
      <c r="D26" s="65">
        <v>1.2805353618160511</v>
      </c>
      <c r="E26" s="65">
        <v>2.3166778924452327</v>
      </c>
      <c r="F26" s="65">
        <v>0.89501787442904934</v>
      </c>
      <c r="G26" s="65">
        <v>1.501112373484911</v>
      </c>
      <c r="H26" s="65">
        <v>0.76815432857783639</v>
      </c>
      <c r="I26" s="65">
        <v>0.64169695217080913</v>
      </c>
      <c r="J26" s="65">
        <v>5.7589634790264452E-2</v>
      </c>
      <c r="K26" s="65">
        <v>5.2418383941759947E-2</v>
      </c>
      <c r="L26" s="65">
        <v>8.2640201782145858E-2</v>
      </c>
      <c r="M26" s="65">
        <v>0.25050593755572853</v>
      </c>
      <c r="N26" s="65">
        <v>0.31278455072723765</v>
      </c>
      <c r="O26" s="65">
        <v>0.23787910957923289</v>
      </c>
      <c r="P26" s="65">
        <v>0.18225418467876731</v>
      </c>
      <c r="Q26" s="65">
        <v>0.16763201489020221</v>
      </c>
      <c r="R26" s="65">
        <v>0.69702217256551458</v>
      </c>
      <c r="S26" s="65">
        <v>0.88733269138029003</v>
      </c>
      <c r="T26" s="65">
        <v>0.80216217533842271</v>
      </c>
      <c r="U26" s="65">
        <v>0.79006547159151996</v>
      </c>
      <c r="V26" s="65">
        <v>0.72531175286486593</v>
      </c>
      <c r="W26" s="65">
        <v>0.9900832393962441</v>
      </c>
      <c r="X26" s="65">
        <v>1.1633290619068208</v>
      </c>
      <c r="Y26" s="65">
        <v>0.79059572910329201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2.2756710954527897E-2</v>
      </c>
      <c r="H27" s="147">
        <v>2.4156769415721868E-2</v>
      </c>
      <c r="I27" s="147">
        <v>1.9502246159014077E-2</v>
      </c>
      <c r="J27" s="147">
        <v>1.9576106647277072E-2</v>
      </c>
      <c r="K27" s="147">
        <v>1.4980170399629036E-2</v>
      </c>
      <c r="L27" s="147">
        <v>3.3642389311877879E-2</v>
      </c>
      <c r="M27" s="147">
        <v>2.5829188886655714E-2</v>
      </c>
      <c r="N27" s="147">
        <v>6.2766043896442594E-4</v>
      </c>
      <c r="O27" s="147">
        <v>3.9164154300278921E-3</v>
      </c>
      <c r="P27" s="147">
        <v>2.8030784194735252E-2</v>
      </c>
      <c r="Q27" s="147">
        <v>1.9083370149346239E-2</v>
      </c>
      <c r="R27" s="147">
        <v>8.1715770219730009E-4</v>
      </c>
      <c r="S27" s="147">
        <v>2.4075209457013094E-2</v>
      </c>
      <c r="T27" s="147">
        <v>9.9915924188870645E-3</v>
      </c>
      <c r="U27" s="147">
        <v>3.6132520578300575E-2</v>
      </c>
      <c r="V27" s="147">
        <v>4.2231842210658996E-2</v>
      </c>
      <c r="W27" s="147">
        <v>1.4975807797243659E-16</v>
      </c>
      <c r="X27" s="147">
        <v>4.7418282528824143E-2</v>
      </c>
      <c r="Y27" s="147">
        <v>5.9963731023923501E-2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3.5624843528609436</v>
      </c>
      <c r="D29" s="130">
        <f t="shared" si="12"/>
        <v>3.7950725267912535</v>
      </c>
      <c r="E29" s="130">
        <f t="shared" si="12"/>
        <v>6.066113652398526</v>
      </c>
      <c r="F29" s="130">
        <f t="shared" si="12"/>
        <v>3.1532860411508277</v>
      </c>
      <c r="G29" s="130">
        <f t="shared" si="12"/>
        <v>4.3215702179099074</v>
      </c>
      <c r="H29" s="130">
        <f t="shared" si="12"/>
        <v>2.8569296734224041</v>
      </c>
      <c r="I29" s="130">
        <f t="shared" si="12"/>
        <v>3.7359447650853443</v>
      </c>
      <c r="J29" s="130">
        <f t="shared" si="12"/>
        <v>0.64441125184881742</v>
      </c>
      <c r="K29" s="130">
        <f t="shared" si="12"/>
        <v>0.64468340735294871</v>
      </c>
      <c r="L29" s="130">
        <f t="shared" si="12"/>
        <v>0.69804031262156507</v>
      </c>
      <c r="M29" s="130">
        <f t="shared" si="12"/>
        <v>1.3719748508348422</v>
      </c>
      <c r="N29" s="130">
        <f t="shared" si="12"/>
        <v>1.8208398299319781</v>
      </c>
      <c r="O29" s="130">
        <f t="shared" si="12"/>
        <v>2.3566257651869584</v>
      </c>
      <c r="P29" s="130">
        <f t="shared" si="12"/>
        <v>5.525877138008493</v>
      </c>
      <c r="Q29" s="130">
        <f t="shared" si="12"/>
        <v>0.76318022350941472</v>
      </c>
      <c r="R29" s="130">
        <f t="shared" ref="R29:W29" si="13">SUM(R30:R33)</f>
        <v>2.3697416628359065</v>
      </c>
      <c r="S29" s="130">
        <f t="shared" si="13"/>
        <v>3.0542423393755791</v>
      </c>
      <c r="T29" s="130">
        <f t="shared" si="13"/>
        <v>3.1018004791091984</v>
      </c>
      <c r="U29" s="130">
        <f t="shared" si="13"/>
        <v>2.727877300300467</v>
      </c>
      <c r="V29" s="130">
        <f t="shared" si="13"/>
        <v>2.4865988998427526</v>
      </c>
      <c r="W29" s="130">
        <f t="shared" si="13"/>
        <v>2.5266090718897445</v>
      </c>
      <c r="X29" s="130">
        <f t="shared" ref="X29:Y29" si="14">SUM(X30:X33)</f>
        <v>2.4546035669689328</v>
      </c>
      <c r="Y29" s="130">
        <f t="shared" si="14"/>
        <v>2.3673400320387694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0.22876148500770846</v>
      </c>
      <c r="D30" s="132">
        <v>0.3712669467890039</v>
      </c>
      <c r="E30" s="132">
        <v>0</v>
      </c>
      <c r="F30" s="132">
        <v>0</v>
      </c>
      <c r="G30" s="132">
        <v>0</v>
      </c>
      <c r="H30" s="132">
        <v>0.20261726168437572</v>
      </c>
      <c r="I30" s="132">
        <v>0.48210122168633757</v>
      </c>
      <c r="J30" s="132">
        <v>7.0112583575566559E-2</v>
      </c>
      <c r="K30" s="132">
        <v>8.612954921421577E-2</v>
      </c>
      <c r="L30" s="132">
        <v>8.4273971304749562E-2</v>
      </c>
      <c r="M30" s="132">
        <v>0</v>
      </c>
      <c r="N30" s="132">
        <v>0</v>
      </c>
      <c r="O30" s="132">
        <v>0</v>
      </c>
      <c r="P30" s="132">
        <v>8.6401987135082903E-2</v>
      </c>
      <c r="Q30" s="132">
        <v>2.0784372627924909E-2</v>
      </c>
      <c r="R30" s="132">
        <v>4.02295409794289E-2</v>
      </c>
      <c r="S30" s="132">
        <v>0.10207245986981822</v>
      </c>
      <c r="T30" s="132">
        <v>0.35854042139889075</v>
      </c>
      <c r="U30" s="132">
        <v>0.26428021840904353</v>
      </c>
      <c r="V30" s="132">
        <v>0.26269384735287249</v>
      </c>
      <c r="W30" s="132">
        <v>0.11816150306793928</v>
      </c>
      <c r="X30" s="132">
        <v>3.2904016735216084E-2</v>
      </c>
      <c r="Y30" s="132">
        <v>0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1.2283213935229429</v>
      </c>
      <c r="D31" s="132">
        <v>1.7214974518801456</v>
      </c>
      <c r="E31" s="132">
        <v>3.0599661282394863</v>
      </c>
      <c r="F31" s="132">
        <v>1.98204458489794</v>
      </c>
      <c r="G31" s="132">
        <v>2.6227788182776171</v>
      </c>
      <c r="H31" s="132">
        <v>1.6444549244701445</v>
      </c>
      <c r="I31" s="132">
        <v>1.6895648445843992</v>
      </c>
      <c r="J31" s="132">
        <v>0.30114428520418102</v>
      </c>
      <c r="K31" s="132">
        <v>0.23890393369305718</v>
      </c>
      <c r="L31" s="132">
        <v>0.34247023487192968</v>
      </c>
      <c r="M31" s="132">
        <v>1.232703510851241</v>
      </c>
      <c r="N31" s="132">
        <v>1.4794594747851255</v>
      </c>
      <c r="O31" s="132">
        <v>1.6090534827347349</v>
      </c>
      <c r="P31" s="132">
        <v>3.2687400122763233</v>
      </c>
      <c r="Q31" s="132">
        <v>0.40477554679831484</v>
      </c>
      <c r="R31" s="132">
        <v>1.098147751077724</v>
      </c>
      <c r="S31" s="132">
        <v>1.4547825316954721</v>
      </c>
      <c r="T31" s="132">
        <v>1.4222366498711589</v>
      </c>
      <c r="U31" s="132">
        <v>1.3658779172711673</v>
      </c>
      <c r="V31" s="132">
        <v>1.313646752899271</v>
      </c>
      <c r="W31" s="132">
        <v>1.4161267174156813</v>
      </c>
      <c r="X31" s="132">
        <v>1.3532642154365435</v>
      </c>
      <c r="Y31" s="132">
        <v>1.2757333287617665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2.105401474330292</v>
      </c>
      <c r="D33" s="68">
        <v>1.7023081281221037</v>
      </c>
      <c r="E33" s="68">
        <v>3.0061475241590392</v>
      </c>
      <c r="F33" s="68">
        <v>1.1712414562528877</v>
      </c>
      <c r="G33" s="68">
        <v>1.6987913996322903</v>
      </c>
      <c r="H33" s="68">
        <v>1.009857487267884</v>
      </c>
      <c r="I33" s="68">
        <v>1.5642786988146076</v>
      </c>
      <c r="J33" s="68">
        <v>0.27315438306906981</v>
      </c>
      <c r="K33" s="68">
        <v>0.31964992444567575</v>
      </c>
      <c r="L33" s="68">
        <v>0.27129610644488578</v>
      </c>
      <c r="M33" s="68">
        <v>0.13927133998360125</v>
      </c>
      <c r="N33" s="68">
        <v>0.34138035514685272</v>
      </c>
      <c r="O33" s="68">
        <v>0.74757228245222362</v>
      </c>
      <c r="P33" s="68">
        <v>2.1707351385970868</v>
      </c>
      <c r="Q33" s="68">
        <v>0.33762030408317489</v>
      </c>
      <c r="R33" s="68">
        <v>1.2313643707787538</v>
      </c>
      <c r="S33" s="68">
        <v>1.4973873478102888</v>
      </c>
      <c r="T33" s="68">
        <v>1.3210234078391485</v>
      </c>
      <c r="U33" s="68">
        <v>1.0977191646202562</v>
      </c>
      <c r="V33" s="68">
        <v>0.91025829959060911</v>
      </c>
      <c r="W33" s="68">
        <v>0.99232085140612392</v>
      </c>
      <c r="X33" s="68">
        <v>1.0684353347971729</v>
      </c>
      <c r="Y33" s="68">
        <v>1.0916067032770029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0.63584772911192811</v>
      </c>
      <c r="D3" s="126">
        <f>IF(SER_hh_tes_in!D3=0,"",SER_hh_tes_in!D3/SER_hh_fec_in!D3)</f>
        <v>0.62754992321545222</v>
      </c>
      <c r="E3" s="126">
        <f>IF(SER_hh_tes_in!E3=0,"",SER_hh_tes_in!E3/SER_hh_fec_in!E3)</f>
        <v>0.62539792689366014</v>
      </c>
      <c r="F3" s="126">
        <f>IF(SER_hh_tes_in!F3=0,"",SER_hh_tes_in!F3/SER_hh_fec_in!F3)</f>
        <v>0.62797723498849112</v>
      </c>
      <c r="G3" s="126">
        <f>IF(SER_hh_tes_in!G3=0,"",SER_hh_tes_in!G3/SER_hh_fec_in!G3)</f>
        <v>0.685452429532176</v>
      </c>
      <c r="H3" s="126">
        <f>IF(SER_hh_tes_in!H3=0,"",SER_hh_tes_in!H3/SER_hh_fec_in!H3)</f>
        <v>0.74923508941055217</v>
      </c>
      <c r="I3" s="126">
        <f>IF(SER_hh_tes_in!I3=0,"",SER_hh_tes_in!I3/SER_hh_fec_in!I3)</f>
        <v>0.79003126138439272</v>
      </c>
      <c r="J3" s="126">
        <f>IF(SER_hh_tes_in!J3=0,"",SER_hh_tes_in!J3/SER_hh_fec_in!J3)</f>
        <v>0.77981390936684181</v>
      </c>
      <c r="K3" s="126">
        <f>IF(SER_hh_tes_in!K3=0,"",SER_hh_tes_in!K3/SER_hh_fec_in!K3)</f>
        <v>0.71426124382364276</v>
      </c>
      <c r="L3" s="126">
        <f>IF(SER_hh_tes_in!L3=0,"",SER_hh_tes_in!L3/SER_hh_fec_in!L3)</f>
        <v>0.68026012671871761</v>
      </c>
      <c r="M3" s="126">
        <f>IF(SER_hh_tes_in!M3=0,"",SER_hh_tes_in!M3/SER_hh_fec_in!M3)</f>
        <v>0.68907109563863922</v>
      </c>
      <c r="N3" s="126">
        <f>IF(SER_hh_tes_in!N3=0,"",SER_hh_tes_in!N3/SER_hh_fec_in!N3)</f>
        <v>0.75116227327321639</v>
      </c>
      <c r="O3" s="126">
        <f>IF(SER_hh_tes_in!O3=0,"",SER_hh_tes_in!O3/SER_hh_fec_in!O3)</f>
        <v>0.77127854503225435</v>
      </c>
      <c r="P3" s="126">
        <f>IF(SER_hh_tes_in!P3=0,"",SER_hh_tes_in!P3/SER_hh_fec_in!P3)</f>
        <v>0.81081816473760904</v>
      </c>
      <c r="Q3" s="126">
        <f>IF(SER_hh_tes_in!Q3=0,"",SER_hh_tes_in!Q3/SER_hh_fec_in!Q3)</f>
        <v>0.89349600300291554</v>
      </c>
      <c r="R3" s="126">
        <f>IF(SER_hh_tes_in!R3=0,"",SER_hh_tes_in!R3/SER_hh_fec_in!R3)</f>
        <v>0.86991253993282225</v>
      </c>
      <c r="S3" s="126">
        <f>IF(SER_hh_tes_in!S3=0,"",SER_hh_tes_in!S3/SER_hh_fec_in!S3)</f>
        <v>0.9001948805124852</v>
      </c>
      <c r="T3" s="126">
        <f>IF(SER_hh_tes_in!T3=0,"",SER_hh_tes_in!T3/SER_hh_fec_in!T3)</f>
        <v>0.90345664686605132</v>
      </c>
      <c r="U3" s="126">
        <f>IF(SER_hh_tes_in!U3=0,"",SER_hh_tes_in!U3/SER_hh_fec_in!U3)</f>
        <v>0.92162187100964488</v>
      </c>
      <c r="V3" s="126">
        <f>IF(SER_hh_tes_in!V3=0,"",SER_hh_tes_in!V3/SER_hh_fec_in!V3)</f>
        <v>0.92108166904194733</v>
      </c>
      <c r="W3" s="126">
        <f>IF(SER_hh_tes_in!W3=0,"",SER_hh_tes_in!W3/SER_hh_fec_in!W3)</f>
        <v>0.95869320984798267</v>
      </c>
      <c r="X3" s="126">
        <f>IF(SER_hh_tes_in!X3=0,"",SER_hh_tes_in!X3/SER_hh_fec_in!X3)</f>
        <v>1.0475815974659082</v>
      </c>
      <c r="Y3" s="126">
        <f>IF(SER_hh_tes_in!Y3=0,"",SER_hh_tes_in!Y3/SER_hh_fec_in!Y3)</f>
        <v>1.0311844269869479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0.58147611199215898</v>
      </c>
      <c r="D4" s="135">
        <f>IF(SER_hh_tes_in!D4=0,"",SER_hh_tes_in!D4/SER_hh_fec_in!D4)</f>
        <v>0.56489792792417981</v>
      </c>
      <c r="E4" s="135">
        <f>IF(SER_hh_tes_in!E4=0,"",SER_hh_tes_in!E4/SER_hh_fec_in!E4)</f>
        <v>0.56833153919485579</v>
      </c>
      <c r="F4" s="135">
        <f>IF(SER_hh_tes_in!F4=0,"",SER_hh_tes_in!F4/SER_hh_fec_in!F4)</f>
        <v>0.57596274237757239</v>
      </c>
      <c r="G4" s="135">
        <f>IF(SER_hh_tes_in!G4=0,"",SER_hh_tes_in!G4/SER_hh_fec_in!G4)</f>
        <v>0.63551460513676572</v>
      </c>
      <c r="H4" s="135">
        <f>IF(SER_hh_tes_in!H4=0,"",SER_hh_tes_in!H4/SER_hh_fec_in!H4)</f>
        <v>0.69628848889174633</v>
      </c>
      <c r="I4" s="135">
        <f>IF(SER_hh_tes_in!I4=0,"",SER_hh_tes_in!I4/SER_hh_fec_in!I4)</f>
        <v>0.73199061000072707</v>
      </c>
      <c r="J4" s="135">
        <f>IF(SER_hh_tes_in!J4=0,"",SER_hh_tes_in!J4/SER_hh_fec_in!J4)</f>
        <v>0.72750847386417983</v>
      </c>
      <c r="K4" s="135">
        <f>IF(SER_hh_tes_in!K4=0,"",SER_hh_tes_in!K4/SER_hh_fec_in!K4)</f>
        <v>0.64674349208374349</v>
      </c>
      <c r="L4" s="135">
        <f>IF(SER_hh_tes_in!L4=0,"",SER_hh_tes_in!L4/SER_hh_fec_in!L4)</f>
        <v>0.60673803562324291</v>
      </c>
      <c r="M4" s="135">
        <f>IF(SER_hh_tes_in!M4=0,"",SER_hh_tes_in!M4/SER_hh_fec_in!M4)</f>
        <v>0.62003112587071219</v>
      </c>
      <c r="N4" s="135">
        <f>IF(SER_hh_tes_in!N4=0,"",SER_hh_tes_in!N4/SER_hh_fec_in!N4)</f>
        <v>0.64331353265468849</v>
      </c>
      <c r="O4" s="135">
        <f>IF(SER_hh_tes_in!O4=0,"",SER_hh_tes_in!O4/SER_hh_fec_in!O4)</f>
        <v>0.67623332308857764</v>
      </c>
      <c r="P4" s="135">
        <f>IF(SER_hh_tes_in!P4=0,"",SER_hh_tes_in!P4/SER_hh_fec_in!P4)</f>
        <v>0.71333543864832005</v>
      </c>
      <c r="Q4" s="135">
        <f>IF(SER_hh_tes_in!Q4=0,"",SER_hh_tes_in!Q4/SER_hh_fec_in!Q4)</f>
        <v>0.76385488222327391</v>
      </c>
      <c r="R4" s="135">
        <f>IF(SER_hh_tes_in!R4=0,"",SER_hh_tes_in!R4/SER_hh_fec_in!R4)</f>
        <v>0.77488504660628232</v>
      </c>
      <c r="S4" s="135">
        <f>IF(SER_hh_tes_in!S4=0,"",SER_hh_tes_in!S4/SER_hh_fec_in!S4)</f>
        <v>0.78128755557707874</v>
      </c>
      <c r="T4" s="135">
        <f>IF(SER_hh_tes_in!T4=0,"",SER_hh_tes_in!T4/SER_hh_fec_in!T4)</f>
        <v>0.79232570290066251</v>
      </c>
      <c r="U4" s="135">
        <f>IF(SER_hh_tes_in!U4=0,"",SER_hh_tes_in!U4/SER_hh_fec_in!U4)</f>
        <v>0.79762945697158949</v>
      </c>
      <c r="V4" s="135">
        <f>IF(SER_hh_tes_in!V4=0,"",SER_hh_tes_in!V4/SER_hh_fec_in!V4)</f>
        <v>0.83051267074790014</v>
      </c>
      <c r="W4" s="135">
        <f>IF(SER_hh_tes_in!W4=0,"",SER_hh_tes_in!W4/SER_hh_fec_in!W4)</f>
        <v>0.83708669366429134</v>
      </c>
      <c r="X4" s="135">
        <f>IF(SER_hh_tes_in!X4=0,"",SER_hh_tes_in!X4/SER_hh_fec_in!X4)</f>
        <v>0.98508784986862952</v>
      </c>
      <c r="Y4" s="135">
        <f>IF(SER_hh_tes_in!Y4=0,"",SER_hh_tes_in!Y4/SER_hh_fec_in!Y4)</f>
        <v>0.9606501978774753</v>
      </c>
      <c r="DA4" s="162" t="s">
        <v>663</v>
      </c>
    </row>
    <row r="5" spans="1:105" ht="12" customHeight="1" x14ac:dyDescent="0.25">
      <c r="A5" s="131" t="s">
        <v>29</v>
      </c>
      <c r="B5" s="136"/>
      <c r="C5" s="136" t="str">
        <f>IF(SER_hh_tes_in!C5=0,"",SER_hh_tes_in!C5/SER_hh_fec_in!C5)</f>
        <v/>
      </c>
      <c r="D5" s="136" t="str">
        <f>IF(SER_hh_tes_in!D5=0,"",SER_hh_tes_in!D5/SER_hh_fec_in!D5)</f>
        <v/>
      </c>
      <c r="E5" s="136" t="str">
        <f>IF(SER_hh_tes_in!E5=0,"",SER_hh_tes_in!E5/SER_hh_fec_in!E5)</f>
        <v/>
      </c>
      <c r="F5" s="136" t="str">
        <f>IF(SER_hh_tes_in!F5=0,"",SER_hh_tes_in!F5/SER_hh_fec_in!F5)</f>
        <v/>
      </c>
      <c r="G5" s="136" t="str">
        <f>IF(SER_hh_tes_in!G5=0,"",SER_hh_tes_in!G5/SER_hh_fec_in!G5)</f>
        <v/>
      </c>
      <c r="H5" s="136" t="str">
        <f>IF(SER_hh_tes_in!H5=0,"",SER_hh_tes_in!H5/SER_hh_fec_in!H5)</f>
        <v/>
      </c>
      <c r="I5" s="136" t="str">
        <f>IF(SER_hh_tes_in!I5=0,"",SER_hh_tes_in!I5/SER_hh_fec_in!I5)</f>
        <v/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>
        <f>IF(SER_hh_tes_in!M5=0,"",SER_hh_tes_in!M5/SER_hh_fec_in!M5)</f>
        <v>0.65642833621495023</v>
      </c>
      <c r="N5" s="136">
        <f>IF(SER_hh_tes_in!N5=0,"",SER_hh_tes_in!N5/SER_hh_fec_in!N5)</f>
        <v>0.66091932281530763</v>
      </c>
      <c r="O5" s="136">
        <f>IF(SER_hh_tes_in!O5=0,"",SER_hh_tes_in!O5/SER_hh_fec_in!O5)</f>
        <v>0.66487679171837244</v>
      </c>
      <c r="P5" s="136">
        <f>IF(SER_hh_tes_in!P5=0,"",SER_hh_tes_in!P5/SER_hh_fec_in!P5)</f>
        <v>0.66872285007269094</v>
      </c>
      <c r="Q5" s="136">
        <f>IF(SER_hh_tes_in!Q5=0,"",SER_hh_tes_in!Q5/SER_hh_fec_in!Q5)</f>
        <v>0.67368987798036095</v>
      </c>
      <c r="R5" s="136" t="str">
        <f>IF(SER_hh_tes_in!R5=0,"",SER_hh_tes_in!R5/SER_hh_fec_in!R5)</f>
        <v/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 t="str">
        <f>IF(SER_hh_tes_in!U5=0,"",SER_hh_tes_in!U5/SER_hh_fec_in!U5)</f>
        <v/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 t="str">
        <f>IF(SER_hh_tes_in!C7=0,"",SER_hh_tes_in!C7/SER_hh_fec_in!C7)</f>
        <v/>
      </c>
      <c r="D7" s="136" t="str">
        <f>IF(SER_hh_tes_in!D7=0,"",SER_hh_tes_in!D7/SER_hh_fec_in!D7)</f>
        <v/>
      </c>
      <c r="E7" s="136" t="str">
        <f>IF(SER_hh_tes_in!E7=0,"",SER_hh_tes_in!E7/SER_hh_fec_in!E7)</f>
        <v/>
      </c>
      <c r="F7" s="136" t="str">
        <f>IF(SER_hh_tes_in!F7=0,"",SER_hh_tes_in!F7/SER_hh_fec_in!F7)</f>
        <v/>
      </c>
      <c r="G7" s="136" t="str">
        <f>IF(SER_hh_tes_in!G7=0,"",SER_hh_tes_in!G7/SER_hh_fec_in!G7)</f>
        <v/>
      </c>
      <c r="H7" s="136" t="str">
        <f>IF(SER_hh_tes_in!H7=0,"",SER_hh_tes_in!H7/SER_hh_fec_in!H7)</f>
        <v/>
      </c>
      <c r="I7" s="136" t="str">
        <f>IF(SER_hh_tes_in!I7=0,"",SER_hh_tes_in!I7/SER_hh_fec_in!I7)</f>
        <v/>
      </c>
      <c r="J7" s="136" t="str">
        <f>IF(SER_hh_tes_in!J7=0,"",SER_hh_tes_in!J7/SER_hh_fec_in!J7)</f>
        <v/>
      </c>
      <c r="K7" s="136" t="str">
        <f>IF(SER_hh_tes_in!K7=0,"",SER_hh_tes_in!K7/SER_hh_fec_in!K7)</f>
        <v/>
      </c>
      <c r="L7" s="136" t="str">
        <f>IF(SER_hh_tes_in!L7=0,"",SER_hh_tes_in!L7/SER_hh_fec_in!L7)</f>
        <v/>
      </c>
      <c r="M7" s="136" t="str">
        <f>IF(SER_hh_tes_in!M7=0,"",SER_hh_tes_in!M7/SER_hh_fec_in!M7)</f>
        <v/>
      </c>
      <c r="N7" s="136">
        <f>IF(SER_hh_tes_in!N7=0,"",SER_hh_tes_in!N7/SER_hh_fec_in!N7)</f>
        <v>0.57995768921585111</v>
      </c>
      <c r="O7" s="136">
        <f>IF(SER_hh_tes_in!O7=0,"",SER_hh_tes_in!O7/SER_hh_fec_in!O7)</f>
        <v>0.60619182495371426</v>
      </c>
      <c r="P7" s="136">
        <f>IF(SER_hh_tes_in!P7=0,"",SER_hh_tes_in!P7/SER_hh_fec_in!P7)</f>
        <v>0.63642546320927773</v>
      </c>
      <c r="Q7" s="136">
        <f>IF(SER_hh_tes_in!Q7=0,"",SER_hh_tes_in!Q7/SER_hh_fec_in!Q7)</f>
        <v>0.66056738180794439</v>
      </c>
      <c r="R7" s="136">
        <f>IF(SER_hh_tes_in!R7=0,"",SER_hh_tes_in!R7/SER_hh_fec_in!R7)</f>
        <v>0.66976488180874671</v>
      </c>
      <c r="S7" s="136">
        <f>IF(SER_hh_tes_in!S7=0,"",SER_hh_tes_in!S7/SER_hh_fec_in!S7)</f>
        <v>0.67409406922021775</v>
      </c>
      <c r="T7" s="136">
        <f>IF(SER_hh_tes_in!T7=0,"",SER_hh_tes_in!T7/SER_hh_fec_in!T7)</f>
        <v>0.67553113298277379</v>
      </c>
      <c r="U7" s="136">
        <f>IF(SER_hh_tes_in!U7=0,"",SER_hh_tes_in!U7/SER_hh_fec_in!U7)</f>
        <v>0.67595232188912224</v>
      </c>
      <c r="V7" s="136">
        <f>IF(SER_hh_tes_in!V7=0,"",SER_hh_tes_in!V7/SER_hh_fec_in!V7)</f>
        <v>0.67716188219268048</v>
      </c>
      <c r="W7" s="136">
        <f>IF(SER_hh_tes_in!W7=0,"",SER_hh_tes_in!W7/SER_hh_fec_in!W7)</f>
        <v>0.67883556958420799</v>
      </c>
      <c r="X7" s="136">
        <f>IF(SER_hh_tes_in!X7=0,"",SER_hh_tes_in!X7/SER_hh_fec_in!X7)</f>
        <v>0.67992788938855242</v>
      </c>
      <c r="Y7" s="136">
        <f>IF(SER_hh_tes_in!Y7=0,"",SER_hh_tes_in!Y7/SER_hh_fec_in!Y7)</f>
        <v>0.68062791694949076</v>
      </c>
      <c r="DA7" s="163" t="s">
        <v>666</v>
      </c>
    </row>
    <row r="8" spans="1:105" ht="12" customHeight="1" x14ac:dyDescent="0.25">
      <c r="A8" s="131" t="s">
        <v>73</v>
      </c>
      <c r="B8" s="136"/>
      <c r="C8" s="136" t="str">
        <f>IF(SER_hh_tes_in!C8=0,"",SER_hh_tes_in!C8/SER_hh_fec_in!C8)</f>
        <v/>
      </c>
      <c r="D8" s="136" t="str">
        <f>IF(SER_hh_tes_in!D8=0,"",SER_hh_tes_in!D8/SER_hh_fec_in!D8)</f>
        <v/>
      </c>
      <c r="E8" s="136" t="str">
        <f>IF(SER_hh_tes_in!E8=0,"",SER_hh_tes_in!E8/SER_hh_fec_in!E8)</f>
        <v/>
      </c>
      <c r="F8" s="136" t="str">
        <f>IF(SER_hh_tes_in!F8=0,"",SER_hh_tes_in!F8/SER_hh_fec_in!F8)</f>
        <v/>
      </c>
      <c r="G8" s="136" t="str">
        <f>IF(SER_hh_tes_in!G8=0,"",SER_hh_tes_in!G8/SER_hh_fec_in!G8)</f>
        <v/>
      </c>
      <c r="H8" s="136" t="str">
        <f>IF(SER_hh_tes_in!H8=0,"",SER_hh_tes_in!H8/SER_hh_fec_in!H8)</f>
        <v/>
      </c>
      <c r="I8" s="136" t="str">
        <f>IF(SER_hh_tes_in!I8=0,"",SER_hh_tes_in!I8/SER_hh_fec_in!I8)</f>
        <v/>
      </c>
      <c r="J8" s="136" t="str">
        <f>IF(SER_hh_tes_in!J8=0,"",SER_hh_tes_in!J8/SER_hh_fec_in!J8)</f>
        <v/>
      </c>
      <c r="K8" s="136" t="str">
        <f>IF(SER_hh_tes_in!K8=0,"",SER_hh_tes_in!K8/SER_hh_fec_in!K8)</f>
        <v/>
      </c>
      <c r="L8" s="136" t="str">
        <f>IF(SER_hh_tes_in!L8=0,"",SER_hh_tes_in!L8/SER_hh_fec_in!L8)</f>
        <v/>
      </c>
      <c r="M8" s="136" t="str">
        <f>IF(SER_hh_tes_in!M8=0,"",SER_hh_tes_in!M8/SER_hh_fec_in!M8)</f>
        <v/>
      </c>
      <c r="N8" s="136" t="str">
        <f>IF(SER_hh_tes_in!N8=0,"",SER_hh_tes_in!N8/SER_hh_fec_in!N8)</f>
        <v/>
      </c>
      <c r="O8" s="136" t="str">
        <f>IF(SER_hh_tes_in!O8=0,"",SER_hh_tes_in!O8/SER_hh_fec_in!O8)</f>
        <v/>
      </c>
      <c r="P8" s="136" t="str">
        <f>IF(SER_hh_tes_in!P8=0,"",SER_hh_tes_in!P8/SER_hh_fec_in!P8)</f>
        <v/>
      </c>
      <c r="Q8" s="136" t="str">
        <f>IF(SER_hh_tes_in!Q8=0,"",SER_hh_tes_in!Q8/SER_hh_fec_in!Q8)</f>
        <v/>
      </c>
      <c r="R8" s="136">
        <f>IF(SER_hh_tes_in!R8=0,"",SER_hh_tes_in!R8/SER_hh_fec_in!R8)</f>
        <v>2.7010038574332569</v>
      </c>
      <c r="S8" s="136">
        <f>IF(SER_hh_tes_in!S8=0,"",SER_hh_tes_in!S8/SER_hh_fec_in!S8)</f>
        <v>2.7761445130187408</v>
      </c>
      <c r="T8" s="136">
        <f>IF(SER_hh_tes_in!T8=0,"",SER_hh_tes_in!T8/SER_hh_fec_in!T8)</f>
        <v>2.823785115301209</v>
      </c>
      <c r="U8" s="136">
        <f>IF(SER_hh_tes_in!U8=0,"",SER_hh_tes_in!U8/SER_hh_fec_in!U8)</f>
        <v>2.8565314735675598</v>
      </c>
      <c r="V8" s="136">
        <f>IF(SER_hh_tes_in!V8=0,"",SER_hh_tes_in!V8/SER_hh_fec_in!V8)</f>
        <v>2.8866144504085556</v>
      </c>
      <c r="W8" s="136">
        <f>IF(SER_hh_tes_in!W8=0,"",SER_hh_tes_in!W8/SER_hh_fec_in!W8)</f>
        <v>2.9159896569890589</v>
      </c>
      <c r="X8" s="136">
        <f>IF(SER_hh_tes_in!X8=0,"",SER_hh_tes_in!X8/SER_hh_fec_in!X8)</f>
        <v>2.9402030223450848</v>
      </c>
      <c r="Y8" s="136">
        <f>IF(SER_hh_tes_in!Y8=0,"",SER_hh_tes_in!Y8/SER_hh_fec_in!Y8)</f>
        <v>2.9607279637373058</v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0.53938270582445935</v>
      </c>
      <c r="D9" s="136">
        <f>IF(SER_hh_tes_in!D9=0,"",SER_hh_tes_in!D9/SER_hh_fec_in!D9)</f>
        <v>0.54371222216602511</v>
      </c>
      <c r="E9" s="136">
        <f>IF(SER_hh_tes_in!E9=0,"",SER_hh_tes_in!E9/SER_hh_fec_in!E9)</f>
        <v>0.5483141175847609</v>
      </c>
      <c r="F9" s="136">
        <f>IF(SER_hh_tes_in!F9=0,"",SER_hh_tes_in!F9/SER_hh_fec_in!F9)</f>
        <v>0.55289913413407621</v>
      </c>
      <c r="G9" s="136">
        <f>IF(SER_hh_tes_in!G9=0,"",SER_hh_tes_in!G9/SER_hh_fec_in!G9)</f>
        <v>0.55772807579554973</v>
      </c>
      <c r="H9" s="136">
        <f>IF(SER_hh_tes_in!H9=0,"",SER_hh_tes_in!H9/SER_hh_fec_in!H9)</f>
        <v>0.56276761189581381</v>
      </c>
      <c r="I9" s="136">
        <f>IF(SER_hh_tes_in!I9=0,"",SER_hh_tes_in!I9/SER_hh_fec_in!I9)</f>
        <v>0.56808052199165426</v>
      </c>
      <c r="J9" s="136">
        <f>IF(SER_hh_tes_in!J9=0,"",SER_hh_tes_in!J9/SER_hh_fec_in!J9)</f>
        <v>0.57392726840696728</v>
      </c>
      <c r="K9" s="136">
        <f>IF(SER_hh_tes_in!K9=0,"",SER_hh_tes_in!K9/SER_hh_fec_in!K9)</f>
        <v>0.58052716472299604</v>
      </c>
      <c r="L9" s="136">
        <f>IF(SER_hh_tes_in!L9=0,"",SER_hh_tes_in!L9/SER_hh_fec_in!L9)</f>
        <v>0.58793496509290366</v>
      </c>
      <c r="M9" s="136">
        <f>IF(SER_hh_tes_in!M9=0,"",SER_hh_tes_in!M9/SER_hh_fec_in!M9)</f>
        <v>0.6016370202879695</v>
      </c>
      <c r="N9" s="136">
        <f>IF(SER_hh_tes_in!N9=0,"",SER_hh_tes_in!N9/SER_hh_fec_in!N9)</f>
        <v>0.62333948633422154</v>
      </c>
      <c r="O9" s="136">
        <f>IF(SER_hh_tes_in!O9=0,"",SER_hh_tes_in!O9/SER_hh_fec_in!O9)</f>
        <v>0.65417713584892556</v>
      </c>
      <c r="P9" s="136">
        <f>IF(SER_hh_tes_in!P9=0,"",SER_hh_tes_in!P9/SER_hh_fec_in!P9)</f>
        <v>0.69049217027501042</v>
      </c>
      <c r="Q9" s="136">
        <f>IF(SER_hh_tes_in!Q9=0,"",SER_hh_tes_in!Q9/SER_hh_fec_in!Q9)</f>
        <v>0.72110078176573256</v>
      </c>
      <c r="R9" s="136">
        <f>IF(SER_hh_tes_in!R9=0,"",SER_hh_tes_in!R9/SER_hh_fec_in!R9)</f>
        <v>0.7366170818639306</v>
      </c>
      <c r="S9" s="136">
        <f>IF(SER_hh_tes_in!S9=0,"",SER_hh_tes_in!S9/SER_hh_fec_in!S9)</f>
        <v>0.74847142219124163</v>
      </c>
      <c r="T9" s="136">
        <f>IF(SER_hh_tes_in!T9=0,"",SER_hh_tes_in!T9/SER_hh_fec_in!T9)</f>
        <v>0.75808325037485758</v>
      </c>
      <c r="U9" s="136">
        <f>IF(SER_hh_tes_in!U9=0,"",SER_hh_tes_in!U9/SER_hh_fec_in!U9)</f>
        <v>0.76643261256978046</v>
      </c>
      <c r="V9" s="136">
        <f>IF(SER_hh_tes_in!V9=0,"",SER_hh_tes_in!V9/SER_hh_fec_in!V9)</f>
        <v>0.77400350435178311</v>
      </c>
      <c r="W9" s="136">
        <f>IF(SER_hh_tes_in!W9=0,"",SER_hh_tes_in!W9/SER_hh_fec_in!W9)</f>
        <v>0.77963463990162996</v>
      </c>
      <c r="X9" s="136">
        <f>IF(SER_hh_tes_in!X9=0,"",SER_hh_tes_in!X9/SER_hh_fec_in!X9)</f>
        <v>0.78327870756526252</v>
      </c>
      <c r="Y9" s="136">
        <f>IF(SER_hh_tes_in!Y9=0,"",SER_hh_tes_in!Y9/SER_hh_fec_in!Y9)</f>
        <v>0.78576619251627156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0.54164743020288109</v>
      </c>
      <c r="D10" s="136">
        <f>IF(SER_hh_tes_in!D10=0,"",SER_hh_tes_in!D10/SER_hh_fec_in!D10)</f>
        <v>0.54192101280267291</v>
      </c>
      <c r="E10" s="136">
        <f>IF(SER_hh_tes_in!E10=0,"",SER_hh_tes_in!E10/SER_hh_fec_in!E10)</f>
        <v>0.54219719987666415</v>
      </c>
      <c r="F10" s="136">
        <f>IF(SER_hh_tes_in!F10=0,"",SER_hh_tes_in!F10/SER_hh_fec_in!F10)</f>
        <v>0.54247572130011856</v>
      </c>
      <c r="G10" s="136" t="str">
        <f>IF(SER_hh_tes_in!G10=0,"",SER_hh_tes_in!G10/SER_hh_fec_in!G10)</f>
        <v/>
      </c>
      <c r="H10" s="136" t="str">
        <f>IF(SER_hh_tes_in!H10=0,"",SER_hh_tes_in!H10/SER_hh_fec_in!H10)</f>
        <v/>
      </c>
      <c r="I10" s="136">
        <f>IF(SER_hh_tes_in!I10=0,"",SER_hh_tes_in!I10/SER_hh_fec_in!I10)</f>
        <v>0.54332224508434901</v>
      </c>
      <c r="J10" s="136">
        <f>IF(SER_hh_tes_in!J10=0,"",SER_hh_tes_in!J10/SER_hh_fec_in!J10)</f>
        <v>0.54360625789009986</v>
      </c>
      <c r="K10" s="136">
        <f>IF(SER_hh_tes_in!K10=0,"",SER_hh_tes_in!K10/SER_hh_fec_in!K10)</f>
        <v>0.54388943822857727</v>
      </c>
      <c r="L10" s="136">
        <f>IF(SER_hh_tes_in!L10=0,"",SER_hh_tes_in!L10/SER_hh_fec_in!L10)</f>
        <v>0.54417070386068245</v>
      </c>
      <c r="M10" s="136">
        <f>IF(SER_hh_tes_in!M10=0,"",SER_hh_tes_in!M10/SER_hh_fec_in!M10)</f>
        <v>0.54442906947937442</v>
      </c>
      <c r="N10" s="136">
        <f>IF(SER_hh_tes_in!N10=0,"",SER_hh_tes_in!N10/SER_hh_fec_in!N10)</f>
        <v>0.54465305232766215</v>
      </c>
      <c r="O10" s="136">
        <f>IF(SER_hh_tes_in!O10=0,"",SER_hh_tes_in!O10/SER_hh_fec_in!O10)</f>
        <v>0.54483602048567981</v>
      </c>
      <c r="P10" s="136">
        <f>IF(SER_hh_tes_in!P10=0,"",SER_hh_tes_in!P10/SER_hh_fec_in!P10)</f>
        <v>0.544993824504034</v>
      </c>
      <c r="Q10" s="136">
        <f>IF(SER_hh_tes_in!Q10=0,"",SER_hh_tes_in!Q10/SER_hh_fec_in!Q10)</f>
        <v>0.54518211420165763</v>
      </c>
      <c r="R10" s="136">
        <f>IF(SER_hh_tes_in!R10=0,"",SER_hh_tes_in!R10/SER_hh_fec_in!R10)</f>
        <v>0.54546414781778063</v>
      </c>
      <c r="S10" s="136">
        <f>IF(SER_hh_tes_in!S10=0,"",SER_hh_tes_in!S10/SER_hh_fec_in!S10)</f>
        <v>0.54578157328368726</v>
      </c>
      <c r="T10" s="136">
        <f>IF(SER_hh_tes_in!T10=0,"",SER_hh_tes_in!T10/SER_hh_fec_in!T10)</f>
        <v>0.5461017541462706</v>
      </c>
      <c r="U10" s="136">
        <f>IF(SER_hh_tes_in!U10=0,"",SER_hh_tes_in!U10/SER_hh_fec_in!U10)</f>
        <v>0.54639752088590487</v>
      </c>
      <c r="V10" s="136" t="str">
        <f>IF(SER_hh_tes_in!V10=0,"",SER_hh_tes_in!V10/SER_hh_fec_in!V10)</f>
        <v/>
      </c>
      <c r="W10" s="136">
        <f>IF(SER_hh_tes_in!W10=0,"",SER_hh_tes_in!W10/SER_hh_fec_in!W10)</f>
        <v>0.54684491845361527</v>
      </c>
      <c r="X10" s="136">
        <f>IF(SER_hh_tes_in!X10=0,"",SER_hh_tes_in!X10/SER_hh_fec_in!X10)</f>
        <v>0.55210359616084903</v>
      </c>
      <c r="Y10" s="136">
        <f>IF(SER_hh_tes_in!Y10=0,"",SER_hh_tes_in!Y10/SER_hh_fec_in!Y10)</f>
        <v>0.5570593924375763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>
        <f>IF(SER_hh_tes_in!C11=0,"",SER_hh_tes_in!C11/SER_hh_fec_in!C11)</f>
        <v>0.79493935928015536</v>
      </c>
      <c r="D11" s="136">
        <f>IF(SER_hh_tes_in!D11=0,"",SER_hh_tes_in!D11/SER_hh_fec_in!D11)</f>
        <v>0.7963205158426313</v>
      </c>
      <c r="E11" s="136">
        <f>IF(SER_hh_tes_in!E11=0,"",SER_hh_tes_in!E11/SER_hh_fec_in!E11)</f>
        <v>0.7977018826890786</v>
      </c>
      <c r="F11" s="136" t="str">
        <f>IF(SER_hh_tes_in!F11=0,"",SER_hh_tes_in!F11/SER_hh_fec_in!F11)</f>
        <v/>
      </c>
      <c r="G11" s="136">
        <f>IF(SER_hh_tes_in!G11=0,"",SER_hh_tes_in!G11/SER_hh_fec_in!G11)</f>
        <v>0.80046486739131606</v>
      </c>
      <c r="H11" s="136">
        <f>IF(SER_hh_tes_in!H11=0,"",SER_hh_tes_in!H11/SER_hh_fec_in!H11)</f>
        <v>0.80184663003923706</v>
      </c>
      <c r="I11" s="136">
        <f>IF(SER_hh_tes_in!I11=0,"",SER_hh_tes_in!I11/SER_hh_fec_in!I11)</f>
        <v>0.80322860680645836</v>
      </c>
      <c r="J11" s="136">
        <f>IF(SER_hh_tes_in!J11=0,"",SER_hh_tes_in!J11/SER_hh_fec_in!J11)</f>
        <v>0.80461096423021394</v>
      </c>
      <c r="K11" s="136">
        <f>IF(SER_hh_tes_in!K11=0,"",SER_hh_tes_in!K11/SER_hh_fec_in!K11)</f>
        <v>0.8059938439109563</v>
      </c>
      <c r="L11" s="136">
        <f>IF(SER_hh_tes_in!L11=0,"",SER_hh_tes_in!L11/SER_hh_fec_in!L11)</f>
        <v>0.80737728373261197</v>
      </c>
      <c r="M11" s="136">
        <f>IF(SER_hh_tes_in!M11=0,"",SER_hh_tes_in!M11/SER_hh_fec_in!M11)</f>
        <v>0.8087755072806283</v>
      </c>
      <c r="N11" s="136">
        <f>IF(SER_hh_tes_in!N11=0,"",SER_hh_tes_in!N11/SER_hh_fec_in!N11)</f>
        <v>0.81019383407070533</v>
      </c>
      <c r="O11" s="136">
        <f>IF(SER_hh_tes_in!O11=0,"",SER_hh_tes_in!O11/SER_hh_fec_in!O11)</f>
        <v>0.81162580589314937</v>
      </c>
      <c r="P11" s="136" t="str">
        <f>IF(SER_hh_tes_in!P11=0,"",SER_hh_tes_in!P11/SER_hh_fec_in!P11)</f>
        <v/>
      </c>
      <c r="Q11" s="136" t="str">
        <f>IF(SER_hh_tes_in!Q11=0,"",SER_hh_tes_in!Q11/SER_hh_fec_in!Q11)</f>
        <v/>
      </c>
      <c r="R11" s="136" t="str">
        <f>IF(SER_hh_tes_in!R11=0,"",SER_hh_tes_in!R11/SER_hh_fec_in!R11)</f>
        <v/>
      </c>
      <c r="S11" s="136">
        <f>IF(SER_hh_tes_in!S11=0,"",SER_hh_tes_in!S11/SER_hh_fec_in!S11)</f>
        <v>0.81656324219579124</v>
      </c>
      <c r="T11" s="136">
        <f>IF(SER_hh_tes_in!T11=0,"",SER_hh_tes_in!T11/SER_hh_fec_in!T11)</f>
        <v>0.81754831971525643</v>
      </c>
      <c r="U11" s="136">
        <f>IF(SER_hh_tes_in!U11=0,"",SER_hh_tes_in!U11/SER_hh_fec_in!U11)</f>
        <v>0.81847963193186457</v>
      </c>
      <c r="V11" s="136">
        <f>IF(SER_hh_tes_in!V11=0,"",SER_hh_tes_in!V11/SER_hh_fec_in!V11)</f>
        <v>0.81937572185381036</v>
      </c>
      <c r="W11" s="136">
        <f>IF(SER_hh_tes_in!W11=0,"",SER_hh_tes_in!W11/SER_hh_fec_in!W11)</f>
        <v>0.82021354416982184</v>
      </c>
      <c r="X11" s="136">
        <f>IF(SER_hh_tes_in!X11=0,"",SER_hh_tes_in!X11/SER_hh_fec_in!X11)</f>
        <v>0.82267411469059915</v>
      </c>
      <c r="Y11" s="136">
        <f>IF(SER_hh_tes_in!Y11=0,"",SER_hh_tes_in!Y11/SER_hh_fec_in!Y11)</f>
        <v>0.82503307949426541</v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0.80125367435827688</v>
      </c>
      <c r="D12" s="136">
        <f>IF(SER_hh_tes_in!D12=0,"",SER_hh_tes_in!D12/SER_hh_fec_in!D12)</f>
        <v>0.80292352036469794</v>
      </c>
      <c r="E12" s="136">
        <f>IF(SER_hh_tes_in!E12=0,"",SER_hh_tes_in!E12/SER_hh_fec_in!E12)</f>
        <v>0.80463844785680716</v>
      </c>
      <c r="F12" s="136" t="str">
        <f>IF(SER_hh_tes_in!F12=0,"",SER_hh_tes_in!F12/SER_hh_fec_in!F12)</f>
        <v/>
      </c>
      <c r="G12" s="136">
        <f>IF(SER_hh_tes_in!G12=0,"",SER_hh_tes_in!G12/SER_hh_fec_in!G12)</f>
        <v>0.80812211518833699</v>
      </c>
      <c r="H12" s="136">
        <f>IF(SER_hh_tes_in!H12=0,"",SER_hh_tes_in!H12/SER_hh_fec_in!H12)</f>
        <v>0.80992189612101706</v>
      </c>
      <c r="I12" s="136">
        <f>IF(SER_hh_tes_in!I12=0,"",SER_hh_tes_in!I12/SER_hh_fec_in!I12)</f>
        <v>0.81176758077193123</v>
      </c>
      <c r="J12" s="136">
        <f>IF(SER_hh_tes_in!J12=0,"",SER_hh_tes_in!J12/SER_hh_fec_in!J12)</f>
        <v>0.8136948720330397</v>
      </c>
      <c r="K12" s="136">
        <f>IF(SER_hh_tes_in!K12=0,"",SER_hh_tes_in!K12/SER_hh_fec_in!K12)</f>
        <v>0.81573412675348556</v>
      </c>
      <c r="L12" s="136">
        <f>IF(SER_hh_tes_in!L12=0,"",SER_hh_tes_in!L12/SER_hh_fec_in!L12)</f>
        <v>0.8178934666349823</v>
      </c>
      <c r="M12" s="136">
        <f>IF(SER_hh_tes_in!M12=0,"",SER_hh_tes_in!M12/SER_hh_fec_in!M12)</f>
        <v>0.82088334227503457</v>
      </c>
      <c r="N12" s="136">
        <f>IF(SER_hh_tes_in!N12=0,"",SER_hh_tes_in!N12/SER_hh_fec_in!N12)</f>
        <v>0.82492838032933669</v>
      </c>
      <c r="O12" s="136">
        <f>IF(SER_hh_tes_in!O12=0,"",SER_hh_tes_in!O12/SER_hh_fec_in!O12)</f>
        <v>0.83022549335696805</v>
      </c>
      <c r="P12" s="136">
        <f>IF(SER_hh_tes_in!P12=0,"",SER_hh_tes_in!P12/SER_hh_fec_in!P12)</f>
        <v>0.83640004077721064</v>
      </c>
      <c r="Q12" s="136">
        <f>IF(SER_hh_tes_in!Q12=0,"",SER_hh_tes_in!Q12/SER_hh_fec_in!Q12)</f>
        <v>0.84222558459873875</v>
      </c>
      <c r="R12" s="136">
        <f>IF(SER_hh_tes_in!R12=0,"",SER_hh_tes_in!R12/SER_hh_fec_in!R12)</f>
        <v>0.84668950439659729</v>
      </c>
      <c r="S12" s="136">
        <f>IF(SER_hh_tes_in!S12=0,"",SER_hh_tes_in!S12/SER_hh_fec_in!S12)</f>
        <v>0.85103215213400918</v>
      </c>
      <c r="T12" s="136">
        <f>IF(SER_hh_tes_in!T12=0,"",SER_hh_tes_in!T12/SER_hh_fec_in!T12)</f>
        <v>0.85522451210081385</v>
      </c>
      <c r="U12" s="136">
        <f>IF(SER_hh_tes_in!U12=0,"",SER_hh_tes_in!U12/SER_hh_fec_in!U12)</f>
        <v>0.85923756858686473</v>
      </c>
      <c r="V12" s="136">
        <f>IF(SER_hh_tes_in!V12=0,"",SER_hh_tes_in!V12/SER_hh_fec_in!V12)</f>
        <v>0.86304230588200959</v>
      </c>
      <c r="W12" s="136">
        <f>IF(SER_hh_tes_in!W12=0,"",SER_hh_tes_in!W12/SER_hh_fec_in!W12)</f>
        <v>0.86654720227554294</v>
      </c>
      <c r="X12" s="136">
        <f>IF(SER_hh_tes_in!X12=0,"",SER_hh_tes_in!X12/SER_hh_fec_in!X12)</f>
        <v>0.87115961999698321</v>
      </c>
      <c r="Y12" s="136">
        <f>IF(SER_hh_tes_in!Y12=0,"",SER_hh_tes_in!Y12/SER_hh_fec_in!Y12)</f>
        <v>0.87559190195343595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1.5786334721722319</v>
      </c>
      <c r="D13" s="136">
        <f>IF(SER_hh_tes_in!D13=0,"",SER_hh_tes_in!D13/SER_hh_fec_in!D13)</f>
        <v>1.6770854791666607</v>
      </c>
      <c r="E13" s="136">
        <f>IF(SER_hh_tes_in!E13=0,"",SER_hh_tes_in!E13/SER_hh_fec_in!E13)</f>
        <v>1.7771950554322919</v>
      </c>
      <c r="F13" s="136">
        <f>IF(SER_hh_tes_in!F13=0,"",SER_hh_tes_in!F13/SER_hh_fec_in!F13)</f>
        <v>1.8779970704652593</v>
      </c>
      <c r="G13" s="136">
        <f>IF(SER_hh_tes_in!G13=0,"",SER_hh_tes_in!G13/SER_hh_fec_in!G13)</f>
        <v>1.9803708817095145</v>
      </c>
      <c r="H13" s="136">
        <f>IF(SER_hh_tes_in!H13=0,"",SER_hh_tes_in!H13/SER_hh_fec_in!H13)</f>
        <v>2.0842107036786732</v>
      </c>
      <c r="I13" s="136">
        <f>IF(SER_hh_tes_in!I13=0,"",SER_hh_tes_in!I13/SER_hh_fec_in!I13)</f>
        <v>2.1897351333771589</v>
      </c>
      <c r="J13" s="136">
        <f>IF(SER_hh_tes_in!J13=0,"",SER_hh_tes_in!J13/SER_hh_fec_in!J13)</f>
        <v>2.2978354231323115</v>
      </c>
      <c r="K13" s="136">
        <f>IF(SER_hh_tes_in!K13=0,"",SER_hh_tes_in!K13/SER_hh_fec_in!K13)</f>
        <v>2.4092721280497389</v>
      </c>
      <c r="L13" s="136">
        <f>IF(SER_hh_tes_in!L13=0,"",SER_hh_tes_in!L13/SER_hh_fec_in!L13)</f>
        <v>2.5242537457888652</v>
      </c>
      <c r="M13" s="136">
        <f>IF(SER_hh_tes_in!M13=0,"",SER_hh_tes_in!M13/SER_hh_fec_in!M13)</f>
        <v>2.6648524660579564</v>
      </c>
      <c r="N13" s="136">
        <f>IF(SER_hh_tes_in!N13=0,"",SER_hh_tes_in!N13/SER_hh_fec_in!N13)</f>
        <v>2.8386796475754879</v>
      </c>
      <c r="O13" s="136">
        <f>IF(SER_hh_tes_in!O13=0,"",SER_hh_tes_in!O13/SER_hh_fec_in!O13)</f>
        <v>3.0483502015433142</v>
      </c>
      <c r="P13" s="136">
        <f>IF(SER_hh_tes_in!P13=0,"",SER_hh_tes_in!P13/SER_hh_fec_in!P13)</f>
        <v>3.2727227204483347</v>
      </c>
      <c r="Q13" s="136">
        <f>IF(SER_hh_tes_in!Q13=0,"",SER_hh_tes_in!Q13/SER_hh_fec_in!Q13)</f>
        <v>3.4472100537189059</v>
      </c>
      <c r="R13" s="136">
        <f>IF(SER_hh_tes_in!R13=0,"",SER_hh_tes_in!R13/SER_hh_fec_in!R13)</f>
        <v>3.6095208712403828</v>
      </c>
      <c r="S13" s="136">
        <f>IF(SER_hh_tes_in!S13=0,"",SER_hh_tes_in!S13/SER_hh_fec_in!S13)</f>
        <v>3.7146390801424616</v>
      </c>
      <c r="T13" s="136">
        <f>IF(SER_hh_tes_in!T13=0,"",SER_hh_tes_in!T13/SER_hh_fec_in!T13)</f>
        <v>3.7801674287187943</v>
      </c>
      <c r="U13" s="136">
        <f>IF(SER_hh_tes_in!U13=0,"",SER_hh_tes_in!U13/SER_hh_fec_in!U13)</f>
        <v>3.8242493905816142</v>
      </c>
      <c r="V13" s="136">
        <f>IF(SER_hh_tes_in!V13=0,"",SER_hh_tes_in!V13/SER_hh_fec_in!V13)</f>
        <v>3.8648012477160809</v>
      </c>
      <c r="W13" s="136">
        <f>IF(SER_hh_tes_in!W13=0,"",SER_hh_tes_in!W13/SER_hh_fec_in!W13)</f>
        <v>3.9053765895122234</v>
      </c>
      <c r="X13" s="136">
        <f>IF(SER_hh_tes_in!X13=0,"",SER_hh_tes_in!X13/SER_hh_fec_in!X13)</f>
        <v>3.9393804673690807</v>
      </c>
      <c r="Y13" s="136">
        <f>IF(SER_hh_tes_in!Y13=0,"",SER_hh_tes_in!Y13/SER_hh_fec_in!Y13)</f>
        <v>3.9685459643883654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0.72645848878055075</v>
      </c>
      <c r="D14" s="137" t="str">
        <f>IF(SER_hh_tes_in!D14=0,"",SER_hh_tes_in!D14/SER_hh_fec_in!D14)</f>
        <v/>
      </c>
      <c r="E14" s="137">
        <f>IF(SER_hh_tes_in!E14=0,"",SER_hh_tes_in!E14/SER_hh_fec_in!E14)</f>
        <v>0.73322762387819951</v>
      </c>
      <c r="F14" s="137">
        <f>IF(SER_hh_tes_in!F14=0,"",SER_hh_tes_in!F14/SER_hh_fec_in!F14)</f>
        <v>0.73660585490760633</v>
      </c>
      <c r="G14" s="137">
        <f>IF(SER_hh_tes_in!G14=0,"",SER_hh_tes_in!G14/SER_hh_fec_in!G14)</f>
        <v>0.73997539824080349</v>
      </c>
      <c r="H14" s="137">
        <f>IF(SER_hh_tes_in!H14=0,"",SER_hh_tes_in!H14/SER_hh_fec_in!H14)</f>
        <v>0.74333714609259849</v>
      </c>
      <c r="I14" s="137">
        <f>IF(SER_hh_tes_in!I14=0,"",SER_hh_tes_in!I14/SER_hh_fec_in!I14)</f>
        <v>0.74668938507779425</v>
      </c>
      <c r="J14" s="137">
        <f>IF(SER_hh_tes_in!J14=0,"",SER_hh_tes_in!J14/SER_hh_fec_in!J14)</f>
        <v>0.75002503376805463</v>
      </c>
      <c r="K14" s="137">
        <f>IF(SER_hh_tes_in!K14=0,"",SER_hh_tes_in!K14/SER_hh_fec_in!K14)</f>
        <v>0.75333811766472225</v>
      </c>
      <c r="L14" s="137" t="str">
        <f>IF(SER_hh_tes_in!L14=0,"",SER_hh_tes_in!L14/SER_hh_fec_in!L14)</f>
        <v/>
      </c>
      <c r="M14" s="137" t="str">
        <f>IF(SER_hh_tes_in!M14=0,"",SER_hh_tes_in!M14/SER_hh_fec_in!M14)</f>
        <v/>
      </c>
      <c r="N14" s="137" t="str">
        <f>IF(SER_hh_tes_in!N14=0,"",SER_hh_tes_in!N14/SER_hh_fec_in!N14)</f>
        <v/>
      </c>
      <c r="O14" s="137" t="str">
        <f>IF(SER_hh_tes_in!O14=0,"",SER_hh_tes_in!O14/SER_hh_fec_in!O14)</f>
        <v/>
      </c>
      <c r="P14" s="137">
        <f>IF(SER_hh_tes_in!P14=0,"",SER_hh_tes_in!P14/SER_hh_fec_in!P14)</f>
        <v>0.76431512207950991</v>
      </c>
      <c r="Q14" s="137">
        <f>IF(SER_hh_tes_in!Q14=0,"",SER_hh_tes_in!Q14/SER_hh_fec_in!Q14)</f>
        <v>0.77043224958801759</v>
      </c>
      <c r="R14" s="137">
        <f>IF(SER_hh_tes_in!R14=0,"",SER_hh_tes_in!R14/SER_hh_fec_in!R14)</f>
        <v>0.78475923660678071</v>
      </c>
      <c r="S14" s="137">
        <f>IF(SER_hh_tes_in!S14=0,"",SER_hh_tes_in!S14/SER_hh_fec_in!S14)</f>
        <v>0.80406045098337575</v>
      </c>
      <c r="T14" s="137">
        <f>IF(SER_hh_tes_in!T14=0,"",SER_hh_tes_in!T14/SER_hh_fec_in!T14)</f>
        <v>0.82568368544519855</v>
      </c>
      <c r="U14" s="137">
        <f>IF(SER_hh_tes_in!U14=0,"",SER_hh_tes_in!U14/SER_hh_fec_in!U14)</f>
        <v>0.84700106942076603</v>
      </c>
      <c r="V14" s="137">
        <f>IF(SER_hh_tes_in!V14=0,"",SER_hh_tes_in!V14/SER_hh_fec_in!V14)</f>
        <v>0.865382144863589</v>
      </c>
      <c r="W14" s="137">
        <f>IF(SER_hh_tes_in!W14=0,"",SER_hh_tes_in!W14/SER_hh_fec_in!W14)</f>
        <v>0.88030665194011815</v>
      </c>
      <c r="X14" s="137">
        <f>IF(SER_hh_tes_in!X14=0,"",SER_hh_tes_in!X14/SER_hh_fec_in!X14)</f>
        <v>0.89489326324858898</v>
      </c>
      <c r="Y14" s="137">
        <f>IF(SER_hh_tes_in!Y14=0,"",SER_hh_tes_in!Y14/SER_hh_fec_in!Y14)</f>
        <v>0.90865175984331015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2.2061864578456234</v>
      </c>
      <c r="D16" s="135">
        <f>IF(SER_hh_tes_in!D16=0,"",SER_hh_tes_in!D16/SER_hh_fec_in!D16)</f>
        <v>2.2924964824419485</v>
      </c>
      <c r="E16" s="135">
        <f>IF(SER_hh_tes_in!E16=0,"",SER_hh_tes_in!E16/SER_hh_fec_in!E16)</f>
        <v>2.382100775333083</v>
      </c>
      <c r="F16" s="135">
        <f>IF(SER_hh_tes_in!F16=0,"",SER_hh_tes_in!F16/SER_hh_fec_in!F16)</f>
        <v>2.477095118007596</v>
      </c>
      <c r="G16" s="135">
        <f>IF(SER_hh_tes_in!G16=0,"",SER_hh_tes_in!G16/SER_hh_fec_in!G16)</f>
        <v>2.5636443885892883</v>
      </c>
      <c r="H16" s="135">
        <f>IF(SER_hh_tes_in!H16=0,"",SER_hh_tes_in!H16/SER_hh_fec_in!H16)</f>
        <v>2.6529219735213658</v>
      </c>
      <c r="I16" s="135">
        <f>IF(SER_hh_tes_in!I16=0,"",SER_hh_tes_in!I16/SER_hh_fec_in!I16)</f>
        <v>2.7464148587587114</v>
      </c>
      <c r="J16" s="135">
        <f>IF(SER_hh_tes_in!J16=0,"",SER_hh_tes_in!J16/SER_hh_fec_in!J16)</f>
        <v>2.8463258937362093</v>
      </c>
      <c r="K16" s="135">
        <f>IF(SER_hh_tes_in!K16=0,"",SER_hh_tes_in!K16/SER_hh_fec_in!K16)</f>
        <v>2.93363556998432</v>
      </c>
      <c r="L16" s="135">
        <f>IF(SER_hh_tes_in!L16=0,"",SER_hh_tes_in!L16/SER_hh_fec_in!L16)</f>
        <v>3.024813486081674</v>
      </c>
      <c r="M16" s="135">
        <f>IF(SER_hh_tes_in!M16=0,"",SER_hh_tes_in!M16/SER_hh_fec_in!M16)</f>
        <v>3.1368050148968765</v>
      </c>
      <c r="N16" s="135">
        <f>IF(SER_hh_tes_in!N16=0,"",SER_hh_tes_in!N16/SER_hh_fec_in!N16)</f>
        <v>3.2656154487435227</v>
      </c>
      <c r="O16" s="135">
        <f>IF(SER_hh_tes_in!O16=0,"",SER_hh_tes_in!O16/SER_hh_fec_in!O16)</f>
        <v>3.4124610800759831</v>
      </c>
      <c r="P16" s="135">
        <f>IF(SER_hh_tes_in!P16=0,"",SER_hh_tes_in!P16/SER_hh_fec_in!P16)</f>
        <v>3.5749377550824795</v>
      </c>
      <c r="Q16" s="135">
        <f>IF(SER_hh_tes_in!Q16=0,"",SER_hh_tes_in!Q16/SER_hh_fec_in!Q16)</f>
        <v>3.6780662408974587</v>
      </c>
      <c r="R16" s="135">
        <f>IF(SER_hh_tes_in!R16=0,"",SER_hh_tes_in!R16/SER_hh_fec_in!R16)</f>
        <v>3.7921525457306164</v>
      </c>
      <c r="S16" s="135">
        <f>IF(SER_hh_tes_in!S16=0,"",SER_hh_tes_in!S16/SER_hh_fec_in!S16)</f>
        <v>3.8168715170649405</v>
      </c>
      <c r="T16" s="135">
        <f>IF(SER_hh_tes_in!T16=0,"",SER_hh_tes_in!T16/SER_hh_fec_in!T16)</f>
        <v>3.8762105976358998</v>
      </c>
      <c r="U16" s="135">
        <f>IF(SER_hh_tes_in!U16=0,"",SER_hh_tes_in!U16/SER_hh_fec_in!U16)</f>
        <v>3.851343319798274</v>
      </c>
      <c r="V16" s="135">
        <f>IF(SER_hh_tes_in!V16=0,"",SER_hh_tes_in!V16/SER_hh_fec_in!V16)</f>
        <v>3.9087517462760637</v>
      </c>
      <c r="W16" s="135">
        <f>IF(SER_hh_tes_in!W16=0,"",SER_hh_tes_in!W16/SER_hh_fec_in!W16)</f>
        <v>3.9543540005700062</v>
      </c>
      <c r="X16" s="135">
        <f>IF(SER_hh_tes_in!X16=0,"",SER_hh_tes_in!X16/SER_hh_fec_in!X16)</f>
        <v>3.97958347968259</v>
      </c>
      <c r="Y16" s="135">
        <f>IF(SER_hh_tes_in!Y16=0,"",SER_hh_tes_in!Y16/SER_hh_fec_in!Y16)</f>
        <v>4.0017210014497575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>
        <f>IF(SER_hh_tes_in!C17=0,"",SER_hh_tes_in!C17/SER_hh_fec_in!C17)</f>
        <v>1.1511871611449096</v>
      </c>
      <c r="D17" s="136">
        <f>IF(SER_hh_tes_in!D17=0,"",SER_hh_tes_in!D17/SER_hh_fec_in!D17)</f>
        <v>1.1682584399550402</v>
      </c>
      <c r="E17" s="136">
        <f>IF(SER_hh_tes_in!E17=0,"",SER_hh_tes_in!E17/SER_hh_fec_in!E17)</f>
        <v>1.1850942335421073</v>
      </c>
      <c r="F17" s="136">
        <f>IF(SER_hh_tes_in!F17=0,"",SER_hh_tes_in!F17/SER_hh_fec_in!F17)</f>
        <v>1.2015690056449257</v>
      </c>
      <c r="G17" s="136">
        <f>IF(SER_hh_tes_in!G17=0,"",SER_hh_tes_in!G17/SER_hh_fec_in!G17)</f>
        <v>1.2178313617719643</v>
      </c>
      <c r="H17" s="136">
        <f>IF(SER_hh_tes_in!H17=0,"",SER_hh_tes_in!H17/SER_hh_fec_in!H17)</f>
        <v>1.233882610095586</v>
      </c>
      <c r="I17" s="136">
        <f>IF(SER_hh_tes_in!I17=0,"",SER_hh_tes_in!I17/SER_hh_fec_in!I17)</f>
        <v>1.2497658149156425</v>
      </c>
      <c r="J17" s="136">
        <f>IF(SER_hh_tes_in!J17=0,"",SER_hh_tes_in!J17/SER_hh_fec_in!J17)</f>
        <v>1.2656070761362055</v>
      </c>
      <c r="K17" s="136">
        <f>IF(SER_hh_tes_in!K17=0,"",SER_hh_tes_in!K17/SER_hh_fec_in!K17)</f>
        <v>1.2815076360542821</v>
      </c>
      <c r="L17" s="136">
        <f>IF(SER_hh_tes_in!L17=0,"",SER_hh_tes_in!L17/SER_hh_fec_in!L17)</f>
        <v>1.2974928418947658</v>
      </c>
      <c r="M17" s="136">
        <f>IF(SER_hh_tes_in!M17=0,"",SER_hh_tes_in!M17/SER_hh_fec_in!M17)</f>
        <v>1.3161449827295872</v>
      </c>
      <c r="N17" s="136">
        <f>IF(SER_hh_tes_in!N17=0,"",SER_hh_tes_in!N17/SER_hh_fec_in!N17)</f>
        <v>1.3374490751809505</v>
      </c>
      <c r="O17" s="136">
        <f>IF(SER_hh_tes_in!O17=0,"",SER_hh_tes_in!O17/SER_hh_fec_in!O17)</f>
        <v>1.3609674734961945</v>
      </c>
      <c r="P17" s="136">
        <f>IF(SER_hh_tes_in!P17=0,"",SER_hh_tes_in!P17/SER_hh_fec_in!P17)</f>
        <v>1.384277334295585</v>
      </c>
      <c r="Q17" s="136">
        <f>IF(SER_hh_tes_in!Q17=0,"",SER_hh_tes_in!Q17/SER_hh_fec_in!Q17)</f>
        <v>1.4019029733098216</v>
      </c>
      <c r="R17" s="136">
        <f>IF(SER_hh_tes_in!R17=0,"",SER_hh_tes_in!R17/SER_hh_fec_in!R17)</f>
        <v>1.4246678305950891</v>
      </c>
      <c r="S17" s="136">
        <f>IF(SER_hh_tes_in!S17=0,"",SER_hh_tes_in!S17/SER_hh_fec_in!S17)</f>
        <v>1.4531617622160093</v>
      </c>
      <c r="T17" s="136">
        <f>IF(SER_hh_tes_in!T17=0,"",SER_hh_tes_in!T17/SER_hh_fec_in!T17)</f>
        <v>1.4835333870513456</v>
      </c>
      <c r="U17" s="136">
        <f>IF(SER_hh_tes_in!U17=0,"",SER_hh_tes_in!U17/SER_hh_fec_in!U17)</f>
        <v>1.5113062448857724</v>
      </c>
      <c r="V17" s="136">
        <f>IF(SER_hh_tes_in!V17=0,"",SER_hh_tes_in!V17/SER_hh_fec_in!V17)</f>
        <v>1.5364066372666336</v>
      </c>
      <c r="W17" s="136">
        <f>IF(SER_hh_tes_in!W17=0,"",SER_hh_tes_in!W17/SER_hh_fec_in!W17)</f>
        <v>1.5555721418820065</v>
      </c>
      <c r="X17" s="136">
        <f>IF(SER_hh_tes_in!X17=0,"",SER_hh_tes_in!X17/SER_hh_fec_in!X17)</f>
        <v>1.56303524337431</v>
      </c>
      <c r="Y17" s="136">
        <f>IF(SER_hh_tes_in!Y17=0,"",SER_hh_tes_in!Y17/SER_hh_fec_in!Y17)</f>
        <v>1.5642485044337626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2.2141428032541093</v>
      </c>
      <c r="D18" s="136">
        <f>IF(SER_hh_tes_in!D18=0,"",SER_hh_tes_in!D18/SER_hh_fec_in!D18)</f>
        <v>2.3022464265736136</v>
      </c>
      <c r="E18" s="136">
        <f>IF(SER_hh_tes_in!E18=0,"",SER_hh_tes_in!E18/SER_hh_fec_in!E18)</f>
        <v>2.3917088853932893</v>
      </c>
      <c r="F18" s="136">
        <f>IF(SER_hh_tes_in!F18=0,"",SER_hh_tes_in!F18/SER_hh_fec_in!F18)</f>
        <v>2.4819248815107011</v>
      </c>
      <c r="G18" s="136">
        <f>IF(SER_hh_tes_in!G18=0,"",SER_hh_tes_in!G18/SER_hh_fec_in!G18)</f>
        <v>2.5734103511762685</v>
      </c>
      <c r="H18" s="136">
        <f>IF(SER_hh_tes_in!H18=0,"",SER_hh_tes_in!H18/SER_hh_fec_in!H18)</f>
        <v>2.6660801891910215</v>
      </c>
      <c r="I18" s="136">
        <f>IF(SER_hh_tes_in!I18=0,"",SER_hh_tes_in!I18/SER_hh_fec_in!I18)</f>
        <v>2.7600408166542802</v>
      </c>
      <c r="J18" s="136">
        <f>IF(SER_hh_tes_in!J18=0,"",SER_hh_tes_in!J18/SER_hh_fec_in!J18)</f>
        <v>2.8557796709791234</v>
      </c>
      <c r="K18" s="136">
        <f>IF(SER_hh_tes_in!K18=0,"",SER_hh_tes_in!K18/SER_hh_fec_in!K18)</f>
        <v>2.9536832065956027</v>
      </c>
      <c r="L18" s="136">
        <f>IF(SER_hh_tes_in!L18=0,"",SER_hh_tes_in!L18/SER_hh_fec_in!L18)</f>
        <v>3.0538017993014854</v>
      </c>
      <c r="M18" s="136">
        <f>IF(SER_hh_tes_in!M18=0,"",SER_hh_tes_in!M18/SER_hh_fec_in!M18)</f>
        <v>3.1685046850853014</v>
      </c>
      <c r="N18" s="136">
        <f>IF(SER_hh_tes_in!N18=0,"",SER_hh_tes_in!N18/SER_hh_fec_in!N18)</f>
        <v>3.3014751794299437</v>
      </c>
      <c r="O18" s="136">
        <f>IF(SER_hh_tes_in!O18=0,"",SER_hh_tes_in!O18/SER_hh_fec_in!O18)</f>
        <v>3.4524835440500046</v>
      </c>
      <c r="P18" s="136">
        <f>IF(SER_hh_tes_in!P18=0,"",SER_hh_tes_in!P18/SER_hh_fec_in!P18)</f>
        <v>3.6068509740225991</v>
      </c>
      <c r="Q18" s="136">
        <f>IF(SER_hh_tes_in!Q18=0,"",SER_hh_tes_in!Q18/SER_hh_fec_in!Q18)</f>
        <v>3.7253485469746743</v>
      </c>
      <c r="R18" s="136">
        <f>IF(SER_hh_tes_in!R18=0,"",SER_hh_tes_in!R18/SER_hh_fec_in!R18)</f>
        <v>3.8380019714190423</v>
      </c>
      <c r="S18" s="136">
        <f>IF(SER_hh_tes_in!S18=0,"",SER_hh_tes_in!S18/SER_hh_fec_in!S18)</f>
        <v>3.8964125967311514</v>
      </c>
      <c r="T18" s="136">
        <f>IF(SER_hh_tes_in!T18=0,"",SER_hh_tes_in!T18/SER_hh_fec_in!T18)</f>
        <v>3.9339089652807098</v>
      </c>
      <c r="U18" s="136">
        <f>IF(SER_hh_tes_in!U18=0,"",SER_hh_tes_in!U18/SER_hh_fec_in!U18)</f>
        <v>3.9604444441884588</v>
      </c>
      <c r="V18" s="136">
        <f>IF(SER_hh_tes_in!V18=0,"",SER_hh_tes_in!V18/SER_hh_fec_in!V18)</f>
        <v>3.986242879892631</v>
      </c>
      <c r="W18" s="136">
        <f>IF(SER_hh_tes_in!W18=0,"",SER_hh_tes_in!W18/SER_hh_fec_in!W18)</f>
        <v>4.0112055860141069</v>
      </c>
      <c r="X18" s="136">
        <f>IF(SER_hh_tes_in!X18=0,"",SER_hh_tes_in!X18/SER_hh_fec_in!X18)</f>
        <v>4.0311167597789126</v>
      </c>
      <c r="Y18" s="136">
        <f>IF(SER_hh_tes_in!Y18=0,"",SER_hh_tes_in!Y18/SER_hh_fec_in!Y18)</f>
        <v>4.0484392675680603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0.62708009325073055</v>
      </c>
      <c r="D19" s="135">
        <f>IF(SER_hh_tes_in!D19=0,"",SER_hh_tes_in!D19/SER_hh_fec_in!D19)</f>
        <v>0.62083821847892029</v>
      </c>
      <c r="E19" s="135">
        <f>IF(SER_hh_tes_in!E19=0,"",SER_hh_tes_in!E19/SER_hh_fec_in!E19)</f>
        <v>0.63072197508344807</v>
      </c>
      <c r="F19" s="135">
        <f>IF(SER_hh_tes_in!F19=0,"",SER_hh_tes_in!F19/SER_hh_fec_in!F19)</f>
        <v>0.63071481391774475</v>
      </c>
      <c r="G19" s="135">
        <f>IF(SER_hh_tes_in!G19=0,"",SER_hh_tes_in!G19/SER_hh_fec_in!G19)</f>
        <v>0.64578300641822584</v>
      </c>
      <c r="H19" s="135">
        <f>IF(SER_hh_tes_in!H19=0,"",SER_hh_tes_in!H19/SER_hh_fec_in!H19)</f>
        <v>0.646324869987982</v>
      </c>
      <c r="I19" s="135">
        <f>IF(SER_hh_tes_in!I19=0,"",SER_hh_tes_in!I19/SER_hh_fec_in!I19)</f>
        <v>0.64094313408298365</v>
      </c>
      <c r="J19" s="135">
        <f>IF(SER_hh_tes_in!J19=0,"",SER_hh_tes_in!J19/SER_hh_fec_in!J19)</f>
        <v>0.65554379978047495</v>
      </c>
      <c r="K19" s="135">
        <f>IF(SER_hh_tes_in!K19=0,"",SER_hh_tes_in!K19/SER_hh_fec_in!K19)</f>
        <v>0.65465786031032702</v>
      </c>
      <c r="L19" s="135">
        <f>IF(SER_hh_tes_in!L19=0,"",SER_hh_tes_in!L19/SER_hh_fec_in!L19)</f>
        <v>0.67006520025802896</v>
      </c>
      <c r="M19" s="135">
        <f>IF(SER_hh_tes_in!M19=0,"",SER_hh_tes_in!M19/SER_hh_fec_in!M19)</f>
        <v>0.67421380703781386</v>
      </c>
      <c r="N19" s="135">
        <f>IF(SER_hh_tes_in!N19=0,"",SER_hh_tes_in!N19/SER_hh_fec_in!N19)</f>
        <v>0.69359123267945855</v>
      </c>
      <c r="O19" s="135">
        <f>IF(SER_hh_tes_in!O19=0,"",SER_hh_tes_in!O19/SER_hh_fec_in!O19)</f>
        <v>0.70383394053543447</v>
      </c>
      <c r="P19" s="135">
        <f>IF(SER_hh_tes_in!P19=0,"",SER_hh_tes_in!P19/SER_hh_fec_in!P19)</f>
        <v>0.72526651682324439</v>
      </c>
      <c r="Q19" s="135">
        <f>IF(SER_hh_tes_in!Q19=0,"",SER_hh_tes_in!Q19/SER_hh_fec_in!Q19)</f>
        <v>0.76807081561539048</v>
      </c>
      <c r="R19" s="135">
        <f>IF(SER_hh_tes_in!R19=0,"",SER_hh_tes_in!R19/SER_hh_fec_in!R19)</f>
        <v>0.77916479419631479</v>
      </c>
      <c r="S19" s="135">
        <f>IF(SER_hh_tes_in!S19=0,"",SER_hh_tes_in!S19/SER_hh_fec_in!S19)</f>
        <v>0.7939957433107353</v>
      </c>
      <c r="T19" s="135">
        <f>IF(SER_hh_tes_in!T19=0,"",SER_hh_tes_in!T19/SER_hh_fec_in!T19)</f>
        <v>0.80293743017431685</v>
      </c>
      <c r="U19" s="135">
        <f>IF(SER_hh_tes_in!U19=0,"",SER_hh_tes_in!U19/SER_hh_fec_in!U19)</f>
        <v>0.81926569358923551</v>
      </c>
      <c r="V19" s="135">
        <f>IF(SER_hh_tes_in!V19=0,"",SER_hh_tes_in!V19/SER_hh_fec_in!V19)</f>
        <v>0.82961007597475023</v>
      </c>
      <c r="W19" s="135">
        <f>IF(SER_hh_tes_in!W19=0,"",SER_hh_tes_in!W19/SER_hh_fec_in!W19)</f>
        <v>0.84638027021738149</v>
      </c>
      <c r="X19" s="135">
        <f>IF(SER_hh_tes_in!X19=0,"",SER_hh_tes_in!X19/SER_hh_fec_in!X19)</f>
        <v>0.86440113242168781</v>
      </c>
      <c r="Y19" s="135">
        <f>IF(SER_hh_tes_in!Y19=0,"",SER_hh_tes_in!Y19/SER_hh_fec_in!Y19)</f>
        <v>0.8558448179697381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 t="str">
        <f>IF(SER_hh_tes_in!C21=0,"",SER_hh_tes_in!C21/SER_hh_fec_in!C21)</f>
        <v/>
      </c>
      <c r="D21" s="136" t="str">
        <f>IF(SER_hh_tes_in!D21=0,"",SER_hh_tes_in!D21/SER_hh_fec_in!D21)</f>
        <v/>
      </c>
      <c r="E21" s="136" t="str">
        <f>IF(SER_hh_tes_in!E21=0,"",SER_hh_tes_in!E21/SER_hh_fec_in!E21)</f>
        <v/>
      </c>
      <c r="F21" s="136" t="str">
        <f>IF(SER_hh_tes_in!F21=0,"",SER_hh_tes_in!F21/SER_hh_fec_in!F21)</f>
        <v/>
      </c>
      <c r="G21" s="136" t="str">
        <f>IF(SER_hh_tes_in!G21=0,"",SER_hh_tes_in!G21/SER_hh_fec_in!G21)</f>
        <v/>
      </c>
      <c r="H21" s="136" t="str">
        <f>IF(SER_hh_tes_in!H21=0,"",SER_hh_tes_in!H21/SER_hh_fec_in!H21)</f>
        <v/>
      </c>
      <c r="I21" s="136" t="str">
        <f>IF(SER_hh_tes_in!I21=0,"",SER_hh_tes_in!I21/SER_hh_fec_in!I21)</f>
        <v/>
      </c>
      <c r="J21" s="136" t="str">
        <f>IF(SER_hh_tes_in!J21=0,"",SER_hh_tes_in!J21/SER_hh_fec_in!J21)</f>
        <v/>
      </c>
      <c r="K21" s="136" t="str">
        <f>IF(SER_hh_tes_in!K21=0,"",SER_hh_tes_in!K21/SER_hh_fec_in!K21)</f>
        <v/>
      </c>
      <c r="L21" s="136" t="str">
        <f>IF(SER_hh_tes_in!L21=0,"",SER_hh_tes_in!L21/SER_hh_fec_in!L21)</f>
        <v/>
      </c>
      <c r="M21" s="136" t="str">
        <f>IF(SER_hh_tes_in!M21=0,"",SER_hh_tes_in!M21/SER_hh_fec_in!M21)</f>
        <v/>
      </c>
      <c r="N21" s="136" t="str">
        <f>IF(SER_hh_tes_in!N21=0,"",SER_hh_tes_in!N21/SER_hh_fec_in!N21)</f>
        <v/>
      </c>
      <c r="O21" s="136" t="str">
        <f>IF(SER_hh_tes_in!O21=0,"",SER_hh_tes_in!O21/SER_hh_fec_in!O21)</f>
        <v/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 t="str">
        <f>IF(SER_hh_tes_in!R21=0,"",SER_hh_tes_in!R21/SER_hh_fec_in!R21)</f>
        <v/>
      </c>
      <c r="S21" s="136" t="str">
        <f>IF(SER_hh_tes_in!S21=0,"",SER_hh_tes_in!S21/SER_hh_fec_in!S21)</f>
        <v/>
      </c>
      <c r="T21" s="136" t="str">
        <f>IF(SER_hh_tes_in!T21=0,"",SER_hh_tes_in!T21/SER_hh_fec_in!T21)</f>
        <v/>
      </c>
      <c r="U21" s="136" t="str">
        <f>IF(SER_hh_tes_in!U21=0,"",SER_hh_tes_in!U21/SER_hh_fec_in!U21)</f>
        <v/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 t="str">
        <f>IF(SER_hh_tes_in!X21=0,"",SER_hh_tes_in!X21/SER_hh_fec_in!X21)</f>
        <v/>
      </c>
      <c r="Y21" s="136" t="str">
        <f>IF(SER_hh_tes_in!Y21=0,"",SER_hh_tes_in!Y21/SER_hh_fec_in!Y21)</f>
        <v/>
      </c>
      <c r="DA21" s="163" t="s">
        <v>680</v>
      </c>
    </row>
    <row r="22" spans="1:105" ht="12" customHeight="1" x14ac:dyDescent="0.25">
      <c r="A22" s="131" t="s">
        <v>161</v>
      </c>
      <c r="B22" s="136"/>
      <c r="C22" s="136" t="str">
        <f>IF(SER_hh_tes_in!C22=0,"",SER_hh_tes_in!C22/SER_hh_fec_in!C22)</f>
        <v/>
      </c>
      <c r="D22" s="136" t="str">
        <f>IF(SER_hh_tes_in!D22=0,"",SER_hh_tes_in!D22/SER_hh_fec_in!D22)</f>
        <v/>
      </c>
      <c r="E22" s="136" t="str">
        <f>IF(SER_hh_tes_in!E22=0,"",SER_hh_tes_in!E22/SER_hh_fec_in!E22)</f>
        <v/>
      </c>
      <c r="F22" s="136" t="str">
        <f>IF(SER_hh_tes_in!F22=0,"",SER_hh_tes_in!F22/SER_hh_fec_in!F22)</f>
        <v/>
      </c>
      <c r="G22" s="136" t="str">
        <f>IF(SER_hh_tes_in!G22=0,"",SER_hh_tes_in!G22/SER_hh_fec_in!G22)</f>
        <v/>
      </c>
      <c r="H22" s="136" t="str">
        <f>IF(SER_hh_tes_in!H22=0,"",SER_hh_tes_in!H22/SER_hh_fec_in!H22)</f>
        <v/>
      </c>
      <c r="I22" s="136" t="str">
        <f>IF(SER_hh_tes_in!I22=0,"",SER_hh_tes_in!I22/SER_hh_fec_in!I22)</f>
        <v/>
      </c>
      <c r="J22" s="136" t="str">
        <f>IF(SER_hh_tes_in!J22=0,"",SER_hh_tes_in!J22/SER_hh_fec_in!J22)</f>
        <v/>
      </c>
      <c r="K22" s="136" t="str">
        <f>IF(SER_hh_tes_in!K22=0,"",SER_hh_tes_in!K22/SER_hh_fec_in!K22)</f>
        <v/>
      </c>
      <c r="L22" s="136" t="str">
        <f>IF(SER_hh_tes_in!L22=0,"",SER_hh_tes_in!L22/SER_hh_fec_in!L22)</f>
        <v/>
      </c>
      <c r="M22" s="136" t="str">
        <f>IF(SER_hh_tes_in!M22=0,"",SER_hh_tes_in!M22/SER_hh_fec_in!M22)</f>
        <v/>
      </c>
      <c r="N22" s="136" t="str">
        <f>IF(SER_hh_tes_in!N22=0,"",SER_hh_tes_in!N22/SER_hh_fec_in!N22)</f>
        <v/>
      </c>
      <c r="O22" s="136" t="str">
        <f>IF(SER_hh_tes_in!O22=0,"",SER_hh_tes_in!O22/SER_hh_fec_in!O22)</f>
        <v/>
      </c>
      <c r="P22" s="136" t="str">
        <f>IF(SER_hh_tes_in!P22=0,"",SER_hh_tes_in!P22/SER_hh_fec_in!P22)</f>
        <v/>
      </c>
      <c r="Q22" s="136" t="str">
        <f>IF(SER_hh_tes_in!Q22=0,"",SER_hh_tes_in!Q22/SER_hh_fec_in!Q22)</f>
        <v/>
      </c>
      <c r="R22" s="136" t="str">
        <f>IF(SER_hh_tes_in!R22=0,"",SER_hh_tes_in!R22/SER_hh_fec_in!R22)</f>
        <v/>
      </c>
      <c r="S22" s="136" t="str">
        <f>IF(SER_hh_tes_in!S22=0,"",SER_hh_tes_in!S22/SER_hh_fec_in!S22)</f>
        <v/>
      </c>
      <c r="T22" s="136" t="str">
        <f>IF(SER_hh_tes_in!T22=0,"",SER_hh_tes_in!T22/SER_hh_fec_in!T22)</f>
        <v/>
      </c>
      <c r="U22" s="136" t="str">
        <f>IF(SER_hh_tes_in!U22=0,"",SER_hh_tes_in!U22/SER_hh_fec_in!U22)</f>
        <v/>
      </c>
      <c r="V22" s="136" t="str">
        <f>IF(SER_hh_tes_in!V22=0,"",SER_hh_tes_in!V22/SER_hh_fec_in!V22)</f>
        <v/>
      </c>
      <c r="W22" s="136" t="str">
        <f>IF(SER_hh_tes_in!W22=0,"",SER_hh_tes_in!W22/SER_hh_fec_in!W22)</f>
        <v/>
      </c>
      <c r="X22" s="136" t="str">
        <f>IF(SER_hh_tes_in!X22=0,"",SER_hh_tes_in!X22/SER_hh_fec_in!X22)</f>
        <v/>
      </c>
      <c r="Y22" s="136" t="str">
        <f>IF(SER_hh_tes_in!Y22=0,"",SER_hh_tes_in!Y22/SER_hh_fec_in!Y22)</f>
        <v/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0.56898117069497101</v>
      </c>
      <c r="D23" s="136">
        <f>IF(SER_hh_tes_in!D23=0,"",SER_hh_tes_in!D23/SER_hh_fec_in!D23)</f>
        <v>0.57462894486663241</v>
      </c>
      <c r="E23" s="136">
        <f>IF(SER_hh_tes_in!E23=0,"",SER_hh_tes_in!E23/SER_hh_fec_in!E23)</f>
        <v>0.58053252996327798</v>
      </c>
      <c r="F23" s="136">
        <f>IF(SER_hh_tes_in!F23=0,"",SER_hh_tes_in!F23/SER_hh_fec_in!F23)</f>
        <v>0.58648159743232742</v>
      </c>
      <c r="G23" s="136">
        <f>IF(SER_hh_tes_in!G23=0,"",SER_hh_tes_in!G23/SER_hh_fec_in!G23)</f>
        <v>0.59266442283699805</v>
      </c>
      <c r="H23" s="136">
        <f>IF(SER_hh_tes_in!H23=0,"",SER_hh_tes_in!H23/SER_hh_fec_in!H23)</f>
        <v>0.59905600975936535</v>
      </c>
      <c r="I23" s="136">
        <f>IF(SER_hh_tes_in!I23=0,"",SER_hh_tes_in!I23/SER_hh_fec_in!I23)</f>
        <v>0.60570074879787794</v>
      </c>
      <c r="J23" s="136">
        <f>IF(SER_hh_tes_in!J23=0,"",SER_hh_tes_in!J23/SER_hh_fec_in!J23)</f>
        <v>0.61278501968108579</v>
      </c>
      <c r="K23" s="136">
        <f>IF(SER_hh_tes_in!K23=0,"",SER_hh_tes_in!K23/SER_hh_fec_in!K23)</f>
        <v>0.6204646698063041</v>
      </c>
      <c r="L23" s="136">
        <f>IF(SER_hh_tes_in!L23=0,"",SER_hh_tes_in!L23/SER_hh_fec_in!L23)</f>
        <v>0.62877672802280815</v>
      </c>
      <c r="M23" s="136">
        <f>IF(SER_hh_tes_in!M23=0,"",SER_hh_tes_in!M23/SER_hh_fec_in!M23)</f>
        <v>0.64160076152023493</v>
      </c>
      <c r="N23" s="136">
        <f>IF(SER_hh_tes_in!N23=0,"",SER_hh_tes_in!N23/SER_hh_fec_in!N23)</f>
        <v>0.66013464376603515</v>
      </c>
      <c r="O23" s="136">
        <f>IF(SER_hh_tes_in!O23=0,"",SER_hh_tes_in!O23/SER_hh_fec_in!O23)</f>
        <v>0.68523334450814932</v>
      </c>
      <c r="P23" s="136">
        <f>IF(SER_hh_tes_in!P23=0,"",SER_hh_tes_in!P23/SER_hh_fec_in!P23)</f>
        <v>0.71441646474231768</v>
      </c>
      <c r="Q23" s="136">
        <f>IF(SER_hh_tes_in!Q23=0,"",SER_hh_tes_in!Q23/SER_hh_fec_in!Q23)</f>
        <v>0.73996700441959407</v>
      </c>
      <c r="R23" s="136">
        <f>IF(SER_hh_tes_in!R23=0,"",SER_hh_tes_in!R23/SER_hh_fec_in!R23)</f>
        <v>0.75558536429765144</v>
      </c>
      <c r="S23" s="136">
        <f>IF(SER_hh_tes_in!S23=0,"",SER_hh_tes_in!S23/SER_hh_fec_in!S23)</f>
        <v>0.76888616348333327</v>
      </c>
      <c r="T23" s="136">
        <f>IF(SER_hh_tes_in!T23=0,"",SER_hh_tes_in!T23/SER_hh_fec_in!T23)</f>
        <v>0.78007817594794227</v>
      </c>
      <c r="U23" s="136">
        <f>IF(SER_hh_tes_in!U23=0,"",SER_hh_tes_in!U23/SER_hh_fec_in!U23)</f>
        <v>0.78936021166265258</v>
      </c>
      <c r="V23" s="136">
        <f>IF(SER_hh_tes_in!V23=0,"",SER_hh_tes_in!V23/SER_hh_fec_in!V23)</f>
        <v>0.79690664007148126</v>
      </c>
      <c r="W23" s="136">
        <f>IF(SER_hh_tes_in!W23=0,"",SER_hh_tes_in!W23/SER_hh_fec_in!W23)</f>
        <v>0.80190091024090926</v>
      </c>
      <c r="X23" s="136">
        <f>IF(SER_hh_tes_in!X23=0,"",SER_hh_tes_in!X23/SER_hh_fec_in!X23)</f>
        <v>0.80451096875112371</v>
      </c>
      <c r="Y23" s="136">
        <f>IF(SER_hh_tes_in!Y23=0,"",SER_hh_tes_in!Y23/SER_hh_fec_in!Y23)</f>
        <v>0.80604131952752067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>
        <f>IF(SER_hh_tes_in!N24=0,"",SER_hh_tes_in!N24/SER_hh_fec_in!N24)</f>
        <v>0.70615130885017718</v>
      </c>
      <c r="O24" s="136">
        <f>IF(SER_hh_tes_in!O24=0,"",SER_hh_tes_in!O24/SER_hh_fec_in!O24)</f>
        <v>0.71403719243003294</v>
      </c>
      <c r="P24" s="136">
        <f>IF(SER_hh_tes_in!P24=0,"",SER_hh_tes_in!P24/SER_hh_fec_in!P24)</f>
        <v>0.72083850764605872</v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>
        <f>IF(SER_hh_tes_in!U24=0,"",SER_hh_tes_in!U24/SER_hh_fec_in!U24)</f>
        <v>0.78133748390961655</v>
      </c>
      <c r="V24" s="136">
        <f>IF(SER_hh_tes_in!V24=0,"",SER_hh_tes_in!V24/SER_hh_fec_in!V24)</f>
        <v>0.79203035142649514</v>
      </c>
      <c r="W24" s="136">
        <f>IF(SER_hh_tes_in!W24=0,"",SER_hh_tes_in!W24/SER_hh_fec_in!W24)</f>
        <v>0.80062021141312767</v>
      </c>
      <c r="X24" s="136">
        <f>IF(SER_hh_tes_in!X24=0,"",SER_hh_tes_in!X24/SER_hh_fec_in!X24)</f>
        <v>0.80831929302775563</v>
      </c>
      <c r="Y24" s="136">
        <f>IF(SER_hh_tes_in!Y24=0,"",SER_hh_tes_in!Y24/SER_hh_fec_in!Y24)</f>
        <v>0.81557493448825202</v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0.7957115978210183</v>
      </c>
      <c r="D25" s="136">
        <f>IF(SER_hh_tes_in!D25=0,"",SER_hh_tes_in!D25/SER_hh_fec_in!D25)</f>
        <v>0.79755357514215863</v>
      </c>
      <c r="E25" s="136">
        <f>IF(SER_hh_tes_in!E25=0,"",SER_hh_tes_in!E25/SER_hh_fec_in!E25)</f>
        <v>0.79944528104540868</v>
      </c>
      <c r="F25" s="136">
        <f>IF(SER_hh_tes_in!F25=0,"",SER_hh_tes_in!F25/SER_hh_fec_in!F25)</f>
        <v>0.80134376811894648</v>
      </c>
      <c r="G25" s="136">
        <f>IF(SER_hh_tes_in!G25=0,"",SER_hh_tes_in!G25/SER_hh_fec_in!G25)</f>
        <v>0.8032880522916197</v>
      </c>
      <c r="H25" s="136">
        <f>IF(SER_hh_tes_in!H25=0,"",SER_hh_tes_in!H25/SER_hh_fec_in!H25)</f>
        <v>0.80527335851043835</v>
      </c>
      <c r="I25" s="136">
        <f>IF(SER_hh_tes_in!I25=0,"",SER_hh_tes_in!I25/SER_hh_fec_in!I25)</f>
        <v>0.80730930030141079</v>
      </c>
      <c r="J25" s="136">
        <f>IF(SER_hh_tes_in!J25=0,"",SER_hh_tes_in!J25/SER_hh_fec_in!J25)</f>
        <v>0.80943526088732265</v>
      </c>
      <c r="K25" s="136">
        <f>IF(SER_hh_tes_in!K25=0,"",SER_hh_tes_in!K25/SER_hh_fec_in!K25)</f>
        <v>0.81168472636656175</v>
      </c>
      <c r="L25" s="136">
        <f>IF(SER_hh_tes_in!L25=0,"",SER_hh_tes_in!L25/SER_hh_fec_in!L25)</f>
        <v>0.81406665564330716</v>
      </c>
      <c r="M25" s="136">
        <f>IF(SER_hh_tes_in!M25=0,"",SER_hh_tes_in!M25/SER_hh_fec_in!M25)</f>
        <v>0.81736473408936083</v>
      </c>
      <c r="N25" s="136">
        <f>IF(SER_hh_tes_in!N25=0,"",SER_hh_tes_in!N25/SER_hh_fec_in!N25)</f>
        <v>0.82182674335879236</v>
      </c>
      <c r="O25" s="136">
        <f>IF(SER_hh_tes_in!O25=0,"",SER_hh_tes_in!O25/SER_hh_fec_in!O25)</f>
        <v>0.82766989418042158</v>
      </c>
      <c r="P25" s="136">
        <f>IF(SER_hh_tes_in!P25=0,"",SER_hh_tes_in!P25/SER_hh_fec_in!P25)</f>
        <v>0.83448092721739497</v>
      </c>
      <c r="Q25" s="136">
        <f>IF(SER_hh_tes_in!Q25=0,"",SER_hh_tes_in!Q25/SER_hh_fec_in!Q25)</f>
        <v>0.84090698061471536</v>
      </c>
      <c r="R25" s="136">
        <f>IF(SER_hh_tes_in!R25=0,"",SER_hh_tes_in!R25/SER_hh_fec_in!R25)</f>
        <v>0.84583105085797539</v>
      </c>
      <c r="S25" s="136">
        <f>IF(SER_hh_tes_in!S25=0,"",SER_hh_tes_in!S25/SER_hh_fec_in!S25)</f>
        <v>0.85062134805619305</v>
      </c>
      <c r="T25" s="136">
        <f>IF(SER_hh_tes_in!T25=0,"",SER_hh_tes_in!T25/SER_hh_fec_in!T25)</f>
        <v>0.85524586549745185</v>
      </c>
      <c r="U25" s="136">
        <f>IF(SER_hh_tes_in!U25=0,"",SER_hh_tes_in!U25/SER_hh_fec_in!U25)</f>
        <v>0.8596725964698505</v>
      </c>
      <c r="V25" s="136">
        <f>IF(SER_hh_tes_in!V25=0,"",SER_hh_tes_in!V25/SER_hh_fec_in!V25)</f>
        <v>0.86386953426148216</v>
      </c>
      <c r="W25" s="136">
        <f>IF(SER_hh_tes_in!W25=0,"",SER_hh_tes_in!W25/SER_hh_fec_in!W25)</f>
        <v>0.86773572290702772</v>
      </c>
      <c r="X25" s="136">
        <f>IF(SER_hh_tes_in!X25=0,"",SER_hh_tes_in!X25/SER_hh_fec_in!X25)</f>
        <v>0.87235446683159756</v>
      </c>
      <c r="Y25" s="136">
        <f>IF(SER_hh_tes_in!Y25=0,"",SER_hh_tes_in!Y25/SER_hh_fec_in!Y25)</f>
        <v>0.87679282792434654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0.66130011766964858</v>
      </c>
      <c r="D26" s="137">
        <f>IF(SER_hh_tes_in!D26=0,"",SER_hh_tes_in!D26/SER_hh_fec_in!D26)</f>
        <v>0.66342601006918356</v>
      </c>
      <c r="E26" s="137">
        <f>IF(SER_hh_tes_in!E26=0,"",SER_hh_tes_in!E26/SER_hh_fec_in!E26)</f>
        <v>0.66575333572953543</v>
      </c>
      <c r="F26" s="137">
        <f>IF(SER_hh_tes_in!F26=0,"",SER_hh_tes_in!F26/SER_hh_fec_in!F26)</f>
        <v>0.66810874168665935</v>
      </c>
      <c r="G26" s="137">
        <f>IF(SER_hh_tes_in!G26=0,"",SER_hh_tes_in!G26/SER_hh_fec_in!G26)</f>
        <v>0.67065122761214413</v>
      </c>
      <c r="H26" s="137">
        <f>IF(SER_hh_tes_in!H26=0,"",SER_hh_tes_in!H26/SER_hh_fec_in!H26)</f>
        <v>0.67336284585532558</v>
      </c>
      <c r="I26" s="137">
        <f>IF(SER_hh_tes_in!I26=0,"",SER_hh_tes_in!I26/SER_hh_fec_in!I26)</f>
        <v>0.67628483264288419</v>
      </c>
      <c r="J26" s="137">
        <f>IF(SER_hh_tes_in!J26=0,"",SER_hh_tes_in!J26/SER_hh_fec_in!J26)</f>
        <v>0.67958253275014602</v>
      </c>
      <c r="K26" s="137">
        <f>IF(SER_hh_tes_in!K26=0,"",SER_hh_tes_in!K26/SER_hh_fec_in!K26)</f>
        <v>0.68340201416149837</v>
      </c>
      <c r="L26" s="137">
        <f>IF(SER_hh_tes_in!L26=0,"",SER_hh_tes_in!L26/SER_hh_fec_in!L26)</f>
        <v>0.6877934977186585</v>
      </c>
      <c r="M26" s="137">
        <f>IF(SER_hh_tes_in!M26=0,"",SER_hh_tes_in!M26/SER_hh_fec_in!M26)</f>
        <v>0.69614223689073984</v>
      </c>
      <c r="N26" s="137">
        <f>IF(SER_hh_tes_in!N26=0,"",SER_hh_tes_in!N26/SER_hh_fec_in!N26)</f>
        <v>0.70990855588120771</v>
      </c>
      <c r="O26" s="137">
        <f>IF(SER_hh_tes_in!O26=0,"",SER_hh_tes_in!O26/SER_hh_fec_in!O26)</f>
        <v>0.7309004028413385</v>
      </c>
      <c r="P26" s="137">
        <f>IF(SER_hh_tes_in!P26=0,"",SER_hh_tes_in!P26/SER_hh_fec_in!P26)</f>
        <v>0.75812254832507231</v>
      </c>
      <c r="Q26" s="137">
        <f>IF(SER_hh_tes_in!Q26=0,"",SER_hh_tes_in!Q26/SER_hh_fec_in!Q26)</f>
        <v>0.78438612694755194</v>
      </c>
      <c r="R26" s="137">
        <f>IF(SER_hh_tes_in!R26=0,"",SER_hh_tes_in!R26/SER_hh_fec_in!R26)</f>
        <v>0.8021597242044658</v>
      </c>
      <c r="S26" s="137">
        <f>IF(SER_hh_tes_in!S26=0,"",SER_hh_tes_in!S26/SER_hh_fec_in!S26)</f>
        <v>0.8193792763354717</v>
      </c>
      <c r="T26" s="137">
        <f>IF(SER_hh_tes_in!T26=0,"",SER_hh_tes_in!T26/SER_hh_fec_in!T26)</f>
        <v>0.83646519553116583</v>
      </c>
      <c r="U26" s="137">
        <f>IF(SER_hh_tes_in!U26=0,"",SER_hh_tes_in!U26/SER_hh_fec_in!U26)</f>
        <v>0.85358924181370555</v>
      </c>
      <c r="V26" s="137">
        <f>IF(SER_hh_tes_in!V26=0,"",SER_hh_tes_in!V26/SER_hh_fec_in!V26)</f>
        <v>0.87041163225355178</v>
      </c>
      <c r="W26" s="137">
        <f>IF(SER_hh_tes_in!W26=0,"",SER_hh_tes_in!W26/SER_hh_fec_in!W26)</f>
        <v>0.88577605552950567</v>
      </c>
      <c r="X26" s="137">
        <f>IF(SER_hh_tes_in!X26=0,"",SER_hh_tes_in!X26/SER_hh_fec_in!X26)</f>
        <v>0.89928398931468623</v>
      </c>
      <c r="Y26" s="137">
        <f>IF(SER_hh_tes_in!Y26=0,"",SER_hh_tes_in!Y26/SER_hh_fec_in!Y26)</f>
        <v>0.91188607052233728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 t="str">
        <f>IF(SER_hh_tes_in!C27=0,"",SER_hh_tes_in!C27/SER_hh_fec_in!C27)</f>
        <v/>
      </c>
      <c r="D27" s="148" t="str">
        <f>IF(SER_hh_tes_in!D27=0,"",SER_hh_tes_in!D27/SER_hh_fec_in!D27)</f>
        <v/>
      </c>
      <c r="E27" s="148" t="str">
        <f>IF(SER_hh_tes_in!E27=0,"",SER_hh_tes_in!E27/SER_hh_fec_in!E27)</f>
        <v/>
      </c>
      <c r="F27" s="148" t="str">
        <f>IF(SER_hh_tes_in!F27=0,"",SER_hh_tes_in!F27/SER_hh_fec_in!F27)</f>
        <v/>
      </c>
      <c r="G27" s="148">
        <f>IF(SER_hh_tes_in!G27=0,"",SER_hh_tes_in!G27/SER_hh_fec_in!G27)</f>
        <v>1</v>
      </c>
      <c r="H27" s="148">
        <f>IF(SER_hh_tes_in!H27=0,"",SER_hh_tes_in!H27/SER_hh_fec_in!H27)</f>
        <v>1</v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>
        <f>IF(SER_hh_tes_in!K27=0,"",SER_hh_tes_in!K27/SER_hh_fec_in!K27)</f>
        <v>1</v>
      </c>
      <c r="L27" s="148">
        <f>IF(SER_hh_tes_in!L27=0,"",SER_hh_tes_in!L27/SER_hh_fec_in!L27)</f>
        <v>1</v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>
        <f>IF(SER_hh_tes_in!P27=0,"",SER_hh_tes_in!P27/SER_hh_fec_in!P27)</f>
        <v>1</v>
      </c>
      <c r="Q27" s="148">
        <f>IF(SER_hh_tes_in!Q27=0,"",SER_hh_tes_in!Q27/SER_hh_fec_in!Q27)</f>
        <v>1</v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>
        <f>IF(SER_hh_tes_in!W27=0,"",SER_hh_tes_in!W27/SER_hh_fec_in!W27)</f>
        <v>1</v>
      </c>
      <c r="X27" s="148">
        <f>IF(SER_hh_tes_in!X27=0,"",SER_hh_tes_in!X27/SER_hh_fec_in!X27)</f>
        <v>1</v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0.73299281501388924</v>
      </c>
      <c r="D29" s="135">
        <f>IF(SER_hh_tes_in!D29=0,"",SER_hh_tes_in!D29/SER_hh_fec_in!D29)</f>
        <v>0.70481141542601899</v>
      </c>
      <c r="E29" s="135">
        <f>IF(SER_hh_tes_in!E29=0,"",SER_hh_tes_in!E29/SER_hh_fec_in!E29)</f>
        <v>0.71597518802246318</v>
      </c>
      <c r="F29" s="135">
        <f>IF(SER_hh_tes_in!F29=0,"",SER_hh_tes_in!F29/SER_hh_fec_in!F29)</f>
        <v>0.69276681535318441</v>
      </c>
      <c r="G29" s="135">
        <f>IF(SER_hh_tes_in!G29=0,"",SER_hh_tes_in!G29/SER_hh_fec_in!G29)</f>
        <v>0.69715067086914295</v>
      </c>
      <c r="H29" s="135">
        <f>IF(SER_hh_tes_in!H29=0,"",SER_hh_tes_in!H29/SER_hh_fec_in!H29)</f>
        <v>0.68900837295224482</v>
      </c>
      <c r="I29" s="135">
        <f>IF(SER_hh_tes_in!I29=0,"",SER_hh_tes_in!I29/SER_hh_fec_in!I29)</f>
        <v>0.7006246879741328</v>
      </c>
      <c r="J29" s="135">
        <f>IF(SER_hh_tes_in!J29=0,"",SER_hh_tes_in!J29/SER_hh_fec_in!J29)</f>
        <v>0.70239138568828252</v>
      </c>
      <c r="K29" s="135">
        <f>IF(SER_hh_tes_in!K29=0,"",SER_hh_tes_in!K29/SER_hh_fec_in!K29)</f>
        <v>0.71660338982431926</v>
      </c>
      <c r="L29" s="135">
        <f>IF(SER_hh_tes_in!L29=0,"",SER_hh_tes_in!L29/SER_hh_fec_in!L29)</f>
        <v>0.69639629207144127</v>
      </c>
      <c r="M29" s="135">
        <f>IF(SER_hh_tes_in!M29=0,"",SER_hh_tes_in!M29/SER_hh_fec_in!M29)</f>
        <v>0.64761721968367114</v>
      </c>
      <c r="N29" s="135">
        <f>IF(SER_hh_tes_in!N29=0,"",SER_hh_tes_in!N29/SER_hh_fec_in!N29)</f>
        <v>0.66256913094446546</v>
      </c>
      <c r="O29" s="135">
        <f>IF(SER_hh_tes_in!O29=0,"",SER_hh_tes_in!O29/SER_hh_fec_in!O29)</f>
        <v>0.68697260603048771</v>
      </c>
      <c r="P29" s="135">
        <f>IF(SER_hh_tes_in!P29=0,"",SER_hh_tes_in!P29/SER_hh_fec_in!P29)</f>
        <v>0.70292240564703279</v>
      </c>
      <c r="Q29" s="135">
        <f>IF(SER_hh_tes_in!Q29=0,"",SER_hh_tes_in!Q29/SER_hh_fec_in!Q29)</f>
        <v>0.71525223530935633</v>
      </c>
      <c r="R29" s="135">
        <f>IF(SER_hh_tes_in!R29=0,"",SER_hh_tes_in!R29/SER_hh_fec_in!R29)</f>
        <v>0.73642149076927055</v>
      </c>
      <c r="S29" s="135">
        <f>IF(SER_hh_tes_in!S29=0,"",SER_hh_tes_in!S29/SER_hh_fec_in!S29)</f>
        <v>0.73405144415964085</v>
      </c>
      <c r="T29" s="135">
        <f>IF(SER_hh_tes_in!T29=0,"",SER_hh_tes_in!T29/SER_hh_fec_in!T29)</f>
        <v>0.72191909249459496</v>
      </c>
      <c r="U29" s="135">
        <f>IF(SER_hh_tes_in!U29=0,"",SER_hh_tes_in!U29/SER_hh_fec_in!U29)</f>
        <v>0.72063316901525287</v>
      </c>
      <c r="V29" s="135">
        <f>IF(SER_hh_tes_in!V29=0,"",SER_hh_tes_in!V29/SER_hh_fec_in!V29)</f>
        <v>0.71461831445345225</v>
      </c>
      <c r="W29" s="135">
        <f>IF(SER_hh_tes_in!W29=0,"",SER_hh_tes_in!W29/SER_hh_fec_in!W29)</f>
        <v>0.72437393105518622</v>
      </c>
      <c r="X29" s="135">
        <f>IF(SER_hh_tes_in!X29=0,"",SER_hh_tes_in!X29/SER_hh_fec_in!X29)</f>
        <v>0.73772961249335078</v>
      </c>
      <c r="Y29" s="135">
        <f>IF(SER_hh_tes_in!Y29=0,"",SER_hh_tes_in!Y29/SER_hh_fec_in!Y29)</f>
        <v>0.74633244793186271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0.61694079670319812</v>
      </c>
      <c r="D30" s="136">
        <f>IF(SER_hh_tes_in!D30=0,"",SER_hh_tes_in!D30/SER_hh_fec_in!D30)</f>
        <v>0.61703386271512894</v>
      </c>
      <c r="E30" s="136" t="str">
        <f>IF(SER_hh_tes_in!E30=0,"",SER_hh_tes_in!E30/SER_hh_fec_in!E30)</f>
        <v/>
      </c>
      <c r="F30" s="136" t="str">
        <f>IF(SER_hh_tes_in!F30=0,"",SER_hh_tes_in!F30/SER_hh_fec_in!F30)</f>
        <v/>
      </c>
      <c r="G30" s="136" t="str">
        <f>IF(SER_hh_tes_in!G30=0,"",SER_hh_tes_in!G30/SER_hh_fec_in!G30)</f>
        <v/>
      </c>
      <c r="H30" s="136">
        <f>IF(SER_hh_tes_in!H30=0,"",SER_hh_tes_in!H30/SER_hh_fec_in!H30)</f>
        <v>0.61740618608186881</v>
      </c>
      <c r="I30" s="136">
        <f>IF(SER_hh_tes_in!I30=0,"",SER_hh_tes_in!I30/SER_hh_fec_in!I30)</f>
        <v>0.61749928479237592</v>
      </c>
      <c r="J30" s="136">
        <f>IF(SER_hh_tes_in!J30=0,"",SER_hh_tes_in!J30/SER_hh_fec_in!J30)</f>
        <v>0.61759239867827287</v>
      </c>
      <c r="K30" s="136">
        <f>IF(SER_hh_tes_in!K30=0,"",SER_hh_tes_in!K30/SER_hh_fec_in!K30)</f>
        <v>0.61768553338465404</v>
      </c>
      <c r="L30" s="136">
        <f>IF(SER_hh_tes_in!L30=0,"",SER_hh_tes_in!L30/SER_hh_fec_in!L30)</f>
        <v>0.61777869042181344</v>
      </c>
      <c r="M30" s="136" t="str">
        <f>IF(SER_hh_tes_in!M30=0,"",SER_hh_tes_in!M30/SER_hh_fec_in!M30)</f>
        <v/>
      </c>
      <c r="N30" s="136" t="str">
        <f>IF(SER_hh_tes_in!N30=0,"",SER_hh_tes_in!N30/SER_hh_fec_in!N30)</f>
        <v/>
      </c>
      <c r="O30" s="136" t="str">
        <f>IF(SER_hh_tes_in!O30=0,"",SER_hh_tes_in!O30/SER_hh_fec_in!O30)</f>
        <v/>
      </c>
      <c r="P30" s="136">
        <f>IF(SER_hh_tes_in!P30=0,"",SER_hh_tes_in!P30/SER_hh_fec_in!P30)</f>
        <v>0.61797856582609689</v>
      </c>
      <c r="Q30" s="136">
        <f>IF(SER_hh_tes_in!Q30=0,"",SER_hh_tes_in!Q30/SER_hh_fec_in!Q30)</f>
        <v>0.61824699262494487</v>
      </c>
      <c r="R30" s="136">
        <f>IF(SER_hh_tes_in!R30=0,"",SER_hh_tes_in!R30/SER_hh_fec_in!R30)</f>
        <v>0.61895208298525151</v>
      </c>
      <c r="S30" s="136">
        <f>IF(SER_hh_tes_in!S30=0,"",SER_hh_tes_in!S30/SER_hh_fec_in!S30)</f>
        <v>0.61994669350879028</v>
      </c>
      <c r="T30" s="136">
        <f>IF(SER_hh_tes_in!T30=0,"",SER_hh_tes_in!T30/SER_hh_fec_in!T30)</f>
        <v>0.62103797626804946</v>
      </c>
      <c r="U30" s="136">
        <f>IF(SER_hh_tes_in!U30=0,"",SER_hh_tes_in!U30/SER_hh_fec_in!U30)</f>
        <v>0.62203308333551965</v>
      </c>
      <c r="V30" s="136">
        <f>IF(SER_hh_tes_in!V30=0,"",SER_hh_tes_in!V30/SER_hh_fec_in!V30)</f>
        <v>0.62273916678369035</v>
      </c>
      <c r="W30" s="136">
        <f>IF(SER_hh_tes_in!W30=0,"",SER_hh_tes_in!W30/SER_hh_fec_in!W30)</f>
        <v>0.62307851584976492</v>
      </c>
      <c r="X30" s="136">
        <f>IF(SER_hh_tes_in!X30=0,"",SER_hh_tes_in!X30/SER_hh_fec_in!X30)</f>
        <v>0.62346660259327003</v>
      </c>
      <c r="Y30" s="136" t="str">
        <f>IF(SER_hh_tes_in!Y30=0,"",SER_hh_tes_in!Y30/SER_hh_fec_in!Y30)</f>
        <v/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0.63016516656076138</v>
      </c>
      <c r="D31" s="136">
        <f>IF(SER_hh_tes_in!D31=0,"",SER_hh_tes_in!D31/SER_hh_fec_in!D31)</f>
        <v>0.63027180045950493</v>
      </c>
      <c r="E31" s="136">
        <f>IF(SER_hh_tes_in!E31=0,"",SER_hh_tes_in!E31/SER_hh_fec_in!E31)</f>
        <v>0.63037844396368092</v>
      </c>
      <c r="F31" s="136">
        <f>IF(SER_hh_tes_in!F31=0,"",SER_hh_tes_in!F31/SER_hh_fec_in!F31)</f>
        <v>0.63048508877768861</v>
      </c>
      <c r="G31" s="136">
        <f>IF(SER_hh_tes_in!G31=0,"",SER_hh_tes_in!G31/SER_hh_fec_in!G31)</f>
        <v>0.63059174243773453</v>
      </c>
      <c r="H31" s="136">
        <f>IF(SER_hh_tes_in!H31=0,"",SER_hh_tes_in!H31/SER_hh_fec_in!H31)</f>
        <v>0.63069840402148303</v>
      </c>
      <c r="I31" s="136">
        <f>IF(SER_hh_tes_in!I31=0,"",SER_hh_tes_in!I31/SER_hh_fec_in!I31)</f>
        <v>0.63080507538585562</v>
      </c>
      <c r="J31" s="136">
        <f>IF(SER_hh_tes_in!J31=0,"",SER_hh_tes_in!J31/SER_hh_fec_in!J31)</f>
        <v>0.63091176413800432</v>
      </c>
      <c r="K31" s="136">
        <f>IF(SER_hh_tes_in!K31=0,"",SER_hh_tes_in!K31/SER_hh_fec_in!K31)</f>
        <v>0.63101847674600919</v>
      </c>
      <c r="L31" s="136">
        <f>IF(SER_hh_tes_in!L31=0,"",SER_hh_tes_in!L31/SER_hh_fec_in!L31)</f>
        <v>0.6311252149403469</v>
      </c>
      <c r="M31" s="136">
        <f>IF(SER_hh_tes_in!M31=0,"",SER_hh_tes_in!M31/SER_hh_fec_in!M31)</f>
        <v>0.63120627650699701</v>
      </c>
      <c r="N31" s="136">
        <f>IF(SER_hh_tes_in!N31=0,"",SER_hh_tes_in!N31/SER_hh_fec_in!N31)</f>
        <v>0.63125158610975041</v>
      </c>
      <c r="O31" s="136">
        <f>IF(SER_hh_tes_in!O31=0,"",SER_hh_tes_in!O31/SER_hh_fec_in!O31)</f>
        <v>0.63127866646908992</v>
      </c>
      <c r="P31" s="136">
        <f>IF(SER_hh_tes_in!P31=0,"",SER_hh_tes_in!P31/SER_hh_fec_in!P31)</f>
        <v>0.63135422973510924</v>
      </c>
      <c r="Q31" s="136">
        <f>IF(SER_hh_tes_in!Q31=0,"",SER_hh_tes_in!Q31/SER_hh_fec_in!Q31)</f>
        <v>0.63166178987972665</v>
      </c>
      <c r="R31" s="136">
        <f>IF(SER_hh_tes_in!R31=0,"",SER_hh_tes_in!R31/SER_hh_fec_in!R31)</f>
        <v>0.63246967379487573</v>
      </c>
      <c r="S31" s="136">
        <f>IF(SER_hh_tes_in!S31=0,"",SER_hh_tes_in!S31/SER_hh_fec_in!S31)</f>
        <v>0.6336092863736883</v>
      </c>
      <c r="T31" s="136">
        <f>IF(SER_hh_tes_in!T31=0,"",SER_hh_tes_in!T31/SER_hh_fec_in!T31)</f>
        <v>0.63485966481837675</v>
      </c>
      <c r="U31" s="136">
        <f>IF(SER_hh_tes_in!U31=0,"",SER_hh_tes_in!U31/SER_hh_fec_in!U31)</f>
        <v>0.6359998463311558</v>
      </c>
      <c r="V31" s="136">
        <f>IF(SER_hh_tes_in!V31=0,"",SER_hh_tes_in!V31/SER_hh_fec_in!V31)</f>
        <v>0.63680886811423898</v>
      </c>
      <c r="W31" s="136">
        <f>IF(SER_hh_tes_in!W31=0,"",SER_hh_tes_in!W31/SER_hh_fec_in!W31)</f>
        <v>0.63719769012562388</v>
      </c>
      <c r="X31" s="136">
        <f>IF(SER_hh_tes_in!X31=0,"",SER_hh_tes_in!X31/SER_hh_fec_in!X31)</f>
        <v>0.63759770087106715</v>
      </c>
      <c r="Y31" s="136">
        <f>IF(SER_hh_tes_in!Y31=0,"",SER_hh_tes_in!Y31/SER_hh_fec_in!Y31)</f>
        <v>0.63763770194561153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0.82883791813729146</v>
      </c>
      <c r="D33" s="149">
        <f>IF(SER_hh_tes_in!D33=0,"",SER_hh_tes_in!D33/SER_hh_fec_in!D33)</f>
        <v>0.82979980553148736</v>
      </c>
      <c r="E33" s="149">
        <f>IF(SER_hh_tes_in!E33=0,"",SER_hh_tes_in!E33/SER_hh_fec_in!E33)</f>
        <v>0.8308070461388336</v>
      </c>
      <c r="F33" s="149">
        <f>IF(SER_hh_tes_in!F33=0,"",SER_hh_tes_in!F33/SER_hh_fec_in!F33)</f>
        <v>0.83182047127524594</v>
      </c>
      <c r="G33" s="149">
        <f>IF(SER_hh_tes_in!G33=0,"",SER_hh_tes_in!G33/SER_hh_fec_in!G33)</f>
        <v>0.83287566405333679</v>
      </c>
      <c r="H33" s="149">
        <f>IF(SER_hh_tes_in!H33=0,"",SER_hh_tes_in!H33/SER_hh_fec_in!H33)</f>
        <v>0.8339682695531212</v>
      </c>
      <c r="I33" s="149">
        <f>IF(SER_hh_tes_in!I33=0,"",SER_hh_tes_in!I33/SER_hh_fec_in!I33)</f>
        <v>0.83510705545458674</v>
      </c>
      <c r="J33" s="149">
        <f>IF(SER_hh_tes_in!J33=0,"",SER_hh_tes_in!J33/SER_hh_fec_in!J33)</f>
        <v>0.8363279398479293</v>
      </c>
      <c r="K33" s="149">
        <f>IF(SER_hh_tes_in!K33=0,"",SER_hh_tes_in!K33/SER_hh_fec_in!K33)</f>
        <v>0.83766146255739793</v>
      </c>
      <c r="L33" s="149">
        <f>IF(SER_hh_tes_in!L33=0,"",SER_hh_tes_in!L33/SER_hh_fec_in!L33)</f>
        <v>0.83911579423804761</v>
      </c>
      <c r="M33" s="149">
        <f>IF(SER_hh_tes_in!M33=0,"",SER_hh_tes_in!M33/SER_hh_fec_in!M33)</f>
        <v>0.84119516716656129</v>
      </c>
      <c r="N33" s="149">
        <f>IF(SER_hh_tes_in!N33=0,"",SER_hh_tes_in!N33/SER_hh_fec_in!N33)</f>
        <v>0.84404313147967203</v>
      </c>
      <c r="O33" s="149">
        <f>IF(SER_hh_tes_in!O33=0,"",SER_hh_tes_in!O33/SER_hh_fec_in!O33)</f>
        <v>0.84800009288247413</v>
      </c>
      <c r="P33" s="149">
        <f>IF(SER_hh_tes_in!P33=0,"",SER_hh_tes_in!P33/SER_hh_fec_in!P33)</f>
        <v>0.85323300990606266</v>
      </c>
      <c r="Q33" s="149">
        <f>IF(SER_hh_tes_in!Q33=0,"",SER_hh_tes_in!Q33/SER_hh_fec_in!Q33)</f>
        <v>0.86000445557471017</v>
      </c>
      <c r="R33" s="149">
        <f>IF(SER_hh_tes_in!R33=0,"",SER_hh_tes_in!R33/SER_hh_fec_in!R33)</f>
        <v>0.86921877418758775</v>
      </c>
      <c r="S33" s="149">
        <f>IF(SER_hh_tes_in!S33=0,"",SER_hh_tes_in!S33/SER_hh_fec_in!S33)</f>
        <v>0.88074889469986484</v>
      </c>
      <c r="T33" s="149">
        <f>IF(SER_hh_tes_in!T33=0,"",SER_hh_tes_in!T33/SER_hh_fec_in!T33)</f>
        <v>0.8931617025970584</v>
      </c>
      <c r="U33" s="149">
        <f>IF(SER_hh_tes_in!U33=0,"",SER_hh_tes_in!U33/SER_hh_fec_in!U33)</f>
        <v>0.90502408336471918</v>
      </c>
      <c r="V33" s="149">
        <f>IF(SER_hh_tes_in!V33=0,"",SER_hh_tes_in!V33/SER_hh_fec_in!V33)</f>
        <v>0.91490292248838168</v>
      </c>
      <c r="W33" s="149">
        <f>IF(SER_hh_tes_in!W33=0,"",SER_hh_tes_in!W33/SER_hh_fec_in!W33)</f>
        <v>0.9223002905845874</v>
      </c>
      <c r="X33" s="149">
        <f>IF(SER_hh_tes_in!X33=0,"",SER_hh_tes_in!X33/SER_hh_fec_in!X33)</f>
        <v>0.92744343989075828</v>
      </c>
      <c r="Y33" s="149">
        <f>IF(SER_hh_tes_in!Y33=0,"",SER_hh_tes_in!Y33/SER_hh_fec_in!Y33)</f>
        <v>0.93200436321994007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112.29881303012141</v>
      </c>
      <c r="D3" s="125">
        <f t="shared" si="0"/>
        <v>129.56312531328146</v>
      </c>
      <c r="E3" s="125">
        <f t="shared" si="0"/>
        <v>199.60424755026455</v>
      </c>
      <c r="F3" s="125">
        <f t="shared" si="0"/>
        <v>112.87911060867985</v>
      </c>
      <c r="G3" s="125">
        <f t="shared" si="0"/>
        <v>101.41603805373094</v>
      </c>
      <c r="H3" s="125">
        <f t="shared" si="0"/>
        <v>36.36945741716189</v>
      </c>
      <c r="I3" s="125">
        <f t="shared" si="0"/>
        <v>31.547349972855152</v>
      </c>
      <c r="J3" s="125">
        <f t="shared" si="0"/>
        <v>5.9578343407958485</v>
      </c>
      <c r="K3" s="125">
        <f t="shared" si="0"/>
        <v>12.523518154692173</v>
      </c>
      <c r="L3" s="125">
        <f t="shared" si="0"/>
        <v>18.977461475755025</v>
      </c>
      <c r="M3" s="125">
        <f t="shared" si="0"/>
        <v>36.243092429772375</v>
      </c>
      <c r="N3" s="125">
        <f t="shared" si="0"/>
        <v>35.361905379816413</v>
      </c>
      <c r="O3" s="125">
        <f t="shared" si="0"/>
        <v>40.744562349215542</v>
      </c>
      <c r="P3" s="125">
        <f t="shared" si="0"/>
        <v>80.010029494688382</v>
      </c>
      <c r="Q3" s="125">
        <f t="shared" si="0"/>
        <v>6.444942130006071</v>
      </c>
      <c r="R3" s="125">
        <f t="shared" ref="R3:W3" si="1">SUM(R4,R16,R19,R29)</f>
        <v>20.581056979615308</v>
      </c>
      <c r="S3" s="125">
        <f t="shared" si="1"/>
        <v>27.37632056349452</v>
      </c>
      <c r="T3" s="125">
        <f t="shared" si="1"/>
        <v>29.131486226324668</v>
      </c>
      <c r="U3" s="125">
        <f t="shared" si="1"/>
        <v>25.552978545019968</v>
      </c>
      <c r="V3" s="125">
        <f t="shared" si="1"/>
        <v>22.887048053588721</v>
      </c>
      <c r="W3" s="125">
        <f t="shared" si="1"/>
        <v>16.838500377527417</v>
      </c>
      <c r="X3" s="125">
        <f t="shared" ref="X3:Y3" si="2">SUM(X4,X16,X19,X29)</f>
        <v>10.994981295868502</v>
      </c>
      <c r="Y3" s="125">
        <f t="shared" si="2"/>
        <v>10.25751814677368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101.86293907970969</v>
      </c>
      <c r="D4" s="130">
        <f t="shared" si="3"/>
        <v>114.4590124900967</v>
      </c>
      <c r="E4" s="130">
        <f t="shared" si="3"/>
        <v>178.41478699372271</v>
      </c>
      <c r="F4" s="130">
        <f t="shared" si="3"/>
        <v>99.774747459268397</v>
      </c>
      <c r="G4" s="130">
        <f t="shared" si="3"/>
        <v>84.966498555071027</v>
      </c>
      <c r="H4" s="130">
        <f t="shared" si="3"/>
        <v>24.353135779378647</v>
      </c>
      <c r="I4" s="130">
        <f t="shared" si="3"/>
        <v>15.042104417599276</v>
      </c>
      <c r="J4" s="130">
        <f t="shared" si="3"/>
        <v>3.0628172924969541</v>
      </c>
      <c r="K4" s="130">
        <f t="shared" si="3"/>
        <v>9.6878947850282273</v>
      </c>
      <c r="L4" s="130">
        <f t="shared" si="3"/>
        <v>15.838581474469526</v>
      </c>
      <c r="M4" s="130">
        <f t="shared" si="3"/>
        <v>28.85779806439928</v>
      </c>
      <c r="N4" s="130">
        <f t="shared" si="3"/>
        <v>26.688009221735722</v>
      </c>
      <c r="O4" s="130">
        <f t="shared" si="3"/>
        <v>29.549454952594949</v>
      </c>
      <c r="P4" s="130">
        <f t="shared" si="3"/>
        <v>53.802385261682723</v>
      </c>
      <c r="Q4" s="130">
        <f t="shared" si="3"/>
        <v>3.5895528713817626</v>
      </c>
      <c r="R4" s="130">
        <f t="shared" ref="R4:W4" si="4">SUM(R5:R15)</f>
        <v>12.691889416752378</v>
      </c>
      <c r="S4" s="130">
        <f t="shared" si="4"/>
        <v>16.854720359978238</v>
      </c>
      <c r="T4" s="130">
        <f t="shared" si="4"/>
        <v>17.365491903554723</v>
      </c>
      <c r="U4" s="130">
        <f t="shared" si="4"/>
        <v>15.468944352029682</v>
      </c>
      <c r="V4" s="130">
        <f t="shared" si="4"/>
        <v>13.637189168347668</v>
      </c>
      <c r="W4" s="130">
        <f t="shared" si="4"/>
        <v>8.645323037442143</v>
      </c>
      <c r="X4" s="130">
        <f t="shared" ref="X4:Y4" si="5">SUM(X5:X15)</f>
        <v>3.9090844685813075</v>
      </c>
      <c r="Y4" s="130">
        <f t="shared" si="5"/>
        <v>2.9283609327039803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7.7129868527997997E-2</v>
      </c>
      <c r="N5" s="132">
        <v>9.2634735904355142E-2</v>
      </c>
      <c r="O5" s="132">
        <v>0.54931326434379057</v>
      </c>
      <c r="P5" s="132">
        <v>0.49839590399475547</v>
      </c>
      <c r="Q5" s="132">
        <v>5.9727305540874125E-2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0</v>
      </c>
      <c r="D7" s="132">
        <v>0</v>
      </c>
      <c r="E7" s="132">
        <v>0</v>
      </c>
      <c r="F7" s="132">
        <v>0</v>
      </c>
      <c r="G7" s="132">
        <v>0</v>
      </c>
      <c r="H7" s="132">
        <v>0</v>
      </c>
      <c r="I7" s="132">
        <v>0</v>
      </c>
      <c r="J7" s="132">
        <v>0</v>
      </c>
      <c r="K7" s="132">
        <v>0</v>
      </c>
      <c r="L7" s="132">
        <v>0</v>
      </c>
      <c r="M7" s="132">
        <v>0</v>
      </c>
      <c r="N7" s="132">
        <v>2.2389787499295979</v>
      </c>
      <c r="O7" s="132">
        <v>0.69964563722380768</v>
      </c>
      <c r="P7" s="132">
        <v>5.6936467247770581</v>
      </c>
      <c r="Q7" s="132">
        <v>1.2724310316464627</v>
      </c>
      <c r="R7" s="132">
        <v>2.6784736996209451</v>
      </c>
      <c r="S7" s="132">
        <v>0.94937830666988066</v>
      </c>
      <c r="T7" s="132">
        <v>0.89248570951749662</v>
      </c>
      <c r="U7" s="132">
        <v>0.26707199777946383</v>
      </c>
      <c r="V7" s="132">
        <v>0.44178511438465223</v>
      </c>
      <c r="W7" s="132">
        <v>0.69868557045707558</v>
      </c>
      <c r="X7" s="132">
        <v>0.23984322400148986</v>
      </c>
      <c r="Y7" s="132">
        <v>0.18066800190120588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4.3213570127698944E-4</v>
      </c>
      <c r="S8" s="132">
        <v>1.617587683946671E-3</v>
      </c>
      <c r="T8" s="132">
        <v>3.4376880414566688E-3</v>
      </c>
      <c r="U8" s="132">
        <v>2.2608226319326989E-3</v>
      </c>
      <c r="V8" s="132">
        <v>3.2599733812298738E-3</v>
      </c>
      <c r="W8" s="132">
        <v>1.1412934522150517E-3</v>
      </c>
      <c r="X8" s="132">
        <v>1.3594574988481957E-3</v>
      </c>
      <c r="Y8" s="132">
        <v>1.6928054159644353E-3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101.86293907970969</v>
      </c>
      <c r="D9" s="132">
        <v>114.4590124900967</v>
      </c>
      <c r="E9" s="132">
        <v>178.41478699372271</v>
      </c>
      <c r="F9" s="132">
        <v>99.774747459268397</v>
      </c>
      <c r="G9" s="132">
        <v>84.966498555071027</v>
      </c>
      <c r="H9" s="132">
        <v>24.353135779378647</v>
      </c>
      <c r="I9" s="132">
        <v>15.042104417599276</v>
      </c>
      <c r="J9" s="132">
        <v>3.0628172924969541</v>
      </c>
      <c r="K9" s="132">
        <v>9.6878947850282273</v>
      </c>
      <c r="L9" s="132">
        <v>15.838581474469526</v>
      </c>
      <c r="M9" s="132">
        <v>28.780668195871282</v>
      </c>
      <c r="N9" s="132">
        <v>24.128898700748838</v>
      </c>
      <c r="O9" s="132">
        <v>28.073075394461096</v>
      </c>
      <c r="P9" s="132">
        <v>47.380271891107121</v>
      </c>
      <c r="Q9" s="132">
        <v>2.1846520335613611</v>
      </c>
      <c r="R9" s="132">
        <v>9.9935772298412981</v>
      </c>
      <c r="S9" s="132">
        <v>15.777528262830778</v>
      </c>
      <c r="T9" s="132">
        <v>16.362812043313561</v>
      </c>
      <c r="U9" s="132">
        <v>15.058968207216544</v>
      </c>
      <c r="V9" s="132">
        <v>13.192144080581786</v>
      </c>
      <c r="W9" s="132">
        <v>7.8685309693434942</v>
      </c>
      <c r="X9" s="132">
        <v>3.4575498849763928</v>
      </c>
      <c r="Y9" s="132">
        <v>2.4585132407387378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0.22749703515293307</v>
      </c>
      <c r="O10" s="132">
        <v>0.2274206565662571</v>
      </c>
      <c r="P10" s="132">
        <v>0.23007074180378348</v>
      </c>
      <c r="Q10" s="132">
        <v>7.2742500633064533E-2</v>
      </c>
      <c r="R10" s="132">
        <v>1.9406351588857979E-2</v>
      </c>
      <c r="S10" s="132">
        <v>0.12619620279363372</v>
      </c>
      <c r="T10" s="132">
        <v>0.10675646268220862</v>
      </c>
      <c r="U10" s="132">
        <v>0.14064332440174229</v>
      </c>
      <c r="V10" s="132">
        <v>0</v>
      </c>
      <c r="W10" s="132">
        <v>7.6965204189359121E-2</v>
      </c>
      <c r="X10" s="132">
        <v>0.21033190210457678</v>
      </c>
      <c r="Y10" s="132">
        <v>0.28748688464807193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2.7164242176705447E-2</v>
      </c>
      <c r="D16" s="130">
        <f t="shared" si="6"/>
        <v>3.6195345038323813E-2</v>
      </c>
      <c r="E16" s="130">
        <f t="shared" si="6"/>
        <v>4.2156618508519941E-2</v>
      </c>
      <c r="F16" s="130">
        <f t="shared" si="6"/>
        <v>1.0547926704869547E-2</v>
      </c>
      <c r="G16" s="130">
        <f t="shared" si="6"/>
        <v>2.7694979450946254E-2</v>
      </c>
      <c r="H16" s="130">
        <f t="shared" si="6"/>
        <v>2.4779086475123446E-2</v>
      </c>
      <c r="I16" s="130">
        <f t="shared" si="6"/>
        <v>3.4254292245645676E-2</v>
      </c>
      <c r="J16" s="130">
        <f t="shared" si="6"/>
        <v>3.1974542870261287E-3</v>
      </c>
      <c r="K16" s="130">
        <f t="shared" si="6"/>
        <v>6.1857254820926388E-3</v>
      </c>
      <c r="L16" s="130">
        <f t="shared" si="6"/>
        <v>9.0238631316488446E-3</v>
      </c>
      <c r="M16" s="130">
        <f t="shared" si="6"/>
        <v>1.7454970290846663E-2</v>
      </c>
      <c r="N16" s="130">
        <f t="shared" si="6"/>
        <v>3.0116125274192277E-2</v>
      </c>
      <c r="O16" s="130">
        <f t="shared" si="6"/>
        <v>3.1897401938790065E-2</v>
      </c>
      <c r="P16" s="130">
        <f t="shared" si="6"/>
        <v>5.0020344809328335E-2</v>
      </c>
      <c r="Q16" s="130">
        <f t="shared" si="6"/>
        <v>1.3408265542050084E-2</v>
      </c>
      <c r="R16" s="130">
        <f t="shared" ref="R16:W16" si="7">SUM(R17:R18)</f>
        <v>2.6130615947020559E-2</v>
      </c>
      <c r="S16" s="130">
        <f t="shared" si="7"/>
        <v>6.8737681788314409E-2</v>
      </c>
      <c r="T16" s="130">
        <f t="shared" si="7"/>
        <v>4.5580380706012995E-2</v>
      </c>
      <c r="U16" s="130">
        <f t="shared" si="7"/>
        <v>8.0839324572096471E-2</v>
      </c>
      <c r="V16" s="130">
        <f t="shared" si="7"/>
        <v>4.1897913573788838E-2</v>
      </c>
      <c r="W16" s="130">
        <f t="shared" si="7"/>
        <v>3.4123622935240197E-2</v>
      </c>
      <c r="X16" s="130">
        <f t="shared" ref="X16:Y16" si="8">SUM(X17:X18)</f>
        <v>2.9220731638964346E-2</v>
      </c>
      <c r="Y16" s="130">
        <f t="shared" si="8"/>
        <v>2.3133899800603604E-2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2.7164242176705447E-2</v>
      </c>
      <c r="D17" s="132">
        <v>3.6195345038323813E-2</v>
      </c>
      <c r="E17" s="132">
        <v>4.2156618508519941E-2</v>
      </c>
      <c r="F17" s="132">
        <v>1.0547926704869547E-2</v>
      </c>
      <c r="G17" s="132">
        <v>2.7694979450946254E-2</v>
      </c>
      <c r="H17" s="132">
        <v>2.4779086475123446E-2</v>
      </c>
      <c r="I17" s="132">
        <v>3.4254292245645676E-2</v>
      </c>
      <c r="J17" s="132">
        <v>3.1974542870261287E-3</v>
      </c>
      <c r="K17" s="132">
        <v>6.1857254820926388E-3</v>
      </c>
      <c r="L17" s="132">
        <v>9.0238631316488446E-3</v>
      </c>
      <c r="M17" s="132">
        <v>1.7454970290846663E-2</v>
      </c>
      <c r="N17" s="132">
        <v>3.0116125274192277E-2</v>
      </c>
      <c r="O17" s="132">
        <v>3.1897401938790065E-2</v>
      </c>
      <c r="P17" s="132">
        <v>5.0020344809328335E-2</v>
      </c>
      <c r="Q17" s="132">
        <v>1.3408265542050084E-2</v>
      </c>
      <c r="R17" s="132">
        <v>2.6130615947020559E-2</v>
      </c>
      <c r="S17" s="132">
        <v>6.8737681788314409E-2</v>
      </c>
      <c r="T17" s="132">
        <v>4.5580380706012995E-2</v>
      </c>
      <c r="U17" s="132">
        <v>8.0839324572096471E-2</v>
      </c>
      <c r="V17" s="132">
        <v>4.1897913573788838E-2</v>
      </c>
      <c r="W17" s="132">
        <v>3.4123622935240197E-2</v>
      </c>
      <c r="X17" s="132">
        <v>2.9220731638964346E-2</v>
      </c>
      <c r="Y17" s="132">
        <v>2.3133899800603604E-2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4.8508210246162351</v>
      </c>
      <c r="D19" s="130">
        <f t="shared" si="9"/>
        <v>7.0660117919229508</v>
      </c>
      <c r="E19" s="130">
        <f t="shared" si="9"/>
        <v>9.7480078466852813</v>
      </c>
      <c r="F19" s="130">
        <f t="shared" si="9"/>
        <v>5.7135452962151954</v>
      </c>
      <c r="G19" s="130">
        <f t="shared" si="9"/>
        <v>6.6569513284797317</v>
      </c>
      <c r="H19" s="130">
        <f t="shared" si="9"/>
        <v>5.0073930354136058</v>
      </c>
      <c r="I19" s="130">
        <f t="shared" si="9"/>
        <v>8.1306709680471414</v>
      </c>
      <c r="J19" s="130">
        <f t="shared" si="9"/>
        <v>1.4724878702615136</v>
      </c>
      <c r="K19" s="130">
        <f t="shared" si="9"/>
        <v>1.5735961029503049</v>
      </c>
      <c r="L19" s="130">
        <f t="shared" si="9"/>
        <v>1.4968968818907034</v>
      </c>
      <c r="M19" s="130">
        <f t="shared" si="9"/>
        <v>2.7871401991153846</v>
      </c>
      <c r="N19" s="130">
        <f t="shared" si="9"/>
        <v>3.1473509503618851</v>
      </c>
      <c r="O19" s="130">
        <f t="shared" si="9"/>
        <v>5.1968599184484905</v>
      </c>
      <c r="P19" s="130">
        <f t="shared" si="9"/>
        <v>13.640097392580007</v>
      </c>
      <c r="Q19" s="130">
        <f t="shared" si="9"/>
        <v>1.2507934694733571</v>
      </c>
      <c r="R19" s="130">
        <f t="shared" ref="R19:W19" si="10">SUM(R20:R27)</f>
        <v>3.6233733092698142</v>
      </c>
      <c r="S19" s="130">
        <f t="shared" si="10"/>
        <v>4.6421151337002797</v>
      </c>
      <c r="T19" s="130">
        <f t="shared" si="10"/>
        <v>4.9497237400912386</v>
      </c>
      <c r="U19" s="130">
        <f t="shared" si="10"/>
        <v>3.8541656024889859</v>
      </c>
      <c r="V19" s="130">
        <f t="shared" si="10"/>
        <v>3.2647949069837945</v>
      </c>
      <c r="W19" s="130">
        <f t="shared" si="10"/>
        <v>2.4548958671259524</v>
      </c>
      <c r="X19" s="130">
        <f t="shared" ref="X19:Y19" si="11">SUM(X20:X27)</f>
        <v>1.9492896087869651</v>
      </c>
      <c r="Y19" s="130">
        <f t="shared" si="11"/>
        <v>2.6334838196300816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4.8508210246162351</v>
      </c>
      <c r="D23" s="132">
        <v>7.0660117919229508</v>
      </c>
      <c r="E23" s="132">
        <v>9.7480078466852813</v>
      </c>
      <c r="F23" s="132">
        <v>5.7135452962151954</v>
      </c>
      <c r="G23" s="132">
        <v>6.6569513284797317</v>
      </c>
      <c r="H23" s="132">
        <v>5.0073930354136058</v>
      </c>
      <c r="I23" s="132">
        <v>8.1306709680471414</v>
      </c>
      <c r="J23" s="132">
        <v>1.4724878702615136</v>
      </c>
      <c r="K23" s="132">
        <v>1.5735961029503049</v>
      </c>
      <c r="L23" s="132">
        <v>1.4968968818907034</v>
      </c>
      <c r="M23" s="132">
        <v>2.7871401991153846</v>
      </c>
      <c r="N23" s="132">
        <v>2.8484809761503285</v>
      </c>
      <c r="O23" s="132">
        <v>5.1090345146941996</v>
      </c>
      <c r="P23" s="132">
        <v>13.528562827397005</v>
      </c>
      <c r="Q23" s="132">
        <v>1.2507934694733571</v>
      </c>
      <c r="R23" s="132">
        <v>3.6233733092698142</v>
      </c>
      <c r="S23" s="132">
        <v>4.6421151337002797</v>
      </c>
      <c r="T23" s="132">
        <v>4.9497237400912386</v>
      </c>
      <c r="U23" s="132">
        <v>3.8486154831385986</v>
      </c>
      <c r="V23" s="132">
        <v>3.2423949087762534</v>
      </c>
      <c r="W23" s="132">
        <v>2.4301126164389686</v>
      </c>
      <c r="X23" s="132">
        <v>1.8859565235266191</v>
      </c>
      <c r="Y23" s="132">
        <v>2.5498030280400719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0.29886997421155642</v>
      </c>
      <c r="O24" s="132">
        <v>8.7825403754290696E-2</v>
      </c>
      <c r="P24" s="132">
        <v>0.11153456518300191</v>
      </c>
      <c r="Q24" s="132">
        <v>0</v>
      </c>
      <c r="R24" s="132">
        <v>0</v>
      </c>
      <c r="S24" s="132">
        <v>0</v>
      </c>
      <c r="T24" s="132">
        <v>0</v>
      </c>
      <c r="U24" s="132">
        <v>5.5501193503871117E-3</v>
      </c>
      <c r="V24" s="132">
        <v>2.2399998207540982E-2</v>
      </c>
      <c r="W24" s="132">
        <v>2.4783250686983699E-2</v>
      </c>
      <c r="X24" s="132">
        <v>6.3333085260345964E-2</v>
      </c>
      <c r="Y24" s="132">
        <v>8.3680791590009601E-2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5.5578886836187742</v>
      </c>
      <c r="D29" s="130">
        <f t="shared" si="12"/>
        <v>8.0019056862235072</v>
      </c>
      <c r="E29" s="130">
        <f t="shared" si="12"/>
        <v>11.399296091348008</v>
      </c>
      <c r="F29" s="130">
        <f t="shared" si="12"/>
        <v>7.3802699264913754</v>
      </c>
      <c r="G29" s="130">
        <f t="shared" si="12"/>
        <v>9.7648931907292411</v>
      </c>
      <c r="H29" s="130">
        <f t="shared" si="12"/>
        <v>6.9841495158945124</v>
      </c>
      <c r="I29" s="130">
        <f t="shared" si="12"/>
        <v>8.3403202949630888</v>
      </c>
      <c r="J29" s="130">
        <f t="shared" si="12"/>
        <v>1.4193317237503544</v>
      </c>
      <c r="K29" s="130">
        <f t="shared" si="12"/>
        <v>1.2558415412315489</v>
      </c>
      <c r="L29" s="130">
        <f t="shared" si="12"/>
        <v>1.6329592562631439</v>
      </c>
      <c r="M29" s="130">
        <f t="shared" si="12"/>
        <v>4.580699195966865</v>
      </c>
      <c r="N29" s="130">
        <f t="shared" si="12"/>
        <v>5.4964290824446111</v>
      </c>
      <c r="O29" s="130">
        <f t="shared" si="12"/>
        <v>5.9663500762333097</v>
      </c>
      <c r="P29" s="130">
        <f t="shared" si="12"/>
        <v>12.517526495616316</v>
      </c>
      <c r="Q29" s="130">
        <f t="shared" si="12"/>
        <v>1.5911875236089004</v>
      </c>
      <c r="R29" s="130">
        <f t="shared" ref="R29:W29" si="13">SUM(R30:R33)</f>
        <v>4.2396636376460961</v>
      </c>
      <c r="S29" s="130">
        <f t="shared" si="13"/>
        <v>5.8107473880276892</v>
      </c>
      <c r="T29" s="130">
        <f t="shared" si="13"/>
        <v>6.7706902019726893</v>
      </c>
      <c r="U29" s="130">
        <f t="shared" si="13"/>
        <v>6.1490292659292063</v>
      </c>
      <c r="V29" s="130">
        <f t="shared" si="13"/>
        <v>5.9431660646834708</v>
      </c>
      <c r="W29" s="130">
        <f t="shared" si="13"/>
        <v>5.7041578500240799</v>
      </c>
      <c r="X29" s="130">
        <f t="shared" ref="X29:Y29" si="14">SUM(X30:X33)</f>
        <v>5.1073864868612642</v>
      </c>
      <c r="Y29" s="130">
        <f t="shared" si="14"/>
        <v>4.6725394946390155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0.97960499716677263</v>
      </c>
      <c r="D30" s="132">
        <v>1.5896036911346232</v>
      </c>
      <c r="E30" s="132">
        <v>0</v>
      </c>
      <c r="F30" s="132">
        <v>0</v>
      </c>
      <c r="G30" s="132">
        <v>0</v>
      </c>
      <c r="H30" s="132">
        <v>0.86699589231023866</v>
      </c>
      <c r="I30" s="132">
        <v>2.0625920897150607</v>
      </c>
      <c r="J30" s="132">
        <v>0.29992012151908198</v>
      </c>
      <c r="K30" s="132">
        <v>0.3683802336107177</v>
      </c>
      <c r="L30" s="132">
        <v>0.36038948484616501</v>
      </c>
      <c r="M30" s="132">
        <v>0</v>
      </c>
      <c r="N30" s="132">
        <v>0</v>
      </c>
      <c r="O30" s="132">
        <v>0</v>
      </c>
      <c r="P30" s="132">
        <v>0.36937023304200783</v>
      </c>
      <c r="Q30" s="132">
        <v>8.8815033145409297E-2</v>
      </c>
      <c r="R30" s="132">
        <v>0.1717115953441086</v>
      </c>
      <c r="S30" s="132">
        <v>0.43497651336440435</v>
      </c>
      <c r="T30" s="132">
        <v>1.5252166632473234</v>
      </c>
      <c r="U30" s="132">
        <v>1.1224390000103486</v>
      </c>
      <c r="V30" s="132">
        <v>1.1144364152420088</v>
      </c>
      <c r="W30" s="132">
        <v>0.50100816622373834</v>
      </c>
      <c r="X30" s="132">
        <v>0.13942713315181038</v>
      </c>
      <c r="Y30" s="132">
        <v>0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4.5782836864520018</v>
      </c>
      <c r="D31" s="132">
        <v>6.4123019950888835</v>
      </c>
      <c r="E31" s="132">
        <v>11.399296091348008</v>
      </c>
      <c r="F31" s="132">
        <v>7.3802699264913754</v>
      </c>
      <c r="G31" s="132">
        <v>9.7648931907292411</v>
      </c>
      <c r="H31" s="132">
        <v>6.1171536235842741</v>
      </c>
      <c r="I31" s="132">
        <v>6.2777282052480281</v>
      </c>
      <c r="J31" s="132">
        <v>1.1194116022312726</v>
      </c>
      <c r="K31" s="132">
        <v>0.8874613076208312</v>
      </c>
      <c r="L31" s="132">
        <v>1.2725697714169788</v>
      </c>
      <c r="M31" s="132">
        <v>4.580699195966865</v>
      </c>
      <c r="N31" s="132">
        <v>5.4964290824446111</v>
      </c>
      <c r="O31" s="132">
        <v>5.9663500762333097</v>
      </c>
      <c r="P31" s="132">
        <v>12.148156262574309</v>
      </c>
      <c r="Q31" s="132">
        <v>1.502372490463491</v>
      </c>
      <c r="R31" s="132">
        <v>4.0679520423019877</v>
      </c>
      <c r="S31" s="132">
        <v>5.3757708746632851</v>
      </c>
      <c r="T31" s="132">
        <v>5.2454735387253661</v>
      </c>
      <c r="U31" s="132">
        <v>5.0265902659188573</v>
      </c>
      <c r="V31" s="132">
        <v>4.8287296494414624</v>
      </c>
      <c r="W31" s="132">
        <v>5.2031496838003415</v>
      </c>
      <c r="X31" s="132">
        <v>4.9679593537094542</v>
      </c>
      <c r="Y31" s="132">
        <v>4.6725394946390155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369287.17890550219</v>
      </c>
      <c r="D3" s="125">
        <f>IF(SER_hh_fec_in!D3=0,0,11630*1000*SER_hh_fec_in!D3/SER_hh_num_in!D3)</f>
        <v>335863.65518517484</v>
      </c>
      <c r="E3" s="125">
        <f>IF(SER_hh_fec_in!E3=0,0,11630*1000*SER_hh_fec_in!E3/SER_hh_num_in!E3)</f>
        <v>327046.5389884183</v>
      </c>
      <c r="F3" s="125">
        <f>IF(SER_hh_fec_in!F3=0,0,11630*1000*SER_hh_fec_in!F3/SER_hh_num_in!F3)</f>
        <v>373895.47233127337</v>
      </c>
      <c r="G3" s="125">
        <f>IF(SER_hh_fec_in!G3=0,0,11630*1000*SER_hh_fec_in!G3/SER_hh_num_in!G3)</f>
        <v>324810.56415537064</v>
      </c>
      <c r="H3" s="125">
        <f>IF(SER_hh_fec_in!H3=0,0,11630*1000*SER_hh_fec_in!H3/SER_hh_num_in!H3)</f>
        <v>262640.43382097851</v>
      </c>
      <c r="I3" s="125">
        <f>IF(SER_hh_fec_in!I3=0,0,11630*1000*SER_hh_fec_in!I3/SER_hh_num_in!I3)</f>
        <v>232291.11020601148</v>
      </c>
      <c r="J3" s="125">
        <f>IF(SER_hh_fec_in!J3=0,0,11630*1000*SER_hh_fec_in!J3/SER_hh_num_in!J3)</f>
        <v>225545.27025074468</v>
      </c>
      <c r="K3" s="125">
        <f>IF(SER_hh_fec_in!K3=0,0,11630*1000*SER_hh_fec_in!K3/SER_hh_num_in!K3)</f>
        <v>250863.98351348535</v>
      </c>
      <c r="L3" s="125">
        <f>IF(SER_hh_fec_in!L3=0,0,11630*1000*SER_hh_fec_in!L3/SER_hh_num_in!L3)</f>
        <v>270213.24993970897</v>
      </c>
      <c r="M3" s="125">
        <f>IF(SER_hh_fec_in!M3=0,0,11630*1000*SER_hh_fec_in!M3/SER_hh_num_in!M3)</f>
        <v>254427.93466758565</v>
      </c>
      <c r="N3" s="125">
        <f>IF(SER_hh_fec_in!N3=0,0,11630*1000*SER_hh_fec_in!N3/SER_hh_num_in!N3)</f>
        <v>196342.5540487055</v>
      </c>
      <c r="O3" s="125">
        <f>IF(SER_hh_fec_in!O3=0,0,11630*1000*SER_hh_fec_in!O3/SER_hh_num_in!O3)</f>
        <v>175476.77080454997</v>
      </c>
      <c r="P3" s="125">
        <f>IF(SER_hh_fec_in!P3=0,0,11630*1000*SER_hh_fec_in!P3/SER_hh_num_in!P3)</f>
        <v>142815.97289713059</v>
      </c>
      <c r="Q3" s="125">
        <f>IF(SER_hh_fec_in!Q3=0,0,11630*1000*SER_hh_fec_in!Q3/SER_hh_num_in!Q3)</f>
        <v>142114.06005024505</v>
      </c>
      <c r="R3" s="125">
        <f>IF(SER_hh_fec_in!R3=0,0,11630*1000*SER_hh_fec_in!R3/SER_hh_num_in!R3)</f>
        <v>133302.05848130203</v>
      </c>
      <c r="S3" s="125">
        <f>IF(SER_hh_fec_in!S3=0,0,11630*1000*SER_hh_fec_in!S3/SER_hh_num_in!S3)</f>
        <v>126788.83548752175</v>
      </c>
      <c r="T3" s="125">
        <f>IF(SER_hh_fec_in!T3=0,0,11630*1000*SER_hh_fec_in!T3/SER_hh_num_in!T3)</f>
        <v>119641.54382023492</v>
      </c>
      <c r="U3" s="125">
        <f>IF(SER_hh_fec_in!U3=0,0,11630*1000*SER_hh_fec_in!U3/SER_hh_num_in!U3)</f>
        <v>111775.07145514608</v>
      </c>
      <c r="V3" s="125">
        <f>IF(SER_hh_fec_in!V3=0,0,11630*1000*SER_hh_fec_in!V3/SER_hh_num_in!V3)</f>
        <v>100280.66573648465</v>
      </c>
      <c r="W3" s="125">
        <f>IF(SER_hh_fec_in!W3=0,0,11630*1000*SER_hh_fec_in!W3/SER_hh_num_in!W3)</f>
        <v>91430.417299383756</v>
      </c>
      <c r="X3" s="125">
        <f>IF(SER_hh_fec_in!X3=0,0,11630*1000*SER_hh_fec_in!X3/SER_hh_num_in!X3)</f>
        <v>79890.980558371826</v>
      </c>
      <c r="Y3" s="125">
        <f>IF(SER_hh_fec_in!Y3=0,0,11630*1000*SER_hh_fec_in!Y3/SER_hh_num_in!Y3)</f>
        <v>71846.518087439123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305874.41694141028</v>
      </c>
      <c r="D4" s="130">
        <f>IF(SER_hh_fec_in!D4=0,0,11630*1000*SER_hh_fec_in!D4/SER_hh_num_in!D4)</f>
        <v>272722.21094341</v>
      </c>
      <c r="E4" s="130">
        <f>IF(SER_hh_fec_in!E4=0,0,11630*1000*SER_hh_fec_in!E4/SER_hh_num_in!E4)</f>
        <v>266824.09209103568</v>
      </c>
      <c r="F4" s="130">
        <f>IF(SER_hh_fec_in!F4=0,0,11630*1000*SER_hh_fec_in!F4/SER_hh_num_in!F4)</f>
        <v>310465.13558074745</v>
      </c>
      <c r="G4" s="130">
        <f>IF(SER_hh_fec_in!G4=0,0,11630*1000*SER_hh_fec_in!G4/SER_hh_num_in!G4)</f>
        <v>264007.07777535828</v>
      </c>
      <c r="H4" s="130">
        <f>IF(SER_hh_fec_in!H4=0,0,11630*1000*SER_hh_fec_in!H4/SER_hh_num_in!H4)</f>
        <v>201260.45548386432</v>
      </c>
      <c r="I4" s="130">
        <f>IF(SER_hh_fec_in!I4=0,0,11630*1000*SER_hh_fec_in!I4/SER_hh_num_in!I4)</f>
        <v>171780.28266104849</v>
      </c>
      <c r="J4" s="130">
        <f>IF(SER_hh_fec_in!J4=0,0,11630*1000*SER_hh_fec_in!J4/SER_hh_num_in!J4)</f>
        <v>166918.72517955952</v>
      </c>
      <c r="K4" s="130">
        <f>IF(SER_hh_fec_in!K4=0,0,11630*1000*SER_hh_fec_in!K4/SER_hh_num_in!K4)</f>
        <v>192282.50444630824</v>
      </c>
      <c r="L4" s="130">
        <f>IF(SER_hh_fec_in!L4=0,0,11630*1000*SER_hh_fec_in!L4/SER_hh_num_in!L4)</f>
        <v>210889.48725867743</v>
      </c>
      <c r="M4" s="130">
        <f>IF(SER_hh_fec_in!M4=0,0,11630*1000*SER_hh_fec_in!M4/SER_hh_num_in!M4)</f>
        <v>194063.57736971523</v>
      </c>
      <c r="N4" s="130">
        <f>IF(SER_hh_fec_in!N4=0,0,11630*1000*SER_hh_fec_in!N4/SER_hh_num_in!N4)</f>
        <v>135060.42356997691</v>
      </c>
      <c r="O4" s="130">
        <f>IF(SER_hh_fec_in!O4=0,0,11630*1000*SER_hh_fec_in!O4/SER_hh_num_in!O4)</f>
        <v>118548.99016644619</v>
      </c>
      <c r="P4" s="130">
        <f>IF(SER_hh_fec_in!P4=0,0,11630*1000*SER_hh_fec_in!P4/SER_hh_num_in!P4)</f>
        <v>90142.981952694056</v>
      </c>
      <c r="Q4" s="130">
        <f>IF(SER_hh_fec_in!Q4=0,0,11630*1000*SER_hh_fec_in!Q4/SER_hh_num_in!Q4)</f>
        <v>89251.131169857472</v>
      </c>
      <c r="R4" s="130">
        <f>IF(SER_hh_fec_in!R4=0,0,11630*1000*SER_hh_fec_in!R4/SER_hh_num_in!R4)</f>
        <v>83929.514735983859</v>
      </c>
      <c r="S4" s="130">
        <f>IF(SER_hh_fec_in!S4=0,0,11630*1000*SER_hh_fec_in!S4/SER_hh_num_in!S4)</f>
        <v>77440.511478351094</v>
      </c>
      <c r="T4" s="130">
        <f>IF(SER_hh_fec_in!T4=0,0,11630*1000*SER_hh_fec_in!T4/SER_hh_num_in!T4)</f>
        <v>70259.493059920816</v>
      </c>
      <c r="U4" s="130">
        <f>IF(SER_hh_fec_in!U4=0,0,11630*1000*SER_hh_fec_in!U4/SER_hh_num_in!U4)</f>
        <v>63510.64627981605</v>
      </c>
      <c r="V4" s="130">
        <f>IF(SER_hh_fec_in!V4=0,0,11630*1000*SER_hh_fec_in!V4/SER_hh_num_in!V4)</f>
        <v>56299.696841340585</v>
      </c>
      <c r="W4" s="130">
        <f>IF(SER_hh_fec_in!W4=0,0,11630*1000*SER_hh_fec_in!W4/SER_hh_num_in!W4)</f>
        <v>46362.802504209722</v>
      </c>
      <c r="X4" s="130">
        <f>IF(SER_hh_fec_in!X4=0,0,11630*1000*SER_hh_fec_in!X4/SER_hh_num_in!X4)</f>
        <v>35339.10906958046</v>
      </c>
      <c r="Y4" s="130">
        <f>IF(SER_hh_fec_in!Y4=0,0,11630*1000*SER_hh_fec_in!Y4/SER_hh_num_in!Y4)</f>
        <v>28386.615521424559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0</v>
      </c>
      <c r="D5" s="132">
        <f>IF(SER_hh_fec_in!D5=0,0,11630*1000*SER_hh_fec_in!D5/SER_hh_num_in!D5)</f>
        <v>0</v>
      </c>
      <c r="E5" s="132">
        <f>IF(SER_hh_fec_in!E5=0,0,11630*1000*SER_hh_fec_in!E5/SER_hh_num_in!E5)</f>
        <v>0</v>
      </c>
      <c r="F5" s="132">
        <f>IF(SER_hh_fec_in!F5=0,0,11630*1000*SER_hh_fec_in!F5/SER_hh_num_in!F5)</f>
        <v>0</v>
      </c>
      <c r="G5" s="132">
        <f>IF(SER_hh_fec_in!G5=0,0,11630*1000*SER_hh_fec_in!G5/SER_hh_num_in!G5)</f>
        <v>0</v>
      </c>
      <c r="H5" s="132">
        <f>IF(SER_hh_fec_in!H5=0,0,11630*1000*SER_hh_fec_in!H5/SER_hh_num_in!H5)</f>
        <v>0</v>
      </c>
      <c r="I5" s="132">
        <f>IF(SER_hh_fec_in!I5=0,0,11630*1000*SER_hh_fec_in!I5/SER_hh_num_in!I5)</f>
        <v>0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208056.17491084168</v>
      </c>
      <c r="N5" s="132">
        <f>IF(SER_hh_fec_in!N5=0,0,11630*1000*SER_hh_fec_in!N5/SER_hh_num_in!N5)</f>
        <v>61443.084176911252</v>
      </c>
      <c r="O5" s="132">
        <f>IF(SER_hh_fec_in!O5=0,0,11630*1000*SER_hh_fec_in!O5/SER_hh_num_in!O5)</f>
        <v>135144.0232313216</v>
      </c>
      <c r="P5" s="132">
        <f>IF(SER_hh_fec_in!P5=0,0,11630*1000*SER_hh_fec_in!P5/SER_hh_num_in!P5)</f>
        <v>101176.06894360714</v>
      </c>
      <c r="Q5" s="132">
        <f>IF(SER_hh_fec_in!Q5=0,0,11630*1000*SER_hh_fec_in!Q5/SER_hh_num_in!Q5)</f>
        <v>112050.35711402967</v>
      </c>
      <c r="R5" s="132">
        <f>IF(SER_hh_fec_in!R5=0,0,11630*1000*SER_hh_fec_in!R5/SER_hh_num_in!R5)</f>
        <v>0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0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0</v>
      </c>
      <c r="D7" s="132">
        <f>IF(SER_hh_fec_in!D7=0,0,11630*1000*SER_hh_fec_in!D7/SER_hh_num_in!D7)</f>
        <v>0</v>
      </c>
      <c r="E7" s="132">
        <f>IF(SER_hh_fec_in!E7=0,0,11630*1000*SER_hh_fec_in!E7/SER_hh_num_in!E7)</f>
        <v>0</v>
      </c>
      <c r="F7" s="132">
        <f>IF(SER_hh_fec_in!F7=0,0,11630*1000*SER_hh_fec_in!F7/SER_hh_num_in!F7)</f>
        <v>0</v>
      </c>
      <c r="G7" s="132">
        <f>IF(SER_hh_fec_in!G7=0,0,11630*1000*SER_hh_fec_in!G7/SER_hh_num_in!G7)</f>
        <v>0</v>
      </c>
      <c r="H7" s="132">
        <f>IF(SER_hh_fec_in!H7=0,0,11630*1000*SER_hh_fec_in!H7/SER_hh_num_in!H7)</f>
        <v>0</v>
      </c>
      <c r="I7" s="132">
        <f>IF(SER_hh_fec_in!I7=0,0,11630*1000*SER_hh_fec_in!I7/SER_hh_num_in!I7)</f>
        <v>0</v>
      </c>
      <c r="J7" s="132">
        <f>IF(SER_hh_fec_in!J7=0,0,11630*1000*SER_hh_fec_in!J7/SER_hh_num_in!J7)</f>
        <v>0</v>
      </c>
      <c r="K7" s="132">
        <f>IF(SER_hh_fec_in!K7=0,0,11630*1000*SER_hh_fec_in!K7/SER_hh_num_in!K7)</f>
        <v>0</v>
      </c>
      <c r="L7" s="132">
        <f>IF(SER_hh_fec_in!L7=0,0,11630*1000*SER_hh_fec_in!L7/SER_hh_num_in!L7)</f>
        <v>0</v>
      </c>
      <c r="M7" s="132">
        <f>IF(SER_hh_fec_in!M7=0,0,11630*1000*SER_hh_fec_in!M7/SER_hh_num_in!M7)</f>
        <v>0</v>
      </c>
      <c r="N7" s="132">
        <f>IF(SER_hh_fec_in!N7=0,0,11630*1000*SER_hh_fec_in!N7/SER_hh_num_in!N7)</f>
        <v>207587.30929078232</v>
      </c>
      <c r="O7" s="132">
        <f>IF(SER_hh_fec_in!O7=0,0,11630*1000*SER_hh_fec_in!O7/SER_hh_num_in!O7)</f>
        <v>75450.835879131031</v>
      </c>
      <c r="P7" s="132">
        <f>IF(SER_hh_fec_in!P7=0,0,11630*1000*SER_hh_fec_in!P7/SER_hh_num_in!P7)</f>
        <v>95776.34744108509</v>
      </c>
      <c r="Q7" s="132">
        <f>IF(SER_hh_fec_in!Q7=0,0,11630*1000*SER_hh_fec_in!Q7/SER_hh_num_in!Q7)</f>
        <v>112005.61213628342</v>
      </c>
      <c r="R7" s="132">
        <f>IF(SER_hh_fec_in!R7=0,0,11630*1000*SER_hh_fec_in!R7/SER_hh_num_in!R7)</f>
        <v>108127.76868092826</v>
      </c>
      <c r="S7" s="132">
        <f>IF(SER_hh_fec_in!S7=0,0,11630*1000*SER_hh_fec_in!S7/SER_hh_num_in!S7)</f>
        <v>86530.462683027712</v>
      </c>
      <c r="T7" s="132">
        <f>IF(SER_hh_fec_in!T7=0,0,11630*1000*SER_hh_fec_in!T7/SER_hh_num_in!T7)</f>
        <v>87930.190294381508</v>
      </c>
      <c r="U7" s="132">
        <f>IF(SER_hh_fec_in!U7=0,0,11630*1000*SER_hh_fec_in!U7/SER_hh_num_in!U7)</f>
        <v>71469.772194892372</v>
      </c>
      <c r="V7" s="132">
        <f>IF(SER_hh_fec_in!V7=0,0,11630*1000*SER_hh_fec_in!V7/SER_hh_num_in!V7)</f>
        <v>66292.933501579711</v>
      </c>
      <c r="W7" s="132">
        <f>IF(SER_hh_fec_in!W7=0,0,11630*1000*SER_hh_fec_in!W7/SER_hh_num_in!W7)</f>
        <v>68054.150187593565</v>
      </c>
      <c r="X7" s="132">
        <f>IF(SER_hh_fec_in!X7=0,0,11630*1000*SER_hh_fec_in!X7/SER_hh_num_in!X7)</f>
        <v>43422.311293248858</v>
      </c>
      <c r="Y7" s="132">
        <f>IF(SER_hh_fec_in!Y7=0,0,11630*1000*SER_hh_fec_in!Y7/SER_hh_num_in!Y7)</f>
        <v>39267.592929563762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0</v>
      </c>
      <c r="D8" s="132">
        <f>IF(SER_hh_fec_in!D8=0,0,11630*1000*SER_hh_fec_in!D8/SER_hh_num_in!D8)</f>
        <v>0</v>
      </c>
      <c r="E8" s="132">
        <f>IF(SER_hh_fec_in!E8=0,0,11630*1000*SER_hh_fec_in!E8/SER_hh_num_in!E8)</f>
        <v>0</v>
      </c>
      <c r="F8" s="132">
        <f>IF(SER_hh_fec_in!F8=0,0,11630*1000*SER_hh_fec_in!F8/SER_hh_num_in!F8)</f>
        <v>0</v>
      </c>
      <c r="G8" s="132">
        <f>IF(SER_hh_fec_in!G8=0,0,11630*1000*SER_hh_fec_in!G8/SER_hh_num_in!G8)</f>
        <v>0</v>
      </c>
      <c r="H8" s="132">
        <f>IF(SER_hh_fec_in!H8=0,0,11630*1000*SER_hh_fec_in!H8/SER_hh_num_in!H8)</f>
        <v>0</v>
      </c>
      <c r="I8" s="132">
        <f>IF(SER_hh_fec_in!I8=0,0,11630*1000*SER_hh_fec_in!I8/SER_hh_num_in!I8)</f>
        <v>0</v>
      </c>
      <c r="J8" s="132">
        <f>IF(SER_hh_fec_in!J8=0,0,11630*1000*SER_hh_fec_in!J8/SER_hh_num_in!J8)</f>
        <v>0</v>
      </c>
      <c r="K8" s="132">
        <f>IF(SER_hh_fec_in!K8=0,0,11630*1000*SER_hh_fec_in!K8/SER_hh_num_in!K8)</f>
        <v>0</v>
      </c>
      <c r="L8" s="132">
        <f>IF(SER_hh_fec_in!L8=0,0,11630*1000*SER_hh_fec_in!L8/SER_hh_num_in!L8)</f>
        <v>0</v>
      </c>
      <c r="M8" s="132">
        <f>IF(SER_hh_fec_in!M8=0,0,11630*1000*SER_hh_fec_in!M8/SER_hh_num_in!M8)</f>
        <v>0</v>
      </c>
      <c r="N8" s="132">
        <f>IF(SER_hh_fec_in!N8=0,0,11630*1000*SER_hh_fec_in!N8/SER_hh_num_in!N8)</f>
        <v>0</v>
      </c>
      <c r="O8" s="132">
        <f>IF(SER_hh_fec_in!O8=0,0,11630*1000*SER_hh_fec_in!O8/SER_hh_num_in!O8)</f>
        <v>0</v>
      </c>
      <c r="P8" s="132">
        <f>IF(SER_hh_fec_in!P8=0,0,11630*1000*SER_hh_fec_in!P8/SER_hh_num_in!P8)</f>
        <v>0</v>
      </c>
      <c r="Q8" s="132">
        <f>IF(SER_hh_fec_in!Q8=0,0,11630*1000*SER_hh_fec_in!Q8/SER_hh_num_in!Q8)</f>
        <v>0</v>
      </c>
      <c r="R8" s="132">
        <f>IF(SER_hh_fec_in!R8=0,0,11630*1000*SER_hh_fec_in!R8/SER_hh_num_in!R8)</f>
        <v>7534.7626766056992</v>
      </c>
      <c r="S8" s="132">
        <f>IF(SER_hh_fec_in!S8=0,0,11630*1000*SER_hh_fec_in!S8/SER_hh_num_in!S8)</f>
        <v>17027.631944586486</v>
      </c>
      <c r="T8" s="132">
        <f>IF(SER_hh_fec_in!T8=0,0,11630*1000*SER_hh_fec_in!T8/SER_hh_num_in!T8)</f>
        <v>21270.24175991325</v>
      </c>
      <c r="U8" s="132">
        <f>IF(SER_hh_fec_in!U8=0,0,11630*1000*SER_hh_fec_in!U8/SER_hh_num_in!U8)</f>
        <v>16814.51160314578</v>
      </c>
      <c r="V8" s="132">
        <f>IF(SER_hh_fec_in!V8=0,0,11630*1000*SER_hh_fec_in!V8/SER_hh_num_in!V8)</f>
        <v>20784.133347157633</v>
      </c>
      <c r="W8" s="132">
        <f>IF(SER_hh_fec_in!W8=0,0,11630*1000*SER_hh_fec_in!W8/SER_hh_num_in!W8)</f>
        <v>12692.191226703126</v>
      </c>
      <c r="X8" s="132">
        <f>IF(SER_hh_fec_in!X8=0,0,11630*1000*SER_hh_fec_in!X8/SER_hh_num_in!X8)</f>
        <v>11240.618101447293</v>
      </c>
      <c r="Y8" s="132">
        <f>IF(SER_hh_fec_in!Y8=0,0,11630*1000*SER_hh_fec_in!Y8/SER_hh_num_in!Y8)</f>
        <v>10161.967671159304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323135.00058598805</v>
      </c>
      <c r="D9" s="132">
        <f>IF(SER_hh_fec_in!D9=0,0,11630*1000*SER_hh_fec_in!D9/SER_hh_num_in!D9)</f>
        <v>276850.09387127857</v>
      </c>
      <c r="E9" s="132">
        <f>IF(SER_hh_fec_in!E9=0,0,11630*1000*SER_hh_fec_in!E9/SER_hh_num_in!E9)</f>
        <v>269882.5714809731</v>
      </c>
      <c r="F9" s="132">
        <f>IF(SER_hh_fec_in!F9=0,0,11630*1000*SER_hh_fec_in!F9/SER_hh_num_in!F9)</f>
        <v>328342.07461421832</v>
      </c>
      <c r="G9" s="132">
        <f>IF(SER_hh_fec_in!G9=0,0,11630*1000*SER_hh_fec_in!G9/SER_hh_num_in!G9)</f>
        <v>303236.82247479039</v>
      </c>
      <c r="H9" s="132">
        <f>IF(SER_hh_fec_in!H9=0,0,11630*1000*SER_hh_fec_in!H9/SER_hh_num_in!H9)</f>
        <v>259291.87352220854</v>
      </c>
      <c r="I9" s="132">
        <f>IF(SER_hh_fec_in!I9=0,0,11630*1000*SER_hh_fec_in!I9/SER_hh_num_in!I9)</f>
        <v>198341.67272045388</v>
      </c>
      <c r="J9" s="132">
        <f>IF(SER_hh_fec_in!J9=0,0,11630*1000*SER_hh_fec_in!J9/SER_hh_num_in!J9)</f>
        <v>189420.023197653</v>
      </c>
      <c r="K9" s="132">
        <f>IF(SER_hh_fec_in!K9=0,0,11630*1000*SER_hh_fec_in!K9/SER_hh_num_in!K9)</f>
        <v>206788.69996994137</v>
      </c>
      <c r="L9" s="132">
        <f>IF(SER_hh_fec_in!L9=0,0,11630*1000*SER_hh_fec_in!L9/SER_hh_num_in!L9)</f>
        <v>215376.57296721847</v>
      </c>
      <c r="M9" s="132">
        <f>IF(SER_hh_fec_in!M9=0,0,11630*1000*SER_hh_fec_in!M9/SER_hh_num_in!M9)</f>
        <v>197603.26924718323</v>
      </c>
      <c r="N9" s="132">
        <f>IF(SER_hh_fec_in!N9=0,0,11630*1000*SER_hh_fec_in!N9/SER_hh_num_in!N9)</f>
        <v>133807.22300328847</v>
      </c>
      <c r="O9" s="132">
        <f>IF(SER_hh_fec_in!O9=0,0,11630*1000*SER_hh_fec_in!O9/SER_hh_num_in!O9)</f>
        <v>122224.77710286608</v>
      </c>
      <c r="P9" s="132">
        <f>IF(SER_hh_fec_in!P9=0,0,11630*1000*SER_hh_fec_in!P9/SER_hh_num_in!P9)</f>
        <v>92660.609221781153</v>
      </c>
      <c r="Q9" s="132">
        <f>IF(SER_hh_fec_in!Q9=0,0,11630*1000*SER_hh_fec_in!Q9/SER_hh_num_in!Q9)</f>
        <v>90929.715859670061</v>
      </c>
      <c r="R9" s="132">
        <f>IF(SER_hh_fec_in!R9=0,0,11630*1000*SER_hh_fec_in!R9/SER_hh_num_in!R9)</f>
        <v>85748.728639226363</v>
      </c>
      <c r="S9" s="132">
        <f>IF(SER_hh_fec_in!S9=0,0,11630*1000*SER_hh_fec_in!S9/SER_hh_num_in!S9)</f>
        <v>79039.899132098319</v>
      </c>
      <c r="T9" s="132">
        <f>IF(SER_hh_fec_in!T9=0,0,11630*1000*SER_hh_fec_in!T9/SER_hh_num_in!T9)</f>
        <v>70328.051246907882</v>
      </c>
      <c r="U9" s="132">
        <f>IF(SER_hh_fec_in!U9=0,0,11630*1000*SER_hh_fec_in!U9/SER_hh_num_in!U9)</f>
        <v>63557.729238495071</v>
      </c>
      <c r="V9" s="132">
        <f>IF(SER_hh_fec_in!V9=0,0,11630*1000*SER_hh_fec_in!V9/SER_hh_num_in!V9)</f>
        <v>60732.880675023967</v>
      </c>
      <c r="W9" s="132">
        <f>IF(SER_hh_fec_in!W9=0,0,11630*1000*SER_hh_fec_in!W9/SER_hh_num_in!W9)</f>
        <v>55017.285967788979</v>
      </c>
      <c r="X9" s="132">
        <f>IF(SER_hh_fec_in!X9=0,0,11630*1000*SER_hh_fec_in!X9/SER_hh_num_in!X9)</f>
        <v>40834.21311374483</v>
      </c>
      <c r="Y9" s="132">
        <f>IF(SER_hh_fec_in!Y9=0,0,11630*1000*SER_hh_fec_in!Y9/SER_hh_num_in!Y9)</f>
        <v>31633.540279299992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275379.68059349665</v>
      </c>
      <c r="D10" s="132">
        <f>IF(SER_hh_fec_in!D10=0,0,11630*1000*SER_hh_fec_in!D10/SER_hh_num_in!D10)</f>
        <v>293219.03646514681</v>
      </c>
      <c r="E10" s="132">
        <f>IF(SER_hh_fec_in!E10=0,0,11630*1000*SER_hh_fec_in!E10/SER_hh_num_in!E10)</f>
        <v>351805.65567583317</v>
      </c>
      <c r="F10" s="132">
        <f>IF(SER_hh_fec_in!F10=0,0,11630*1000*SER_hh_fec_in!F10/SER_hh_num_in!F10)</f>
        <v>335168.75337529392</v>
      </c>
      <c r="G10" s="132">
        <f>IF(SER_hh_fec_in!G10=0,0,11630*1000*SER_hh_fec_in!G10/SER_hh_num_in!G10)</f>
        <v>0</v>
      </c>
      <c r="H10" s="132">
        <f>IF(SER_hh_fec_in!H10=0,0,11630*1000*SER_hh_fec_in!H10/SER_hh_num_in!H10)</f>
        <v>0</v>
      </c>
      <c r="I10" s="132">
        <f>IF(SER_hh_fec_in!I10=0,0,11630*1000*SER_hh_fec_in!I10/SER_hh_num_in!I10)</f>
        <v>223053.46809805496</v>
      </c>
      <c r="J10" s="132">
        <f>IF(SER_hh_fec_in!J10=0,0,11630*1000*SER_hh_fec_in!J10/SER_hh_num_in!J10)</f>
        <v>213894.81705807152</v>
      </c>
      <c r="K10" s="132">
        <f>IF(SER_hh_fec_in!K10=0,0,11630*1000*SER_hh_fec_in!K10/SER_hh_num_in!K10)</f>
        <v>224723.83791077402</v>
      </c>
      <c r="L10" s="132">
        <f>IF(SER_hh_fec_in!L10=0,0,11630*1000*SER_hh_fec_in!L10/SER_hh_num_in!L10)</f>
        <v>225396.55988194467</v>
      </c>
      <c r="M10" s="132">
        <f>IF(SER_hh_fec_in!M10=0,0,11630*1000*SER_hh_fec_in!M10/SER_hh_num_in!M10)</f>
        <v>206803.17952964807</v>
      </c>
      <c r="N10" s="132">
        <f>IF(SER_hh_fec_in!N10=0,0,11630*1000*SER_hh_fec_in!N10/SER_hh_num_in!N10)</f>
        <v>165629.52580385271</v>
      </c>
      <c r="O10" s="132">
        <f>IF(SER_hh_fec_in!O10=0,0,11630*1000*SER_hh_fec_in!O10/SER_hh_num_in!O10)</f>
        <v>145265.85590900859</v>
      </c>
      <c r="P10" s="132">
        <f>IF(SER_hh_fec_in!P10=0,0,11630*1000*SER_hh_fec_in!P10/SER_hh_num_in!P10)</f>
        <v>113396.41184891204</v>
      </c>
      <c r="Q10" s="132">
        <f>IF(SER_hh_fec_in!Q10=0,0,11630*1000*SER_hh_fec_in!Q10/SER_hh_num_in!Q10)</f>
        <v>131405.90804555904</v>
      </c>
      <c r="R10" s="132">
        <f>IF(SER_hh_fec_in!R10=0,0,11630*1000*SER_hh_fec_in!R10/SER_hh_num_in!R10)</f>
        <v>112050.35091539266</v>
      </c>
      <c r="S10" s="132">
        <f>IF(SER_hh_fec_in!S10=0,0,11630*1000*SER_hh_fec_in!S10/SER_hh_num_in!S10)</f>
        <v>108720.01386674974</v>
      </c>
      <c r="T10" s="132">
        <f>IF(SER_hh_fec_in!T10=0,0,11630*1000*SER_hh_fec_in!T10/SER_hh_num_in!T10)</f>
        <v>95683.746554121608</v>
      </c>
      <c r="U10" s="132">
        <f>IF(SER_hh_fec_in!U10=0,0,11630*1000*SER_hh_fec_in!U10/SER_hh_num_in!U10)</f>
        <v>99060.716382401035</v>
      </c>
      <c r="V10" s="132">
        <f>IF(SER_hh_fec_in!V10=0,0,11630*1000*SER_hh_fec_in!V10/SER_hh_num_in!V10)</f>
        <v>0</v>
      </c>
      <c r="W10" s="132">
        <f>IF(SER_hh_fec_in!W10=0,0,11630*1000*SER_hh_fec_in!W10/SER_hh_num_in!W10)</f>
        <v>60755.821866328908</v>
      </c>
      <c r="X10" s="132">
        <f>IF(SER_hh_fec_in!X10=0,0,11630*1000*SER_hh_fec_in!X10/SER_hh_num_in!X10)</f>
        <v>56146.426315282522</v>
      </c>
      <c r="Y10" s="132">
        <f>IF(SER_hh_fec_in!Y10=0,0,11630*1000*SER_hh_fec_in!Y10/SER_hh_num_in!Y10)</f>
        <v>51294.147856691176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211736.39036914785</v>
      </c>
      <c r="D11" s="132">
        <f>IF(SER_hh_fec_in!D11=0,0,11630*1000*SER_hh_fec_in!D11/SER_hh_num_in!D11)</f>
        <v>205550.21150658053</v>
      </c>
      <c r="E11" s="132">
        <f>IF(SER_hh_fec_in!E11=0,0,11630*1000*SER_hh_fec_in!E11/SER_hh_num_in!E11)</f>
        <v>208209.12099747139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189654.7313457194</v>
      </c>
      <c r="H11" s="132">
        <f>IF(SER_hh_fec_in!H11=0,0,11630*1000*SER_hh_fec_in!H11/SER_hh_num_in!H11)</f>
        <v>172897.17763474843</v>
      </c>
      <c r="I11" s="132">
        <f>IF(SER_hh_fec_in!I11=0,0,11630*1000*SER_hh_fec_in!I11/SER_hh_num_in!I11)</f>
        <v>151651.03955808945</v>
      </c>
      <c r="J11" s="132">
        <f>IF(SER_hh_fec_in!J11=0,0,11630*1000*SER_hh_fec_in!J11/SER_hh_num_in!J11)</f>
        <v>155798.66968474569</v>
      </c>
      <c r="K11" s="132">
        <f>IF(SER_hh_fec_in!K11=0,0,11630*1000*SER_hh_fec_in!K11/SER_hh_num_in!K11)</f>
        <v>154688.23489925568</v>
      </c>
      <c r="L11" s="132">
        <f>IF(SER_hh_fec_in!L11=0,0,11630*1000*SER_hh_fec_in!L11/SER_hh_num_in!L11)</f>
        <v>146629.44758759617</v>
      </c>
      <c r="M11" s="132">
        <f>IF(SER_hh_fec_in!M11=0,0,11630*1000*SER_hh_fec_in!M11/SER_hh_num_in!M11)</f>
        <v>141337.50877277006</v>
      </c>
      <c r="N11" s="132">
        <f>IF(SER_hh_fec_in!N11=0,0,11630*1000*SER_hh_fec_in!N11/SER_hh_num_in!N11)</f>
        <v>131315.96275914583</v>
      </c>
      <c r="O11" s="132">
        <f>IF(SER_hh_fec_in!O11=0,0,11630*1000*SER_hh_fec_in!O11/SER_hh_num_in!O11)</f>
        <v>135206.65008451176</v>
      </c>
      <c r="P11" s="132">
        <f>IF(SER_hh_fec_in!P11=0,0,11630*1000*SER_hh_fec_in!P11/SER_hh_num_in!P11)</f>
        <v>0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77573.606126246668</v>
      </c>
      <c r="T11" s="132">
        <f>IF(SER_hh_fec_in!T11=0,0,11630*1000*SER_hh_fec_in!T11/SER_hh_num_in!T11)</f>
        <v>66302.015249460368</v>
      </c>
      <c r="U11" s="132">
        <f>IF(SER_hh_fec_in!U11=0,0,11630*1000*SER_hh_fec_in!U11/SER_hh_num_in!U11)</f>
        <v>62921.009175112922</v>
      </c>
      <c r="V11" s="132">
        <f>IF(SER_hh_fec_in!V11=0,0,11630*1000*SER_hh_fec_in!V11/SER_hh_num_in!V11)</f>
        <v>49474.013722553296</v>
      </c>
      <c r="W11" s="132">
        <f>IF(SER_hh_fec_in!W11=0,0,11630*1000*SER_hh_fec_in!W11/SER_hh_num_in!W11)</f>
        <v>46833.183319089163</v>
      </c>
      <c r="X11" s="132">
        <f>IF(SER_hh_fec_in!X11=0,0,11630*1000*SER_hh_fec_in!X11/SER_hh_num_in!X11)</f>
        <v>38732.629487247897</v>
      </c>
      <c r="Y11" s="132">
        <f>IF(SER_hh_fec_in!Y11=0,0,11630*1000*SER_hh_fec_in!Y11/SER_hh_num_in!Y11)</f>
        <v>35878.37149587903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229599.65080870903</v>
      </c>
      <c r="D12" s="132">
        <f>IF(SER_hh_fec_in!D12=0,0,11630*1000*SER_hh_fec_in!D12/SER_hh_num_in!D12)</f>
        <v>191363.06788745421</v>
      </c>
      <c r="E12" s="132">
        <f>IF(SER_hh_fec_in!E12=0,0,11630*1000*SER_hh_fec_in!E12/SER_hh_num_in!E12)</f>
        <v>209135.49872188072</v>
      </c>
      <c r="F12" s="132">
        <f>IF(SER_hh_fec_in!F12=0,0,11630*1000*SER_hh_fec_in!F12/SER_hh_num_in!F12)</f>
        <v>0</v>
      </c>
      <c r="G12" s="132">
        <f>IF(SER_hh_fec_in!G12=0,0,11630*1000*SER_hh_fec_in!G12/SER_hh_num_in!G12)</f>
        <v>205024.60614688089</v>
      </c>
      <c r="H12" s="132">
        <f>IF(SER_hh_fec_in!H12=0,0,11630*1000*SER_hh_fec_in!H12/SER_hh_num_in!H12)</f>
        <v>162510.51584203597</v>
      </c>
      <c r="I12" s="132">
        <f>IF(SER_hh_fec_in!I12=0,0,11630*1000*SER_hh_fec_in!I12/SER_hh_num_in!I12)</f>
        <v>151673.00390581053</v>
      </c>
      <c r="J12" s="132">
        <f>IF(SER_hh_fec_in!J12=0,0,11630*1000*SER_hh_fec_in!J12/SER_hh_num_in!J12)</f>
        <v>160238.87305523761</v>
      </c>
      <c r="K12" s="132">
        <f>IF(SER_hh_fec_in!K12=0,0,11630*1000*SER_hh_fec_in!K12/SER_hh_num_in!K12)</f>
        <v>149832.75998043673</v>
      </c>
      <c r="L12" s="132">
        <f>IF(SER_hh_fec_in!L12=0,0,11630*1000*SER_hh_fec_in!L12/SER_hh_num_in!L12)</f>
        <v>154678.62365157448</v>
      </c>
      <c r="M12" s="132">
        <f>IF(SER_hh_fec_in!M12=0,0,11630*1000*SER_hh_fec_in!M12/SER_hh_num_in!M12)</f>
        <v>148540.46729654487</v>
      </c>
      <c r="N12" s="132">
        <f>IF(SER_hh_fec_in!N12=0,0,11630*1000*SER_hh_fec_in!N12/SER_hh_num_in!N12)</f>
        <v>99118.863282651277</v>
      </c>
      <c r="O12" s="132">
        <f>IF(SER_hh_fec_in!O12=0,0,11630*1000*SER_hh_fec_in!O12/SER_hh_num_in!O12)</f>
        <v>89383.026453345563</v>
      </c>
      <c r="P12" s="132">
        <f>IF(SER_hh_fec_in!P12=0,0,11630*1000*SER_hh_fec_in!P12/SER_hh_num_in!P12)</f>
        <v>73553.078676102348</v>
      </c>
      <c r="Q12" s="132">
        <f>IF(SER_hh_fec_in!Q12=0,0,11630*1000*SER_hh_fec_in!Q12/SER_hh_num_in!Q12)</f>
        <v>80860.01118143338</v>
      </c>
      <c r="R12" s="132">
        <f>IF(SER_hh_fec_in!R12=0,0,11630*1000*SER_hh_fec_in!R12/SER_hh_num_in!R12)</f>
        <v>79267.305980130928</v>
      </c>
      <c r="S12" s="132">
        <f>IF(SER_hh_fec_in!S12=0,0,11630*1000*SER_hh_fec_in!S12/SER_hh_num_in!S12)</f>
        <v>73330.954685616962</v>
      </c>
      <c r="T12" s="132">
        <f>IF(SER_hh_fec_in!T12=0,0,11630*1000*SER_hh_fec_in!T12/SER_hh_num_in!T12)</f>
        <v>64760.801396303636</v>
      </c>
      <c r="U12" s="132">
        <f>IF(SER_hh_fec_in!U12=0,0,11630*1000*SER_hh_fec_in!U12/SER_hh_num_in!U12)</f>
        <v>58030.440304817763</v>
      </c>
      <c r="V12" s="132">
        <f>IF(SER_hh_fec_in!V12=0,0,11630*1000*SER_hh_fec_in!V12/SER_hh_num_in!V12)</f>
        <v>53876.705208246029</v>
      </c>
      <c r="W12" s="132">
        <f>IF(SER_hh_fec_in!W12=0,0,11630*1000*SER_hh_fec_in!W12/SER_hh_num_in!W12)</f>
        <v>48850.474263586824</v>
      </c>
      <c r="X12" s="132">
        <f>IF(SER_hh_fec_in!X12=0,0,11630*1000*SER_hh_fec_in!X12/SER_hh_num_in!X12)</f>
        <v>38559.936750383436</v>
      </c>
      <c r="Y12" s="132">
        <f>IF(SER_hh_fec_in!Y12=0,0,11630*1000*SER_hh_fec_in!Y12/SER_hh_num_in!Y12)</f>
        <v>29475.74187658049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109781.76455689144</v>
      </c>
      <c r="D13" s="132">
        <f>IF(SER_hh_fec_in!D13=0,0,11630*1000*SER_hh_fec_in!D13/SER_hh_num_in!D13)</f>
        <v>89340.68225414789</v>
      </c>
      <c r="E13" s="132">
        <f>IF(SER_hh_fec_in!E13=0,0,11630*1000*SER_hh_fec_in!E13/SER_hh_num_in!E13)</f>
        <v>65553.042987708264</v>
      </c>
      <c r="F13" s="132">
        <f>IF(SER_hh_fec_in!F13=0,0,11630*1000*SER_hh_fec_in!F13/SER_hh_num_in!F13)</f>
        <v>70716.382181489418</v>
      </c>
      <c r="G13" s="132">
        <f>IF(SER_hh_fec_in!G13=0,0,11630*1000*SER_hh_fec_in!G13/SER_hh_num_in!G13)</f>
        <v>68235.185637693387</v>
      </c>
      <c r="H13" s="132">
        <f>IF(SER_hh_fec_in!H13=0,0,11630*1000*SER_hh_fec_in!H13/SER_hh_num_in!H13)</f>
        <v>58119.239265701377</v>
      </c>
      <c r="I13" s="132">
        <f>IF(SER_hh_fec_in!I13=0,0,11630*1000*SER_hh_fec_in!I13/SER_hh_num_in!I13)</f>
        <v>62191.078111772782</v>
      </c>
      <c r="J13" s="132">
        <f>IF(SER_hh_fec_in!J13=0,0,11630*1000*SER_hh_fec_in!J13/SER_hh_num_in!J13)</f>
        <v>51801.850486533825</v>
      </c>
      <c r="K13" s="132">
        <f>IF(SER_hh_fec_in!K13=0,0,11630*1000*SER_hh_fec_in!K13/SER_hh_num_in!K13)</f>
        <v>52922.251429506643</v>
      </c>
      <c r="L13" s="132">
        <f>IF(SER_hh_fec_in!L13=0,0,11630*1000*SER_hh_fec_in!L13/SER_hh_num_in!L13)</f>
        <v>40725.529201441874</v>
      </c>
      <c r="M13" s="132">
        <f>IF(SER_hh_fec_in!M13=0,0,11630*1000*SER_hh_fec_in!M13/SER_hh_num_in!M13)</f>
        <v>28278.791857258508</v>
      </c>
      <c r="N13" s="132">
        <f>IF(SER_hh_fec_in!N13=0,0,11630*1000*SER_hh_fec_in!N13/SER_hh_num_in!N13)</f>
        <v>27010.064263618493</v>
      </c>
      <c r="O13" s="132">
        <f>IF(SER_hh_fec_in!O13=0,0,11630*1000*SER_hh_fec_in!O13/SER_hh_num_in!O13)</f>
        <v>24977.256877100743</v>
      </c>
      <c r="P13" s="132">
        <f>IF(SER_hh_fec_in!P13=0,0,11630*1000*SER_hh_fec_in!P13/SER_hh_num_in!P13)</f>
        <v>25513.908947802865</v>
      </c>
      <c r="Q13" s="132">
        <f>IF(SER_hh_fec_in!Q13=0,0,11630*1000*SER_hh_fec_in!Q13/SER_hh_num_in!Q13)</f>
        <v>18395.226602040868</v>
      </c>
      <c r="R13" s="132">
        <f>IF(SER_hh_fec_in!R13=0,0,11630*1000*SER_hh_fec_in!R13/SER_hh_num_in!R13)</f>
        <v>15652.347282454315</v>
      </c>
      <c r="S13" s="132">
        <f>IF(SER_hh_fec_in!S13=0,0,11630*1000*SER_hh_fec_in!S13/SER_hh_num_in!S13)</f>
        <v>14071.836984693564</v>
      </c>
      <c r="T13" s="132">
        <f>IF(SER_hh_fec_in!T13=0,0,11630*1000*SER_hh_fec_in!T13/SER_hh_num_in!T13)</f>
        <v>14652.931415455303</v>
      </c>
      <c r="U13" s="132">
        <f>IF(SER_hh_fec_in!U13=0,0,11630*1000*SER_hh_fec_in!U13/SER_hh_num_in!U13)</f>
        <v>12470.426308239796</v>
      </c>
      <c r="V13" s="132">
        <f>IF(SER_hh_fec_in!V13=0,0,11630*1000*SER_hh_fec_in!V13/SER_hh_num_in!V13)</f>
        <v>10264.353032229019</v>
      </c>
      <c r="W13" s="132">
        <f>IF(SER_hh_fec_in!W13=0,0,11630*1000*SER_hh_fec_in!W13/SER_hh_num_in!W13)</f>
        <v>3454.8303541151308</v>
      </c>
      <c r="X13" s="132">
        <f>IF(SER_hh_fec_in!X13=0,0,11630*1000*SER_hh_fec_in!X13/SER_hh_num_in!X13)</f>
        <v>9874.1233490008053</v>
      </c>
      <c r="Y13" s="132">
        <f>IF(SER_hh_fec_in!Y13=0,0,11630*1000*SER_hh_fec_in!Y13/SER_hh_num_in!Y13)</f>
        <v>7713.1451392992176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244000.81281184568</v>
      </c>
      <c r="D14" s="65">
        <f>IF(SER_hh_fec_in!D14=0,0,11630*1000*SER_hh_fec_in!D14/SER_hh_num_in!D14)</f>
        <v>0</v>
      </c>
      <c r="E14" s="65">
        <f>IF(SER_hh_fec_in!E14=0,0,11630*1000*SER_hh_fec_in!E14/SER_hh_num_in!E14)</f>
        <v>181257.12637826204</v>
      </c>
      <c r="F14" s="65">
        <f>IF(SER_hh_fec_in!F14=0,0,11630*1000*SER_hh_fec_in!F14/SER_hh_num_in!F14)</f>
        <v>199864.91937760491</v>
      </c>
      <c r="G14" s="65">
        <f>IF(SER_hh_fec_in!G14=0,0,11630*1000*SER_hh_fec_in!G14/SER_hh_num_in!G14)</f>
        <v>219669.31544255451</v>
      </c>
      <c r="H14" s="65">
        <f>IF(SER_hh_fec_in!H14=0,0,11630*1000*SER_hh_fec_in!H14/SER_hh_num_in!H14)</f>
        <v>186746.46725441061</v>
      </c>
      <c r="I14" s="65">
        <f>IF(SER_hh_fec_in!I14=0,0,11630*1000*SER_hh_fec_in!I14/SER_hh_num_in!I14)</f>
        <v>176866.82900485193</v>
      </c>
      <c r="J14" s="65">
        <f>IF(SER_hh_fec_in!J14=0,0,11630*1000*SER_hh_fec_in!J14/SER_hh_num_in!J14)</f>
        <v>158430.24631722359</v>
      </c>
      <c r="K14" s="65">
        <f>IF(SER_hh_fec_in!K14=0,0,11630*1000*SER_hh_fec_in!K14/SER_hh_num_in!K14)</f>
        <v>172481.14817183951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84617.769050320232</v>
      </c>
      <c r="Q14" s="65">
        <f>IF(SER_hh_fec_in!Q14=0,0,11630*1000*SER_hh_fec_in!Q14/SER_hh_num_in!Q14)</f>
        <v>86842.960866765352</v>
      </c>
      <c r="R14" s="65">
        <f>IF(SER_hh_fec_in!R14=0,0,11630*1000*SER_hh_fec_in!R14/SER_hh_num_in!R14)</f>
        <v>79470.829083711928</v>
      </c>
      <c r="S14" s="65">
        <f>IF(SER_hh_fec_in!S14=0,0,11630*1000*SER_hh_fec_in!S14/SER_hh_num_in!S14)</f>
        <v>74466.442972671503</v>
      </c>
      <c r="T14" s="65">
        <f>IF(SER_hh_fec_in!T14=0,0,11630*1000*SER_hh_fec_in!T14/SER_hh_num_in!T14)</f>
        <v>71339.859300098935</v>
      </c>
      <c r="U14" s="65">
        <f>IF(SER_hh_fec_in!U14=0,0,11630*1000*SER_hh_fec_in!U14/SER_hh_num_in!U14)</f>
        <v>64743.193849505413</v>
      </c>
      <c r="V14" s="65">
        <f>IF(SER_hh_fec_in!V14=0,0,11630*1000*SER_hh_fec_in!V14/SER_hh_num_in!V14)</f>
        <v>53574.976003501848</v>
      </c>
      <c r="W14" s="65">
        <f>IF(SER_hh_fec_in!W14=0,0,11630*1000*SER_hh_fec_in!W14/SER_hh_num_in!W14)</f>
        <v>44537.052989164607</v>
      </c>
      <c r="X14" s="65">
        <f>IF(SER_hh_fec_in!X14=0,0,11630*1000*SER_hh_fec_in!X14/SER_hh_num_in!X14)</f>
        <v>41394.110946040608</v>
      </c>
      <c r="Y14" s="65">
        <f>IF(SER_hh_fec_in!Y14=0,0,11630*1000*SER_hh_fec_in!Y14/SER_hh_num_in!Y14)</f>
        <v>28672.819642735562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2917.8905457395767</v>
      </c>
      <c r="D15" s="134">
        <f>IF(SER_hh_fec_in!D15=0,0,11630*1000*SER_hh_fec_in!D15/SER_hh_num_in!D15)</f>
        <v>2676.071251793016</v>
      </c>
      <c r="E15" s="134">
        <f>IF(SER_hh_fec_in!E15=0,0,11630*1000*SER_hh_fec_in!E15/SER_hh_num_in!E15)</f>
        <v>2656.2298970912398</v>
      </c>
      <c r="F15" s="134">
        <f>IF(SER_hh_fec_in!F15=0,0,11630*1000*SER_hh_fec_in!F15/SER_hh_num_in!F15)</f>
        <v>3347.0476463322243</v>
      </c>
      <c r="G15" s="134">
        <f>IF(SER_hh_fec_in!G15=0,0,11630*1000*SER_hh_fec_in!G15/SER_hh_num_in!G15)</f>
        <v>2631.2443210082006</v>
      </c>
      <c r="H15" s="134">
        <f>IF(SER_hh_fec_in!H15=0,0,11630*1000*SER_hh_fec_in!H15/SER_hh_num_in!H15)</f>
        <v>1575.6000076340702</v>
      </c>
      <c r="I15" s="134">
        <f>IF(SER_hh_fec_in!I15=0,0,11630*1000*SER_hh_fec_in!I15/SER_hh_num_in!I15)</f>
        <v>978.09362533779188</v>
      </c>
      <c r="J15" s="134">
        <f>IF(SER_hh_fec_in!J15=0,0,11630*1000*SER_hh_fec_in!J15/SER_hh_num_in!J15)</f>
        <v>1005.6496814039026</v>
      </c>
      <c r="K15" s="134">
        <f>IF(SER_hh_fec_in!K15=0,0,11630*1000*SER_hh_fec_in!K15/SER_hh_num_in!K15)</f>
        <v>1757.8477126614857</v>
      </c>
      <c r="L15" s="134">
        <f>IF(SER_hh_fec_in!L15=0,0,11630*1000*SER_hh_fec_in!L15/SER_hh_num_in!L15)</f>
        <v>1960.7204280608269</v>
      </c>
      <c r="M15" s="134">
        <f>IF(SER_hh_fec_in!M15=0,0,11630*1000*SER_hh_fec_in!M15/SER_hh_num_in!M15)</f>
        <v>1819.0264380742512</v>
      </c>
      <c r="N15" s="134">
        <f>IF(SER_hh_fec_in!N15=0,0,11630*1000*SER_hh_fec_in!N15/SER_hh_num_in!N15)</f>
        <v>1259.8153953163826</v>
      </c>
      <c r="O15" s="134">
        <f>IF(SER_hh_fec_in!O15=0,0,11630*1000*SER_hh_fec_in!O15/SER_hh_num_in!O15)</f>
        <v>1133.6083500322279</v>
      </c>
      <c r="P15" s="134">
        <f>IF(SER_hh_fec_in!P15=0,0,11630*1000*SER_hh_fec_in!P15/SER_hh_num_in!P15)</f>
        <v>884.78087986571597</v>
      </c>
      <c r="Q15" s="134">
        <f>IF(SER_hh_fec_in!Q15=0,0,11630*1000*SER_hh_fec_in!Q15/SER_hh_num_in!Q15)</f>
        <v>680.515896633946</v>
      </c>
      <c r="R15" s="134">
        <f>IF(SER_hh_fec_in!R15=0,0,11630*1000*SER_hh_fec_in!R15/SER_hh_num_in!R15)</f>
        <v>749.47957735070167</v>
      </c>
      <c r="S15" s="134">
        <f>IF(SER_hh_fec_in!S15=0,0,11630*1000*SER_hh_fec_in!S15/SER_hh_num_in!S15)</f>
        <v>751.5510217661872</v>
      </c>
      <c r="T15" s="134">
        <f>IF(SER_hh_fec_in!T15=0,0,11630*1000*SER_hh_fec_in!T15/SER_hh_num_in!T15)</f>
        <v>743.6823724933181</v>
      </c>
      <c r="U15" s="134">
        <f>IF(SER_hh_fec_in!U15=0,0,11630*1000*SER_hh_fec_in!U15/SER_hh_num_in!U15)</f>
        <v>684.81669370159477</v>
      </c>
      <c r="V15" s="134">
        <f>IF(SER_hh_fec_in!V15=0,0,11630*1000*SER_hh_fec_in!V15/SER_hh_num_in!V15)</f>
        <v>642.61458699986349</v>
      </c>
      <c r="W15" s="134">
        <f>IF(SER_hh_fec_in!W15=0,0,11630*1000*SER_hh_fec_in!W15/SER_hh_num_in!W15)</f>
        <v>499.37670063788232</v>
      </c>
      <c r="X15" s="134">
        <f>IF(SER_hh_fec_in!X15=0,0,11630*1000*SER_hh_fec_in!X15/SER_hh_num_in!X15)</f>
        <v>313.43171727110115</v>
      </c>
      <c r="Y15" s="134">
        <f>IF(SER_hh_fec_in!Y15=0,0,11630*1000*SER_hh_fec_in!Y15/SER_hh_num_in!Y15)</f>
        <v>250.04055342139139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8987.714772792704</v>
      </c>
      <c r="D16" s="130">
        <f>IF(SER_hh_fec_in!D16=0,0,11630*1000*SER_hh_fec_in!D16/SER_hh_num_in!D16)</f>
        <v>9101.9203118978712</v>
      </c>
      <c r="E16" s="130">
        <f>IF(SER_hh_fec_in!E16=0,0,11630*1000*SER_hh_fec_in!E16/SER_hh_num_in!E16)</f>
        <v>10006.029131540552</v>
      </c>
      <c r="F16" s="130">
        <f>IF(SER_hh_fec_in!F16=0,0,11630*1000*SER_hh_fec_in!F16/SER_hh_num_in!F16)</f>
        <v>7667.3536859382311</v>
      </c>
      <c r="G16" s="130">
        <f>IF(SER_hh_fec_in!G16=0,0,11630*1000*SER_hh_fec_in!G16/SER_hh_num_in!G16)</f>
        <v>7383.3081274902206</v>
      </c>
      <c r="H16" s="130">
        <f>IF(SER_hh_fec_in!H16=0,0,11630*1000*SER_hh_fec_in!H16/SER_hh_num_in!H16)</f>
        <v>7855.7171122776026</v>
      </c>
      <c r="I16" s="130">
        <f>IF(SER_hh_fec_in!I16=0,0,11630*1000*SER_hh_fec_in!I16/SER_hh_num_in!I16)</f>
        <v>8250.3255445827926</v>
      </c>
      <c r="J16" s="130">
        <f>IF(SER_hh_fec_in!J16=0,0,11630*1000*SER_hh_fec_in!J16/SER_hh_num_in!J16)</f>
        <v>6734.6236464780768</v>
      </c>
      <c r="K16" s="130">
        <f>IF(SER_hh_fec_in!K16=0,0,11630*1000*SER_hh_fec_in!K16/SER_hh_num_in!K16)</f>
        <v>6505.9572957550754</v>
      </c>
      <c r="L16" s="130">
        <f>IF(SER_hh_fec_in!L16=0,0,11630*1000*SER_hh_fec_in!L16/SER_hh_num_in!L16)</f>
        <v>6527.5889088758568</v>
      </c>
      <c r="M16" s="130">
        <f>IF(SER_hh_fec_in!M16=0,0,11630*1000*SER_hh_fec_in!M16/SER_hh_num_in!M16)</f>
        <v>6127.2488259634738</v>
      </c>
      <c r="N16" s="130">
        <f>IF(SER_hh_fec_in!N16=0,0,11630*1000*SER_hh_fec_in!N16/SER_hh_num_in!N16)</f>
        <v>7382.9347769525921</v>
      </c>
      <c r="O16" s="130">
        <f>IF(SER_hh_fec_in!O16=0,0,11630*1000*SER_hh_fec_in!O16/SER_hh_num_in!O16)</f>
        <v>5749.7809752237836</v>
      </c>
      <c r="P16" s="130">
        <f>IF(SER_hh_fec_in!P16=0,0,11630*1000*SER_hh_fec_in!P16/SER_hh_num_in!P16)</f>
        <v>4867.043213535585</v>
      </c>
      <c r="Q16" s="130">
        <f>IF(SER_hh_fec_in!Q16=0,0,11630*1000*SER_hh_fec_in!Q16/SER_hh_num_in!Q16)</f>
        <v>6717.5654839152958</v>
      </c>
      <c r="R16" s="130">
        <f>IF(SER_hh_fec_in!R16=0,0,11630*1000*SER_hh_fec_in!R16/SER_hh_num_in!R16)</f>
        <v>4482.7054934636544</v>
      </c>
      <c r="S16" s="130">
        <f>IF(SER_hh_fec_in!S16=0,0,11630*1000*SER_hh_fec_in!S16/SER_hh_num_in!S16)</f>
        <v>5261.2625031383177</v>
      </c>
      <c r="T16" s="130">
        <f>IF(SER_hh_fec_in!T16=0,0,11630*1000*SER_hh_fec_in!T16/SER_hh_num_in!T16)</f>
        <v>4815.5582404497336</v>
      </c>
      <c r="U16" s="130">
        <f>IF(SER_hh_fec_in!U16=0,0,11630*1000*SER_hh_fec_in!U16/SER_hh_num_in!U16)</f>
        <v>5024.4533977852998</v>
      </c>
      <c r="V16" s="130">
        <f>IF(SER_hh_fec_in!V16=0,0,11630*1000*SER_hh_fec_in!V16/SER_hh_num_in!V16)</f>
        <v>3845.6482926165454</v>
      </c>
      <c r="W16" s="130">
        <f>IF(SER_hh_fec_in!W16=0,0,11630*1000*SER_hh_fec_in!W16/SER_hh_num_in!W16)</f>
        <v>4399.5178987993013</v>
      </c>
      <c r="X16" s="130">
        <f>IF(SER_hh_fec_in!X16=0,0,11630*1000*SER_hh_fec_in!X16/SER_hh_num_in!X16)</f>
        <v>4302.2389567442979</v>
      </c>
      <c r="Y16" s="130">
        <f>IF(SER_hh_fec_in!Y16=0,0,11630*1000*SER_hh_fec_in!Y16/SER_hh_num_in!Y16)</f>
        <v>3870.070410476605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17233.639794171049</v>
      </c>
      <c r="D17" s="132">
        <f>IF(SER_hh_fec_in!D17=0,0,11630*1000*SER_hh_fec_in!D17/SER_hh_num_in!D17)</f>
        <v>17888.220884160339</v>
      </c>
      <c r="E17" s="132">
        <f>IF(SER_hh_fec_in!E17=0,0,11630*1000*SER_hh_fec_in!E17/SER_hh_num_in!E17)</f>
        <v>20156.332261867501</v>
      </c>
      <c r="F17" s="132">
        <f>IF(SER_hh_fec_in!F17=0,0,11630*1000*SER_hh_fec_in!F17/SER_hh_num_in!F17)</f>
        <v>15810.7040313457</v>
      </c>
      <c r="G17" s="132">
        <f>IF(SER_hh_fec_in!G17=0,0,11630*1000*SER_hh_fec_in!G17/SER_hh_num_in!G17)</f>
        <v>15548.933082970678</v>
      </c>
      <c r="H17" s="132">
        <f>IF(SER_hh_fec_in!H17=0,0,11630*1000*SER_hh_fec_in!H17/SER_hh_num_in!H17)</f>
        <v>16898.293282974526</v>
      </c>
      <c r="I17" s="132">
        <f>IF(SER_hh_fec_in!I17=0,0,11630*1000*SER_hh_fec_in!I17/SER_hh_num_in!I17)</f>
        <v>18139.639639259905</v>
      </c>
      <c r="J17" s="132">
        <f>IF(SER_hh_fec_in!J17=0,0,11630*1000*SER_hh_fec_in!J17/SER_hh_num_in!J17)</f>
        <v>15153.431007616759</v>
      </c>
      <c r="K17" s="132">
        <f>IF(SER_hh_fec_in!K17=0,0,11630*1000*SER_hh_fec_in!K17/SER_hh_num_in!K17)</f>
        <v>14901.29389677912</v>
      </c>
      <c r="L17" s="132">
        <f>IF(SER_hh_fec_in!L17=0,0,11630*1000*SER_hh_fec_in!L17/SER_hh_num_in!L17)</f>
        <v>15227.396610973232</v>
      </c>
      <c r="M17" s="132">
        <f>IF(SER_hh_fec_in!M17=0,0,11630*1000*SER_hh_fec_in!M17/SER_hh_num_in!M17)</f>
        <v>14637.879921423773</v>
      </c>
      <c r="N17" s="132">
        <f>IF(SER_hh_fec_in!N17=0,0,11630*1000*SER_hh_fec_in!N17/SER_hh_num_in!N17)</f>
        <v>18105.498720561638</v>
      </c>
      <c r="O17" s="132">
        <f>IF(SER_hh_fec_in!O17=0,0,11630*1000*SER_hh_fec_in!O17/SER_hh_num_in!O17)</f>
        <v>14514.213431831966</v>
      </c>
      <c r="P17" s="132">
        <f>IF(SER_hh_fec_in!P17=0,0,11630*1000*SER_hh_fec_in!P17/SER_hh_num_in!P17)</f>
        <v>12624.694577601769</v>
      </c>
      <c r="Q17" s="132">
        <f>IF(SER_hh_fec_in!Q17=0,0,11630*1000*SER_hh_fec_in!Q17/SER_hh_num_in!Q17)</f>
        <v>17669.208087286039</v>
      </c>
      <c r="R17" s="132">
        <f>IF(SER_hh_fec_in!R17=0,0,11630*1000*SER_hh_fec_in!R17/SER_hh_num_in!R17)</f>
        <v>11946.781415600641</v>
      </c>
      <c r="S17" s="132">
        <f>IF(SER_hh_fec_in!S17=0,0,11630*1000*SER_hh_fec_in!S17/SER_hh_num_in!S17)</f>
        <v>13929.417885019782</v>
      </c>
      <c r="T17" s="132">
        <f>IF(SER_hh_fec_in!T17=0,0,11630*1000*SER_hh_fec_in!T17/SER_hh_num_in!T17)</f>
        <v>12656.980323331156</v>
      </c>
      <c r="U17" s="132">
        <f>IF(SER_hh_fec_in!U17=0,0,11630*1000*SER_hh_fec_in!U17/SER_hh_num_in!U17)</f>
        <v>12973.818310511118</v>
      </c>
      <c r="V17" s="132">
        <f>IF(SER_hh_fec_in!V17=0,0,11630*1000*SER_hh_fec_in!V17/SER_hh_num_in!V17)</f>
        <v>8741.4286216981782</v>
      </c>
      <c r="W17" s="132">
        <f>IF(SER_hh_fec_in!W17=0,0,11630*1000*SER_hh_fec_in!W17/SER_hh_num_in!W17)</f>
        <v>10025.560730653069</v>
      </c>
      <c r="X17" s="132">
        <f>IF(SER_hh_fec_in!X17=0,0,11630*1000*SER_hh_fec_in!X17/SER_hh_num_in!X17)</f>
        <v>10612.960999936366</v>
      </c>
      <c r="Y17" s="132">
        <f>IF(SER_hh_fec_in!Y17=0,0,11630*1000*SER_hh_fec_in!Y17/SER_hh_num_in!Y17)</f>
        <v>9879.9004144390292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8955.3994283082575</v>
      </c>
      <c r="D18" s="132">
        <f>IF(SER_hh_fec_in!D18=0,0,11630*1000*SER_hh_fec_in!D18/SER_hh_num_in!D18)</f>
        <v>9063.3129848104836</v>
      </c>
      <c r="E18" s="132">
        <f>IF(SER_hh_fec_in!E18=0,0,11630*1000*SER_hh_fec_in!E18/SER_hh_num_in!E18)</f>
        <v>9965.7464121723406</v>
      </c>
      <c r="F18" s="132">
        <f>IF(SER_hh_fec_in!F18=0,0,11630*1000*SER_hh_fec_in!F18/SER_hh_num_in!F18)</f>
        <v>7652.4295991837525</v>
      </c>
      <c r="G18" s="132">
        <f>IF(SER_hh_fec_in!G18=0,0,11630*1000*SER_hh_fec_in!G18/SER_hh_num_in!G18)</f>
        <v>7355.2784383814678</v>
      </c>
      <c r="H18" s="132">
        <f>IF(SER_hh_fec_in!H18=0,0,11630*1000*SER_hh_fec_in!H18/SER_hh_num_in!H18)</f>
        <v>7816.9299408435691</v>
      </c>
      <c r="I18" s="132">
        <f>IF(SER_hh_fec_in!I18=0,0,11630*1000*SER_hh_fec_in!I18/SER_hh_num_in!I18)</f>
        <v>8209.5776288347697</v>
      </c>
      <c r="J18" s="132">
        <f>IF(SER_hh_fec_in!J18=0,0,11630*1000*SER_hh_fec_in!J18/SER_hh_num_in!J18)</f>
        <v>6712.3206593881996</v>
      </c>
      <c r="K18" s="132">
        <f>IF(SER_hh_fec_in!K18=0,0,11630*1000*SER_hh_fec_in!K18/SER_hh_num_in!K18)</f>
        <v>6461.7813456713147</v>
      </c>
      <c r="L18" s="132">
        <f>IF(SER_hh_fec_in!L18=0,0,11630*1000*SER_hh_fec_in!L18/SER_hh_num_in!L18)</f>
        <v>6465.5959258073472</v>
      </c>
      <c r="M18" s="132">
        <f>IF(SER_hh_fec_in!M18=0,0,11630*1000*SER_hh_fec_in!M18/SER_hh_num_in!M18)</f>
        <v>6065.8442515170555</v>
      </c>
      <c r="N18" s="132">
        <f>IF(SER_hh_fec_in!N18=0,0,11630*1000*SER_hh_fec_in!N18/SER_hh_num_in!N18)</f>
        <v>7302.5039613027284</v>
      </c>
      <c r="O18" s="132">
        <f>IF(SER_hh_fec_in!O18=0,0,11630*1000*SER_hh_fec_in!O18/SER_hh_num_in!O18)</f>
        <v>5682.8343110486494</v>
      </c>
      <c r="P18" s="132">
        <f>IF(SER_hh_fec_in!P18=0,0,11630*1000*SER_hh_fec_in!P18/SER_hh_num_in!P18)</f>
        <v>4823.8615112519919</v>
      </c>
      <c r="Q18" s="132">
        <f>IF(SER_hh_fec_in!Q18=0,0,11630*1000*SER_hh_fec_in!Q18/SER_hh_num_in!Q18)</f>
        <v>6632.1742392053784</v>
      </c>
      <c r="R18" s="132">
        <f>IF(SER_hh_fec_in!R18=0,0,11630*1000*SER_hh_fec_in!R18/SER_hh_num_in!R18)</f>
        <v>4429.1148722942371</v>
      </c>
      <c r="S18" s="132">
        <f>IF(SER_hh_fec_in!S18=0,0,11630*1000*SER_hh_fec_in!S18/SER_hh_num_in!S18)</f>
        <v>5153.3478272493176</v>
      </c>
      <c r="T18" s="132">
        <f>IF(SER_hh_fec_in!T18=0,0,11630*1000*SER_hh_fec_in!T18/SER_hh_num_in!T18)</f>
        <v>4744.6738668630242</v>
      </c>
      <c r="U18" s="132">
        <f>IF(SER_hh_fec_in!U18=0,0,11630*1000*SER_hh_fec_in!U18/SER_hh_num_in!U18)</f>
        <v>4884.9042572281269</v>
      </c>
      <c r="V18" s="132">
        <f>IF(SER_hh_fec_in!V18=0,0,11630*1000*SER_hh_fec_in!V18/SER_hh_num_in!V18)</f>
        <v>3776.5591277037247</v>
      </c>
      <c r="W18" s="132">
        <f>IF(SER_hh_fec_in!W18=0,0,11630*1000*SER_hh_fec_in!W18/SER_hh_num_in!W18)</f>
        <v>4341.7730425251521</v>
      </c>
      <c r="X18" s="132">
        <f>IF(SER_hh_fec_in!X18=0,0,11630*1000*SER_hh_fec_in!X18/SER_hh_num_in!X18)</f>
        <v>4248.367725405803</v>
      </c>
      <c r="Y18" s="132">
        <f>IF(SER_hh_fec_in!Y18=0,0,11630*1000*SER_hh_fec_in!Y18/SER_hh_num_in!Y18)</f>
        <v>3825.4697403939026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26153.570075072323</v>
      </c>
      <c r="D19" s="130">
        <f>IF(SER_hh_fec_in!D19=0,0,11630*1000*SER_hh_fec_in!D19/SER_hh_num_in!D19)</f>
        <v>26708.456608830162</v>
      </c>
      <c r="E19" s="130">
        <f>IF(SER_hh_fec_in!E19=0,0,11630*1000*SER_hh_fec_in!E19/SER_hh_num_in!E19)</f>
        <v>25988.114784749203</v>
      </c>
      <c r="F19" s="130">
        <f>IF(SER_hh_fec_in!F19=0,0,11630*1000*SER_hh_fec_in!F19/SER_hh_num_in!F19)</f>
        <v>26461.911785951579</v>
      </c>
      <c r="G19" s="130">
        <f>IF(SER_hh_fec_in!G19=0,0,11630*1000*SER_hh_fec_in!G19/SER_hh_num_in!G19)</f>
        <v>25468.415172228768</v>
      </c>
      <c r="H19" s="130">
        <f>IF(SER_hh_fec_in!H19=0,0,11630*1000*SER_hh_fec_in!H19/SER_hh_num_in!H19)</f>
        <v>25189.549031677423</v>
      </c>
      <c r="I19" s="130">
        <f>IF(SER_hh_fec_in!I19=0,0,11630*1000*SER_hh_fec_in!I19/SER_hh_num_in!I19)</f>
        <v>25102.055185777957</v>
      </c>
      <c r="J19" s="130">
        <f>IF(SER_hh_fec_in!J19=0,0,11630*1000*SER_hh_fec_in!J19/SER_hh_num_in!J19)</f>
        <v>24949.425327231987</v>
      </c>
      <c r="K19" s="130">
        <f>IF(SER_hh_fec_in!K19=0,0,11630*1000*SER_hh_fec_in!K19/SER_hh_num_in!K19)</f>
        <v>25484.335634876486</v>
      </c>
      <c r="L19" s="130">
        <f>IF(SER_hh_fec_in!L19=0,0,11630*1000*SER_hh_fec_in!L19/SER_hh_num_in!L19)</f>
        <v>24730.16334179389</v>
      </c>
      <c r="M19" s="130">
        <f>IF(SER_hh_fec_in!M19=0,0,11630*1000*SER_hh_fec_in!M19/SER_hh_num_in!M19)</f>
        <v>24386.854212875682</v>
      </c>
      <c r="N19" s="130">
        <f>IF(SER_hh_fec_in!N19=0,0,11630*1000*SER_hh_fec_in!N19/SER_hh_num_in!N19)</f>
        <v>25051.555761109179</v>
      </c>
      <c r="O19" s="130">
        <f>IF(SER_hh_fec_in!O19=0,0,11630*1000*SER_hh_fec_in!O19/SER_hh_num_in!O19)</f>
        <v>23479.95095974904</v>
      </c>
      <c r="P19" s="130">
        <f>IF(SER_hh_fec_in!P19=0,0,11630*1000*SER_hh_fec_in!P19/SER_hh_num_in!P19)</f>
        <v>22035.029299870868</v>
      </c>
      <c r="Q19" s="130">
        <f>IF(SER_hh_fec_in!Q19=0,0,11630*1000*SER_hh_fec_in!Q19/SER_hh_num_in!Q19)</f>
        <v>20640.600053084825</v>
      </c>
      <c r="R19" s="130">
        <f>IF(SER_hh_fec_in!R19=0,0,11630*1000*SER_hh_fec_in!R19/SER_hh_num_in!R19)</f>
        <v>20318.075807334975</v>
      </c>
      <c r="S19" s="130">
        <f>IF(SER_hh_fec_in!S19=0,0,11630*1000*SER_hh_fec_in!S19/SER_hh_num_in!S19)</f>
        <v>19812.034738537026</v>
      </c>
      <c r="T19" s="130">
        <f>IF(SER_hh_fec_in!T19=0,0,11630*1000*SER_hh_fec_in!T19/SER_hh_num_in!T19)</f>
        <v>19539.108134350554</v>
      </c>
      <c r="U19" s="130">
        <f>IF(SER_hh_fec_in!U19=0,0,11630*1000*SER_hh_fec_in!U19/SER_hh_num_in!U19)</f>
        <v>18709.196294368692</v>
      </c>
      <c r="V19" s="130">
        <f>IF(SER_hh_fec_in!V19=0,0,11630*1000*SER_hh_fec_in!V19/SER_hh_num_in!V19)</f>
        <v>16487.718074422803</v>
      </c>
      <c r="W19" s="130">
        <f>IF(SER_hh_fec_in!W19=0,0,11630*1000*SER_hh_fec_in!W19/SER_hh_num_in!W19)</f>
        <v>16293.208810470634</v>
      </c>
      <c r="X19" s="130">
        <f>IF(SER_hh_fec_in!X19=0,0,11630*1000*SER_hh_fec_in!X19/SER_hh_num_in!X19)</f>
        <v>16307.763412220076</v>
      </c>
      <c r="Y19" s="130">
        <f>IF(SER_hh_fec_in!Y19=0,0,11630*1000*SER_hh_fec_in!Y19/SER_hh_num_in!Y19)</f>
        <v>16283.86256374975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0</v>
      </c>
      <c r="D21" s="132">
        <f>IF(SER_hh_fec_in!D21=0,0,11630*1000*SER_hh_fec_in!D21/SER_hh_num_in!D21)</f>
        <v>0</v>
      </c>
      <c r="E21" s="132">
        <f>IF(SER_hh_fec_in!E21=0,0,11630*1000*SER_hh_fec_in!E21/SER_hh_num_in!E21)</f>
        <v>0</v>
      </c>
      <c r="F21" s="132">
        <f>IF(SER_hh_fec_in!F21=0,0,11630*1000*SER_hh_fec_in!F21/SER_hh_num_in!F21)</f>
        <v>0</v>
      </c>
      <c r="G21" s="132">
        <f>IF(SER_hh_fec_in!G21=0,0,11630*1000*SER_hh_fec_in!G21/SER_hh_num_in!G21)</f>
        <v>0</v>
      </c>
      <c r="H21" s="132">
        <f>IF(SER_hh_fec_in!H21=0,0,11630*1000*SER_hh_fec_in!H21/SER_hh_num_in!H21)</f>
        <v>0</v>
      </c>
      <c r="I21" s="132">
        <f>IF(SER_hh_fec_in!I21=0,0,11630*1000*SER_hh_fec_in!I21/SER_hh_num_in!I21)</f>
        <v>0</v>
      </c>
      <c r="J21" s="132">
        <f>IF(SER_hh_fec_in!J21=0,0,11630*1000*SER_hh_fec_in!J21/SER_hh_num_in!J21)</f>
        <v>0</v>
      </c>
      <c r="K21" s="132">
        <f>IF(SER_hh_fec_in!K21=0,0,11630*1000*SER_hh_fec_in!K21/SER_hh_num_in!K21)</f>
        <v>0</v>
      </c>
      <c r="L21" s="132">
        <f>IF(SER_hh_fec_in!L21=0,0,11630*1000*SER_hh_fec_in!L21/SER_hh_num_in!L21)</f>
        <v>0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0</v>
      </c>
      <c r="O21" s="132">
        <f>IF(SER_hh_fec_in!O21=0,0,11630*1000*SER_hh_fec_in!O21/SER_hh_num_in!O21)</f>
        <v>0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0</v>
      </c>
      <c r="S21" s="132">
        <f>IF(SER_hh_fec_in!S21=0,0,11630*1000*SER_hh_fec_in!S21/SER_hh_num_in!S21)</f>
        <v>0</v>
      </c>
      <c r="T21" s="132">
        <f>IF(SER_hh_fec_in!T21=0,0,11630*1000*SER_hh_fec_in!T21/SER_hh_num_in!T21)</f>
        <v>0</v>
      </c>
      <c r="U21" s="132">
        <f>IF(SER_hh_fec_in!U21=0,0,11630*1000*SER_hh_fec_in!U21/SER_hh_num_in!U21)</f>
        <v>0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0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0</v>
      </c>
      <c r="D22" s="132">
        <f>IF(SER_hh_fec_in!D22=0,0,11630*1000*SER_hh_fec_in!D22/SER_hh_num_in!D22)</f>
        <v>0</v>
      </c>
      <c r="E22" s="132">
        <f>IF(SER_hh_fec_in!E22=0,0,11630*1000*SER_hh_fec_in!E22/SER_hh_num_in!E22)</f>
        <v>0</v>
      </c>
      <c r="F22" s="132">
        <f>IF(SER_hh_fec_in!F22=0,0,11630*1000*SER_hh_fec_in!F22/SER_hh_num_in!F22)</f>
        <v>0</v>
      </c>
      <c r="G22" s="132">
        <f>IF(SER_hh_fec_in!G22=0,0,11630*1000*SER_hh_fec_in!G22/SER_hh_num_in!G22)</f>
        <v>0</v>
      </c>
      <c r="H22" s="132">
        <f>IF(SER_hh_fec_in!H22=0,0,11630*1000*SER_hh_fec_in!H22/SER_hh_num_in!H22)</f>
        <v>0</v>
      </c>
      <c r="I22" s="132">
        <f>IF(SER_hh_fec_in!I22=0,0,11630*1000*SER_hh_fec_in!I22/SER_hh_num_in!I22)</f>
        <v>0</v>
      </c>
      <c r="J22" s="132">
        <f>IF(SER_hh_fec_in!J22=0,0,11630*1000*SER_hh_fec_in!J22/SER_hh_num_in!J22)</f>
        <v>0</v>
      </c>
      <c r="K22" s="132">
        <f>IF(SER_hh_fec_in!K22=0,0,11630*1000*SER_hh_fec_in!K22/SER_hh_num_in!K22)</f>
        <v>0</v>
      </c>
      <c r="L22" s="132">
        <f>IF(SER_hh_fec_in!L22=0,0,11630*1000*SER_hh_fec_in!L22/SER_hh_num_in!L22)</f>
        <v>0</v>
      </c>
      <c r="M22" s="132">
        <f>IF(SER_hh_fec_in!M22=0,0,11630*1000*SER_hh_fec_in!M22/SER_hh_num_in!M22)</f>
        <v>0</v>
      </c>
      <c r="N22" s="132">
        <f>IF(SER_hh_fec_in!N22=0,0,11630*1000*SER_hh_fec_in!N22/SER_hh_num_in!N22)</f>
        <v>0</v>
      </c>
      <c r="O22" s="132">
        <f>IF(SER_hh_fec_in!O22=0,0,11630*1000*SER_hh_fec_in!O22/SER_hh_num_in!O22)</f>
        <v>0</v>
      </c>
      <c r="P22" s="132">
        <f>IF(SER_hh_fec_in!P22=0,0,11630*1000*SER_hh_fec_in!P22/SER_hh_num_in!P22)</f>
        <v>0</v>
      </c>
      <c r="Q22" s="132">
        <f>IF(SER_hh_fec_in!Q22=0,0,11630*1000*SER_hh_fec_in!Q22/SER_hh_num_in!Q22)</f>
        <v>0</v>
      </c>
      <c r="R22" s="132">
        <f>IF(SER_hh_fec_in!R22=0,0,11630*1000*SER_hh_fec_in!R22/SER_hh_num_in!R22)</f>
        <v>0</v>
      </c>
      <c r="S22" s="132">
        <f>IF(SER_hh_fec_in!S22=0,0,11630*1000*SER_hh_fec_in!S22/SER_hh_num_in!S22)</f>
        <v>0</v>
      </c>
      <c r="T22" s="132">
        <f>IF(SER_hh_fec_in!T22=0,0,11630*1000*SER_hh_fec_in!T22/SER_hh_num_in!T22)</f>
        <v>0</v>
      </c>
      <c r="U22" s="132">
        <f>IF(SER_hh_fec_in!U22=0,0,11630*1000*SER_hh_fec_in!U22/SER_hh_num_in!U22)</f>
        <v>0</v>
      </c>
      <c r="V22" s="132">
        <f>IF(SER_hh_fec_in!V22=0,0,11630*1000*SER_hh_fec_in!V22/SER_hh_num_in!V22)</f>
        <v>0</v>
      </c>
      <c r="W22" s="132">
        <f>IF(SER_hh_fec_in!W22=0,0,11630*1000*SER_hh_fec_in!W22/SER_hh_num_in!W22)</f>
        <v>0</v>
      </c>
      <c r="X22" s="132">
        <f>IF(SER_hh_fec_in!X22=0,0,11630*1000*SER_hh_fec_in!X22/SER_hh_num_in!X22)</f>
        <v>0</v>
      </c>
      <c r="Y22" s="132">
        <f>IF(SER_hh_fec_in!Y22=0,0,11630*1000*SER_hh_fec_in!Y22/SER_hh_num_in!Y22)</f>
        <v>0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28641.503577739597</v>
      </c>
      <c r="D23" s="132">
        <f>IF(SER_hh_fec_in!D23=0,0,11630*1000*SER_hh_fec_in!D23/SER_hh_num_in!D23)</f>
        <v>28621.213855330356</v>
      </c>
      <c r="E23" s="132">
        <f>IF(SER_hh_fec_in!E23=0,0,11630*1000*SER_hh_fec_in!E23/SER_hh_num_in!E23)</f>
        <v>28437.804936007113</v>
      </c>
      <c r="F23" s="132">
        <f>IF(SER_hh_fec_in!F23=0,0,11630*1000*SER_hh_fec_in!F23/SER_hh_num_in!F23)</f>
        <v>28807.769896434707</v>
      </c>
      <c r="G23" s="132">
        <f>IF(SER_hh_fec_in!G23=0,0,11630*1000*SER_hh_fec_in!G23/SER_hh_num_in!G23)</f>
        <v>27558.376655396511</v>
      </c>
      <c r="H23" s="132">
        <f>IF(SER_hh_fec_in!H23=0,0,11630*1000*SER_hh_fec_in!H23/SER_hh_num_in!H23)</f>
        <v>26671.882906949584</v>
      </c>
      <c r="I23" s="132">
        <f>IF(SER_hh_fec_in!I23=0,0,11630*1000*SER_hh_fec_in!I23/SER_hh_num_in!I23)</f>
        <v>26293.973365129114</v>
      </c>
      <c r="J23" s="132">
        <f>IF(SER_hh_fec_in!J23=0,0,11630*1000*SER_hh_fec_in!J23/SER_hh_num_in!J23)</f>
        <v>26357.897658528156</v>
      </c>
      <c r="K23" s="132">
        <f>IF(SER_hh_fec_in!K23=0,0,11630*1000*SER_hh_fec_in!K23/SER_hh_num_in!K23)</f>
        <v>26823.969783536759</v>
      </c>
      <c r="L23" s="132">
        <f>IF(SER_hh_fec_in!L23=0,0,11630*1000*SER_hh_fec_in!L23/SER_hh_num_in!L23)</f>
        <v>26156.831637397903</v>
      </c>
      <c r="M23" s="132">
        <f>IF(SER_hh_fec_in!M23=0,0,11630*1000*SER_hh_fec_in!M23/SER_hh_num_in!M23)</f>
        <v>25199.936626410788</v>
      </c>
      <c r="N23" s="132">
        <f>IF(SER_hh_fec_in!N23=0,0,11630*1000*SER_hh_fec_in!N23/SER_hh_num_in!N23)</f>
        <v>24093.463155032776</v>
      </c>
      <c r="O23" s="132">
        <f>IF(SER_hh_fec_in!O23=0,0,11630*1000*SER_hh_fec_in!O23/SER_hh_num_in!O23)</f>
        <v>24331.534715936719</v>
      </c>
      <c r="P23" s="132">
        <f>IF(SER_hh_fec_in!P23=0,0,11630*1000*SER_hh_fec_in!P23/SER_hh_num_in!P23)</f>
        <v>22330.494331297756</v>
      </c>
      <c r="Q23" s="132">
        <f>IF(SER_hh_fec_in!Q23=0,0,11630*1000*SER_hh_fec_in!Q23/SER_hh_num_in!Q23)</f>
        <v>21273.143115648461</v>
      </c>
      <c r="R23" s="132">
        <f>IF(SER_hh_fec_in!R23=0,0,11630*1000*SER_hh_fec_in!R23/SER_hh_num_in!R23)</f>
        <v>20973.780778504613</v>
      </c>
      <c r="S23" s="132">
        <f>IF(SER_hh_fec_in!S23=0,0,11630*1000*SER_hh_fec_in!S23/SER_hh_num_in!S23)</f>
        <v>20347.41464380145</v>
      </c>
      <c r="T23" s="132">
        <f>IF(SER_hh_fec_in!T23=0,0,11630*1000*SER_hh_fec_in!T23/SER_hh_num_in!T23)</f>
        <v>20244.347222456661</v>
      </c>
      <c r="U23" s="132">
        <f>IF(SER_hh_fec_in!U23=0,0,11630*1000*SER_hh_fec_in!U23/SER_hh_num_in!U23)</f>
        <v>19268.218319196287</v>
      </c>
      <c r="V23" s="132">
        <f>IF(SER_hh_fec_in!V23=0,0,11630*1000*SER_hh_fec_in!V23/SER_hh_num_in!V23)</f>
        <v>17502.960902075989</v>
      </c>
      <c r="W23" s="132">
        <f>IF(SER_hh_fec_in!W23=0,0,11630*1000*SER_hh_fec_in!W23/SER_hh_num_in!W23)</f>
        <v>17604.715835967447</v>
      </c>
      <c r="X23" s="132">
        <f>IF(SER_hh_fec_in!X23=0,0,11630*1000*SER_hh_fec_in!X23/SER_hh_num_in!X23)</f>
        <v>17120.882549890204</v>
      </c>
      <c r="Y23" s="132">
        <f>IF(SER_hh_fec_in!Y23=0,0,11630*1000*SER_hh_fec_in!Y23/SER_hh_num_in!Y23)</f>
        <v>16887.234291002835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32666.418921229397</v>
      </c>
      <c r="O24" s="132">
        <f>IF(SER_hh_fec_in!O24=0,0,11630*1000*SER_hh_fec_in!O24/SER_hh_num_in!O24)</f>
        <v>25112.177400741184</v>
      </c>
      <c r="P24" s="132">
        <f>IF(SER_hh_fec_in!P24=0,0,11630*1000*SER_hh_fec_in!P24/SER_hh_num_in!P24)</f>
        <v>22429.775447600223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18648.884123706652</v>
      </c>
      <c r="V24" s="132">
        <f>IF(SER_hh_fec_in!V24=0,0,11630*1000*SER_hh_fec_in!V24/SER_hh_num_in!V24)</f>
        <v>17795.297075748917</v>
      </c>
      <c r="W24" s="132">
        <f>IF(SER_hh_fec_in!W24=0,0,11630*1000*SER_hh_fec_in!W24/SER_hh_num_in!W24)</f>
        <v>15569.726402989496</v>
      </c>
      <c r="X24" s="132">
        <f>IF(SER_hh_fec_in!X24=0,0,11630*1000*SER_hh_fec_in!X24/SER_hh_num_in!X24)</f>
        <v>16986.093692493854</v>
      </c>
      <c r="Y24" s="132">
        <f>IF(SER_hh_fec_in!Y24=0,0,11630*1000*SER_hh_fec_in!Y24/SER_hh_num_in!Y24)</f>
        <v>17716.797670430424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20651.499466594381</v>
      </c>
      <c r="D25" s="132">
        <f>IF(SER_hh_fec_in!D25=0,0,11630*1000*SER_hh_fec_in!D25/SER_hh_num_in!D25)</f>
        <v>20632.068562920758</v>
      </c>
      <c r="E25" s="132">
        <f>IF(SER_hh_fec_in!E25=0,0,11630*1000*SER_hh_fec_in!E25/SER_hh_num_in!E25)</f>
        <v>20422.832670731317</v>
      </c>
      <c r="F25" s="132">
        <f>IF(SER_hh_fec_in!F25=0,0,11630*1000*SER_hh_fec_in!F25/SER_hh_num_in!F25)</f>
        <v>20251.278952559031</v>
      </c>
      <c r="G25" s="132">
        <f>IF(SER_hh_fec_in!G25=0,0,11630*1000*SER_hh_fec_in!G25/SER_hh_num_in!G25)</f>
        <v>20697.805365726199</v>
      </c>
      <c r="H25" s="132">
        <f>IF(SER_hh_fec_in!H25=0,0,11630*1000*SER_hh_fec_in!H25/SER_hh_num_in!H25)</f>
        <v>20215.124849098996</v>
      </c>
      <c r="I25" s="132">
        <f>IF(SER_hh_fec_in!I25=0,0,11630*1000*SER_hh_fec_in!I25/SER_hh_num_in!I25)</f>
        <v>19921.35594959899</v>
      </c>
      <c r="J25" s="132">
        <f>IF(SER_hh_fec_in!J25=0,0,11630*1000*SER_hh_fec_in!J25/SER_hh_num_in!J25)</f>
        <v>20405.39664420484</v>
      </c>
      <c r="K25" s="132">
        <f>IF(SER_hh_fec_in!K25=0,0,11630*1000*SER_hh_fec_in!K25/SER_hh_num_in!K25)</f>
        <v>20311.162042370033</v>
      </c>
      <c r="L25" s="132">
        <f>IF(SER_hh_fec_in!L25=0,0,11630*1000*SER_hh_fec_in!L25/SER_hh_num_in!L25)</f>
        <v>19982.811388794853</v>
      </c>
      <c r="M25" s="132">
        <f>IF(SER_hh_fec_in!M25=0,0,11630*1000*SER_hh_fec_in!M25/SER_hh_num_in!M25)</f>
        <v>20010.213937299628</v>
      </c>
      <c r="N25" s="132">
        <f>IF(SER_hh_fec_in!N25=0,0,11630*1000*SER_hh_fec_in!N25/SER_hh_num_in!N25)</f>
        <v>20180.436080303152</v>
      </c>
      <c r="O25" s="132">
        <f>IF(SER_hh_fec_in!O25=0,0,11630*1000*SER_hh_fec_in!O25/SER_hh_num_in!O25)</f>
        <v>19440.410064761199</v>
      </c>
      <c r="P25" s="132">
        <f>IF(SER_hh_fec_in!P25=0,0,11630*1000*SER_hh_fec_in!P25/SER_hh_num_in!P25)</f>
        <v>18828.374553446178</v>
      </c>
      <c r="Q25" s="132">
        <f>IF(SER_hh_fec_in!Q25=0,0,11630*1000*SER_hh_fec_in!Q25/SER_hh_num_in!Q25)</f>
        <v>18773.138335044845</v>
      </c>
      <c r="R25" s="132">
        <f>IF(SER_hh_fec_in!R25=0,0,11630*1000*SER_hh_fec_in!R25/SER_hh_num_in!R25)</f>
        <v>18721.796839694918</v>
      </c>
      <c r="S25" s="132">
        <f>IF(SER_hh_fec_in!S25=0,0,11630*1000*SER_hh_fec_in!S25/SER_hh_num_in!S25)</f>
        <v>18519.381161289839</v>
      </c>
      <c r="T25" s="132">
        <f>IF(SER_hh_fec_in!T25=0,0,11630*1000*SER_hh_fec_in!T25/SER_hh_num_in!T25)</f>
        <v>18195.395839954577</v>
      </c>
      <c r="U25" s="132">
        <f>IF(SER_hh_fec_in!U25=0,0,11630*1000*SER_hh_fec_in!U25/SER_hh_num_in!U25)</f>
        <v>18293.373809182718</v>
      </c>
      <c r="V25" s="132">
        <f>IF(SER_hh_fec_in!V25=0,0,11630*1000*SER_hh_fec_in!V25/SER_hh_num_in!V25)</f>
        <v>15646.32780865011</v>
      </c>
      <c r="W25" s="132">
        <f>IF(SER_hh_fec_in!W25=0,0,11630*1000*SER_hh_fec_in!W25/SER_hh_num_in!W25)</f>
        <v>16707.298843044711</v>
      </c>
      <c r="X25" s="132">
        <f>IF(SER_hh_fec_in!X25=0,0,11630*1000*SER_hh_fec_in!X25/SER_hh_num_in!X25)</f>
        <v>15609.283359888537</v>
      </c>
      <c r="Y25" s="132">
        <f>IF(SER_hh_fec_in!Y25=0,0,11630*1000*SER_hh_fec_in!Y25/SER_hh_num_in!Y25)</f>
        <v>15338.682916269734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24923.649897692776</v>
      </c>
      <c r="D26" s="65">
        <f>IF(SER_hh_fec_in!D26=0,0,11630*1000*SER_hh_fec_in!D26/SER_hh_num_in!D26)</f>
        <v>25313.685678632442</v>
      </c>
      <c r="E26" s="65">
        <f>IF(SER_hh_fec_in!E26=0,0,11630*1000*SER_hh_fec_in!E26/SER_hh_num_in!E26)</f>
        <v>24456.165920774536</v>
      </c>
      <c r="F26" s="65">
        <f>IF(SER_hh_fec_in!F26=0,0,11630*1000*SER_hh_fec_in!F26/SER_hh_num_in!F26)</f>
        <v>24714.254777763028</v>
      </c>
      <c r="G26" s="65">
        <f>IF(SER_hh_fec_in!G26=0,0,11630*1000*SER_hh_fec_in!G26/SER_hh_num_in!G26)</f>
        <v>24268.845330576391</v>
      </c>
      <c r="H26" s="65">
        <f>IF(SER_hh_fec_in!H26=0,0,11630*1000*SER_hh_fec_in!H26/SER_hh_num_in!H26)</f>
        <v>24181.283390332486</v>
      </c>
      <c r="I26" s="65">
        <f>IF(SER_hh_fec_in!I26=0,0,11630*1000*SER_hh_fec_in!I26/SER_hh_num_in!I26)</f>
        <v>23869.096974113156</v>
      </c>
      <c r="J26" s="65">
        <f>IF(SER_hh_fec_in!J26=0,0,11630*1000*SER_hh_fec_in!J26/SER_hh_num_in!J26)</f>
        <v>18923.703887471944</v>
      </c>
      <c r="K26" s="65">
        <f>IF(SER_hh_fec_in!K26=0,0,11630*1000*SER_hh_fec_in!K26/SER_hh_num_in!K26)</f>
        <v>19557.946914666813</v>
      </c>
      <c r="L26" s="65">
        <f>IF(SER_hh_fec_in!L26=0,0,11630*1000*SER_hh_fec_in!L26/SER_hh_num_in!L26)</f>
        <v>17797.343324262649</v>
      </c>
      <c r="M26" s="65">
        <f>IF(SER_hh_fec_in!M26=0,0,11630*1000*SER_hh_fec_in!M26/SER_hh_num_in!M26)</f>
        <v>22517.625880086911</v>
      </c>
      <c r="N26" s="65">
        <f>IF(SER_hh_fec_in!N26=0,0,11630*1000*SER_hh_fec_in!N26/SER_hh_num_in!N26)</f>
        <v>23762.651610138902</v>
      </c>
      <c r="O26" s="65">
        <f>IF(SER_hh_fec_in!O26=0,0,11630*1000*SER_hh_fec_in!O26/SER_hh_num_in!O26)</f>
        <v>20783.8587063911</v>
      </c>
      <c r="P26" s="65">
        <f>IF(SER_hh_fec_in!P26=0,0,11630*1000*SER_hh_fec_in!P26/SER_hh_num_in!P26)</f>
        <v>19323.074729620104</v>
      </c>
      <c r="Q26" s="65">
        <f>IF(SER_hh_fec_in!Q26=0,0,11630*1000*SER_hh_fec_in!Q26/SER_hh_num_in!Q26)</f>
        <v>18457.563002954164</v>
      </c>
      <c r="R26" s="65">
        <f>IF(SER_hh_fec_in!R26=0,0,11630*1000*SER_hh_fec_in!R26/SER_hh_num_in!R26)</f>
        <v>19676.921737010136</v>
      </c>
      <c r="S26" s="65">
        <f>IF(SER_hh_fec_in!S26=0,0,11630*1000*SER_hh_fec_in!S26/SER_hh_num_in!S26)</f>
        <v>18856.542404472129</v>
      </c>
      <c r="T26" s="65">
        <f>IF(SER_hh_fec_in!T26=0,0,11630*1000*SER_hh_fec_in!T26/SER_hh_num_in!T26)</f>
        <v>18324.158535948824</v>
      </c>
      <c r="U26" s="65">
        <f>IF(SER_hh_fec_in!U26=0,0,11630*1000*SER_hh_fec_in!U26/SER_hh_num_in!U26)</f>
        <v>17262.475291185525</v>
      </c>
      <c r="V26" s="65">
        <f>IF(SER_hh_fec_in!V26=0,0,11630*1000*SER_hh_fec_in!V26/SER_hh_num_in!V26)</f>
        <v>14466.128224011931</v>
      </c>
      <c r="W26" s="65">
        <f>IF(SER_hh_fec_in!W26=0,0,11630*1000*SER_hh_fec_in!W26/SER_hh_num_in!W26)</f>
        <v>15205.427044373955</v>
      </c>
      <c r="X26" s="65">
        <f>IF(SER_hh_fec_in!X26=0,0,11630*1000*SER_hh_fec_in!X26/SER_hh_num_in!X26)</f>
        <v>15291.688299701789</v>
      </c>
      <c r="Y26" s="65">
        <f>IF(SER_hh_fec_in!Y26=0,0,11630*1000*SER_hh_fec_in!Y26/SER_hh_num_in!Y26)</f>
        <v>14553.50474192217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0</v>
      </c>
      <c r="D27" s="145">
        <f>IF(SER_hh_fec_in!D27=0,0,11630*1000*SER_hh_fec_in!D27/SER_hh_num_in!D19)</f>
        <v>0</v>
      </c>
      <c r="E27" s="145">
        <f>IF(SER_hh_fec_in!E27=0,0,11630*1000*SER_hh_fec_in!E27/SER_hh_num_in!E19)</f>
        <v>0</v>
      </c>
      <c r="F27" s="145">
        <f>IF(SER_hh_fec_in!F27=0,0,11630*1000*SER_hh_fec_in!F27/SER_hh_num_in!F19)</f>
        <v>0</v>
      </c>
      <c r="G27" s="145">
        <f>IF(SER_hh_fec_in!G27=0,0,11630*1000*SER_hh_fec_in!G27/SER_hh_num_in!G19)</f>
        <v>102.61332860138766</v>
      </c>
      <c r="H27" s="145">
        <f>IF(SER_hh_fec_in!H27=0,0,11630*1000*SER_hh_fec_in!H27/SER_hh_num_in!H19)</f>
        <v>165.07549538386615</v>
      </c>
      <c r="I27" s="145">
        <f>IF(SER_hh_fec_in!I27=0,0,11630*1000*SER_hh_fec_in!I27/SER_hh_num_in!I19)</f>
        <v>99.328654548811599</v>
      </c>
      <c r="J27" s="145">
        <f>IF(SER_hh_fec_in!J27=0,0,11630*1000*SER_hh_fec_in!J27/SER_hh_num_in!J19)</f>
        <v>574.88398811487775</v>
      </c>
      <c r="K27" s="145">
        <f>IF(SER_hh_fec_in!K27=0,0,11630*1000*SER_hh_fec_in!K27/SER_hh_num_in!K19)</f>
        <v>442.77881043176859</v>
      </c>
      <c r="L27" s="145">
        <f>IF(SER_hh_fec_in!L27=0,0,11630*1000*SER_hh_fec_in!L27/SER_hh_num_in!L19)</f>
        <v>941.98385687648158</v>
      </c>
      <c r="M27" s="145">
        <f>IF(SER_hh_fec_in!M27=0,0,11630*1000*SER_hh_fec_in!M27/SER_hh_num_in!M19)</f>
        <v>363.94104707930182</v>
      </c>
      <c r="N27" s="145">
        <f>IF(SER_hh_fec_in!N27=0,0,11630*1000*SER_hh_fec_in!N27/SER_hh_num_in!N19)</f>
        <v>6.5886205801816571</v>
      </c>
      <c r="O27" s="145">
        <f>IF(SER_hh_fec_in!O27=0,0,11630*1000*SER_hh_fec_in!O27/SER_hh_num_in!O19)</f>
        <v>31.621810030282084</v>
      </c>
      <c r="P27" s="145">
        <f>IF(SER_hh_fec_in!P27=0,0,11630*1000*SER_hh_fec_in!P27/SER_hh_num_in!P19)</f>
        <v>91.890646330065678</v>
      </c>
      <c r="Q27" s="145">
        <f>IF(SER_hh_fec_in!Q27=0,0,11630*1000*SER_hh_fec_in!Q27/SER_hh_num_in!Q19)</f>
        <v>456.15084963926921</v>
      </c>
      <c r="R27" s="145">
        <f>IF(SER_hh_fec_in!R27=0,0,11630*1000*SER_hh_fec_in!R27/SER_hh_num_in!R19)</f>
        <v>6.2397564179991187</v>
      </c>
      <c r="S27" s="145">
        <f>IF(SER_hh_fec_in!S27=0,0,11630*1000*SER_hh_fec_in!S27/SER_hh_num_in!S19)</f>
        <v>140.46004261988708</v>
      </c>
      <c r="T27" s="145">
        <f>IF(SER_hh_fec_in!T27=0,0,11630*1000*SER_hh_fec_in!T27/SER_hh_num_in!T19)</f>
        <v>58.200248984943897</v>
      </c>
      <c r="U27" s="145">
        <f>IF(SER_hh_fec_in!U27=0,0,11630*1000*SER_hh_fec_in!U27/SER_hh_num_in!U19)</f>
        <v>234.15258259186777</v>
      </c>
      <c r="V27" s="145">
        <f>IF(SER_hh_fec_in!V27=0,0,11630*1000*SER_hh_fec_in!V27/SER_hh_num_in!V19)</f>
        <v>287.00902182007735</v>
      </c>
      <c r="W27" s="145">
        <f>IF(SER_hh_fec_in!W27=0,0,11630*1000*SER_hh_fec_in!W27/SER_hh_num_in!W19)</f>
        <v>1.0465443785137223E-12</v>
      </c>
      <c r="X27" s="145">
        <f>IF(SER_hh_fec_in!X27=0,0,11630*1000*SER_hh_fec_in!X27/SER_hh_num_in!X19)</f>
        <v>341.20841059222784</v>
      </c>
      <c r="Y27" s="145">
        <f>IF(SER_hh_fec_in!Y27=0,0,11630*1000*SER_hh_fec_in!Y27/SER_hh_num_in!Y19)</f>
        <v>440.58276524614132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0</v>
      </c>
      <c r="D28" s="146">
        <f>IF(SER_hh_fec_in!D27=0,0,11630*1000*SER_hh_fec_in!D27/SER_hh_num_in!D27)</f>
        <v>0</v>
      </c>
      <c r="E28" s="146">
        <f>IF(SER_hh_fec_in!E27=0,0,11630*1000*SER_hh_fec_in!E27/SER_hh_num_in!E27)</f>
        <v>0</v>
      </c>
      <c r="F28" s="146">
        <f>IF(SER_hh_fec_in!F27=0,0,11630*1000*SER_hh_fec_in!F27/SER_hh_num_in!F27)</f>
        <v>0</v>
      </c>
      <c r="G28" s="146">
        <f>IF(SER_hh_fec_in!G27=0,0,11630*1000*SER_hh_fec_in!G27/SER_hh_num_in!G27)</f>
        <v>13249.063098522027</v>
      </c>
      <c r="H28" s="146">
        <f>IF(SER_hh_fec_in!H27=0,0,11630*1000*SER_hh_fec_in!H27/SER_hh_num_in!H27)</f>
        <v>12024.349177047026</v>
      </c>
      <c r="I28" s="146">
        <f>IF(SER_hh_fec_in!I27=0,0,11630*1000*SER_hh_fec_in!I27/SER_hh_num_in!I27)</f>
        <v>12764.3640864475</v>
      </c>
      <c r="J28" s="146">
        <f>IF(SER_hh_fec_in!J27=0,0,11630*1000*SER_hh_fec_in!J27/SER_hh_num_in!J27)</f>
        <v>12363.151191272213</v>
      </c>
      <c r="K28" s="146">
        <f>IF(SER_hh_fec_in!K27=0,0,11630*1000*SER_hh_fec_in!K27/SER_hh_num_in!K27)</f>
        <v>12859.507064506091</v>
      </c>
      <c r="L28" s="146">
        <f>IF(SER_hh_fec_in!L27=0,0,11630*1000*SER_hh_fec_in!L27/SER_hh_num_in!L27)</f>
        <v>12968.508853312938</v>
      </c>
      <c r="M28" s="146">
        <f>IF(SER_hh_fec_in!M27=0,0,11630*1000*SER_hh_fec_in!M27/SER_hh_num_in!M27)</f>
        <v>12408.252090574373</v>
      </c>
      <c r="N28" s="146">
        <f>IF(SER_hh_fec_in!N27=0,0,11630*1000*SER_hh_fec_in!N27/SER_hh_num_in!N27)</f>
        <v>2.7183626847360013E+17</v>
      </c>
      <c r="O28" s="146">
        <f>IF(SER_hh_fec_in!O27=0,0,11630*1000*SER_hh_fec_in!O27/SER_hh_num_in!O27)</f>
        <v>19177.810721515674</v>
      </c>
      <c r="P28" s="146">
        <f>IF(SER_hh_fec_in!P27=0,0,11630*1000*SER_hh_fec_in!P27/SER_hh_num_in!P27)</f>
        <v>13574.333325011547</v>
      </c>
      <c r="Q28" s="146">
        <f>IF(SER_hh_fec_in!Q27=0,0,11630*1000*SER_hh_fec_in!Q27/SER_hh_num_in!Q27)</f>
        <v>11897.527654917949</v>
      </c>
      <c r="R28" s="146">
        <f>IF(SER_hh_fec_in!R27=0,0,11630*1000*SER_hh_fec_in!R27/SER_hh_num_in!R27)</f>
        <v>11987.950473352432</v>
      </c>
      <c r="S28" s="146">
        <f>IF(SER_hh_fec_in!S27=0,0,11630*1000*SER_hh_fec_in!S27/SER_hh_num_in!S27)</f>
        <v>12206.363726039284</v>
      </c>
      <c r="T28" s="146">
        <f>IF(SER_hh_fec_in!T27=0,0,11630*1000*SER_hh_fec_in!T27/SER_hh_num_in!T27)</f>
        <v>12114.964774884691</v>
      </c>
      <c r="U28" s="146">
        <f>IF(SER_hh_fec_in!U27=0,0,11630*1000*SER_hh_fec_in!U27/SER_hh_num_in!U27)</f>
        <v>11974.266509382294</v>
      </c>
      <c r="V28" s="146">
        <f>IF(SER_hh_fec_in!V27=0,0,11630*1000*SER_hh_fec_in!V27/SER_hh_num_in!V27)</f>
        <v>10549.184651506142</v>
      </c>
      <c r="W28" s="146">
        <f>IF(SER_hh_fec_in!W27=0,0,11630*1000*SER_hh_fec_in!W27/SER_hh_num_in!W27)</f>
        <v>11447.120906291448</v>
      </c>
      <c r="X28" s="146">
        <f>IF(SER_hh_fec_in!X27=0,0,11630*1000*SER_hh_fec_in!X27/SER_hh_num_in!X27)</f>
        <v>11175.670245892223</v>
      </c>
      <c r="Y28" s="146">
        <f>IF(SER_hh_fec_in!Y27=0,0,11630*1000*SER_hh_fec_in!Y27/SER_hh_num_in!Y27)</f>
        <v>10214.698900708887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28271.477116226932</v>
      </c>
      <c r="D29" s="130">
        <f>IF(SER_hh_fec_in!D29=0,0,11630*1000*SER_hh_fec_in!D29/SER_hh_num_in!D29)</f>
        <v>27331.067321036739</v>
      </c>
      <c r="E29" s="130">
        <f>IF(SER_hh_fec_in!E29=0,0,11630*1000*SER_hh_fec_in!E29/SER_hh_num_in!E29)</f>
        <v>27039.512488509936</v>
      </c>
      <c r="F29" s="130">
        <f>IF(SER_hh_fec_in!F29=0,0,11630*1000*SER_hh_fec_in!F29/SER_hh_num_in!F29)</f>
        <v>29301.071278636155</v>
      </c>
      <c r="G29" s="130">
        <f>IF(SER_hh_fec_in!G29=0,0,11630*1000*SER_hh_fec_in!G29/SER_hh_num_in!G29)</f>
        <v>27951.763080293404</v>
      </c>
      <c r="H29" s="130">
        <f>IF(SER_hh_fec_in!H29=0,0,11630*1000*SER_hh_fec_in!H29/SER_hh_num_in!H29)</f>
        <v>28334.712193159125</v>
      </c>
      <c r="I29" s="130">
        <f>IF(SER_hh_fec_in!I29=0,0,11630*1000*SER_hh_fec_in!I29/SER_hh_num_in!I29)</f>
        <v>27158.446814602237</v>
      </c>
      <c r="J29" s="130">
        <f>IF(SER_hh_fec_in!J29=0,0,11630*1000*SER_hh_fec_in!J29/SER_hh_num_in!J29)</f>
        <v>26942.496097475087</v>
      </c>
      <c r="K29" s="130">
        <f>IF(SER_hh_fec_in!K29=0,0,11630*1000*SER_hh_fec_in!K29/SER_hh_num_in!K29)</f>
        <v>26591.186136545559</v>
      </c>
      <c r="L29" s="130">
        <f>IF(SER_hh_fec_in!L29=0,0,11630*1000*SER_hh_fec_in!L29/SER_hh_num_in!L29)</f>
        <v>28066.010430361861</v>
      </c>
      <c r="M29" s="130">
        <f>IF(SER_hh_fec_in!M29=0,0,11630*1000*SER_hh_fec_in!M29/SER_hh_num_in!M29)</f>
        <v>29850.254259031259</v>
      </c>
      <c r="N29" s="130">
        <f>IF(SER_hh_fec_in!N29=0,0,11630*1000*SER_hh_fec_in!N29/SER_hh_num_in!N29)</f>
        <v>28847.639940666777</v>
      </c>
      <c r="O29" s="130">
        <f>IF(SER_hh_fec_in!O29=0,0,11630*1000*SER_hh_fec_in!O29/SER_hh_num_in!O29)</f>
        <v>27698.048703130949</v>
      </c>
      <c r="P29" s="130">
        <f>IF(SER_hh_fec_in!P29=0,0,11630*1000*SER_hh_fec_in!P29/SER_hh_num_in!P29)</f>
        <v>25770.918431030084</v>
      </c>
      <c r="Q29" s="130">
        <f>IF(SER_hh_fec_in!Q29=0,0,11630*1000*SER_hh_fec_in!Q29/SER_hh_num_in!Q29)</f>
        <v>25504.763343387469</v>
      </c>
      <c r="R29" s="130">
        <f>IF(SER_hh_fec_in!R29=0,0,11630*1000*SER_hh_fec_in!R29/SER_hh_num_in!R29)</f>
        <v>24571.762444519532</v>
      </c>
      <c r="S29" s="130">
        <f>IF(SER_hh_fec_in!S29=0,0,11630*1000*SER_hh_fec_in!S29/SER_hh_num_in!S29)</f>
        <v>24275.026767495299</v>
      </c>
      <c r="T29" s="130">
        <f>IF(SER_hh_fec_in!T29=0,0,11630*1000*SER_hh_fec_in!T29/SER_hh_num_in!T29)</f>
        <v>25027.384385513818</v>
      </c>
      <c r="U29" s="130">
        <f>IF(SER_hh_fec_in!U29=0,0,11630*1000*SER_hh_fec_in!U29/SER_hh_num_in!U29)</f>
        <v>24530.77548317605</v>
      </c>
      <c r="V29" s="130">
        <f>IF(SER_hh_fec_in!V29=0,0,11630*1000*SER_hh_fec_in!V29/SER_hh_num_in!V29)</f>
        <v>23647.602528104722</v>
      </c>
      <c r="W29" s="130">
        <f>IF(SER_hh_fec_in!W29=0,0,11630*1000*SER_hh_fec_in!W29/SER_hh_num_in!W29)</f>
        <v>24374.888085904095</v>
      </c>
      <c r="X29" s="130">
        <f>IF(SER_hh_fec_in!X29=0,0,11630*1000*SER_hh_fec_in!X29/SER_hh_num_in!X29)</f>
        <v>23941.869119826995</v>
      </c>
      <c r="Y29" s="130">
        <f>IF(SER_hh_fec_in!Y29=0,0,11630*1000*SER_hh_fec_in!Y29/SER_hh_num_in!Y29)</f>
        <v>23305.969591788209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30120.539018863488</v>
      </c>
      <c r="D30" s="132">
        <f>IF(SER_hh_fec_in!D30=0,0,11630*1000*SER_hh_fec_in!D30/SER_hh_num_in!D30)</f>
        <v>35228.883660015745</v>
      </c>
      <c r="E30" s="132">
        <f>IF(SER_hh_fec_in!E30=0,0,11630*1000*SER_hh_fec_in!E30/SER_hh_num_in!E30)</f>
        <v>0</v>
      </c>
      <c r="F30" s="132">
        <f>IF(SER_hh_fec_in!F30=0,0,11630*1000*SER_hh_fec_in!F30/SER_hh_num_in!F30)</f>
        <v>0</v>
      </c>
      <c r="G30" s="132">
        <f>IF(SER_hh_fec_in!G30=0,0,11630*1000*SER_hh_fec_in!G30/SER_hh_num_in!G30)</f>
        <v>0</v>
      </c>
      <c r="H30" s="132">
        <f>IF(SER_hh_fec_in!H30=0,0,11630*1000*SER_hh_fec_in!H30/SER_hh_num_in!H30)</f>
        <v>31268.092762985059</v>
      </c>
      <c r="I30" s="132">
        <f>IF(SER_hh_fec_in!I30=0,0,11630*1000*SER_hh_fec_in!I30/SER_hh_num_in!I30)</f>
        <v>32503.86723772436</v>
      </c>
      <c r="J30" s="132">
        <f>IF(SER_hh_fec_in!J30=0,0,11630*1000*SER_hh_fec_in!J30/SER_hh_num_in!J30)</f>
        <v>28561.129729094726</v>
      </c>
      <c r="K30" s="132">
        <f>IF(SER_hh_fec_in!K30=0,0,11630*1000*SER_hh_fec_in!K30/SER_hh_num_in!K30)</f>
        <v>29812.295755760006</v>
      </c>
      <c r="L30" s="132">
        <f>IF(SER_hh_fec_in!L30=0,0,11630*1000*SER_hh_fec_in!L30/SER_hh_num_in!L30)</f>
        <v>34134.94699308947</v>
      </c>
      <c r="M30" s="132">
        <f>IF(SER_hh_fec_in!M30=0,0,11630*1000*SER_hh_fec_in!M30/SER_hh_num_in!M30)</f>
        <v>0</v>
      </c>
      <c r="N30" s="132">
        <f>IF(SER_hh_fec_in!N30=0,0,11630*1000*SER_hh_fec_in!N30/SER_hh_num_in!N30)</f>
        <v>0</v>
      </c>
      <c r="O30" s="132">
        <f>IF(SER_hh_fec_in!O30=0,0,11630*1000*SER_hh_fec_in!O30/SER_hh_num_in!O30)</f>
        <v>0</v>
      </c>
      <c r="P30" s="132">
        <f>IF(SER_hh_fec_in!P30=0,0,11630*1000*SER_hh_fec_in!P30/SER_hh_num_in!P30)</f>
        <v>28857.420805916561</v>
      </c>
      <c r="Q30" s="132">
        <f>IF(SER_hh_fec_in!Q30=0,0,11630*1000*SER_hh_fec_in!Q30/SER_hh_num_in!Q30)</f>
        <v>34022.944596103429</v>
      </c>
      <c r="R30" s="132">
        <f>IF(SER_hh_fec_in!R30=0,0,11630*1000*SER_hh_fec_in!R30/SER_hh_num_in!R30)</f>
        <v>28013.51754865604</v>
      </c>
      <c r="S30" s="132">
        <f>IF(SER_hh_fec_in!S30=0,0,11630*1000*SER_hh_fec_in!S30/SER_hh_num_in!S30)</f>
        <v>24299.875454770743</v>
      </c>
      <c r="T30" s="132">
        <f>IF(SER_hh_fec_in!T30=0,0,11630*1000*SER_hh_fec_in!T30/SER_hh_num_in!T30)</f>
        <v>29806.6273874535</v>
      </c>
      <c r="U30" s="132">
        <f>IF(SER_hh_fec_in!U30=0,0,11630*1000*SER_hh_fec_in!U30/SER_hh_num_in!U30)</f>
        <v>25812.947160391792</v>
      </c>
      <c r="V30" s="132">
        <f>IF(SER_hh_fec_in!V30=0,0,11630*1000*SER_hh_fec_in!V30/SER_hh_num_in!V30)</f>
        <v>36852.836304502096</v>
      </c>
      <c r="W30" s="132">
        <f>IF(SER_hh_fec_in!W30=0,0,11630*1000*SER_hh_fec_in!W30/SER_hh_num_in!W30)</f>
        <v>25578.849492006226</v>
      </c>
      <c r="X30" s="132">
        <f>IF(SER_hh_fec_in!X30=0,0,11630*1000*SER_hh_fec_in!X30/SER_hh_num_in!X30)</f>
        <v>26600.45727454756</v>
      </c>
      <c r="Y30" s="132">
        <f>IF(SER_hh_fec_in!Y30=0,0,11630*1000*SER_hh_fec_in!Y30/SER_hh_num_in!Y30)</f>
        <v>0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34459.624342399962</v>
      </c>
      <c r="D31" s="132">
        <f>IF(SER_hh_fec_in!D31=0,0,11630*1000*SER_hh_fec_in!D31/SER_hh_num_in!D31)</f>
        <v>28670.031331398008</v>
      </c>
      <c r="E31" s="132">
        <f>IF(SER_hh_fec_in!E31=0,0,11630*1000*SER_hh_fec_in!E31/SER_hh_num_in!E31)</f>
        <v>30155.791375683333</v>
      </c>
      <c r="F31" s="132">
        <f>IF(SER_hh_fec_in!F31=0,0,11630*1000*SER_hh_fec_in!F31/SER_hh_num_in!F31)</f>
        <v>32442.537545560568</v>
      </c>
      <c r="G31" s="132">
        <f>IF(SER_hh_fec_in!G31=0,0,11630*1000*SER_hh_fec_in!G31/SER_hh_num_in!G31)</f>
        <v>31009.568996070135</v>
      </c>
      <c r="H31" s="132">
        <f>IF(SER_hh_fec_in!H31=0,0,11630*1000*SER_hh_fec_in!H31/SER_hh_num_in!H31)</f>
        <v>31241.27385121425</v>
      </c>
      <c r="I31" s="132">
        <f>IF(SER_hh_fec_in!I31=0,0,11630*1000*SER_hh_fec_in!I31/SER_hh_num_in!I31)</f>
        <v>30580.220146567484</v>
      </c>
      <c r="J31" s="132">
        <f>IF(SER_hh_fec_in!J31=0,0,11630*1000*SER_hh_fec_in!J31/SER_hh_num_in!J31)</f>
        <v>30610.627534357729</v>
      </c>
      <c r="K31" s="132">
        <f>IF(SER_hh_fec_in!K31=0,0,11630*1000*SER_hh_fec_in!K31/SER_hh_num_in!K31)</f>
        <v>30401.896462666777</v>
      </c>
      <c r="L31" s="132">
        <f>IF(SER_hh_fec_in!L31=0,0,11630*1000*SER_hh_fec_in!L31/SER_hh_num_in!L31)</f>
        <v>30361.067372448397</v>
      </c>
      <c r="M31" s="132">
        <f>IF(SER_hh_fec_in!M31=0,0,11630*1000*SER_hh_fec_in!M31/SER_hh_num_in!M31)</f>
        <v>30607.892397317049</v>
      </c>
      <c r="N31" s="132">
        <f>IF(SER_hh_fec_in!N31=0,0,11630*1000*SER_hh_fec_in!N31/SER_hh_num_in!N31)</f>
        <v>30485.288950284459</v>
      </c>
      <c r="O31" s="132">
        <f>IF(SER_hh_fec_in!O31=0,0,11630*1000*SER_hh_fec_in!O31/SER_hh_num_in!O31)</f>
        <v>30639.463921161485</v>
      </c>
      <c r="P31" s="132">
        <f>IF(SER_hh_fec_in!P31=0,0,11630*1000*SER_hh_fec_in!P31/SER_hh_num_in!P31)</f>
        <v>29687.767425835635</v>
      </c>
      <c r="Q31" s="132">
        <f>IF(SER_hh_fec_in!Q31=0,0,11630*1000*SER_hh_fec_in!Q31/SER_hh_num_in!Q31)</f>
        <v>28848.883026095627</v>
      </c>
      <c r="R31" s="132">
        <f>IF(SER_hh_fec_in!R31=0,0,11630*1000*SER_hh_fec_in!R31/SER_hh_num_in!R31)</f>
        <v>28502.026311118017</v>
      </c>
      <c r="S31" s="132">
        <f>IF(SER_hh_fec_in!S31=0,0,11630*1000*SER_hh_fec_in!S31/SER_hh_num_in!S31)</f>
        <v>28228.149967867932</v>
      </c>
      <c r="T31" s="132">
        <f>IF(SER_hh_fec_in!T31=0,0,11630*1000*SER_hh_fec_in!T31/SER_hh_num_in!T31)</f>
        <v>28057.512351055193</v>
      </c>
      <c r="U31" s="132">
        <f>IF(SER_hh_fec_in!U31=0,0,11630*1000*SER_hh_fec_in!U31/SER_hh_num_in!U31)</f>
        <v>27822.301049625774</v>
      </c>
      <c r="V31" s="132">
        <f>IF(SER_hh_fec_in!V31=0,0,11630*1000*SER_hh_fec_in!V31/SER_hh_num_in!V31)</f>
        <v>26240.053838062442</v>
      </c>
      <c r="W31" s="132">
        <f>IF(SER_hh_fec_in!W31=0,0,11630*1000*SER_hh_fec_in!W31/SER_hh_num_in!W31)</f>
        <v>28140.641984393747</v>
      </c>
      <c r="X31" s="132">
        <f>IF(SER_hh_fec_in!X31=0,0,11630*1000*SER_hh_fec_in!X31/SER_hh_num_in!X31)</f>
        <v>27680.693449810304</v>
      </c>
      <c r="Y31" s="132">
        <f>IF(SER_hh_fec_in!Y31=0,0,11630*1000*SER_hh_fec_in!Y31/SER_hh_num_in!Y31)</f>
        <v>26904.212956609528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24653.373405864866</v>
      </c>
      <c r="D33" s="68">
        <f>IF(SER_hh_fec_in!D33=0,0,11630*1000*SER_hh_fec_in!D33/SER_hh_num_in!D33)</f>
        <v>24231.081215916354</v>
      </c>
      <c r="E33" s="68">
        <f>IF(SER_hh_fec_in!E33=0,0,11630*1000*SER_hh_fec_in!E33/SER_hh_num_in!E33)</f>
        <v>23747.319207211342</v>
      </c>
      <c r="F33" s="68">
        <f>IF(SER_hh_fec_in!F33=0,0,11630*1000*SER_hh_fec_in!F33/SER_hh_num_in!F33)</f>
        <v>24092.47427626975</v>
      </c>
      <c r="G33" s="68">
        <f>IF(SER_hh_fec_in!G33=0,0,11630*1000*SER_hh_fec_in!G33/SER_hh_num_in!G33)</f>
        <v>23272.201540373771</v>
      </c>
      <c r="H33" s="68">
        <f>IF(SER_hh_fec_in!H33=0,0,11630*1000*SER_hh_fec_in!H33/SER_hh_num_in!H33)</f>
        <v>23116.177048698471</v>
      </c>
      <c r="I33" s="68">
        <f>IF(SER_hh_fec_in!I33=0,0,11630*1000*SER_hh_fec_in!I33/SER_hh_num_in!I33)</f>
        <v>22106.19657048272</v>
      </c>
      <c r="J33" s="68">
        <f>IF(SER_hh_fec_in!J33=0,0,11630*1000*SER_hh_fec_in!J33/SER_hh_num_in!J33)</f>
        <v>22549.358288595999</v>
      </c>
      <c r="K33" s="68">
        <f>IF(SER_hh_fec_in!K33=0,0,11630*1000*SER_hh_fec_in!K33/SER_hh_num_in!K33)</f>
        <v>22847.783168522554</v>
      </c>
      <c r="L33" s="68">
        <f>IF(SER_hh_fec_in!L33=0,0,11630*1000*SER_hh_fec_in!L33/SER_hh_num_in!L33)</f>
        <v>23351.628889380754</v>
      </c>
      <c r="M33" s="68">
        <f>IF(SER_hh_fec_in!M33=0,0,11630*1000*SER_hh_fec_in!M33/SER_hh_num_in!M33)</f>
        <v>23104.298025544711</v>
      </c>
      <c r="N33" s="68">
        <f>IF(SER_hh_fec_in!N33=0,0,11630*1000*SER_hh_fec_in!N33/SER_hh_num_in!N33)</f>
        <v>21999.531260779255</v>
      </c>
      <c r="O33" s="68">
        <f>IF(SER_hh_fec_in!O33=0,0,11630*1000*SER_hh_fec_in!O33/SER_hh_num_in!O33)</f>
        <v>21680.316401117016</v>
      </c>
      <c r="P33" s="68">
        <f>IF(SER_hh_fec_in!P33=0,0,11630*1000*SER_hh_fec_in!P33/SER_hh_num_in!P33)</f>
        <v>20222.518211643925</v>
      </c>
      <c r="Q33" s="68">
        <f>IF(SER_hh_fec_in!Q33=0,0,11630*1000*SER_hh_fec_in!Q33/SER_hh_num_in!Q33)</f>
        <v>21066.922362576734</v>
      </c>
      <c r="R33" s="68">
        <f>IF(SER_hh_fec_in!R33=0,0,11630*1000*SER_hh_fec_in!R33/SER_hh_num_in!R33)</f>
        <v>20918.443585300185</v>
      </c>
      <c r="S33" s="68">
        <f>IF(SER_hh_fec_in!S33=0,0,11630*1000*SER_hh_fec_in!S33/SER_hh_num_in!S33)</f>
        <v>20412.466586794788</v>
      </c>
      <c r="T33" s="68">
        <f>IF(SER_hh_fec_in!T33=0,0,11630*1000*SER_hh_fec_in!T33/SER_hh_num_in!T33)</f>
        <v>20411.098536164787</v>
      </c>
      <c r="U33" s="68">
        <f>IF(SER_hh_fec_in!U33=0,0,11630*1000*SER_hh_fec_in!U33/SER_hh_num_in!U33)</f>
        <v>19994.56583782495</v>
      </c>
      <c r="V33" s="68">
        <f>IF(SER_hh_fec_in!V33=0,0,11630*1000*SER_hh_fec_in!V33/SER_hh_num_in!V33)</f>
        <v>17429.335326626151</v>
      </c>
      <c r="W33" s="68">
        <f>IF(SER_hh_fec_in!W33=0,0,11630*1000*SER_hh_fec_in!W33/SER_hh_num_in!W33)</f>
        <v>18973.004905962807</v>
      </c>
      <c r="X33" s="68">
        <f>IF(SER_hh_fec_in!X33=0,0,11630*1000*SER_hh_fec_in!X33/SER_hh_num_in!X33)</f>
        <v>19101.141919074184</v>
      </c>
      <c r="Y33" s="68">
        <f>IF(SER_hh_fec_in!Y33=0,0,11630*1000*SER_hh_fec_in!Y33/SER_hh_num_in!Y33)</f>
        <v>18971.714344681975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234810.41409721391</v>
      </c>
      <c r="D3" s="125">
        <f>IF(SER_hh_tes_in!D3=0,0,11630*1000*SER_hh_tes_in!D3/SER_hh_num_in!D3)</f>
        <v>210771.21102231758</v>
      </c>
      <c r="E3" s="125">
        <f>IF(SER_hh_tes_in!E3=0,0,11630*1000*SER_hh_tes_in!E3/SER_hh_num_in!E3)</f>
        <v>204534.22748110336</v>
      </c>
      <c r="F3" s="125">
        <f>IF(SER_hh_tes_in!F3=0,0,11630*1000*SER_hh_tes_in!F3/SER_hh_num_in!F3)</f>
        <v>234797.84488930894</v>
      </c>
      <c r="G3" s="125">
        <f>IF(SER_hh_tes_in!G3=0,0,11630*1000*SER_hh_tes_in!G3/SER_hh_num_in!G3)</f>
        <v>222642.19033801553</v>
      </c>
      <c r="H3" s="125">
        <f>IF(SER_hh_tes_in!H3=0,0,11630*1000*SER_hh_tes_in!H3/SER_hh_num_in!H3)</f>
        <v>196779.42891668703</v>
      </c>
      <c r="I3" s="125">
        <f>IF(SER_hh_tes_in!I3=0,0,11630*1000*SER_hh_tes_in!I3/SER_hh_num_in!I3)</f>
        <v>183517.23880443623</v>
      </c>
      <c r="J3" s="125">
        <f>IF(SER_hh_tes_in!J3=0,0,11630*1000*SER_hh_tes_in!J3/SER_hh_num_in!J3)</f>
        <v>175883.33893343405</v>
      </c>
      <c r="K3" s="125">
        <f>IF(SER_hh_tes_in!K3=0,0,11630*1000*SER_hh_tes_in!K3/SER_hh_num_in!K3)</f>
        <v>179182.42089489585</v>
      </c>
      <c r="L3" s="125">
        <f>IF(SER_hh_tes_in!L3=0,0,11630*1000*SER_hh_tes_in!L3/SER_hh_num_in!L3)</f>
        <v>183815.29964506294</v>
      </c>
      <c r="M3" s="125">
        <f>IF(SER_hh_tes_in!M3=0,0,11630*1000*SER_hh_tes_in!M3/SER_hh_num_in!M3)</f>
        <v>175318.93570246935</v>
      </c>
      <c r="N3" s="125">
        <f>IF(SER_hh_tes_in!N3=0,0,11630*1000*SER_hh_tes_in!N3/SER_hh_num_in!N3)</f>
        <v>147485.11923949499</v>
      </c>
      <c r="O3" s="125">
        <f>IF(SER_hh_tes_in!O3=0,0,11630*1000*SER_hh_tes_in!O3/SER_hh_num_in!O3)</f>
        <v>135341.46847309169</v>
      </c>
      <c r="P3" s="125">
        <f>IF(SER_hh_tes_in!P3=0,0,11630*1000*SER_hh_tes_in!P3/SER_hh_num_in!P3)</f>
        <v>115797.78503966755</v>
      </c>
      <c r="Q3" s="125">
        <f>IF(SER_hh_tes_in!Q3=0,0,11630*1000*SER_hh_tes_in!Q3/SER_hh_num_in!Q3)</f>
        <v>126978.34462541026</v>
      </c>
      <c r="R3" s="125">
        <f>IF(SER_hh_tes_in!R3=0,0,11630*1000*SER_hh_tes_in!R3/SER_hh_num_in!R3)</f>
        <v>115961.13227174307</v>
      </c>
      <c r="S3" s="125">
        <f>IF(SER_hh_tes_in!S3=0,0,11630*1000*SER_hh_tes_in!S3/SER_hh_num_in!S3)</f>
        <v>114134.66061200679</v>
      </c>
      <c r="T3" s="125">
        <f>IF(SER_hh_tes_in!T3=0,0,11630*1000*SER_hh_tes_in!T3/SER_hh_num_in!T3)</f>
        <v>108090.94800570718</v>
      </c>
      <c r="U3" s="125">
        <f>IF(SER_hh_tes_in!U3=0,0,11630*1000*SER_hh_tes_in!U3/SER_hh_num_in!U3)</f>
        <v>103014.35048672849</v>
      </c>
      <c r="V3" s="125">
        <f>IF(SER_hh_tes_in!V3=0,0,11630*1000*SER_hh_tes_in!V3/SER_hh_num_in!V3)</f>
        <v>92366.682969198911</v>
      </c>
      <c r="W3" s="125">
        <f>IF(SER_hh_tes_in!W3=0,0,11630*1000*SER_hh_tes_in!W3/SER_hh_num_in!W3)</f>
        <v>87653.720238486741</v>
      </c>
      <c r="X3" s="125">
        <f>IF(SER_hh_tes_in!X3=0,0,11630*1000*SER_hh_tes_in!X3/SER_hh_num_in!X3)</f>
        <v>83692.321036456953</v>
      </c>
      <c r="Y3" s="125">
        <f>IF(SER_hh_tes_in!Y3=0,0,11630*1000*SER_hh_tes_in!Y3/SER_hh_num_in!Y3)</f>
        <v>74087.010585003314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177858.66672095982</v>
      </c>
      <c r="D4" s="130">
        <f>IF(SER_hh_tes_in!D4=0,0,11630*1000*SER_hh_tes_in!D4/SER_hh_num_in!D4)</f>
        <v>154060.2118608334</v>
      </c>
      <c r="E4" s="130">
        <f>IF(SER_hh_tes_in!E4=0,0,11630*1000*SER_hh_tes_in!E4/SER_hh_num_in!E4)</f>
        <v>151644.54695236826</v>
      </c>
      <c r="F4" s="130">
        <f>IF(SER_hh_tes_in!F4=0,0,11630*1000*SER_hh_tes_in!F4/SER_hh_num_in!F4)</f>
        <v>178816.35090171214</v>
      </c>
      <c r="G4" s="130">
        <f>IF(SER_hh_tes_in!G4=0,0,11630*1000*SER_hh_tes_in!G4/SER_hh_num_in!G4)</f>
        <v>167780.35378571818</v>
      </c>
      <c r="H4" s="130">
        <f>IF(SER_hh_tes_in!H4=0,0,11630*1000*SER_hh_tes_in!H4/SER_hh_num_in!H4)</f>
        <v>140135.33842252445</v>
      </c>
      <c r="I4" s="130">
        <f>IF(SER_hh_tes_in!I4=0,0,11630*1000*SER_hh_tes_in!I4/SER_hh_num_in!I4)</f>
        <v>125741.5538911582</v>
      </c>
      <c r="J4" s="130">
        <f>IF(SER_hh_tes_in!J4=0,0,11630*1000*SER_hh_tes_in!J4/SER_hh_num_in!J4)</f>
        <v>121434.7870147358</v>
      </c>
      <c r="K4" s="130">
        <f>IF(SER_hh_tes_in!K4=0,0,11630*1000*SER_hh_tes_in!K4/SER_hh_num_in!K4)</f>
        <v>124357.45839221332</v>
      </c>
      <c r="L4" s="130">
        <f>IF(SER_hh_tes_in!L4=0,0,11630*1000*SER_hh_tes_in!L4/SER_hh_num_in!L4)</f>
        <v>127954.67323292285</v>
      </c>
      <c r="M4" s="130">
        <f>IF(SER_hh_tes_in!M4=0,0,11630*1000*SER_hh_tes_in!M4/SER_hh_num_in!M4)</f>
        <v>120325.45836704259</v>
      </c>
      <c r="N4" s="130">
        <f>IF(SER_hh_tes_in!N4=0,0,11630*1000*SER_hh_tes_in!N4/SER_hh_num_in!N4)</f>
        <v>86886.198208640402</v>
      </c>
      <c r="O4" s="130">
        <f>IF(SER_hh_tes_in!O4=0,0,11630*1000*SER_hh_tes_in!O4/SER_hh_num_in!O4)</f>
        <v>80166.777569051017</v>
      </c>
      <c r="P4" s="130">
        <f>IF(SER_hh_tes_in!P4=0,0,11630*1000*SER_hh_tes_in!P4/SER_hh_num_in!P4)</f>
        <v>64302.183572292612</v>
      </c>
      <c r="Q4" s="130">
        <f>IF(SER_hh_tes_in!Q4=0,0,11630*1000*SER_hh_tes_in!Q4/SER_hh_num_in!Q4)</f>
        <v>68174.912288045438</v>
      </c>
      <c r="R4" s="130">
        <f>IF(SER_hh_tes_in!R4=0,0,11630*1000*SER_hh_tes_in!R4/SER_hh_num_in!R4)</f>
        <v>65035.725937835508</v>
      </c>
      <c r="S4" s="130">
        <f>IF(SER_hh_tes_in!S4=0,0,11630*1000*SER_hh_tes_in!S4/SER_hh_num_in!S4)</f>
        <v>60503.307915559642</v>
      </c>
      <c r="T4" s="130">
        <f>IF(SER_hh_tes_in!T4=0,0,11630*1000*SER_hh_tes_in!T4/SER_hh_num_in!T4)</f>
        <v>55668.402224145982</v>
      </c>
      <c r="U4" s="130">
        <f>IF(SER_hh_tes_in!U4=0,0,11630*1000*SER_hh_tes_in!U4/SER_hh_num_in!U4)</f>
        <v>50657.962304084373</v>
      </c>
      <c r="V4" s="130">
        <f>IF(SER_hh_tes_in!V4=0,0,11630*1000*SER_hh_tes_in!V4/SER_hh_num_in!V4)</f>
        <v>46757.611585998893</v>
      </c>
      <c r="W4" s="130">
        <f>IF(SER_hh_tes_in!W4=0,0,11630*1000*SER_hh_tes_in!W4/SER_hh_num_in!W4)</f>
        <v>38809.685057259449</v>
      </c>
      <c r="X4" s="130">
        <f>IF(SER_hh_tes_in!X4=0,0,11630*1000*SER_hh_tes_in!X4/SER_hh_num_in!X4)</f>
        <v>34812.126969625999</v>
      </c>
      <c r="Y4" s="130">
        <f>IF(SER_hh_tes_in!Y4=0,0,11630*1000*SER_hh_tes_in!Y4/SER_hh_num_in!Y4)</f>
        <v>27269.607817728316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0</v>
      </c>
      <c r="D5" s="132">
        <f>IF(SER_hh_tes_in!D5=0,0,11630*1000*SER_hh_tes_in!D5/SER_hh_num_in!D5)</f>
        <v>0</v>
      </c>
      <c r="E5" s="132">
        <f>IF(SER_hh_tes_in!E5=0,0,11630*1000*SER_hh_tes_in!E5/SER_hh_num_in!E5)</f>
        <v>0</v>
      </c>
      <c r="F5" s="132">
        <f>IF(SER_hh_tes_in!F5=0,0,11630*1000*SER_hh_tes_in!F5/SER_hh_num_in!F5)</f>
        <v>0</v>
      </c>
      <c r="G5" s="132">
        <f>IF(SER_hh_tes_in!G5=0,0,11630*1000*SER_hh_tes_in!G5/SER_hh_num_in!G5)</f>
        <v>0</v>
      </c>
      <c r="H5" s="132">
        <f>IF(SER_hh_tes_in!H5=0,0,11630*1000*SER_hh_tes_in!H5/SER_hh_num_in!H5)</f>
        <v>0</v>
      </c>
      <c r="I5" s="132">
        <f>IF(SER_hh_tes_in!I5=0,0,11630*1000*SER_hh_tes_in!I5/SER_hh_num_in!I5)</f>
        <v>0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136573.96873597044</v>
      </c>
      <c r="N5" s="132">
        <f>IF(SER_hh_tes_in!N5=0,0,11630*1000*SER_hh_tes_in!N5/SER_hh_num_in!N5)</f>
        <v>40608.921585888129</v>
      </c>
      <c r="O5" s="132">
        <f>IF(SER_hh_tes_in!O5=0,0,11630*1000*SER_hh_tes_in!O5/SER_hh_num_in!O5)</f>
        <v>89854.124585954312</v>
      </c>
      <c r="P5" s="132">
        <f>IF(SER_hh_tes_in!P5=0,0,11630*1000*SER_hh_tes_in!P5/SER_hh_num_in!P5)</f>
        <v>67658.749183120031</v>
      </c>
      <c r="Q5" s="132">
        <f>IF(SER_hh_tes_in!Q5=0,0,11630*1000*SER_hh_tes_in!Q5/SER_hh_num_in!Q5)</f>
        <v>75487.191411806518</v>
      </c>
      <c r="R5" s="132">
        <f>IF(SER_hh_tes_in!R5=0,0,11630*1000*SER_hh_tes_in!R5/SER_hh_num_in!R5)</f>
        <v>0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0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0</v>
      </c>
      <c r="D7" s="132">
        <f>IF(SER_hh_tes_in!D7=0,0,11630*1000*SER_hh_tes_in!D7/SER_hh_num_in!D7)</f>
        <v>0</v>
      </c>
      <c r="E7" s="132">
        <f>IF(SER_hh_tes_in!E7=0,0,11630*1000*SER_hh_tes_in!E7/SER_hh_num_in!E7)</f>
        <v>0</v>
      </c>
      <c r="F7" s="132">
        <f>IF(SER_hh_tes_in!F7=0,0,11630*1000*SER_hh_tes_in!F7/SER_hh_num_in!F7)</f>
        <v>0</v>
      </c>
      <c r="G7" s="132">
        <f>IF(SER_hh_tes_in!G7=0,0,11630*1000*SER_hh_tes_in!G7/SER_hh_num_in!G7)</f>
        <v>0</v>
      </c>
      <c r="H7" s="132">
        <f>IF(SER_hh_tes_in!H7=0,0,11630*1000*SER_hh_tes_in!H7/SER_hh_num_in!H7)</f>
        <v>0</v>
      </c>
      <c r="I7" s="132">
        <f>IF(SER_hh_tes_in!I7=0,0,11630*1000*SER_hh_tes_in!I7/SER_hh_num_in!I7)</f>
        <v>0</v>
      </c>
      <c r="J7" s="132">
        <f>IF(SER_hh_tes_in!J7=0,0,11630*1000*SER_hh_tes_in!J7/SER_hh_num_in!J7)</f>
        <v>0</v>
      </c>
      <c r="K7" s="132">
        <f>IF(SER_hh_tes_in!K7=0,0,11630*1000*SER_hh_tes_in!K7/SER_hh_num_in!K7)</f>
        <v>0</v>
      </c>
      <c r="L7" s="132">
        <f>IF(SER_hh_tes_in!L7=0,0,11630*1000*SER_hh_tes_in!L7/SER_hh_num_in!L7)</f>
        <v>0</v>
      </c>
      <c r="M7" s="132">
        <f>IF(SER_hh_tes_in!M7=0,0,11630*1000*SER_hh_tes_in!M7/SER_hh_num_in!M7)</f>
        <v>0</v>
      </c>
      <c r="N7" s="132">
        <f>IF(SER_hh_tes_in!N7=0,0,11630*1000*SER_hh_tes_in!N7/SER_hh_num_in!N7)</f>
        <v>120391.85620681829</v>
      </c>
      <c r="O7" s="132">
        <f>IF(SER_hh_tes_in!O7=0,0,11630*1000*SER_hh_tes_in!O7/SER_hh_num_in!O7)</f>
        <v>45737.679895853616</v>
      </c>
      <c r="P7" s="132">
        <f>IF(SER_hh_tes_in!P7=0,0,11630*1000*SER_hh_tes_in!P7/SER_hh_num_in!P7)</f>
        <v>60954.506284685303</v>
      </c>
      <c r="Q7" s="132">
        <f>IF(SER_hh_tes_in!Q7=0,0,11630*1000*SER_hh_tes_in!Q7/SER_hh_num_in!Q7)</f>
        <v>73987.253956660861</v>
      </c>
      <c r="R7" s="132">
        <f>IF(SER_hh_tes_in!R7=0,0,11630*1000*SER_hh_tes_in!R7/SER_hh_num_in!R7)</f>
        <v>72420.182210825413</v>
      </c>
      <c r="S7" s="132">
        <f>IF(SER_hh_tes_in!S7=0,0,11630*1000*SER_hh_tes_in!S7/SER_hh_num_in!S7)</f>
        <v>58329.67170151035</v>
      </c>
      <c r="T7" s="132">
        <f>IF(SER_hh_tes_in!T7=0,0,11630*1000*SER_hh_tes_in!T7/SER_hh_num_in!T7)</f>
        <v>59399.581072954432</v>
      </c>
      <c r="U7" s="132">
        <f>IF(SER_hh_tes_in!U7=0,0,11630*1000*SER_hh_tes_in!U7/SER_hh_num_in!U7)</f>
        <v>48310.158460024119</v>
      </c>
      <c r="V7" s="132">
        <f>IF(SER_hh_tes_in!V7=0,0,11630*1000*SER_hh_tes_in!V7/SER_hh_num_in!V7)</f>
        <v>44891.047626003921</v>
      </c>
      <c r="W7" s="132">
        <f>IF(SER_hh_tes_in!W7=0,0,11630*1000*SER_hh_tes_in!W7/SER_hh_num_in!W7)</f>
        <v>46197.577805164314</v>
      </c>
      <c r="X7" s="132">
        <f>IF(SER_hh_tes_in!X7=0,0,11630*1000*SER_hh_tes_in!X7/SER_hh_num_in!X7)</f>
        <v>29524.0404699914</v>
      </c>
      <c r="Y7" s="132">
        <f>IF(SER_hh_tes_in!Y7=0,0,11630*1000*SER_hh_tes_in!Y7/SER_hh_num_in!Y7)</f>
        <v>26726.619979269533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0</v>
      </c>
      <c r="D8" s="132">
        <f>IF(SER_hh_tes_in!D8=0,0,11630*1000*SER_hh_tes_in!D8/SER_hh_num_in!D8)</f>
        <v>0</v>
      </c>
      <c r="E8" s="132">
        <f>IF(SER_hh_tes_in!E8=0,0,11630*1000*SER_hh_tes_in!E8/SER_hh_num_in!E8)</f>
        <v>0</v>
      </c>
      <c r="F8" s="132">
        <f>IF(SER_hh_tes_in!F8=0,0,11630*1000*SER_hh_tes_in!F8/SER_hh_num_in!F8)</f>
        <v>0</v>
      </c>
      <c r="G8" s="132">
        <f>IF(SER_hh_tes_in!G8=0,0,11630*1000*SER_hh_tes_in!G8/SER_hh_num_in!G8)</f>
        <v>0</v>
      </c>
      <c r="H8" s="132">
        <f>IF(SER_hh_tes_in!H8=0,0,11630*1000*SER_hh_tes_in!H8/SER_hh_num_in!H8)</f>
        <v>0</v>
      </c>
      <c r="I8" s="132">
        <f>IF(SER_hh_tes_in!I8=0,0,11630*1000*SER_hh_tes_in!I8/SER_hh_num_in!I8)</f>
        <v>0</v>
      </c>
      <c r="J8" s="132">
        <f>IF(SER_hh_tes_in!J8=0,0,11630*1000*SER_hh_tes_in!J8/SER_hh_num_in!J8)</f>
        <v>0</v>
      </c>
      <c r="K8" s="132">
        <f>IF(SER_hh_tes_in!K8=0,0,11630*1000*SER_hh_tes_in!K8/SER_hh_num_in!K8)</f>
        <v>0</v>
      </c>
      <c r="L8" s="132">
        <f>IF(SER_hh_tes_in!L8=0,0,11630*1000*SER_hh_tes_in!L8/SER_hh_num_in!L8)</f>
        <v>0</v>
      </c>
      <c r="M8" s="132">
        <f>IF(SER_hh_tes_in!M8=0,0,11630*1000*SER_hh_tes_in!M8/SER_hh_num_in!M8)</f>
        <v>0</v>
      </c>
      <c r="N8" s="132">
        <f>IF(SER_hh_tes_in!N8=0,0,11630*1000*SER_hh_tes_in!N8/SER_hh_num_in!N8)</f>
        <v>0</v>
      </c>
      <c r="O8" s="132">
        <f>IF(SER_hh_tes_in!O8=0,0,11630*1000*SER_hh_tes_in!O8/SER_hh_num_in!O8)</f>
        <v>0</v>
      </c>
      <c r="P8" s="132">
        <f>IF(SER_hh_tes_in!P8=0,0,11630*1000*SER_hh_tes_in!P8/SER_hh_num_in!P8)</f>
        <v>0</v>
      </c>
      <c r="Q8" s="132">
        <f>IF(SER_hh_tes_in!Q8=0,0,11630*1000*SER_hh_tes_in!Q8/SER_hh_num_in!Q8)</f>
        <v>0</v>
      </c>
      <c r="R8" s="132">
        <f>IF(SER_hh_tes_in!R8=0,0,11630*1000*SER_hh_tes_in!R8/SER_hh_num_in!R8)</f>
        <v>20351.423054356124</v>
      </c>
      <c r="S8" s="132">
        <f>IF(SER_hh_tes_in!S8=0,0,11630*1000*SER_hh_tes_in!S8/SER_hh_num_in!S8)</f>
        <v>47271.166992666396</v>
      </c>
      <c r="T8" s="132">
        <f>IF(SER_hh_tes_in!T8=0,0,11630*1000*SER_hh_tes_in!T8/SER_hh_num_in!T8)</f>
        <v>60062.592080501221</v>
      </c>
      <c r="U8" s="132">
        <f>IF(SER_hh_tes_in!U8=0,0,11630*1000*SER_hh_tes_in!U8/SER_hh_num_in!U8)</f>
        <v>48031.181607052844</v>
      </c>
      <c r="V8" s="132">
        <f>IF(SER_hh_tes_in!V8=0,0,11630*1000*SER_hh_tes_in!V8/SER_hh_num_in!V8)</f>
        <v>59995.779659123567</v>
      </c>
      <c r="W8" s="132">
        <f>IF(SER_hh_tes_in!W8=0,0,11630*1000*SER_hh_tes_in!W8/SER_hh_num_in!W8)</f>
        <v>37010.298341593596</v>
      </c>
      <c r="X8" s="132">
        <f>IF(SER_hh_tes_in!X8=0,0,11630*1000*SER_hh_tes_in!X8/SER_hh_num_in!X8)</f>
        <v>33049.699314902202</v>
      </c>
      <c r="Y8" s="132">
        <f>IF(SER_hh_tes_in!Y8=0,0,11630*1000*SER_hh_tes_in!Y8/SER_hh_num_in!Y8)</f>
        <v>30086.821850595818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174293.43096265852</v>
      </c>
      <c r="D9" s="132">
        <f>IF(SER_hh_tes_in!D9=0,0,11630*1000*SER_hh_tes_in!D9/SER_hh_num_in!D9)</f>
        <v>150526.77974562551</v>
      </c>
      <c r="E9" s="132">
        <f>IF(SER_hh_tes_in!E9=0,0,11630*1000*SER_hh_tes_in!E9/SER_hh_num_in!E9)</f>
        <v>147980.42403309591</v>
      </c>
      <c r="F9" s="132">
        <f>IF(SER_hh_tes_in!F9=0,0,11630*1000*SER_hh_tes_in!F9/SER_hh_num_in!F9)</f>
        <v>181540.04875398753</v>
      </c>
      <c r="G9" s="132">
        <f>IF(SER_hh_tes_in!G9=0,0,11630*1000*SER_hh_tes_in!G9/SER_hh_num_in!G9)</f>
        <v>169123.68950922159</v>
      </c>
      <c r="H9" s="132">
        <f>IF(SER_hh_tes_in!H9=0,0,11630*1000*SER_hh_tes_in!H9/SER_hh_num_in!H9)</f>
        <v>145921.06844608471</v>
      </c>
      <c r="I9" s="132">
        <f>IF(SER_hh_tes_in!I9=0,0,11630*1000*SER_hh_tes_in!I9/SER_hh_num_in!I9)</f>
        <v>112674.0409717333</v>
      </c>
      <c r="J9" s="132">
        <f>IF(SER_hh_tes_in!J9=0,0,11630*1000*SER_hh_tes_in!J9/SER_hh_num_in!J9)</f>
        <v>108713.31649541335</v>
      </c>
      <c r="K9" s="132">
        <f>IF(SER_hh_tes_in!K9=0,0,11630*1000*SER_hh_tes_in!K9/SER_hh_num_in!K9)</f>
        <v>120046.45769030436</v>
      </c>
      <c r="L9" s="132">
        <f>IF(SER_hh_tes_in!L9=0,0,11630*1000*SER_hh_tes_in!L9/SER_hh_num_in!L9)</f>
        <v>126627.4179093108</v>
      </c>
      <c r="M9" s="132">
        <f>IF(SER_hh_tes_in!M9=0,0,11630*1000*SER_hh_tes_in!M9/SER_hh_num_in!M9)</f>
        <v>118885.44210903667</v>
      </c>
      <c r="N9" s="132">
        <f>IF(SER_hh_tes_in!N9=0,0,11630*1000*SER_hh_tes_in!N9/SER_hh_num_in!N9)</f>
        <v>83407.325654678483</v>
      </c>
      <c r="O9" s="132">
        <f>IF(SER_hh_tes_in!O9=0,0,11630*1000*SER_hh_tes_in!O9/SER_hh_num_in!O9)</f>
        <v>79956.654614926272</v>
      </c>
      <c r="P9" s="132">
        <f>IF(SER_hh_tes_in!P9=0,0,11630*1000*SER_hh_tes_in!P9/SER_hh_num_in!P9)</f>
        <v>63981.425160552324</v>
      </c>
      <c r="Q9" s="132">
        <f>IF(SER_hh_tes_in!Q9=0,0,11630*1000*SER_hh_tes_in!Q9/SER_hh_num_in!Q9)</f>
        <v>65569.489192144014</v>
      </c>
      <c r="R9" s="132">
        <f>IF(SER_hh_tes_in!R9=0,0,11630*1000*SER_hh_tes_in!R9/SER_hh_num_in!R9)</f>
        <v>63163.978263768979</v>
      </c>
      <c r="S9" s="132">
        <f>IF(SER_hh_tes_in!S9=0,0,11630*1000*SER_hh_tes_in!S9/SER_hh_num_in!S9)</f>
        <v>59159.105713253921</v>
      </c>
      <c r="T9" s="132">
        <f>IF(SER_hh_tes_in!T9=0,0,11630*1000*SER_hh_tes_in!T9/SER_hh_num_in!T9)</f>
        <v>53314.517681785488</v>
      </c>
      <c r="U9" s="132">
        <f>IF(SER_hh_tes_in!U9=0,0,11630*1000*SER_hh_tes_in!U9/SER_hh_num_in!U9)</f>
        <v>48712.716469262494</v>
      </c>
      <c r="V9" s="132">
        <f>IF(SER_hh_tes_in!V9=0,0,11630*1000*SER_hh_tes_in!V9/SER_hh_num_in!V9)</f>
        <v>47007.462471847241</v>
      </c>
      <c r="W9" s="132">
        <f>IF(SER_hh_tes_in!W9=0,0,11630*1000*SER_hh_tes_in!W9/SER_hh_num_in!W9)</f>
        <v>42893.381933862162</v>
      </c>
      <c r="X9" s="132">
        <f>IF(SER_hh_tes_in!X9=0,0,11630*1000*SER_hh_tes_in!X9/SER_hh_num_in!X9)</f>
        <v>31984.569672178546</v>
      </c>
      <c r="Y9" s="132">
        <f>IF(SER_hh_tes_in!Y9=0,0,11630*1000*SER_hh_tes_in!Y9/SER_hh_num_in!Y9)</f>
        <v>24856.566501075667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149158.69632355767</v>
      </c>
      <c r="D10" s="132">
        <f>IF(SER_hh_tes_in!D10=0,0,11630*1000*SER_hh_tes_in!D10/SER_hh_num_in!D10)</f>
        <v>158901.55721421624</v>
      </c>
      <c r="E10" s="132">
        <f>IF(SER_hh_tes_in!E10=0,0,11630*1000*SER_hh_tes_in!E10/SER_hh_num_in!E10)</f>
        <v>190748.04140821061</v>
      </c>
      <c r="F10" s="132">
        <f>IF(SER_hh_tes_in!F10=0,0,11630*1000*SER_hh_tes_in!F10/SER_hh_num_in!F10)</f>
        <v>181820.91124452412</v>
      </c>
      <c r="G10" s="132">
        <f>IF(SER_hh_tes_in!G10=0,0,11630*1000*SER_hh_tes_in!G10/SER_hh_num_in!G10)</f>
        <v>0</v>
      </c>
      <c r="H10" s="132">
        <f>IF(SER_hh_tes_in!H10=0,0,11630*1000*SER_hh_tes_in!H10/SER_hh_num_in!H10)</f>
        <v>0</v>
      </c>
      <c r="I10" s="132">
        <f>IF(SER_hh_tes_in!I10=0,0,11630*1000*SER_hh_tes_in!I10/SER_hh_num_in!I10)</f>
        <v>121189.91106088544</v>
      </c>
      <c r="J10" s="132">
        <f>IF(SER_hh_tes_in!J10=0,0,11630*1000*SER_hh_tes_in!J10/SER_hh_num_in!J10)</f>
        <v>116274.56108302575</v>
      </c>
      <c r="K10" s="132">
        <f>IF(SER_hh_tes_in!K10=0,0,11630*1000*SER_hh_tes_in!K10/SER_hh_num_in!K10)</f>
        <v>122224.92195786074</v>
      </c>
      <c r="L10" s="132">
        <f>IF(SER_hh_tes_in!L10=0,0,11630*1000*SER_hh_tes_in!L10/SER_hh_num_in!L10)</f>
        <v>122654.2046387343</v>
      </c>
      <c r="M10" s="132">
        <f>IF(SER_hh_tes_in!M10=0,0,11630*1000*SER_hh_tes_in!M10/SER_hh_num_in!M10)</f>
        <v>112589.66259670231</v>
      </c>
      <c r="N10" s="132">
        <f>IF(SER_hh_tes_in!N10=0,0,11630*1000*SER_hh_tes_in!N10/SER_hh_num_in!N10)</f>
        <v>90210.626784651657</v>
      </c>
      <c r="O10" s="132">
        <f>IF(SER_hh_tes_in!O10=0,0,11630*1000*SER_hh_tes_in!O10/SER_hh_num_in!O10)</f>
        <v>79146.070845910421</v>
      </c>
      <c r="P10" s="132">
        <f>IF(SER_hh_tes_in!P10=0,0,11630*1000*SER_hh_tes_in!P10/SER_hh_num_in!P10)</f>
        <v>61800.344178573127</v>
      </c>
      <c r="Q10" s="132">
        <f>IF(SER_hh_tes_in!Q10=0,0,11630*1000*SER_hh_tes_in!Q10/SER_hh_num_in!Q10)</f>
        <v>71640.150766866485</v>
      </c>
      <c r="R10" s="132">
        <f>IF(SER_hh_tes_in!R10=0,0,11630*1000*SER_hh_tes_in!R10/SER_hh_num_in!R10)</f>
        <v>61119.449174747933</v>
      </c>
      <c r="S10" s="132">
        <f>IF(SER_hh_tes_in!S10=0,0,11630*1000*SER_hh_tes_in!S10/SER_hh_num_in!S10)</f>
        <v>59337.380215618963</v>
      </c>
      <c r="T10" s="132">
        <f>IF(SER_hh_tes_in!T10=0,0,11630*1000*SER_hh_tes_in!T10/SER_hh_num_in!T10)</f>
        <v>52253.061836492983</v>
      </c>
      <c r="U10" s="132">
        <f>IF(SER_hh_tes_in!U10=0,0,11630*1000*SER_hh_tes_in!U10/SER_hh_num_in!U10)</f>
        <v>54126.529848525672</v>
      </c>
      <c r="V10" s="132">
        <f>IF(SER_hh_tes_in!V10=0,0,11630*1000*SER_hh_tes_in!V10/SER_hh_num_in!V10)</f>
        <v>0</v>
      </c>
      <c r="W10" s="132">
        <f>IF(SER_hh_tes_in!W10=0,0,11630*1000*SER_hh_tes_in!W10/SER_hh_num_in!W10)</f>
        <v>33224.012454075004</v>
      </c>
      <c r="X10" s="132">
        <f>IF(SER_hh_tes_in!X10=0,0,11630*1000*SER_hh_tes_in!X10/SER_hh_num_in!X10)</f>
        <v>30998.643880247604</v>
      </c>
      <c r="Y10" s="132">
        <f>IF(SER_hh_tes_in!Y10=0,0,11630*1000*SER_hh_tes_in!Y10/SER_hh_num_in!Y10)</f>
        <v>28573.88684065159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168317.59049634324</v>
      </c>
      <c r="D11" s="132">
        <f>IF(SER_hh_tes_in!D11=0,0,11630*1000*SER_hh_tes_in!D11/SER_hh_num_in!D11)</f>
        <v>163683.85045848216</v>
      </c>
      <c r="E11" s="132">
        <f>IF(SER_hh_tes_in!E11=0,0,11630*1000*SER_hh_tes_in!E11/SER_hh_num_in!E11)</f>
        <v>166088.80781272109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151811.94937678697</v>
      </c>
      <c r="H11" s="132">
        <f>IF(SER_hh_tes_in!H11=0,0,11630*1000*SER_hh_tes_in!H11/SER_hh_num_in!H11)</f>
        <v>138637.01922971837</v>
      </c>
      <c r="I11" s="132">
        <f>IF(SER_hh_tes_in!I11=0,0,11630*1000*SER_hh_tes_in!I11/SER_hh_num_in!I11)</f>
        <v>121810.45322499532</v>
      </c>
      <c r="J11" s="132">
        <f>IF(SER_hh_tes_in!J11=0,0,11630*1000*SER_hh_tes_in!J11/SER_hh_num_in!J11)</f>
        <v>125357.31784082785</v>
      </c>
      <c r="K11" s="132">
        <f>IF(SER_hh_tes_in!K11=0,0,11630*1000*SER_hh_tes_in!K11/SER_hh_num_in!K11)</f>
        <v>124677.76505425203</v>
      </c>
      <c r="L11" s="132">
        <f>IF(SER_hh_tes_in!L11=0,0,11630*1000*SER_hh_tes_in!L11/SER_hh_num_in!L11)</f>
        <v>118385.28510848677</v>
      </c>
      <c r="M11" s="132">
        <f>IF(SER_hh_tes_in!M11=0,0,11630*1000*SER_hh_tes_in!M11/SER_hh_num_in!M11)</f>
        <v>114310.31535547736</v>
      </c>
      <c r="N11" s="132">
        <f>IF(SER_hh_tes_in!N11=0,0,11630*1000*SER_hh_tes_in!N11/SER_hh_num_in!N11)</f>
        <v>106391.38334251831</v>
      </c>
      <c r="O11" s="132">
        <f>IF(SER_hh_tes_in!O11=0,0,11630*1000*SER_hh_tes_in!O11/SER_hh_num_in!O11)</f>
        <v>109737.20633695491</v>
      </c>
      <c r="P11" s="132">
        <f>IF(SER_hh_tes_in!P11=0,0,11630*1000*SER_hh_tes_in!P11/SER_hh_num_in!P11)</f>
        <v>0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63343.755327267267</v>
      </c>
      <c r="T11" s="132">
        <f>IF(SER_hh_tes_in!T11=0,0,11630*1000*SER_hh_tes_in!T11/SER_hh_num_in!T11)</f>
        <v>54205.101160931634</v>
      </c>
      <c r="U11" s="132">
        <f>IF(SER_hh_tes_in!U11=0,0,11630*1000*SER_hh_tes_in!U11/SER_hh_num_in!U11)</f>
        <v>51499.564430427898</v>
      </c>
      <c r="V11" s="132">
        <f>IF(SER_hh_tes_in!V11=0,0,11630*1000*SER_hh_tes_in!V11/SER_hh_num_in!V11)</f>
        <v>40537.805706922431</v>
      </c>
      <c r="W11" s="132">
        <f>IF(SER_hh_tes_in!W11=0,0,11630*1000*SER_hh_tes_in!W11/SER_hh_num_in!W11)</f>
        <v>38413.211274905101</v>
      </c>
      <c r="X11" s="132">
        <f>IF(SER_hh_tes_in!X11=0,0,11630*1000*SER_hh_tes_in!X11/SER_hh_num_in!X11)</f>
        <v>31864.331673060657</v>
      </c>
      <c r="Y11" s="132">
        <f>IF(SER_hh_tes_in!Y11=0,0,11630*1000*SER_hh_tes_in!Y11/SER_hh_num_in!Y11)</f>
        <v>29600.843322484347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183967.56384185542</v>
      </c>
      <c r="D12" s="132">
        <f>IF(SER_hh_tes_in!D12=0,0,11630*1000*SER_hh_tes_in!D12/SER_hh_num_in!D12)</f>
        <v>153649.90813598339</v>
      </c>
      <c r="E12" s="132">
        <f>IF(SER_hh_tes_in!E12=0,0,11630*1000*SER_hh_tes_in!E12/SER_hh_num_in!E12)</f>
        <v>168278.46308333339</v>
      </c>
      <c r="F12" s="132">
        <f>IF(SER_hh_tes_in!F12=0,0,11630*1000*SER_hh_tes_in!F12/SER_hh_num_in!F12)</f>
        <v>0</v>
      </c>
      <c r="G12" s="132">
        <f>IF(SER_hh_tes_in!G12=0,0,11630*1000*SER_hh_tes_in!G12/SER_hh_num_in!G12)</f>
        <v>165684.91838507311</v>
      </c>
      <c r="H12" s="132">
        <f>IF(SER_hh_tes_in!H12=0,0,11630*1000*SER_hh_tes_in!H12/SER_hh_num_in!H12)</f>
        <v>131620.82513038634</v>
      </c>
      <c r="I12" s="132">
        <f>IF(SER_hh_tes_in!I12=0,0,11630*1000*SER_hh_tes_in!I12/SER_hh_num_in!I12)</f>
        <v>123123.22744903152</v>
      </c>
      <c r="J12" s="132">
        <f>IF(SER_hh_tes_in!J12=0,0,11630*1000*SER_hh_tes_in!J12/SER_hh_num_in!J12)</f>
        <v>130385.54930540005</v>
      </c>
      <c r="K12" s="132">
        <f>IF(SER_hh_tes_in!K12=0,0,11630*1000*SER_hh_tes_in!K12/SER_hh_num_in!K12)</f>
        <v>122223.69562170614</v>
      </c>
      <c r="L12" s="132">
        <f>IF(SER_hh_tes_in!L12=0,0,11630*1000*SER_hh_tes_in!L12/SER_hh_num_in!L12)</f>
        <v>126510.63571271404</v>
      </c>
      <c r="M12" s="132">
        <f>IF(SER_hh_tes_in!M12=0,0,11630*1000*SER_hh_tes_in!M12/SER_hh_num_in!M12)</f>
        <v>121934.39525748322</v>
      </c>
      <c r="N12" s="132">
        <f>IF(SER_hh_tes_in!N12=0,0,11630*1000*SER_hh_tes_in!N12/SER_hh_num_in!N12)</f>
        <v>81765.963347842466</v>
      </c>
      <c r="O12" s="132">
        <f>IF(SER_hh_tes_in!O12=0,0,11630*1000*SER_hh_tes_in!O12/SER_hh_num_in!O12)</f>
        <v>74208.067234967748</v>
      </c>
      <c r="P12" s="132">
        <f>IF(SER_hh_tes_in!P12=0,0,11630*1000*SER_hh_tes_in!P12/SER_hh_num_in!P12)</f>
        <v>61519.798003981377</v>
      </c>
      <c r="Q12" s="132">
        <f>IF(SER_hh_tes_in!Q12=0,0,11630*1000*SER_hh_tes_in!Q12/SER_hh_num_in!Q12)</f>
        <v>68102.370187943292</v>
      </c>
      <c r="R12" s="132">
        <f>IF(SER_hh_tes_in!R12=0,0,11630*1000*SER_hh_tes_in!R12/SER_hh_num_in!R12)</f>
        <v>67114.79601517049</v>
      </c>
      <c r="S12" s="132">
        <f>IF(SER_hh_tes_in!S12=0,0,11630*1000*SER_hh_tes_in!S12/SER_hh_num_in!S12)</f>
        <v>62407.000184142111</v>
      </c>
      <c r="T12" s="132">
        <f>IF(SER_hh_tes_in!T12=0,0,11630*1000*SER_hh_tes_in!T12/SER_hh_num_in!T12)</f>
        <v>55385.024777411483</v>
      </c>
      <c r="U12" s="132">
        <f>IF(SER_hh_tes_in!U12=0,0,11630*1000*SER_hh_tes_in!U12/SER_hh_num_in!U12)</f>
        <v>49861.934431536807</v>
      </c>
      <c r="V12" s="132">
        <f>IF(SER_hh_tes_in!V12=0,0,11630*1000*SER_hh_tes_in!V12/SER_hh_num_in!V12)</f>
        <v>46497.875896249934</v>
      </c>
      <c r="W12" s="132">
        <f>IF(SER_hh_tes_in!W12=0,0,11630*1000*SER_hh_tes_in!W12/SER_hh_num_in!W12)</f>
        <v>42331.241802944583</v>
      </c>
      <c r="X12" s="132">
        <f>IF(SER_hh_tes_in!X12=0,0,11630*1000*SER_hh_tes_in!X12/SER_hh_num_in!X12)</f>
        <v>33591.859846571744</v>
      </c>
      <c r="Y12" s="132">
        <f>IF(SER_hh_tes_in!Y12=0,0,11630*1000*SER_hh_tes_in!Y12/SER_hh_num_in!Y12)</f>
        <v>25808.720891203651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173305.16816364002</v>
      </c>
      <c r="D13" s="132">
        <f>IF(SER_hh_tes_in!D13=0,0,11630*1000*SER_hh_tes_in!D13/SER_hh_num_in!D13)</f>
        <v>149831.96090727401</v>
      </c>
      <c r="E13" s="132">
        <f>IF(SER_hh_tes_in!E13=0,0,11630*1000*SER_hh_tes_in!E13/SER_hh_num_in!E13)</f>
        <v>116500.54386629563</v>
      </c>
      <c r="F13" s="132">
        <f>IF(SER_hh_tes_in!F13=0,0,11630*1000*SER_hh_tes_in!F13/SER_hh_num_in!F13)</f>
        <v>132805.15857073877</v>
      </c>
      <c r="G13" s="132">
        <f>IF(SER_hh_tes_in!G13=0,0,11630*1000*SER_hh_tes_in!G13/SER_hh_num_in!G13)</f>
        <v>135130.97474493124</v>
      </c>
      <c r="H13" s="132">
        <f>IF(SER_hh_tes_in!H13=0,0,11630*1000*SER_hh_tes_in!H13/SER_hh_num_in!H13)</f>
        <v>121132.74056723666</v>
      </c>
      <c r="I13" s="132">
        <f>IF(SER_hh_tes_in!I13=0,0,11630*1000*SER_hh_tes_in!I13/SER_hh_num_in!I13)</f>
        <v>136181.98872395206</v>
      </c>
      <c r="J13" s="132">
        <f>IF(SER_hh_tes_in!J13=0,0,11630*1000*SER_hh_tes_in!J13/SER_hh_num_in!J13)</f>
        <v>119032.12703176118</v>
      </c>
      <c r="K13" s="132">
        <f>IF(SER_hh_tes_in!K13=0,0,11630*1000*SER_hh_tes_in!K13/SER_hh_num_in!K13)</f>
        <v>127504.10532275081</v>
      </c>
      <c r="L13" s="132">
        <f>IF(SER_hh_tes_in!L13=0,0,11630*1000*SER_hh_tes_in!L13/SER_hh_num_in!L13)</f>
        <v>102801.56963597344</v>
      </c>
      <c r="M13" s="132">
        <f>IF(SER_hh_tes_in!M13=0,0,11630*1000*SER_hh_tes_in!M13/SER_hh_num_in!M13)</f>
        <v>75358.808217954997</v>
      </c>
      <c r="N13" s="132">
        <f>IF(SER_hh_tes_in!N13=0,0,11630*1000*SER_hh_tes_in!N13/SER_hh_num_in!N13)</f>
        <v>76672.91970483982</v>
      </c>
      <c r="O13" s="132">
        <f>IF(SER_hh_tes_in!O13=0,0,11630*1000*SER_hh_tes_in!O13/SER_hh_num_in!O13)</f>
        <v>76139.426035309181</v>
      </c>
      <c r="P13" s="132">
        <f>IF(SER_hh_tes_in!P13=0,0,11630*1000*SER_hh_tes_in!P13/SER_hh_num_in!P13)</f>
        <v>83499.949500924515</v>
      </c>
      <c r="Q13" s="132">
        <f>IF(SER_hh_tes_in!Q13=0,0,11630*1000*SER_hh_tes_in!Q13/SER_hh_num_in!Q13)</f>
        <v>63412.210082992744</v>
      </c>
      <c r="R13" s="132">
        <f>IF(SER_hh_tes_in!R13=0,0,11630*1000*SER_hh_tes_in!R13/SER_hh_num_in!R13)</f>
        <v>56497.47419992154</v>
      </c>
      <c r="S13" s="132">
        <f>IF(SER_hh_tes_in!S13=0,0,11630*1000*SER_hh_tes_in!S13/SER_hh_num_in!S13)</f>
        <v>52271.795592736773</v>
      </c>
      <c r="T13" s="132">
        <f>IF(SER_hh_tes_in!T13=0,0,11630*1000*SER_hh_tes_in!T13/SER_hh_num_in!T13)</f>
        <v>55390.534071954513</v>
      </c>
      <c r="U13" s="132">
        <f>IF(SER_hh_tes_in!U13=0,0,11630*1000*SER_hh_tes_in!U13/SER_hh_num_in!U13)</f>
        <v>47690.020209578979</v>
      </c>
      <c r="V13" s="132">
        <f>IF(SER_hh_tes_in!V13=0,0,11630*1000*SER_hh_tes_in!V13/SER_hh_num_in!V13)</f>
        <v>39669.68440595705</v>
      </c>
      <c r="W13" s="132">
        <f>IF(SER_hh_tes_in!W13=0,0,11630*1000*SER_hh_tes_in!W13/SER_hh_num_in!W13)</f>
        <v>13492.413585697459</v>
      </c>
      <c r="X13" s="132">
        <f>IF(SER_hh_tes_in!X13=0,0,11630*1000*SER_hh_tes_in!X13/SER_hh_num_in!X13)</f>
        <v>38897.928653446746</v>
      </c>
      <c r="Y13" s="132">
        <f>IF(SER_hh_tes_in!Y13=0,0,11630*1000*SER_hh_tes_in!Y13/SER_hh_num_in!Y13)</f>
        <v>30609.971015307648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177256.46173651947</v>
      </c>
      <c r="D14" s="65">
        <f>IF(SER_hh_tes_in!D14=0,0,11630*1000*SER_hh_tes_in!D14/SER_hh_num_in!D14)</f>
        <v>0</v>
      </c>
      <c r="E14" s="65">
        <f>IF(SER_hh_tes_in!E14=0,0,11630*1000*SER_hh_tes_in!E14/SER_hh_num_in!E14)</f>
        <v>132902.73208532357</v>
      </c>
      <c r="F14" s="65">
        <f>IF(SER_hh_tes_in!F14=0,0,11630*1000*SER_hh_tes_in!F14/SER_hh_num_in!F14)</f>
        <v>147221.66980418048</v>
      </c>
      <c r="G14" s="65">
        <f>IF(SER_hh_tes_in!G14=0,0,11630*1000*SER_hh_tes_in!G14/SER_hh_num_in!G14)</f>
        <v>162549.88917588897</v>
      </c>
      <c r="H14" s="65">
        <f>IF(SER_hh_tes_in!H14=0,0,11630*1000*SER_hh_tes_in!H14/SER_hh_num_in!H14)</f>
        <v>138815.58601176846</v>
      </c>
      <c r="I14" s="65">
        <f>IF(SER_hh_tes_in!I14=0,0,11630*1000*SER_hh_tes_in!I14/SER_hh_num_in!I14)</f>
        <v>132064.58379029226</v>
      </c>
      <c r="J14" s="65">
        <f>IF(SER_hh_tes_in!J14=0,0,11630*1000*SER_hh_tes_in!J14/SER_hh_num_in!J14)</f>
        <v>118826.65084395683</v>
      </c>
      <c r="K14" s="65">
        <f>IF(SER_hh_tes_in!K14=0,0,11630*1000*SER_hh_tes_in!K14/SER_hh_num_in!K14)</f>
        <v>129936.62349642364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64674.640481791277</v>
      </c>
      <c r="Q14" s="65">
        <f>IF(SER_hh_tes_in!Q14=0,0,11630*1000*SER_hh_tes_in!Q14/SER_hh_num_in!Q14)</f>
        <v>66906.61770146621</v>
      </c>
      <c r="R14" s="65">
        <f>IF(SER_hh_tes_in!R14=0,0,11630*1000*SER_hh_tes_in!R14/SER_hh_num_in!R14)</f>
        <v>62365.467164241709</v>
      </c>
      <c r="S14" s="65">
        <f>IF(SER_hh_tes_in!S14=0,0,11630*1000*SER_hh_tes_in!S14/SER_hh_num_in!S14)</f>
        <v>59875.521719734075</v>
      </c>
      <c r="T14" s="65">
        <f>IF(SER_hh_tes_in!T14=0,0,11630*1000*SER_hh_tes_in!T14/SER_hh_num_in!T14)</f>
        <v>58904.157946047613</v>
      </c>
      <c r="U14" s="65">
        <f>IF(SER_hh_tes_in!U14=0,0,11630*1000*SER_hh_tes_in!U14/SER_hh_num_in!U14)</f>
        <v>54837.554428247036</v>
      </c>
      <c r="V14" s="65">
        <f>IF(SER_hh_tes_in!V14=0,0,11630*1000*SER_hh_tes_in!V14/SER_hh_num_in!V14)</f>
        <v>46362.827644925746</v>
      </c>
      <c r="W14" s="65">
        <f>IF(SER_hh_tes_in!W14=0,0,11630*1000*SER_hh_tes_in!W14/SER_hh_num_in!W14)</f>
        <v>39206.264004171135</v>
      </c>
      <c r="X14" s="65">
        <f>IF(SER_hh_tes_in!X14=0,0,11630*1000*SER_hh_tes_in!X14/SER_hh_num_in!X14)</f>
        <v>37043.311023776419</v>
      </c>
      <c r="Y14" s="65">
        <f>IF(SER_hh_tes_in!Y14=0,0,11630*1000*SER_hh_tes_in!Y14/SER_hh_num_in!Y14)</f>
        <v>26053.608028041497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2917.8905457395767</v>
      </c>
      <c r="D15" s="134">
        <f>IF(SER_hh_tes_in!D15=0,0,11630*1000*SER_hh_tes_in!D15/SER_hh_num_in!D15)</f>
        <v>2676.071251793016</v>
      </c>
      <c r="E15" s="134">
        <f>IF(SER_hh_tes_in!E15=0,0,11630*1000*SER_hh_tes_in!E15/SER_hh_num_in!E15)</f>
        <v>2656.2298970912398</v>
      </c>
      <c r="F15" s="134">
        <f>IF(SER_hh_tes_in!F15=0,0,11630*1000*SER_hh_tes_in!F15/SER_hh_num_in!F15)</f>
        <v>3347.0476463322243</v>
      </c>
      <c r="G15" s="134">
        <f>IF(SER_hh_tes_in!G15=0,0,11630*1000*SER_hh_tes_in!G15/SER_hh_num_in!G15)</f>
        <v>2631.2443210082006</v>
      </c>
      <c r="H15" s="134">
        <f>IF(SER_hh_tes_in!H15=0,0,11630*1000*SER_hh_tes_in!H15/SER_hh_num_in!H15)</f>
        <v>1575.6000076340702</v>
      </c>
      <c r="I15" s="134">
        <f>IF(SER_hh_tes_in!I15=0,0,11630*1000*SER_hh_tes_in!I15/SER_hh_num_in!I15)</f>
        <v>978.09362533779188</v>
      </c>
      <c r="J15" s="134">
        <f>IF(SER_hh_tes_in!J15=0,0,11630*1000*SER_hh_tes_in!J15/SER_hh_num_in!J15)</f>
        <v>1005.6496814039026</v>
      </c>
      <c r="K15" s="134">
        <f>IF(SER_hh_tes_in!K15=0,0,11630*1000*SER_hh_tes_in!K15/SER_hh_num_in!K15)</f>
        <v>1757.8477126614857</v>
      </c>
      <c r="L15" s="134">
        <f>IF(SER_hh_tes_in!L15=0,0,11630*1000*SER_hh_tes_in!L15/SER_hh_num_in!L15)</f>
        <v>1960.7204280608269</v>
      </c>
      <c r="M15" s="134">
        <f>IF(SER_hh_tes_in!M15=0,0,11630*1000*SER_hh_tes_in!M15/SER_hh_num_in!M15)</f>
        <v>1819.0264380742512</v>
      </c>
      <c r="N15" s="134">
        <f>IF(SER_hh_tes_in!N15=0,0,11630*1000*SER_hh_tes_in!N15/SER_hh_num_in!N15)</f>
        <v>1259.8153953163826</v>
      </c>
      <c r="O15" s="134">
        <f>IF(SER_hh_tes_in!O15=0,0,11630*1000*SER_hh_tes_in!O15/SER_hh_num_in!O15)</f>
        <v>1133.6083500322279</v>
      </c>
      <c r="P15" s="134">
        <f>IF(SER_hh_tes_in!P15=0,0,11630*1000*SER_hh_tes_in!P15/SER_hh_num_in!P15)</f>
        <v>884.78087986571597</v>
      </c>
      <c r="Q15" s="134">
        <f>IF(SER_hh_tes_in!Q15=0,0,11630*1000*SER_hh_tes_in!Q15/SER_hh_num_in!Q15)</f>
        <v>680.515896633946</v>
      </c>
      <c r="R15" s="134">
        <f>IF(SER_hh_tes_in!R15=0,0,11630*1000*SER_hh_tes_in!R15/SER_hh_num_in!R15)</f>
        <v>749.47957735070167</v>
      </c>
      <c r="S15" s="134">
        <f>IF(SER_hh_tes_in!S15=0,0,11630*1000*SER_hh_tes_in!S15/SER_hh_num_in!S15)</f>
        <v>751.5510217661872</v>
      </c>
      <c r="T15" s="134">
        <f>IF(SER_hh_tes_in!T15=0,0,11630*1000*SER_hh_tes_in!T15/SER_hh_num_in!T15)</f>
        <v>743.6823724933181</v>
      </c>
      <c r="U15" s="134">
        <f>IF(SER_hh_tes_in!U15=0,0,11630*1000*SER_hh_tes_in!U15/SER_hh_num_in!U15)</f>
        <v>684.81669370159477</v>
      </c>
      <c r="V15" s="134">
        <f>IF(SER_hh_tes_in!V15=0,0,11630*1000*SER_hh_tes_in!V15/SER_hh_num_in!V15)</f>
        <v>642.61458699986349</v>
      </c>
      <c r="W15" s="134">
        <f>IF(SER_hh_tes_in!W15=0,0,11630*1000*SER_hh_tes_in!W15/SER_hh_num_in!W15)</f>
        <v>499.37670063788232</v>
      </c>
      <c r="X15" s="134">
        <f>IF(SER_hh_tes_in!X15=0,0,11630*1000*SER_hh_tes_in!X15/SER_hh_num_in!X15)</f>
        <v>313.43171727110115</v>
      </c>
      <c r="Y15" s="134">
        <f>IF(SER_hh_tes_in!Y15=0,0,11630*1000*SER_hh_tes_in!Y15/SER_hh_num_in!Y15)</f>
        <v>250.04055342139139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19828.574618714316</v>
      </c>
      <c r="D16" s="130">
        <f>IF(SER_hh_tes_in!D16=0,0,11630*1000*SER_hh_tes_in!D16/SER_hh_num_in!D16)</f>
        <v>20866.120298492791</v>
      </c>
      <c r="E16" s="130">
        <f>IF(SER_hh_tes_in!E16=0,0,11630*1000*SER_hh_tes_in!E16/SER_hh_num_in!E16)</f>
        <v>23835.369752248163</v>
      </c>
      <c r="F16" s="130">
        <f>IF(SER_hh_tes_in!F16=0,0,11630*1000*SER_hh_tes_in!F16/SER_hh_num_in!F16)</f>
        <v>18992.76438347514</v>
      </c>
      <c r="G16" s="130">
        <f>IF(SER_hh_tes_in!G16=0,0,11630*1000*SER_hh_tes_in!G16/SER_hh_num_in!G16)</f>
        <v>18928.17645026599</v>
      </c>
      <c r="H16" s="130">
        <f>IF(SER_hh_tes_in!H16=0,0,11630*1000*SER_hh_tes_in!H16/SER_hh_num_in!H16)</f>
        <v>20840.604544929061</v>
      </c>
      <c r="I16" s="130">
        <f>IF(SER_hh_tes_in!I16=0,0,11630*1000*SER_hh_tes_in!I16/SER_hh_num_in!I16)</f>
        <v>22658.816665238737</v>
      </c>
      <c r="J16" s="130">
        <f>IF(SER_hh_tes_in!J16=0,0,11630*1000*SER_hh_tes_in!J16/SER_hh_num_in!J16)</f>
        <v>19168.933669538721</v>
      </c>
      <c r="K16" s="130">
        <f>IF(SER_hh_tes_in!K16=0,0,11630*1000*SER_hh_tes_in!K16/SER_hh_num_in!K16)</f>
        <v>19086.107739626084</v>
      </c>
      <c r="L16" s="130">
        <f>IF(SER_hh_tes_in!L16=0,0,11630*1000*SER_hh_tes_in!L16/SER_hh_num_in!L16)</f>
        <v>19744.738963164851</v>
      </c>
      <c r="M16" s="130">
        <f>IF(SER_hh_tes_in!M16=0,0,11630*1000*SER_hh_tes_in!M16/SER_hh_num_in!M16)</f>
        <v>19219.984844803224</v>
      </c>
      <c r="N16" s="130">
        <f>IF(SER_hh_tes_in!N16=0,0,11630*1000*SER_hh_tes_in!N16/SER_hh_num_in!N16)</f>
        <v>24109.8258646822</v>
      </c>
      <c r="O16" s="130">
        <f>IF(SER_hh_tes_in!O16=0,0,11630*1000*SER_hh_tes_in!O16/SER_hh_num_in!O16)</f>
        <v>19620.903796912495</v>
      </c>
      <c r="P16" s="130">
        <f>IF(SER_hh_tes_in!P16=0,0,11630*1000*SER_hh_tes_in!P16/SER_hh_num_in!P16)</f>
        <v>17399.376539686324</v>
      </c>
      <c r="Q16" s="130">
        <f>IF(SER_hh_tes_in!Q16=0,0,11630*1000*SER_hh_tes_in!Q16/SER_hh_num_in!Q16)</f>
        <v>24707.650827406851</v>
      </c>
      <c r="R16" s="130">
        <f>IF(SER_hh_tes_in!R16=0,0,11630*1000*SER_hh_tes_in!R16/SER_hh_num_in!R16)</f>
        <v>16999.103048798817</v>
      </c>
      <c r="S16" s="130">
        <f>IF(SER_hh_tes_in!S16=0,0,11630*1000*SER_hh_tes_in!S16/SER_hh_num_in!S16)</f>
        <v>20081.562992030438</v>
      </c>
      <c r="T16" s="130">
        <f>IF(SER_hh_tes_in!T16=0,0,11630*1000*SER_hh_tes_in!T16/SER_hh_num_in!T16)</f>
        <v>18666.117885164145</v>
      </c>
      <c r="U16" s="130">
        <f>IF(SER_hh_tes_in!U16=0,0,11630*1000*SER_hh_tes_in!U16/SER_hh_num_in!U16)</f>
        <v>19350.89502919816</v>
      </c>
      <c r="V16" s="130">
        <f>IF(SER_hh_tes_in!V16=0,0,11630*1000*SER_hh_tes_in!V16/SER_hh_num_in!V16)</f>
        <v>15031.684479328485</v>
      </c>
      <c r="W16" s="130">
        <f>IF(SER_hh_tes_in!W16=0,0,11630*1000*SER_hh_tes_in!W16/SER_hh_num_in!W16)</f>
        <v>17397.25120369636</v>
      </c>
      <c r="X16" s="130">
        <f>IF(SER_hh_tes_in!X16=0,0,11630*1000*SER_hh_tes_in!X16/SER_hh_num_in!X16)</f>
        <v>17121.119077906467</v>
      </c>
      <c r="Y16" s="130">
        <f>IF(SER_hh_tes_in!Y16=0,0,11630*1000*SER_hh_tes_in!Y16/SER_hh_num_in!Y16)</f>
        <v>15486.942038693514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19839.144870845714</v>
      </c>
      <c r="D17" s="132">
        <f>IF(SER_hh_tes_in!D17=0,0,11630*1000*SER_hh_tes_in!D17/SER_hh_num_in!D17)</f>
        <v>20898.065023700328</v>
      </c>
      <c r="E17" s="132">
        <f>IF(SER_hh_tes_in!E17=0,0,11630*1000*SER_hh_tes_in!E17/SER_hh_num_in!E17)</f>
        <v>23887.153132897914</v>
      </c>
      <c r="F17" s="132">
        <f>IF(SER_hh_tes_in!F17=0,0,11630*1000*SER_hh_tes_in!F17/SER_hh_num_in!F17)</f>
        <v>18997.651921490273</v>
      </c>
      <c r="G17" s="132">
        <f>IF(SER_hh_tes_in!G17=0,0,11630*1000*SER_hh_tes_in!G17/SER_hh_num_in!G17)</f>
        <v>18935.978350535326</v>
      </c>
      <c r="H17" s="132">
        <f>IF(SER_hh_tes_in!H17=0,0,11630*1000*SER_hh_tes_in!H17/SER_hh_num_in!H17)</f>
        <v>20850.510222157314</v>
      </c>
      <c r="I17" s="132">
        <f>IF(SER_hh_tes_in!I17=0,0,11630*1000*SER_hh_tes_in!I17/SER_hh_num_in!I17)</f>
        <v>22670.30151603575</v>
      </c>
      <c r="J17" s="132">
        <f>IF(SER_hh_tes_in!J17=0,0,11630*1000*SER_hh_tes_in!J17/SER_hh_num_in!J17)</f>
        <v>19178.289510981558</v>
      </c>
      <c r="K17" s="132">
        <f>IF(SER_hh_tes_in!K17=0,0,11630*1000*SER_hh_tes_in!K17/SER_hh_num_in!K17)</f>
        <v>19096.121915811513</v>
      </c>
      <c r="L17" s="132">
        <f>IF(SER_hh_tes_in!L17=0,0,11630*1000*SER_hh_tes_in!L17/SER_hh_num_in!L17)</f>
        <v>19757.438103430384</v>
      </c>
      <c r="M17" s="132">
        <f>IF(SER_hh_tes_in!M17=0,0,11630*1000*SER_hh_tes_in!M17/SER_hh_num_in!M17)</f>
        <v>19265.572216380067</v>
      </c>
      <c r="N17" s="132">
        <f>IF(SER_hh_tes_in!N17=0,0,11630*1000*SER_hh_tes_in!N17/SER_hh_num_in!N17)</f>
        <v>24215.182519505048</v>
      </c>
      <c r="O17" s="132">
        <f>IF(SER_hh_tes_in!O17=0,0,11630*1000*SER_hh_tes_in!O17/SER_hh_num_in!O17)</f>
        <v>19753.372384104881</v>
      </c>
      <c r="P17" s="132">
        <f>IF(SER_hh_tes_in!P17=0,0,11630*1000*SER_hh_tes_in!P17/SER_hh_num_in!P17)</f>
        <v>17476.078556178501</v>
      </c>
      <c r="Q17" s="132">
        <f>IF(SER_hh_tes_in!Q17=0,0,11630*1000*SER_hh_tes_in!Q17/SER_hh_num_in!Q17)</f>
        <v>24770.515353596245</v>
      </c>
      <c r="R17" s="132">
        <f>IF(SER_hh_tes_in!R17=0,0,11630*1000*SER_hh_tes_in!R17/SER_hh_num_in!R17)</f>
        <v>17020.19516195749</v>
      </c>
      <c r="S17" s="132">
        <f>IF(SER_hh_tes_in!S17=0,0,11630*1000*SER_hh_tes_in!S17/SER_hh_num_in!S17)</f>
        <v>20241.697440438547</v>
      </c>
      <c r="T17" s="132">
        <f>IF(SER_hh_tes_in!T17=0,0,11630*1000*SER_hh_tes_in!T17/SER_hh_num_in!T17)</f>
        <v>18777.052888913706</v>
      </c>
      <c r="U17" s="132">
        <f>IF(SER_hh_tes_in!U17=0,0,11630*1000*SER_hh_tes_in!U17/SER_hh_num_in!U17)</f>
        <v>19607.412632688833</v>
      </c>
      <c r="V17" s="132">
        <f>IF(SER_hh_tes_in!V17=0,0,11630*1000*SER_hh_tes_in!V17/SER_hh_num_in!V17)</f>
        <v>13430.388953569602</v>
      </c>
      <c r="W17" s="132">
        <f>IF(SER_hh_tes_in!W17=0,0,11630*1000*SER_hh_tes_in!W17/SER_hh_num_in!W17)</f>
        <v>15595.482979350132</v>
      </c>
      <c r="X17" s="132">
        <f>IF(SER_hh_tes_in!X17=0,0,11630*1000*SER_hh_tes_in!X17/SER_hh_num_in!X17)</f>
        <v>16588.432079457598</v>
      </c>
      <c r="Y17" s="132">
        <f>IF(SER_hh_tes_in!Y17=0,0,11630*1000*SER_hh_tes_in!Y17/SER_hh_num_in!Y17)</f>
        <v>15454.619447240762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19828.533194454696</v>
      </c>
      <c r="D18" s="132">
        <f>IF(SER_hh_tes_in!D18=0,0,11630*1000*SER_hh_tes_in!D18/SER_hh_num_in!D18)</f>
        <v>20865.979932198166</v>
      </c>
      <c r="E18" s="132">
        <f>IF(SER_hh_tes_in!E18=0,0,11630*1000*SER_hh_tes_in!E18/SER_hh_num_in!E18)</f>
        <v>23835.164243568885</v>
      </c>
      <c r="F18" s="132">
        <f>IF(SER_hh_tes_in!F18=0,0,11630*1000*SER_hh_tes_in!F18/SER_hh_num_in!F18)</f>
        <v>18992.755426223117</v>
      </c>
      <c r="G18" s="132">
        <f>IF(SER_hh_tes_in!G18=0,0,11630*1000*SER_hh_tes_in!G18/SER_hh_num_in!G18)</f>
        <v>18928.149669114493</v>
      </c>
      <c r="H18" s="132">
        <f>IF(SER_hh_tes_in!H18=0,0,11630*1000*SER_hh_tes_in!H18/SER_hh_num_in!H18)</f>
        <v>20840.562055577182</v>
      </c>
      <c r="I18" s="132">
        <f>IF(SER_hh_tes_in!I18=0,0,11630*1000*SER_hh_tes_in!I18/SER_hh_num_in!I18)</f>
        <v>22658.76934307583</v>
      </c>
      <c r="J18" s="132">
        <f>IF(SER_hh_tes_in!J18=0,0,11630*1000*SER_hh_tes_in!J18/SER_hh_num_in!J18)</f>
        <v>19168.908884174005</v>
      </c>
      <c r="K18" s="132">
        <f>IF(SER_hh_tes_in!K18=0,0,11630*1000*SER_hh_tes_in!K18/SER_hh_num_in!K18)</f>
        <v>19086.055045402096</v>
      </c>
      <c r="L18" s="132">
        <f>IF(SER_hh_tes_in!L18=0,0,11630*1000*SER_hh_tes_in!L18/SER_hh_num_in!L18)</f>
        <v>19744.64847178683</v>
      </c>
      <c r="M18" s="132">
        <f>IF(SER_hh_tes_in!M18=0,0,11630*1000*SER_hh_tes_in!M18/SER_hh_num_in!M18)</f>
        <v>19219.655929929533</v>
      </c>
      <c r="N18" s="132">
        <f>IF(SER_hh_tes_in!N18=0,0,11630*1000*SER_hh_tes_in!N18/SER_hh_num_in!N18)</f>
        <v>24109.0355759298</v>
      </c>
      <c r="O18" s="132">
        <f>IF(SER_hh_tes_in!O18=0,0,11630*1000*SER_hh_tes_in!O18/SER_hh_num_in!O18)</f>
        <v>19619.891942458205</v>
      </c>
      <c r="P18" s="132">
        <f>IF(SER_hh_tes_in!P18=0,0,11630*1000*SER_hh_tes_in!P18/SER_hh_num_in!P18)</f>
        <v>17398.949590409375</v>
      </c>
      <c r="Q18" s="132">
        <f>IF(SER_hh_tes_in!Q18=0,0,11630*1000*SER_hh_tes_in!Q18/SER_hh_num_in!Q18)</f>
        <v>24707.160665306623</v>
      </c>
      <c r="R18" s="132">
        <f>IF(SER_hh_tes_in!R18=0,0,11630*1000*SER_hh_tes_in!R18/SER_hh_num_in!R18)</f>
        <v>16998.95161150668</v>
      </c>
      <c r="S18" s="132">
        <f>IF(SER_hh_tes_in!S18=0,0,11630*1000*SER_hh_tes_in!S18/SER_hh_num_in!S18)</f>
        <v>20079.569389431348</v>
      </c>
      <c r="T18" s="132">
        <f>IF(SER_hh_tes_in!T18=0,0,11630*1000*SER_hh_tes_in!T18/SER_hh_num_in!T18)</f>
        <v>18665.115062185545</v>
      </c>
      <c r="U18" s="132">
        <f>IF(SER_hh_tes_in!U18=0,0,11630*1000*SER_hh_tes_in!U18/SER_hh_num_in!U18)</f>
        <v>19346.391925931683</v>
      </c>
      <c r="V18" s="132">
        <f>IF(SER_hh_tes_in!V18=0,0,11630*1000*SER_hh_tes_in!V18/SER_hh_num_in!V18)</f>
        <v>15054.2819333025</v>
      </c>
      <c r="W18" s="132">
        <f>IF(SER_hh_tes_in!W18=0,0,11630*1000*SER_hh_tes_in!W18/SER_hh_num_in!W18)</f>
        <v>17415.744281382355</v>
      </c>
      <c r="X18" s="132">
        <f>IF(SER_hh_tes_in!X18=0,0,11630*1000*SER_hh_tes_in!X18/SER_hh_num_in!X18)</f>
        <v>17125.666339587147</v>
      </c>
      <c r="Y18" s="132">
        <f>IF(SER_hh_tes_in!Y18=0,0,11630*1000*SER_hh_tes_in!Y18/SER_hh_num_in!Y18)</f>
        <v>15487.181913904069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16400.383161515871</v>
      </c>
      <c r="D19" s="130">
        <f>IF(SER_hh_tes_in!D19=0,0,11630*1000*SER_hh_tes_in!D19/SER_hh_num_in!D19)</f>
        <v>16581.630619347663</v>
      </c>
      <c r="E19" s="130">
        <f>IF(SER_hh_tes_in!E19=0,0,11630*1000*SER_hh_tes_in!E19/SER_hh_num_in!E19)</f>
        <v>16391.275085732377</v>
      </c>
      <c r="F19" s="130">
        <f>IF(SER_hh_tes_in!F19=0,0,11630*1000*SER_hh_tes_in!F19/SER_hh_num_in!F19)</f>
        <v>16689.919767984225</v>
      </c>
      <c r="G19" s="130">
        <f>IF(SER_hh_tes_in!G19=0,0,11630*1000*SER_hh_tes_in!G19/SER_hh_num_in!G19)</f>
        <v>16447.069718629449</v>
      </c>
      <c r="H19" s="130">
        <f>IF(SER_hh_tes_in!H19=0,0,11630*1000*SER_hh_tes_in!H19/SER_hh_num_in!H19)</f>
        <v>16280.632002954806</v>
      </c>
      <c r="I19" s="130">
        <f>IF(SER_hh_tes_in!I19=0,0,11630*1000*SER_hh_tes_in!I19/SER_hh_num_in!I19)</f>
        <v>16088.989922696537</v>
      </c>
      <c r="J19" s="130">
        <f>IF(SER_hh_tes_in!J19=0,0,11630*1000*SER_hh_tes_in!J19/SER_hh_num_in!J19)</f>
        <v>16355.441081352876</v>
      </c>
      <c r="K19" s="130">
        <f>IF(SER_hh_tes_in!K19=0,0,11630*1000*SER_hh_tes_in!K19/SER_hh_num_in!K19)</f>
        <v>16683.520638158458</v>
      </c>
      <c r="L19" s="130">
        <f>IF(SER_hh_tes_in!L19=0,0,11630*1000*SER_hh_tes_in!L19/SER_hh_num_in!L19)</f>
        <v>16570.821852032892</v>
      </c>
      <c r="M19" s="130">
        <f>IF(SER_hh_tes_in!M19=0,0,11630*1000*SER_hh_tes_in!M19/SER_hh_num_in!M19)</f>
        <v>16441.953820539064</v>
      </c>
      <c r="N19" s="130">
        <f>IF(SER_hh_tes_in!N19=0,0,11630*1000*SER_hh_tes_in!N19/SER_hh_num_in!N19)</f>
        <v>17375.53944088591</v>
      </c>
      <c r="O19" s="130">
        <f>IF(SER_hh_tes_in!O19=0,0,11630*1000*SER_hh_tes_in!O19/SER_hh_num_in!O19)</f>
        <v>16525.986407578923</v>
      </c>
      <c r="P19" s="130">
        <f>IF(SER_hh_tes_in!P19=0,0,11630*1000*SER_hh_tes_in!P19/SER_hh_num_in!P19)</f>
        <v>15981.268948415476</v>
      </c>
      <c r="Q19" s="130">
        <f>IF(SER_hh_tes_in!Q19=0,0,11630*1000*SER_hh_tes_in!Q19/SER_hh_num_in!Q19)</f>
        <v>15853.442517563934</v>
      </c>
      <c r="R19" s="130">
        <f>IF(SER_hh_tes_in!R19=0,0,11630*1000*SER_hh_tes_in!R19/SER_hh_num_in!R19)</f>
        <v>15831.12935488728</v>
      </c>
      <c r="S19" s="130">
        <f>IF(SER_hh_tes_in!S19=0,0,11630*1000*SER_hh_tes_in!S19/SER_hh_num_in!S19)</f>
        <v>15730.671248722816</v>
      </c>
      <c r="T19" s="130">
        <f>IF(SER_hh_tes_in!T19=0,0,11630*1000*SER_hh_tes_in!T19/SER_hh_num_in!T19)</f>
        <v>15688.681273293525</v>
      </c>
      <c r="U19" s="130">
        <f>IF(SER_hh_tes_in!U19=0,0,11630*1000*SER_hh_tes_in!U19/SER_hh_num_in!U19)</f>
        <v>15327.802678603121</v>
      </c>
      <c r="V19" s="130">
        <f>IF(SER_hh_tes_in!V19=0,0,11630*1000*SER_hh_tes_in!V19/SER_hh_num_in!V19)</f>
        <v>13678.377044372162</v>
      </c>
      <c r="W19" s="130">
        <f>IF(SER_hh_tes_in!W19=0,0,11630*1000*SER_hh_tes_in!W19/SER_hh_num_in!W19)</f>
        <v>13790.250475714356</v>
      </c>
      <c r="X19" s="130">
        <f>IF(SER_hh_tes_in!X19=0,0,11630*1000*SER_hh_tes_in!X19/SER_hh_num_in!X19)</f>
        <v>14096.449160788001</v>
      </c>
      <c r="Y19" s="130">
        <f>IF(SER_hh_tes_in!Y19=0,0,11630*1000*SER_hh_tes_in!Y19/SER_hh_num_in!Y19)</f>
        <v>13936.459391716638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0</v>
      </c>
      <c r="D21" s="132">
        <f>IF(SER_hh_tes_in!D21=0,0,11630*1000*SER_hh_tes_in!D21/SER_hh_num_in!D21)</f>
        <v>0</v>
      </c>
      <c r="E21" s="132">
        <f>IF(SER_hh_tes_in!E21=0,0,11630*1000*SER_hh_tes_in!E21/SER_hh_num_in!E21)</f>
        <v>0</v>
      </c>
      <c r="F21" s="132">
        <f>IF(SER_hh_tes_in!F21=0,0,11630*1000*SER_hh_tes_in!F21/SER_hh_num_in!F21)</f>
        <v>0</v>
      </c>
      <c r="G21" s="132">
        <f>IF(SER_hh_tes_in!G21=0,0,11630*1000*SER_hh_tes_in!G21/SER_hh_num_in!G21)</f>
        <v>0</v>
      </c>
      <c r="H21" s="132">
        <f>IF(SER_hh_tes_in!H21=0,0,11630*1000*SER_hh_tes_in!H21/SER_hh_num_in!H21)</f>
        <v>0</v>
      </c>
      <c r="I21" s="132">
        <f>IF(SER_hh_tes_in!I21=0,0,11630*1000*SER_hh_tes_in!I21/SER_hh_num_in!I21)</f>
        <v>0</v>
      </c>
      <c r="J21" s="132">
        <f>IF(SER_hh_tes_in!J21=0,0,11630*1000*SER_hh_tes_in!J21/SER_hh_num_in!J21)</f>
        <v>0</v>
      </c>
      <c r="K21" s="132">
        <f>IF(SER_hh_tes_in!K21=0,0,11630*1000*SER_hh_tes_in!K21/SER_hh_num_in!K21)</f>
        <v>0</v>
      </c>
      <c r="L21" s="132">
        <f>IF(SER_hh_tes_in!L21=0,0,11630*1000*SER_hh_tes_in!L21/SER_hh_num_in!L21)</f>
        <v>0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0</v>
      </c>
      <c r="O21" s="132">
        <f>IF(SER_hh_tes_in!O21=0,0,11630*1000*SER_hh_tes_in!O21/SER_hh_num_in!O21)</f>
        <v>0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0</v>
      </c>
      <c r="S21" s="132">
        <f>IF(SER_hh_tes_in!S21=0,0,11630*1000*SER_hh_tes_in!S21/SER_hh_num_in!S21)</f>
        <v>0</v>
      </c>
      <c r="T21" s="132">
        <f>IF(SER_hh_tes_in!T21=0,0,11630*1000*SER_hh_tes_in!T21/SER_hh_num_in!T21)</f>
        <v>0</v>
      </c>
      <c r="U21" s="132">
        <f>IF(SER_hh_tes_in!U21=0,0,11630*1000*SER_hh_tes_in!U21/SER_hh_num_in!U21)</f>
        <v>0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0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0</v>
      </c>
      <c r="D22" s="132">
        <f>IF(SER_hh_tes_in!D22=0,0,11630*1000*SER_hh_tes_in!D22/SER_hh_num_in!D22)</f>
        <v>0</v>
      </c>
      <c r="E22" s="132">
        <f>IF(SER_hh_tes_in!E22=0,0,11630*1000*SER_hh_tes_in!E22/SER_hh_num_in!E22)</f>
        <v>0</v>
      </c>
      <c r="F22" s="132">
        <f>IF(SER_hh_tes_in!F22=0,0,11630*1000*SER_hh_tes_in!F22/SER_hh_num_in!F22)</f>
        <v>0</v>
      </c>
      <c r="G22" s="132">
        <f>IF(SER_hh_tes_in!G22=0,0,11630*1000*SER_hh_tes_in!G22/SER_hh_num_in!G22)</f>
        <v>0</v>
      </c>
      <c r="H22" s="132">
        <f>IF(SER_hh_tes_in!H22=0,0,11630*1000*SER_hh_tes_in!H22/SER_hh_num_in!H22)</f>
        <v>0</v>
      </c>
      <c r="I22" s="132">
        <f>IF(SER_hh_tes_in!I22=0,0,11630*1000*SER_hh_tes_in!I22/SER_hh_num_in!I22)</f>
        <v>0</v>
      </c>
      <c r="J22" s="132">
        <f>IF(SER_hh_tes_in!J22=0,0,11630*1000*SER_hh_tes_in!J22/SER_hh_num_in!J22)</f>
        <v>0</v>
      </c>
      <c r="K22" s="132">
        <f>IF(SER_hh_tes_in!K22=0,0,11630*1000*SER_hh_tes_in!K22/SER_hh_num_in!K22)</f>
        <v>0</v>
      </c>
      <c r="L22" s="132">
        <f>IF(SER_hh_tes_in!L22=0,0,11630*1000*SER_hh_tes_in!L22/SER_hh_num_in!L22)</f>
        <v>0</v>
      </c>
      <c r="M22" s="132">
        <f>IF(SER_hh_tes_in!M22=0,0,11630*1000*SER_hh_tes_in!M22/SER_hh_num_in!M22)</f>
        <v>0</v>
      </c>
      <c r="N22" s="132">
        <f>IF(SER_hh_tes_in!N22=0,0,11630*1000*SER_hh_tes_in!N22/SER_hh_num_in!N22)</f>
        <v>0</v>
      </c>
      <c r="O22" s="132">
        <f>IF(SER_hh_tes_in!O22=0,0,11630*1000*SER_hh_tes_in!O22/SER_hh_num_in!O22)</f>
        <v>0</v>
      </c>
      <c r="P22" s="132">
        <f>IF(SER_hh_tes_in!P22=0,0,11630*1000*SER_hh_tes_in!P22/SER_hh_num_in!P22)</f>
        <v>0</v>
      </c>
      <c r="Q22" s="132">
        <f>IF(SER_hh_tes_in!Q22=0,0,11630*1000*SER_hh_tes_in!Q22/SER_hh_num_in!Q22)</f>
        <v>0</v>
      </c>
      <c r="R22" s="132">
        <f>IF(SER_hh_tes_in!R22=0,0,11630*1000*SER_hh_tes_in!R22/SER_hh_num_in!R22)</f>
        <v>0</v>
      </c>
      <c r="S22" s="132">
        <f>IF(SER_hh_tes_in!S22=0,0,11630*1000*SER_hh_tes_in!S22/SER_hh_num_in!S22)</f>
        <v>0</v>
      </c>
      <c r="T22" s="132">
        <f>IF(SER_hh_tes_in!T22=0,0,11630*1000*SER_hh_tes_in!T22/SER_hh_num_in!T22)</f>
        <v>0</v>
      </c>
      <c r="U22" s="132">
        <f>IF(SER_hh_tes_in!U22=0,0,11630*1000*SER_hh_tes_in!U22/SER_hh_num_in!U22)</f>
        <v>0</v>
      </c>
      <c r="V22" s="132">
        <f>IF(SER_hh_tes_in!V22=0,0,11630*1000*SER_hh_tes_in!V22/SER_hh_num_in!V22)</f>
        <v>0</v>
      </c>
      <c r="W22" s="132">
        <f>IF(SER_hh_tes_in!W22=0,0,11630*1000*SER_hh_tes_in!W22/SER_hh_num_in!W22)</f>
        <v>0</v>
      </c>
      <c r="X22" s="132">
        <f>IF(SER_hh_tes_in!X22=0,0,11630*1000*SER_hh_tes_in!X22/SER_hh_num_in!X22)</f>
        <v>0</v>
      </c>
      <c r="Y22" s="132">
        <f>IF(SER_hh_tes_in!Y22=0,0,11630*1000*SER_hh_tes_in!Y22/SER_hh_num_in!Y22)</f>
        <v>0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16296.476236126478</v>
      </c>
      <c r="D23" s="132">
        <f>IF(SER_hh_tes_in!D23=0,0,11630*1000*SER_hh_tes_in!D23/SER_hh_num_in!D23)</f>
        <v>16446.577918490722</v>
      </c>
      <c r="E23" s="132">
        <f>IF(SER_hh_tes_in!E23=0,0,11630*1000*SER_hh_tes_in!E23/SER_hh_num_in!E23)</f>
        <v>16509.070846102404</v>
      </c>
      <c r="F23" s="132">
        <f>IF(SER_hh_tes_in!F23=0,0,11630*1000*SER_hh_tes_in!F23/SER_hh_num_in!F23)</f>
        <v>16895.22690732394</v>
      </c>
      <c r="G23" s="132">
        <f>IF(SER_hh_tes_in!G23=0,0,11630*1000*SER_hh_tes_in!G23/SER_hh_num_in!G23)</f>
        <v>16332.869394795174</v>
      </c>
      <c r="H23" s="132">
        <f>IF(SER_hh_tes_in!H23=0,0,11630*1000*SER_hh_tes_in!H23/SER_hh_num_in!H23)</f>
        <v>15977.951747006238</v>
      </c>
      <c r="I23" s="132">
        <f>IF(SER_hh_tes_in!I23=0,0,11630*1000*SER_hh_tes_in!I23/SER_hh_num_in!I23)</f>
        <v>15926.279356130164</v>
      </c>
      <c r="J23" s="132">
        <f>IF(SER_hh_tes_in!J23=0,0,11630*1000*SER_hh_tes_in!J23/SER_hh_num_in!J23)</f>
        <v>16151.724835433222</v>
      </c>
      <c r="K23" s="132">
        <f>IF(SER_hh_tes_in!K23=0,0,11630*1000*SER_hh_tes_in!K23/SER_hh_num_in!K23)</f>
        <v>16643.325554636413</v>
      </c>
      <c r="L23" s="132">
        <f>IF(SER_hh_tes_in!L23=0,0,11630*1000*SER_hh_tes_in!L23/SER_hh_num_in!L23)</f>
        <v>16446.807012406523</v>
      </c>
      <c r="M23" s="132">
        <f>IF(SER_hh_tes_in!M23=0,0,11630*1000*SER_hh_tes_in!M23/SER_hh_num_in!M23)</f>
        <v>16168.29852976682</v>
      </c>
      <c r="N23" s="132">
        <f>IF(SER_hh_tes_in!N23=0,0,11630*1000*SER_hh_tes_in!N23/SER_hh_num_in!N23)</f>
        <v>15904.929716937655</v>
      </c>
      <c r="O23" s="132">
        <f>IF(SER_hh_tes_in!O23=0,0,11630*1000*SER_hh_tes_in!O23/SER_hh_num_in!O23)</f>
        <v>16672.778910417459</v>
      </c>
      <c r="P23" s="132">
        <f>IF(SER_hh_tes_in!P23=0,0,11630*1000*SER_hh_tes_in!P23/SER_hh_num_in!P23)</f>
        <v>15953.272816114106</v>
      </c>
      <c r="Q23" s="132">
        <f>IF(SER_hh_tes_in!Q23=0,0,11630*1000*SER_hh_tes_in!Q23/SER_hh_num_in!Q23)</f>
        <v>15741.423985875703</v>
      </c>
      <c r="R23" s="132">
        <f>IF(SER_hh_tes_in!R23=0,0,11630*1000*SER_hh_tes_in!R23/SER_hh_num_in!R23)</f>
        <v>15847.481790225487</v>
      </c>
      <c r="S23" s="132">
        <f>IF(SER_hh_tes_in!S23=0,0,11630*1000*SER_hh_tes_in!S23/SER_hh_num_in!S23)</f>
        <v>15644.84558227709</v>
      </c>
      <c r="T23" s="132">
        <f>IF(SER_hh_tes_in!T23=0,0,11630*1000*SER_hh_tes_in!T23/SER_hh_num_in!T23)</f>
        <v>15792.173454550784</v>
      </c>
      <c r="U23" s="132">
        <f>IF(SER_hh_tes_in!U23=0,0,11630*1000*SER_hh_tes_in!U23/SER_hh_num_in!U23)</f>
        <v>15209.56489080298</v>
      </c>
      <c r="V23" s="132">
        <f>IF(SER_hh_tes_in!V23=0,0,11630*1000*SER_hh_tes_in!V23/SER_hh_num_in!V23)</f>
        <v>13948.225763775881</v>
      </c>
      <c r="W23" s="132">
        <f>IF(SER_hh_tes_in!W23=0,0,11630*1000*SER_hh_tes_in!W23/SER_hh_num_in!W23)</f>
        <v>14117.237653394848</v>
      </c>
      <c r="X23" s="132">
        <f>IF(SER_hh_tes_in!X23=0,0,11630*1000*SER_hh_tes_in!X23/SER_hh_num_in!X23)</f>
        <v>13773.937806086376</v>
      </c>
      <c r="Y23" s="132">
        <f>IF(SER_hh_tes_in!Y23=0,0,11630*1000*SER_hh_tes_in!Y23/SER_hh_num_in!Y23)</f>
        <v>13611.808611090319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23067.434476674327</v>
      </c>
      <c r="O24" s="132">
        <f>IF(SER_hh_tes_in!O24=0,0,11630*1000*SER_hh_tes_in!O24/SER_hh_num_in!O24)</f>
        <v>17931.028647030158</v>
      </c>
      <c r="P24" s="132">
        <f>IF(SER_hh_tes_in!P24=0,0,11630*1000*SER_hh_tes_in!P24/SER_hh_num_in!P24)</f>
        <v>16168.245860484354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14571.072198938949</v>
      </c>
      <c r="V24" s="132">
        <f>IF(SER_hh_tes_in!V24=0,0,11630*1000*SER_hh_tes_in!V24/SER_hh_num_in!V24)</f>
        <v>14094.415396644294</v>
      </c>
      <c r="W24" s="132">
        <f>IF(SER_hh_tes_in!W24=0,0,11630*1000*SER_hh_tes_in!W24/SER_hh_num_in!W24)</f>
        <v>12465.437644406005</v>
      </c>
      <c r="X24" s="132">
        <f>IF(SER_hh_tes_in!X24=0,0,11630*1000*SER_hh_tes_in!X24/SER_hh_num_in!X24)</f>
        <v>13730.18724481985</v>
      </c>
      <c r="Y24" s="132">
        <f>IF(SER_hh_tes_in!Y24=0,0,11630*1000*SER_hh_tes_in!Y24/SER_hh_num_in!Y24)</f>
        <v>14449.376099402907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16432.637637963726</v>
      </c>
      <c r="D25" s="132">
        <f>IF(SER_hh_tes_in!D25=0,0,11630*1000*SER_hh_tes_in!D25/SER_hh_num_in!D25)</f>
        <v>16455.180044935591</v>
      </c>
      <c r="E25" s="132">
        <f>IF(SER_hh_tes_in!E25=0,0,11630*1000*SER_hh_tes_in!E25/SER_hh_num_in!E25)</f>
        <v>16326.937204196152</v>
      </c>
      <c r="F25" s="132">
        <f>IF(SER_hh_tes_in!F25=0,0,11630*1000*SER_hh_tes_in!F25/SER_hh_num_in!F25)</f>
        <v>16228.236185071566</v>
      </c>
      <c r="G25" s="132">
        <f>IF(SER_hh_tes_in!G25=0,0,11630*1000*SER_hh_tes_in!G25/SER_hh_num_in!G25)</f>
        <v>16626.299758945235</v>
      </c>
      <c r="H25" s="132">
        <f>IF(SER_hh_tes_in!H25=0,0,11630*1000*SER_hh_tes_in!H25/SER_hh_num_in!H25)</f>
        <v>16278.701479941767</v>
      </c>
      <c r="I25" s="132">
        <f>IF(SER_hh_tes_in!I25=0,0,11630*1000*SER_hh_tes_in!I25/SER_hh_num_in!I25)</f>
        <v>16082.695932726105</v>
      </c>
      <c r="J25" s="132">
        <f>IF(SER_hh_tes_in!J25=0,0,11630*1000*SER_hh_tes_in!J25/SER_hh_num_in!J25)</f>
        <v>16516.847556211244</v>
      </c>
      <c r="K25" s="132">
        <f>IF(SER_hh_tes_in!K25=0,0,11630*1000*SER_hh_tes_in!K25/SER_hh_num_in!K25)</f>
        <v>16486.260004548018</v>
      </c>
      <c r="L25" s="132">
        <f>IF(SER_hh_tes_in!L25=0,0,11630*1000*SER_hh_tes_in!L25/SER_hh_num_in!L25)</f>
        <v>16267.340437627217</v>
      </c>
      <c r="M25" s="132">
        <f>IF(SER_hh_tes_in!M25=0,0,11630*1000*SER_hh_tes_in!M25/SER_hh_num_in!M25)</f>
        <v>16355.643193932132</v>
      </c>
      <c r="N25" s="132">
        <f>IF(SER_hh_tes_in!N25=0,0,11630*1000*SER_hh_tes_in!N25/SER_hh_num_in!N25)</f>
        <v>16584.822063435811</v>
      </c>
      <c r="O25" s="132">
        <f>IF(SER_hh_tes_in!O25=0,0,11630*1000*SER_hh_tes_in!O25/SER_hh_num_in!O25)</f>
        <v>16090.242141124905</v>
      </c>
      <c r="P25" s="132">
        <f>IF(SER_hh_tes_in!P25=0,0,11630*1000*SER_hh_tes_in!P25/SER_hh_num_in!P25)</f>
        <v>15711.919455356172</v>
      </c>
      <c r="Q25" s="132">
        <f>IF(SER_hh_tes_in!Q25=0,0,11630*1000*SER_hh_tes_in!Q25/SER_hh_num_in!Q25)</f>
        <v>15786.463073984925</v>
      </c>
      <c r="R25" s="132">
        <f>IF(SER_hh_tes_in!R25=0,0,11630*1000*SER_hh_tes_in!R25/SER_hh_num_in!R25)</f>
        <v>15835.477094868675</v>
      </c>
      <c r="S25" s="132">
        <f>IF(SER_hh_tes_in!S25=0,0,11630*1000*SER_hh_tes_in!S25/SER_hh_num_in!S25)</f>
        <v>15752.980968582828</v>
      </c>
      <c r="T25" s="132">
        <f>IF(SER_hh_tes_in!T25=0,0,11630*1000*SER_hh_tes_in!T25/SER_hh_num_in!T25)</f>
        <v>15561.537063210686</v>
      </c>
      <c r="U25" s="132">
        <f>IF(SER_hh_tes_in!U25=0,0,11630*1000*SER_hh_tes_in!U25/SER_hh_num_in!U25)</f>
        <v>15726.312160733667</v>
      </c>
      <c r="V25" s="132">
        <f>IF(SER_hh_tes_in!V25=0,0,11630*1000*SER_hh_tes_in!V25/SER_hh_num_in!V25)</f>
        <v>13516.385916961048</v>
      </c>
      <c r="W25" s="132">
        <f>IF(SER_hh_tes_in!W25=0,0,11630*1000*SER_hh_tes_in!W25/SER_hh_num_in!W25)</f>
        <v>14497.52003939315</v>
      </c>
      <c r="X25" s="132">
        <f>IF(SER_hh_tes_in!X25=0,0,11630*1000*SER_hh_tes_in!X25/SER_hh_num_in!X25)</f>
        <v>13616.828063038894</v>
      </c>
      <c r="Y25" s="132">
        <f>IF(SER_hh_tes_in!Y25=0,0,11630*1000*SER_hh_tes_in!Y25/SER_hh_num_in!Y25)</f>
        <v>13448.847170791005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16482.012610101359</v>
      </c>
      <c r="D26" s="65">
        <f>IF(SER_hh_tes_in!D26=0,0,11630*1000*SER_hh_tes_in!D26/SER_hh_num_in!D26)</f>
        <v>16793.757489920554</v>
      </c>
      <c r="E26" s="65">
        <f>IF(SER_hh_tes_in!E26=0,0,11630*1000*SER_hh_tes_in!E26/SER_hh_num_in!E26)</f>
        <v>16281.774040910632</v>
      </c>
      <c r="F26" s="65">
        <f>IF(SER_hh_tes_in!F26=0,0,11630*1000*SER_hh_tes_in!F26/SER_hh_num_in!F26)</f>
        <v>16511.809661294763</v>
      </c>
      <c r="G26" s="65">
        <f>IF(SER_hh_tes_in!G26=0,0,11630*1000*SER_hh_tes_in!G26/SER_hh_num_in!G26)</f>
        <v>16275.930913680308</v>
      </c>
      <c r="H26" s="65">
        <f>IF(SER_hh_tes_in!H26=0,0,11630*1000*SER_hh_tes_in!H26/SER_hh_num_in!H26)</f>
        <v>16282.777800148397</v>
      </c>
      <c r="I26" s="65">
        <f>IF(SER_hh_tes_in!I26=0,0,11630*1000*SER_hh_tes_in!I26/SER_hh_num_in!I26)</f>
        <v>16142.30825247489</v>
      </c>
      <c r="J26" s="65">
        <f>IF(SER_hh_tes_in!J26=0,0,11630*1000*SER_hh_tes_in!J26/SER_hh_num_in!J26)</f>
        <v>12860.218616861968</v>
      </c>
      <c r="K26" s="65">
        <f>IF(SER_hh_tes_in!K26=0,0,11630*1000*SER_hh_tes_in!K26/SER_hh_num_in!K26)</f>
        <v>13365.940314346961</v>
      </c>
      <c r="L26" s="65">
        <f>IF(SER_hh_tes_in!L26=0,0,11630*1000*SER_hh_tes_in!L26/SER_hh_num_in!L26)</f>
        <v>12240.897015094424</v>
      </c>
      <c r="M26" s="65">
        <f>IF(SER_hh_tes_in!M26=0,0,11630*1000*SER_hh_tes_in!M26/SER_hh_num_in!M26)</f>
        <v>15675.470449632518</v>
      </c>
      <c r="N26" s="65">
        <f>IF(SER_hh_tes_in!N26=0,0,11630*1000*SER_hh_tes_in!N26/SER_hh_num_in!N26)</f>
        <v>16869.309688461966</v>
      </c>
      <c r="O26" s="65">
        <f>IF(SER_hh_tes_in!O26=0,0,11630*1000*SER_hh_tes_in!O26/SER_hh_num_in!O26)</f>
        <v>15190.930701098714</v>
      </c>
      <c r="P26" s="65">
        <f>IF(SER_hh_tes_in!P26=0,0,11630*1000*SER_hh_tes_in!P26/SER_hh_num_in!P26)</f>
        <v>14649.258655495401</v>
      </c>
      <c r="Q26" s="65">
        <f>IF(SER_hh_tes_in!Q26=0,0,11630*1000*SER_hh_tes_in!Q26/SER_hh_num_in!Q26)</f>
        <v>14477.856356777642</v>
      </c>
      <c r="R26" s="65">
        <f>IF(SER_hh_tes_in!R26=0,0,11630*1000*SER_hh_tes_in!R26/SER_hh_num_in!R26)</f>
        <v>15784.034113752907</v>
      </c>
      <c r="S26" s="65">
        <f>IF(SER_hh_tes_in!S26=0,0,11630*1000*SER_hh_tes_in!S26/SER_hh_num_in!S26)</f>
        <v>15450.660069565509</v>
      </c>
      <c r="T26" s="65">
        <f>IF(SER_hh_tes_in!T26=0,0,11630*1000*SER_hh_tes_in!T26/SER_hh_num_in!T26)</f>
        <v>15327.520852716514</v>
      </c>
      <c r="U26" s="65">
        <f>IF(SER_hh_tes_in!U26=0,0,11630*1000*SER_hh_tes_in!U26/SER_hh_num_in!U26)</f>
        <v>14735.063195630879</v>
      </c>
      <c r="V26" s="65">
        <f>IF(SER_hh_tes_in!V26=0,0,11630*1000*SER_hh_tes_in!V26/SER_hh_num_in!V26)</f>
        <v>12591.486279851399</v>
      </c>
      <c r="W26" s="65">
        <f>IF(SER_hh_tes_in!W26=0,0,11630*1000*SER_hh_tes_in!W26/SER_hh_num_in!W26)</f>
        <v>13468.603190007234</v>
      </c>
      <c r="X26" s="65">
        <f>IF(SER_hh_tes_in!X26=0,0,11630*1000*SER_hh_tes_in!X26/SER_hh_num_in!X26)</f>
        <v>13751.570457512535</v>
      </c>
      <c r="Y26" s="65">
        <f>IF(SER_hh_tes_in!Y26=0,0,11630*1000*SER_hh_tes_in!Y26/SER_hh_num_in!Y26)</f>
        <v>13271.13825143961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0</v>
      </c>
      <c r="D27" s="145">
        <f>IF(SER_hh_tes_in!D27=0,0,11630*1000*SER_hh_tes_in!D27/SER_hh_num_in!D19)</f>
        <v>0</v>
      </c>
      <c r="E27" s="145">
        <f>IF(SER_hh_tes_in!E27=0,0,11630*1000*SER_hh_tes_in!E27/SER_hh_num_in!E19)</f>
        <v>0</v>
      </c>
      <c r="F27" s="145">
        <f>IF(SER_hh_tes_in!F27=0,0,11630*1000*SER_hh_tes_in!F27/SER_hh_num_in!F19)</f>
        <v>0</v>
      </c>
      <c r="G27" s="145">
        <f>IF(SER_hh_tes_in!G27=0,0,11630*1000*SER_hh_tes_in!G27/SER_hh_num_in!G19)</f>
        <v>102.61332860138766</v>
      </c>
      <c r="H27" s="145">
        <f>IF(SER_hh_tes_in!H27=0,0,11630*1000*SER_hh_tes_in!H27/SER_hh_num_in!H19)</f>
        <v>165.07549538386615</v>
      </c>
      <c r="I27" s="145">
        <f>IF(SER_hh_tes_in!I27=0,0,11630*1000*SER_hh_tes_in!I27/SER_hh_num_in!I19)</f>
        <v>99.328654548811599</v>
      </c>
      <c r="J27" s="145">
        <f>IF(SER_hh_tes_in!J27=0,0,11630*1000*SER_hh_tes_in!J27/SER_hh_num_in!J19)</f>
        <v>574.88398811487775</v>
      </c>
      <c r="K27" s="145">
        <f>IF(SER_hh_tes_in!K27=0,0,11630*1000*SER_hh_tes_in!K27/SER_hh_num_in!K19)</f>
        <v>442.77881043176859</v>
      </c>
      <c r="L27" s="145">
        <f>IF(SER_hh_tes_in!L27=0,0,11630*1000*SER_hh_tes_in!L27/SER_hh_num_in!L19)</f>
        <v>941.98385687648158</v>
      </c>
      <c r="M27" s="145">
        <f>IF(SER_hh_tes_in!M27=0,0,11630*1000*SER_hh_tes_in!M27/SER_hh_num_in!M19)</f>
        <v>363.94104707930182</v>
      </c>
      <c r="N27" s="145">
        <f>IF(SER_hh_tes_in!N27=0,0,11630*1000*SER_hh_tes_in!N27/SER_hh_num_in!N19)</f>
        <v>6.5886205801816571</v>
      </c>
      <c r="O27" s="145">
        <f>IF(SER_hh_tes_in!O27=0,0,11630*1000*SER_hh_tes_in!O27/SER_hh_num_in!O19)</f>
        <v>31.621810030282084</v>
      </c>
      <c r="P27" s="145">
        <f>IF(SER_hh_tes_in!P27=0,0,11630*1000*SER_hh_tes_in!P27/SER_hh_num_in!P19)</f>
        <v>91.890646330065678</v>
      </c>
      <c r="Q27" s="145">
        <f>IF(SER_hh_tes_in!Q27=0,0,11630*1000*SER_hh_tes_in!Q27/SER_hh_num_in!Q19)</f>
        <v>456.15084963926921</v>
      </c>
      <c r="R27" s="145">
        <f>IF(SER_hh_tes_in!R27=0,0,11630*1000*SER_hh_tes_in!R27/SER_hh_num_in!R19)</f>
        <v>6.2397564179991187</v>
      </c>
      <c r="S27" s="145">
        <f>IF(SER_hh_tes_in!S27=0,0,11630*1000*SER_hh_tes_in!S27/SER_hh_num_in!S19)</f>
        <v>140.46004261988708</v>
      </c>
      <c r="T27" s="145">
        <f>IF(SER_hh_tes_in!T27=0,0,11630*1000*SER_hh_tes_in!T27/SER_hh_num_in!T19)</f>
        <v>58.200248984943897</v>
      </c>
      <c r="U27" s="145">
        <f>IF(SER_hh_tes_in!U27=0,0,11630*1000*SER_hh_tes_in!U27/SER_hh_num_in!U19)</f>
        <v>234.15258259186777</v>
      </c>
      <c r="V27" s="145">
        <f>IF(SER_hh_tes_in!V27=0,0,11630*1000*SER_hh_tes_in!V27/SER_hh_num_in!V19)</f>
        <v>287.00902182007735</v>
      </c>
      <c r="W27" s="145">
        <f>IF(SER_hh_tes_in!W27=0,0,11630*1000*SER_hh_tes_in!W27/SER_hh_num_in!W19)</f>
        <v>1.0465443785137223E-12</v>
      </c>
      <c r="X27" s="145">
        <f>IF(SER_hh_tes_in!X27=0,0,11630*1000*SER_hh_tes_in!X27/SER_hh_num_in!X19)</f>
        <v>341.20841059222784</v>
      </c>
      <c r="Y27" s="145">
        <f>IF(SER_hh_tes_in!Y27=0,0,11630*1000*SER_hh_tes_in!Y27/SER_hh_num_in!Y19)</f>
        <v>440.58276524614132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0</v>
      </c>
      <c r="D28" s="146">
        <f>IF(SER_hh_tes_in!D27=0,0,11630*1000*SER_hh_tes_in!D27/SER_hh_num_in!D27)</f>
        <v>0</v>
      </c>
      <c r="E28" s="146">
        <f>IF(SER_hh_tes_in!E27=0,0,11630*1000*SER_hh_tes_in!E27/SER_hh_num_in!E27)</f>
        <v>0</v>
      </c>
      <c r="F28" s="146">
        <f>IF(SER_hh_tes_in!F27=0,0,11630*1000*SER_hh_tes_in!F27/SER_hh_num_in!F27)</f>
        <v>0</v>
      </c>
      <c r="G28" s="146">
        <f>IF(SER_hh_tes_in!G27=0,0,11630*1000*SER_hh_tes_in!G27/SER_hh_num_in!G27)</f>
        <v>13249.063098522027</v>
      </c>
      <c r="H28" s="146">
        <f>IF(SER_hh_tes_in!H27=0,0,11630*1000*SER_hh_tes_in!H27/SER_hh_num_in!H27)</f>
        <v>12024.349177047026</v>
      </c>
      <c r="I28" s="146">
        <f>IF(SER_hh_tes_in!I27=0,0,11630*1000*SER_hh_tes_in!I27/SER_hh_num_in!I27)</f>
        <v>12764.3640864475</v>
      </c>
      <c r="J28" s="146">
        <f>IF(SER_hh_tes_in!J27=0,0,11630*1000*SER_hh_tes_in!J27/SER_hh_num_in!J27)</f>
        <v>12363.151191272213</v>
      </c>
      <c r="K28" s="146">
        <f>IF(SER_hh_tes_in!K27=0,0,11630*1000*SER_hh_tes_in!K27/SER_hh_num_in!K27)</f>
        <v>12859.507064506091</v>
      </c>
      <c r="L28" s="146">
        <f>IF(SER_hh_tes_in!L27=0,0,11630*1000*SER_hh_tes_in!L27/SER_hh_num_in!L27)</f>
        <v>12968.508853312938</v>
      </c>
      <c r="M28" s="146">
        <f>IF(SER_hh_tes_in!M27=0,0,11630*1000*SER_hh_tes_in!M27/SER_hh_num_in!M27)</f>
        <v>12408.252090574373</v>
      </c>
      <c r="N28" s="146">
        <f>IF(SER_hh_tes_in!N27=0,0,11630*1000*SER_hh_tes_in!N27/SER_hh_num_in!N27)</f>
        <v>2.7183626847360013E+17</v>
      </c>
      <c r="O28" s="146">
        <f>IF(SER_hh_tes_in!O27=0,0,11630*1000*SER_hh_tes_in!O27/SER_hh_num_in!O27)</f>
        <v>19177.810721515674</v>
      </c>
      <c r="P28" s="146">
        <f>IF(SER_hh_tes_in!P27=0,0,11630*1000*SER_hh_tes_in!P27/SER_hh_num_in!P27)</f>
        <v>13574.333325011547</v>
      </c>
      <c r="Q28" s="146">
        <f>IF(SER_hh_tes_in!Q27=0,0,11630*1000*SER_hh_tes_in!Q27/SER_hh_num_in!Q27)</f>
        <v>11897.527654917949</v>
      </c>
      <c r="R28" s="146">
        <f>IF(SER_hh_tes_in!R27=0,0,11630*1000*SER_hh_tes_in!R27/SER_hh_num_in!R27)</f>
        <v>11987.950473352432</v>
      </c>
      <c r="S28" s="146">
        <f>IF(SER_hh_tes_in!S27=0,0,11630*1000*SER_hh_tes_in!S27/SER_hh_num_in!S27)</f>
        <v>12206.363726039284</v>
      </c>
      <c r="T28" s="146">
        <f>IF(SER_hh_tes_in!T27=0,0,11630*1000*SER_hh_tes_in!T27/SER_hh_num_in!T27)</f>
        <v>12114.964774884691</v>
      </c>
      <c r="U28" s="146">
        <f>IF(SER_hh_tes_in!U27=0,0,11630*1000*SER_hh_tes_in!U27/SER_hh_num_in!U27)</f>
        <v>11974.266509382294</v>
      </c>
      <c r="V28" s="146">
        <f>IF(SER_hh_tes_in!V27=0,0,11630*1000*SER_hh_tes_in!V27/SER_hh_num_in!V27)</f>
        <v>10549.184651506142</v>
      </c>
      <c r="W28" s="146">
        <f>IF(SER_hh_tes_in!W27=0,0,11630*1000*SER_hh_tes_in!W27/SER_hh_num_in!W27)</f>
        <v>11447.120906291448</v>
      </c>
      <c r="X28" s="146">
        <f>IF(SER_hh_tes_in!X27=0,0,11630*1000*SER_hh_tes_in!X27/SER_hh_num_in!X27)</f>
        <v>11175.670245892223</v>
      </c>
      <c r="Y28" s="146">
        <f>IF(SER_hh_tes_in!Y27=0,0,11630*1000*SER_hh_tes_in!Y27/SER_hh_num_in!Y27)</f>
        <v>10214.698900708887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20722.789596023933</v>
      </c>
      <c r="D29" s="130">
        <f>IF(SER_hh_tes_in!D29=0,0,11630*1000*SER_hh_tes_in!D29/SER_hh_num_in!D29)</f>
        <v>19263.248243643717</v>
      </c>
      <c r="E29" s="130">
        <f>IF(SER_hh_tes_in!E29=0,0,11630*1000*SER_hh_tes_in!E29/SER_hh_num_in!E29)</f>
        <v>19359.620037996643</v>
      </c>
      <c r="F29" s="130">
        <f>IF(SER_hh_tes_in!F29=0,0,11630*1000*SER_hh_tes_in!F29/SER_hh_num_in!F29)</f>
        <v>20298.809836137429</v>
      </c>
      <c r="G29" s="130">
        <f>IF(SER_hh_tes_in!G29=0,0,11630*1000*SER_hh_tes_in!G29/SER_hh_num_in!G29)</f>
        <v>19486.59038340189</v>
      </c>
      <c r="H29" s="130">
        <f>IF(SER_hh_tes_in!H29=0,0,11630*1000*SER_hh_tes_in!H29/SER_hh_num_in!H29)</f>
        <v>19522.853946278701</v>
      </c>
      <c r="I29" s="130">
        <f>IF(SER_hh_tes_in!I29=0,0,11630*1000*SER_hh_tes_in!I29/SER_hh_num_in!I29)</f>
        <v>19027.878325342775</v>
      </c>
      <c r="J29" s="130">
        <f>IF(SER_hh_tes_in!J29=0,0,11630*1000*SER_hh_tes_in!J29/SER_hh_num_in!J29)</f>
        <v>18924.177167806669</v>
      </c>
      <c r="K29" s="130">
        <f>IF(SER_hh_tes_in!K29=0,0,11630*1000*SER_hh_tes_in!K29/SER_hh_num_in!K29)</f>
        <v>19055.334124897992</v>
      </c>
      <c r="L29" s="130">
        <f>IF(SER_hh_tes_in!L29=0,0,11630*1000*SER_hh_tes_in!L29/SER_hh_num_in!L29)</f>
        <v>19545.065596942397</v>
      </c>
      <c r="M29" s="130">
        <f>IF(SER_hh_tes_in!M29=0,0,11630*1000*SER_hh_tes_in!M29/SER_hh_num_in!M29)</f>
        <v>19331.53867008449</v>
      </c>
      <c r="N29" s="130">
        <f>IF(SER_hh_tes_in!N29=0,0,11630*1000*SER_hh_tes_in!N29/SER_hh_num_in!N29)</f>
        <v>19113.555725286435</v>
      </c>
      <c r="O29" s="130">
        <f>IF(SER_hh_tes_in!O29=0,0,11630*1000*SER_hh_tes_in!O29/SER_hh_num_in!O29)</f>
        <v>19027.80069954924</v>
      </c>
      <c r="P29" s="130">
        <f>IF(SER_hh_tes_in!P29=0,0,11630*1000*SER_hh_tes_in!P29/SER_hh_num_in!P29)</f>
        <v>18114.955979273123</v>
      </c>
      <c r="Q29" s="130">
        <f>IF(SER_hh_tes_in!Q29=0,0,11630*1000*SER_hh_tes_in!Q29/SER_hh_num_in!Q29)</f>
        <v>18242.338992394019</v>
      </c>
      <c r="R29" s="130">
        <f>IF(SER_hh_tes_in!R29=0,0,11630*1000*SER_hh_tes_in!R29/SER_hh_num_in!R29)</f>
        <v>18095.173930221452</v>
      </c>
      <c r="S29" s="130">
        <f>IF(SER_hh_tes_in!S29=0,0,11630*1000*SER_hh_tes_in!S29/SER_hh_num_in!S29)</f>
        <v>17819.118455693864</v>
      </c>
      <c r="T29" s="130">
        <f>IF(SER_hh_tes_in!T29=0,0,11630*1000*SER_hh_tes_in!T29/SER_hh_num_in!T29)</f>
        <v>18067.746623103532</v>
      </c>
      <c r="U29" s="130">
        <f>IF(SER_hh_tes_in!U29=0,0,11630*1000*SER_hh_tes_in!U29/SER_hh_num_in!U29)</f>
        <v>17677.690474842828</v>
      </c>
      <c r="V29" s="130">
        <f>IF(SER_hh_tes_in!V29=0,0,11630*1000*SER_hh_tes_in!V29/SER_hh_num_in!V29)</f>
        <v>16899.009859499394</v>
      </c>
      <c r="W29" s="130">
        <f>IF(SER_hh_tes_in!W29=0,0,11630*1000*SER_hh_tes_in!W29/SER_hh_num_in!W29)</f>
        <v>17656.533501816575</v>
      </c>
      <c r="X29" s="130">
        <f>IF(SER_hh_tes_in!X29=0,0,11630*1000*SER_hh_tes_in!X29/SER_hh_num_in!X29)</f>
        <v>17662.625828136494</v>
      </c>
      <c r="Y29" s="130">
        <f>IF(SER_hh_tes_in!Y29=0,0,11630*1000*SER_hh_tes_in!Y29/SER_hh_num_in!Y29)</f>
        <v>17394.001336864851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18582.589339427406</v>
      </c>
      <c r="D30" s="132">
        <f>IF(SER_hh_tes_in!D30=0,0,11630*1000*SER_hh_tes_in!D30/SER_hh_num_in!D30)</f>
        <v>21737.414163881407</v>
      </c>
      <c r="E30" s="132">
        <f>IF(SER_hh_tes_in!E30=0,0,11630*1000*SER_hh_tes_in!E30/SER_hh_num_in!E30)</f>
        <v>0</v>
      </c>
      <c r="F30" s="132">
        <f>IF(SER_hh_tes_in!F30=0,0,11630*1000*SER_hh_tes_in!F30/SER_hh_num_in!F30)</f>
        <v>0</v>
      </c>
      <c r="G30" s="132">
        <f>IF(SER_hh_tes_in!G30=0,0,11630*1000*SER_hh_tes_in!G30/SER_hh_num_in!G30)</f>
        <v>0</v>
      </c>
      <c r="H30" s="132">
        <f>IF(SER_hh_tes_in!H30=0,0,11630*1000*SER_hh_tes_in!H30/SER_hh_num_in!H30)</f>
        <v>19305.113898848689</v>
      </c>
      <c r="I30" s="132">
        <f>IF(SER_hh_tes_in!I30=0,0,11630*1000*SER_hh_tes_in!I30/SER_hh_num_in!I30)</f>
        <v>20071.114772281129</v>
      </c>
      <c r="J30" s="132">
        <f>IF(SER_hh_tes_in!J30=0,0,11630*1000*SER_hh_tes_in!J30/SER_hh_num_in!J30)</f>
        <v>17639.136618352943</v>
      </c>
      <c r="K30" s="132">
        <f>IF(SER_hh_tes_in!K30=0,0,11630*1000*SER_hh_tes_in!K30/SER_hh_num_in!K30)</f>
        <v>18414.623805317678</v>
      </c>
      <c r="L30" s="132">
        <f>IF(SER_hh_tes_in!L30=0,0,11630*1000*SER_hh_tes_in!L30/SER_hh_num_in!L30)</f>
        <v>21087.842851008834</v>
      </c>
      <c r="M30" s="132">
        <f>IF(SER_hh_tes_in!M30=0,0,11630*1000*SER_hh_tes_in!M30/SER_hh_num_in!M30)</f>
        <v>0</v>
      </c>
      <c r="N30" s="132">
        <f>IF(SER_hh_tes_in!N30=0,0,11630*1000*SER_hh_tes_in!N30/SER_hh_num_in!N30)</f>
        <v>0</v>
      </c>
      <c r="O30" s="132">
        <f>IF(SER_hh_tes_in!O30=0,0,11630*1000*SER_hh_tes_in!O30/SER_hh_num_in!O30)</f>
        <v>0</v>
      </c>
      <c r="P30" s="132">
        <f>IF(SER_hh_tes_in!P30=0,0,11630*1000*SER_hh_tes_in!P30/SER_hh_num_in!P30)</f>
        <v>17833.267523080485</v>
      </c>
      <c r="Q30" s="132">
        <f>IF(SER_hh_tes_in!Q30=0,0,11630*1000*SER_hh_tes_in!Q30/SER_hh_num_in!Q30)</f>
        <v>21034.583176786065</v>
      </c>
      <c r="R30" s="132">
        <f>IF(SER_hh_tes_in!R30=0,0,11630*1000*SER_hh_tes_in!R30/SER_hh_num_in!R30)</f>
        <v>17339.025038484553</v>
      </c>
      <c r="S30" s="132">
        <f>IF(SER_hh_tes_in!S30=0,0,11630*1000*SER_hh_tes_in!S30/SER_hh_num_in!S30)</f>
        <v>15064.627440860535</v>
      </c>
      <c r="T30" s="132">
        <f>IF(SER_hh_tes_in!T30=0,0,11630*1000*SER_hh_tes_in!T30/SER_hh_num_in!T30)</f>
        <v>18511.047552079937</v>
      </c>
      <c r="U30" s="132">
        <f>IF(SER_hh_tes_in!U30=0,0,11630*1000*SER_hh_tes_in!U30/SER_hh_num_in!U30)</f>
        <v>16056.507112155354</v>
      </c>
      <c r="V30" s="132">
        <f>IF(SER_hh_tes_in!V30=0,0,11630*1000*SER_hh_tes_in!V30/SER_hh_num_in!V30)</f>
        <v>22949.704573881369</v>
      </c>
      <c r="W30" s="132">
        <f>IF(SER_hh_tes_in!W30=0,0,11630*1000*SER_hh_tes_in!W30/SER_hh_num_in!W30)</f>
        <v>15937.63157862375</v>
      </c>
      <c r="X30" s="132">
        <f>IF(SER_hh_tes_in!X30=0,0,11630*1000*SER_hh_tes_in!X30/SER_hh_num_in!X30)</f>
        <v>16584.496724389603</v>
      </c>
      <c r="Y30" s="132">
        <f>IF(SER_hh_tes_in!Y30=0,0,11630*1000*SER_hh_tes_in!Y30/SER_hh_num_in!Y30)</f>
        <v>0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21715.254913349738</v>
      </c>
      <c r="D31" s="132">
        <f>IF(SER_hh_tes_in!D31=0,0,11630*1000*SER_hh_tes_in!D31/SER_hh_num_in!D31)</f>
        <v>18069.912266470641</v>
      </c>
      <c r="E31" s="132">
        <f>IF(SER_hh_tes_in!E31=0,0,11630*1000*SER_hh_tes_in!E31/SER_hh_num_in!E31)</f>
        <v>19009.560843896648</v>
      </c>
      <c r="F31" s="132">
        <f>IF(SER_hh_tes_in!F31=0,0,11630*1000*SER_hh_tes_in!F31/SER_hh_num_in!F31)</f>
        <v>20454.53616458625</v>
      </c>
      <c r="G31" s="132">
        <f>IF(SER_hh_tes_in!G31=0,0,11630*1000*SER_hh_tes_in!G31/SER_hh_num_in!G31)</f>
        <v>19554.378145475017</v>
      </c>
      <c r="H31" s="132">
        <f>IF(SER_hh_tes_in!H31=0,0,11630*1000*SER_hh_tes_in!H31/SER_hh_num_in!H31)</f>
        <v>19703.821557558917</v>
      </c>
      <c r="I31" s="132">
        <f>IF(SER_hh_tes_in!I31=0,0,11630*1000*SER_hh_tes_in!I31/SER_hh_num_in!I31)</f>
        <v>19290.158074871561</v>
      </c>
      <c r="J31" s="132">
        <f>IF(SER_hh_tes_in!J31=0,0,11630*1000*SER_hh_tes_in!J31/SER_hh_num_in!J31)</f>
        <v>19312.605019073006</v>
      </c>
      <c r="K31" s="132">
        <f>IF(SER_hh_tes_in!K31=0,0,11630*1000*SER_hh_tes_in!K31/SER_hh_num_in!K31)</f>
        <v>19184.158396061874</v>
      </c>
      <c r="L31" s="132">
        <f>IF(SER_hh_tes_in!L31=0,0,11630*1000*SER_hh_tes_in!L31/SER_hh_num_in!L31)</f>
        <v>19161.635171254849</v>
      </c>
      <c r="M31" s="132">
        <f>IF(SER_hh_tes_in!M31=0,0,11630*1000*SER_hh_tes_in!M31/SER_hh_num_in!M31)</f>
        <v>19319.893791837316</v>
      </c>
      <c r="N31" s="132">
        <f>IF(SER_hh_tes_in!N31=0,0,11630*1000*SER_hh_tes_in!N31/SER_hh_num_in!N31)</f>
        <v>19243.887002881114</v>
      </c>
      <c r="O31" s="132">
        <f>IF(SER_hh_tes_in!O31=0,0,11630*1000*SER_hh_tes_in!O31/SER_hh_num_in!O31)</f>
        <v>19342.039925478613</v>
      </c>
      <c r="P31" s="132">
        <f>IF(SER_hh_tes_in!P31=0,0,11630*1000*SER_hh_tes_in!P31/SER_hh_num_in!P31)</f>
        <v>18743.497535693525</v>
      </c>
      <c r="Q31" s="132">
        <f>IF(SER_hh_tes_in!Q31=0,0,11630*1000*SER_hh_tes_in!Q31/SER_hh_num_in!Q31)</f>
        <v>18222.737088294427</v>
      </c>
      <c r="R31" s="132">
        <f>IF(SER_hh_tes_in!R31=0,0,11630*1000*SER_hh_tes_in!R31/SER_hh_num_in!R31)</f>
        <v>18026.667283485778</v>
      </c>
      <c r="S31" s="132">
        <f>IF(SER_hh_tes_in!S31=0,0,11630*1000*SER_hh_tes_in!S31/SER_hh_num_in!S31)</f>
        <v>17885.617956790251</v>
      </c>
      <c r="T31" s="132">
        <f>IF(SER_hh_tes_in!T31=0,0,11630*1000*SER_hh_tes_in!T31/SER_hh_num_in!T31)</f>
        <v>17812.582886828368</v>
      </c>
      <c r="U31" s="132">
        <f>IF(SER_hh_tes_in!U31=0,0,11630*1000*SER_hh_tes_in!U31/SER_hh_num_in!U31)</f>
        <v>17694.979192141145</v>
      </c>
      <c r="V31" s="132">
        <f>IF(SER_hh_tes_in!V31=0,0,11630*1000*SER_hh_tes_in!V31/SER_hh_num_in!V31)</f>
        <v>16709.898983873234</v>
      </c>
      <c r="W31" s="132">
        <f>IF(SER_hh_tes_in!W31=0,0,11630*1000*SER_hh_tes_in!W31/SER_hh_num_in!W31)</f>
        <v>17931.152071107848</v>
      </c>
      <c r="X31" s="132">
        <f>IF(SER_hh_tes_in!X31=0,0,11630*1000*SER_hh_tes_in!X31/SER_hh_num_in!X31)</f>
        <v>17649.146502115858</v>
      </c>
      <c r="Y31" s="132">
        <f>IF(SER_hh_tes_in!Y31=0,0,11630*1000*SER_hh_tes_in!Y31/SER_hh_num_in!Y31)</f>
        <v>17155.140522307847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20433.650688778303</v>
      </c>
      <c r="D33" s="68">
        <f>IF(SER_hh_tes_in!D33=0,0,11630*1000*SER_hh_tes_in!D33/SER_hh_num_in!D33)</f>
        <v>20106.946480785067</v>
      </c>
      <c r="E33" s="68">
        <f>IF(SER_hh_tes_in!E33=0,0,11630*1000*SER_hh_tes_in!E33/SER_hh_num_in!E33)</f>
        <v>19729.440124259243</v>
      </c>
      <c r="F33" s="68">
        <f>IF(SER_hh_tes_in!F33=0,0,11630*1000*SER_hh_tes_in!F33/SER_hh_num_in!F33)</f>
        <v>20040.61330667344</v>
      </c>
      <c r="G33" s="68">
        <f>IF(SER_hh_tes_in!G33=0,0,11630*1000*SER_hh_tes_in!G33/SER_hh_num_in!G33)</f>
        <v>19382.850311921891</v>
      </c>
      <c r="H33" s="68">
        <f>IF(SER_hh_tes_in!H33=0,0,11630*1000*SER_hh_tes_in!H33/SER_hh_num_in!H33)</f>
        <v>19278.158171986641</v>
      </c>
      <c r="I33" s="68">
        <f>IF(SER_hh_tes_in!I33=0,0,11630*1000*SER_hh_tes_in!I33/SER_hh_num_in!I33)</f>
        <v>18461.040725276107</v>
      </c>
      <c r="J33" s="68">
        <f>IF(SER_hh_tes_in!J33=0,0,11630*1000*SER_hh_tes_in!J33/SER_hh_num_in!J33)</f>
        <v>18858.658362394322</v>
      </c>
      <c r="K33" s="68">
        <f>IF(SER_hh_tes_in!K33=0,0,11630*1000*SER_hh_tes_in!K33/SER_hh_num_in!K33)</f>
        <v>19138.707465138901</v>
      </c>
      <c r="L33" s="68">
        <f>IF(SER_hh_tes_in!L33=0,0,11630*1000*SER_hh_tes_in!L33/SER_hh_num_in!L33)</f>
        <v>19594.720622264867</v>
      </c>
      <c r="M33" s="68">
        <f>IF(SER_hh_tes_in!M33=0,0,11630*1000*SER_hh_tes_in!M33/SER_hh_num_in!M33)</f>
        <v>19435.223839864138</v>
      </c>
      <c r="N33" s="68">
        <f>IF(SER_hh_tes_in!N33=0,0,11630*1000*SER_hh_tes_in!N33/SER_hh_num_in!N33)</f>
        <v>18568.553256433057</v>
      </c>
      <c r="O33" s="68">
        <f>IF(SER_hh_tes_in!O33=0,0,11630*1000*SER_hh_tes_in!O33/SER_hh_num_in!O33)</f>
        <v>18384.910321868654</v>
      </c>
      <c r="P33" s="68">
        <f>IF(SER_hh_tes_in!P33=0,0,11630*1000*SER_hh_tes_in!P33/SER_hh_num_in!P33)</f>
        <v>17254.520081601113</v>
      </c>
      <c r="Q33" s="68">
        <f>IF(SER_hh_tes_in!Q33=0,0,11630*1000*SER_hh_tes_in!Q33/SER_hh_num_in!Q33)</f>
        <v>18117.647097062491</v>
      </c>
      <c r="R33" s="68">
        <f>IF(SER_hh_tes_in!R33=0,0,11630*1000*SER_hh_tes_in!R33/SER_hh_num_in!R33)</f>
        <v>18182.703891126836</v>
      </c>
      <c r="S33" s="68">
        <f>IF(SER_hh_tes_in!S33=0,0,11630*1000*SER_hh_tes_in!S33/SER_hh_num_in!S33)</f>
        <v>17978.257384417433</v>
      </c>
      <c r="T33" s="68">
        <f>IF(SER_hh_tes_in!T33=0,0,11630*1000*SER_hh_tes_in!T33/SER_hh_num_in!T33)</f>
        <v>18230.411520437265</v>
      </c>
      <c r="U33" s="68">
        <f>IF(SER_hh_tes_in!U33=0,0,11630*1000*SER_hh_tes_in!U33/SER_hh_num_in!U33)</f>
        <v>18095.563619653054</v>
      </c>
      <c r="V33" s="68">
        <f>IF(SER_hh_tes_in!V33=0,0,11630*1000*SER_hh_tes_in!V33/SER_hh_num_in!V33)</f>
        <v>15946.149827360259</v>
      </c>
      <c r="W33" s="68">
        <f>IF(SER_hh_tes_in!W33=0,0,11630*1000*SER_hh_tes_in!W33/SER_hh_num_in!W33)</f>
        <v>17498.8079380323</v>
      </c>
      <c r="X33" s="68">
        <f>IF(SER_hh_tes_in!X33=0,0,11630*1000*SER_hh_tes_in!X33/SER_hh_num_in!X33)</f>
        <v>17715.228767267723</v>
      </c>
      <c r="Y33" s="68">
        <f>IF(SER_hh_tes_in!Y33=0,0,11630*1000*SER_hh_tes_in!Y33/SER_hh_num_in!Y33)</f>
        <v>17681.720547005923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56168.225444496362</v>
      </c>
      <c r="D3" s="125">
        <f>IF(SER_hh_emi_in!D3=0,0,1000000*SER_hh_emi_in!D3/SER_hh_num_in!D3)</f>
        <v>56547.20480796312</v>
      </c>
      <c r="E3" s="125">
        <f>IF(SER_hh_emi_in!E3=0,0,1000000*SER_hh_emi_in!E3/SER_hh_num_in!E3)</f>
        <v>54774.23876471346</v>
      </c>
      <c r="F3" s="125">
        <f>IF(SER_hh_emi_in!F3=0,0,1000000*SER_hh_emi_in!F3/SER_hh_num_in!F3)</f>
        <v>62480.007195801212</v>
      </c>
      <c r="G3" s="125">
        <f>IF(SER_hh_emi_in!G3=0,0,1000000*SER_hh_emi_in!G3/SER_hh_num_in!G3)</f>
        <v>39320.69702540047</v>
      </c>
      <c r="H3" s="125">
        <f>IF(SER_hh_emi_in!H3=0,0,1000000*SER_hh_emi_in!H3/SER_hh_num_in!H3)</f>
        <v>21369.819931968374</v>
      </c>
      <c r="I3" s="125">
        <f>IF(SER_hh_emi_in!I3=0,0,1000000*SER_hh_emi_in!I3/SER_hh_num_in!I3)</f>
        <v>13815.706162444536</v>
      </c>
      <c r="J3" s="125">
        <f>IF(SER_hh_emi_in!J3=0,0,1000000*SER_hh_emi_in!J3/SER_hh_num_in!J3)</f>
        <v>15043.974860352642</v>
      </c>
      <c r="K3" s="125">
        <f>IF(SER_hh_emi_in!K3=0,0,1000000*SER_hh_emi_in!K3/SER_hh_num_in!K3)</f>
        <v>31828.539484694385</v>
      </c>
      <c r="L3" s="125">
        <f>IF(SER_hh_emi_in!L3=0,0,1000000*SER_hh_emi_in!L3/SER_hh_num_in!L3)</f>
        <v>45689.355485893866</v>
      </c>
      <c r="M3" s="125">
        <f>IF(SER_hh_emi_in!M3=0,0,1000000*SER_hh_emi_in!M3/SER_hh_num_in!M3)</f>
        <v>43910.239296853732</v>
      </c>
      <c r="N3" s="125">
        <f>IF(SER_hh_emi_in!N3=0,0,1000000*SER_hh_emi_in!N3/SER_hh_num_in!N3)</f>
        <v>31917.266164697572</v>
      </c>
      <c r="O3" s="125">
        <f>IF(SER_hh_emi_in!O3=0,0,1000000*SER_hh_emi_in!O3/SER_hh_num_in!O3)</f>
        <v>28287.066724312866</v>
      </c>
      <c r="P3" s="125">
        <f>IF(SER_hh_emi_in!P3=0,0,1000000*SER_hh_emi_in!P3/SER_hh_num_in!P3)</f>
        <v>22552.815869824692</v>
      </c>
      <c r="Q3" s="125">
        <f>IF(SER_hh_emi_in!Q3=0,0,1000000*SER_hh_emi_in!Q3/SER_hh_num_in!Q3)</f>
        <v>13246.243107899234</v>
      </c>
      <c r="R3" s="125">
        <f>IF(SER_hh_emi_in!R3=0,0,1000000*SER_hh_emi_in!R3/SER_hh_num_in!R3)</f>
        <v>13512.935947187994</v>
      </c>
      <c r="S3" s="125">
        <f>IF(SER_hh_emi_in!S3=0,0,1000000*SER_hh_emi_in!S3/SER_hh_num_in!S3)</f>
        <v>13733.400473640691</v>
      </c>
      <c r="T3" s="125">
        <f>IF(SER_hh_emi_in!T3=0,0,1000000*SER_hh_emi_in!T3/SER_hh_num_in!T3)</f>
        <v>14590.596927750525</v>
      </c>
      <c r="U3" s="125">
        <f>IF(SER_hh_emi_in!U3=0,0,1000000*SER_hh_emi_in!U3/SER_hh_num_in!U3)</f>
        <v>14238.443265728296</v>
      </c>
      <c r="V3" s="125">
        <f>IF(SER_hh_emi_in!V3=0,0,1000000*SER_hh_emi_in!V3/SER_hh_num_in!V3)</f>
        <v>13374.131495535063</v>
      </c>
      <c r="W3" s="125">
        <f>IF(SER_hh_emi_in!W3=0,0,1000000*SER_hh_emi_in!W3/SER_hh_num_in!W3)</f>
        <v>10117.916428001821</v>
      </c>
      <c r="X3" s="125">
        <f>IF(SER_hh_emi_in!X3=0,0,1000000*SER_hh_emi_in!X3/SER_hh_num_in!X3)</f>
        <v>6802.8154277139329</v>
      </c>
      <c r="Y3" s="125">
        <f>IF(SER_hh_emi_in!Y3=0,0,1000000*SER_hh_emi_in!Y3/SER_hh_num_in!Y3)</f>
        <v>6480.3943724566116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50948.539635352077</v>
      </c>
      <c r="D4" s="130">
        <f>IF(SER_hh_emi_in!D4=0,0,1000000*SER_hh_emi_in!D4/SER_hh_num_in!D4)</f>
        <v>49955.087188154066</v>
      </c>
      <c r="E4" s="130">
        <f>IF(SER_hh_emi_in!E4=0,0,1000000*SER_hh_emi_in!E4/SER_hh_num_in!E4)</f>
        <v>48959.550019038201</v>
      </c>
      <c r="F4" s="130">
        <f>IF(SER_hh_emi_in!F4=0,0,1000000*SER_hh_emi_in!F4/SER_hh_num_in!F4)</f>
        <v>55226.577403020216</v>
      </c>
      <c r="G4" s="130">
        <f>IF(SER_hh_emi_in!G4=0,0,1000000*SER_hh_emi_in!G4/SER_hh_num_in!G4)</f>
        <v>32942.934974673524</v>
      </c>
      <c r="H4" s="130">
        <f>IF(SER_hh_emi_in!H4=0,0,1000000*SER_hh_emi_in!H4/SER_hh_num_in!H4)</f>
        <v>14309.317854671184</v>
      </c>
      <c r="I4" s="130">
        <f>IF(SER_hh_emi_in!I4=0,0,1000000*SER_hh_emi_in!I4/SER_hh_num_in!I4)</f>
        <v>6587.4723194555627</v>
      </c>
      <c r="J4" s="130">
        <f>IF(SER_hh_emi_in!J4=0,0,1000000*SER_hh_emi_in!J4/SER_hh_num_in!J4)</f>
        <v>7733.8414790537054</v>
      </c>
      <c r="K4" s="130">
        <f>IF(SER_hh_emi_in!K4=0,0,1000000*SER_hh_emi_in!K4/SER_hh_num_in!K4)</f>
        <v>24621.798593656848</v>
      </c>
      <c r="L4" s="130">
        <f>IF(SER_hh_emi_in!L4=0,0,1000000*SER_hh_emi_in!L4/SER_hh_num_in!L4)</f>
        <v>38132.317133345168</v>
      </c>
      <c r="M4" s="130">
        <f>IF(SER_hh_emi_in!M4=0,0,1000000*SER_hh_emi_in!M4/SER_hh_num_in!M4)</f>
        <v>34962.602074958013</v>
      </c>
      <c r="N4" s="130">
        <f>IF(SER_hh_emi_in!N4=0,0,1000000*SER_hh_emi_in!N4/SER_hh_num_in!N4)</f>
        <v>24088.303064750315</v>
      </c>
      <c r="O4" s="130">
        <f>IF(SER_hh_emi_in!O4=0,0,1000000*SER_hh_emi_in!O4/SER_hh_num_in!O4)</f>
        <v>20514.821014569654</v>
      </c>
      <c r="P4" s="130">
        <f>IF(SER_hh_emi_in!P4=0,0,1000000*SER_hh_emi_in!P4/SER_hh_num_in!P4)</f>
        <v>15165.53981828808</v>
      </c>
      <c r="Q4" s="130">
        <f>IF(SER_hh_emi_in!Q4=0,0,1000000*SER_hh_emi_in!Q4/SER_hh_num_in!Q4)</f>
        <v>7377.5821448587294</v>
      </c>
      <c r="R4" s="130">
        <f>IF(SER_hh_emi_in!R4=0,0,1000000*SER_hh_emi_in!R4/SER_hh_num_in!R4)</f>
        <v>8333.1331771364512</v>
      </c>
      <c r="S4" s="130">
        <f>IF(SER_hh_emi_in!S4=0,0,1000000*SER_hh_emi_in!S4/SER_hh_num_in!S4)</f>
        <v>8455.2131115628508</v>
      </c>
      <c r="T4" s="130">
        <f>IF(SER_hh_emi_in!T4=0,0,1000000*SER_hh_emi_in!T4/SER_hh_num_in!T4)</f>
        <v>8697.5614923457542</v>
      </c>
      <c r="U4" s="130">
        <f>IF(SER_hh_emi_in!U4=0,0,1000000*SER_hh_emi_in!U4/SER_hh_num_in!U4)</f>
        <v>8619.4917022699938</v>
      </c>
      <c r="V4" s="130">
        <f>IF(SER_hh_emi_in!V4=0,0,1000000*SER_hh_emi_in!V4/SER_hh_num_in!V4)</f>
        <v>7968.9421169529041</v>
      </c>
      <c r="W4" s="130">
        <f>IF(SER_hh_emi_in!W4=0,0,1000000*SER_hh_emi_in!W4/SER_hh_num_in!W4)</f>
        <v>5194.8008447746961</v>
      </c>
      <c r="X4" s="130">
        <f>IF(SER_hh_emi_in!X4=0,0,1000000*SER_hh_emi_in!X4/SER_hh_num_in!X4)</f>
        <v>2418.628955839552</v>
      </c>
      <c r="Y4" s="130">
        <f>IF(SER_hh_emi_in!Y4=0,0,1000000*SER_hh_emi_in!Y4/SER_hh_num_in!Y4)</f>
        <v>1850.0511953552354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0</v>
      </c>
      <c r="D5" s="132">
        <f>IF(SER_hh_emi_in!D5=0,0,1000000*SER_hh_emi_in!D5/SER_hh_num_in!D5)</f>
        <v>0</v>
      </c>
      <c r="E5" s="132">
        <f>IF(SER_hh_emi_in!E5=0,0,1000000*SER_hh_emi_in!E5/SER_hh_num_in!E5)</f>
        <v>0</v>
      </c>
      <c r="F5" s="132">
        <f>IF(SER_hh_emi_in!F5=0,0,1000000*SER_hh_emi_in!F5/SER_hh_num_in!F5)</f>
        <v>0</v>
      </c>
      <c r="G5" s="132">
        <f>IF(SER_hh_emi_in!G5=0,0,1000000*SER_hh_emi_in!G5/SER_hh_num_in!G5)</f>
        <v>0</v>
      </c>
      <c r="H5" s="132">
        <f>IF(SER_hh_emi_in!H5=0,0,1000000*SER_hh_emi_in!H5/SER_hh_num_in!H5)</f>
        <v>0</v>
      </c>
      <c r="I5" s="132">
        <f>IF(SER_hh_emi_in!I5=0,0,1000000*SER_hh_emi_in!I5/SER_hh_num_in!I5)</f>
        <v>0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72746.085512541889</v>
      </c>
      <c r="N5" s="132">
        <f>IF(SER_hh_emi_in!N5=0,0,1000000*SER_hh_emi_in!N5/SER_hh_num_in!N5)</f>
        <v>21249.476231742985</v>
      </c>
      <c r="O5" s="132">
        <f>IF(SER_hh_emi_in!O5=0,0,1000000*SER_hh_emi_in!O5/SER_hh_num_in!O5)</f>
        <v>46738.208994320259</v>
      </c>
      <c r="P5" s="132">
        <f>IF(SER_hh_emi_in!P5=0,0,1000000*SER_hh_emi_in!P5/SER_hh_num_in!P5)</f>
        <v>34856.251790337483</v>
      </c>
      <c r="Q5" s="132">
        <f>IF(SER_hh_emi_in!Q5=0,0,1000000*SER_hh_emi_in!Q5/SER_hh_num_in!Q5)</f>
        <v>38522.010789030719</v>
      </c>
      <c r="R5" s="132">
        <f>IF(SER_hh_emi_in!R5=0,0,1000000*SER_hh_emi_in!R5/SER_hh_num_in!R5)</f>
        <v>0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0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0</v>
      </c>
      <c r="D7" s="132">
        <f>IF(SER_hh_emi_in!D7=0,0,1000000*SER_hh_emi_in!D7/SER_hh_num_in!D7)</f>
        <v>0</v>
      </c>
      <c r="E7" s="132">
        <f>IF(SER_hh_emi_in!E7=0,0,1000000*SER_hh_emi_in!E7/SER_hh_num_in!E7)</f>
        <v>0</v>
      </c>
      <c r="F7" s="132">
        <f>IF(SER_hh_emi_in!F7=0,0,1000000*SER_hh_emi_in!F7/SER_hh_num_in!F7)</f>
        <v>0</v>
      </c>
      <c r="G7" s="132">
        <f>IF(SER_hh_emi_in!G7=0,0,1000000*SER_hh_emi_in!G7/SER_hh_num_in!G7)</f>
        <v>0</v>
      </c>
      <c r="H7" s="132">
        <f>IF(SER_hh_emi_in!H7=0,0,1000000*SER_hh_emi_in!H7/SER_hh_num_in!H7)</f>
        <v>0</v>
      </c>
      <c r="I7" s="132">
        <f>IF(SER_hh_emi_in!I7=0,0,1000000*SER_hh_emi_in!I7/SER_hh_num_in!I7)</f>
        <v>0</v>
      </c>
      <c r="J7" s="132">
        <f>IF(SER_hh_emi_in!J7=0,0,1000000*SER_hh_emi_in!J7/SER_hh_num_in!J7)</f>
        <v>0</v>
      </c>
      <c r="K7" s="132">
        <f>IF(SER_hh_emi_in!K7=0,0,1000000*SER_hh_emi_in!K7/SER_hh_num_in!K7)</f>
        <v>0</v>
      </c>
      <c r="L7" s="132">
        <f>IF(SER_hh_emi_in!L7=0,0,1000000*SER_hh_emi_in!L7/SER_hh_num_in!L7)</f>
        <v>0</v>
      </c>
      <c r="M7" s="132">
        <f>IF(SER_hh_emi_in!M7=0,0,1000000*SER_hh_emi_in!M7/SER_hh_num_in!M7)</f>
        <v>0</v>
      </c>
      <c r="N7" s="132">
        <f>IF(SER_hh_emi_in!N7=0,0,1000000*SER_hh_emi_in!N7/SER_hh_num_in!N7)</f>
        <v>56582.057741030228</v>
      </c>
      <c r="O7" s="132">
        <f>IF(SER_hh_emi_in!O7=0,0,1000000*SER_hh_emi_in!O7/SER_hh_num_in!O7)</f>
        <v>20759.436679563489</v>
      </c>
      <c r="P7" s="132">
        <f>IF(SER_hh_emi_in!P7=0,0,1000000*SER_hh_emi_in!P7/SER_hh_num_in!P7)</f>
        <v>25917.581582648814</v>
      </c>
      <c r="Q7" s="132">
        <f>IF(SER_hh_emi_in!Q7=0,0,1000000*SER_hh_emi_in!Q7/SER_hh_num_in!Q7)</f>
        <v>30125.577907792635</v>
      </c>
      <c r="R7" s="132">
        <f>IF(SER_hh_emi_in!R7=0,0,1000000*SER_hh_emi_in!R7/SER_hh_num_in!R7)</f>
        <v>28828.387882729614</v>
      </c>
      <c r="S7" s="132">
        <f>IF(SER_hh_emi_in!S7=0,0,1000000*SER_hh_emi_in!S7/SER_hh_num_in!S7)</f>
        <v>23011.352083984366</v>
      </c>
      <c r="T7" s="132">
        <f>IF(SER_hh_emi_in!T7=0,0,1000000*SER_hh_emi_in!T7/SER_hh_num_in!T7)</f>
        <v>23341.435938209717</v>
      </c>
      <c r="U7" s="132">
        <f>IF(SER_hh_emi_in!U7=0,0,1000000*SER_hh_emi_in!U7/SER_hh_num_in!U7)</f>
        <v>18886.420991497205</v>
      </c>
      <c r="V7" s="132">
        <f>IF(SER_hh_emi_in!V7=0,0,1000000*SER_hh_emi_in!V7/SER_hh_num_in!V7)</f>
        <v>17522.653639903223</v>
      </c>
      <c r="W7" s="132">
        <f>IF(SER_hh_emi_in!W7=0,0,1000000*SER_hh_emi_in!W7/SER_hh_num_in!W7)</f>
        <v>17889.63513074816</v>
      </c>
      <c r="X7" s="132">
        <f>IF(SER_hh_emi_in!X7=0,0,1000000*SER_hh_emi_in!X7/SER_hh_num_in!X7)</f>
        <v>11435.280500906531</v>
      </c>
      <c r="Y7" s="132">
        <f>IF(SER_hh_emi_in!Y7=0,0,1000000*SER_hh_emi_in!Y7/SER_hh_num_in!Y7)</f>
        <v>10332.75853852541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0</v>
      </c>
      <c r="D8" s="132">
        <f>IF(SER_hh_emi_in!D8=0,0,1000000*SER_hh_emi_in!D8/SER_hh_num_in!D8)</f>
        <v>0</v>
      </c>
      <c r="E8" s="132">
        <f>IF(SER_hh_emi_in!E8=0,0,1000000*SER_hh_emi_in!E8/SER_hh_num_in!E8)</f>
        <v>0</v>
      </c>
      <c r="F8" s="132">
        <f>IF(SER_hh_emi_in!F8=0,0,1000000*SER_hh_emi_in!F8/SER_hh_num_in!F8)</f>
        <v>0</v>
      </c>
      <c r="G8" s="132">
        <f>IF(SER_hh_emi_in!G8=0,0,1000000*SER_hh_emi_in!G8/SER_hh_num_in!G8)</f>
        <v>0</v>
      </c>
      <c r="H8" s="132">
        <f>IF(SER_hh_emi_in!H8=0,0,1000000*SER_hh_emi_in!H8/SER_hh_num_in!H8)</f>
        <v>0</v>
      </c>
      <c r="I8" s="132">
        <f>IF(SER_hh_emi_in!I8=0,0,1000000*SER_hh_emi_in!I8/SER_hh_num_in!I8)</f>
        <v>0</v>
      </c>
      <c r="J8" s="132">
        <f>IF(SER_hh_emi_in!J8=0,0,1000000*SER_hh_emi_in!J8/SER_hh_num_in!J8)</f>
        <v>0</v>
      </c>
      <c r="K8" s="132">
        <f>IF(SER_hh_emi_in!K8=0,0,1000000*SER_hh_emi_in!K8/SER_hh_num_in!K8)</f>
        <v>0</v>
      </c>
      <c r="L8" s="132">
        <f>IF(SER_hh_emi_in!L8=0,0,1000000*SER_hh_emi_in!L8/SER_hh_num_in!L8)</f>
        <v>0</v>
      </c>
      <c r="M8" s="132">
        <f>IF(SER_hh_emi_in!M8=0,0,1000000*SER_hh_emi_in!M8/SER_hh_num_in!M8)</f>
        <v>0</v>
      </c>
      <c r="N8" s="132">
        <f>IF(SER_hh_emi_in!N8=0,0,1000000*SER_hh_emi_in!N8/SER_hh_num_in!N8)</f>
        <v>0</v>
      </c>
      <c r="O8" s="132">
        <f>IF(SER_hh_emi_in!O8=0,0,1000000*SER_hh_emi_in!O8/SER_hh_num_in!O8)</f>
        <v>0</v>
      </c>
      <c r="P8" s="132">
        <f>IF(SER_hh_emi_in!P8=0,0,1000000*SER_hh_emi_in!P8/SER_hh_num_in!P8)</f>
        <v>0</v>
      </c>
      <c r="Q8" s="132">
        <f>IF(SER_hh_emi_in!Q8=0,0,1000000*SER_hh_emi_in!Q8/SER_hh_num_in!Q8)</f>
        <v>0</v>
      </c>
      <c r="R8" s="132">
        <f>IF(SER_hh_emi_in!R8=0,0,1000000*SER_hh_emi_in!R8/SER_hh_num_in!R8)</f>
        <v>1517.9050901535747</v>
      </c>
      <c r="S8" s="132">
        <f>IF(SER_hh_emi_in!S8=0,0,1000000*SER_hh_emi_in!S8/SER_hh_num_in!S8)</f>
        <v>3427.9836802050363</v>
      </c>
      <c r="T8" s="132">
        <f>IF(SER_hh_emi_in!T8=0,0,1000000*SER_hh_emi_in!T8/SER_hh_num_in!T8)</f>
        <v>4282.3610628455426</v>
      </c>
      <c r="U8" s="132">
        <f>IF(SER_hh_emi_in!U8=0,0,1000000*SER_hh_emi_in!U8/SER_hh_num_in!U8)</f>
        <v>3383.9439069566833</v>
      </c>
      <c r="V8" s="132">
        <f>IF(SER_hh_emi_in!V8=0,0,1000000*SER_hh_emi_in!V8/SER_hh_num_in!V8)</f>
        <v>4183.267169653961</v>
      </c>
      <c r="W8" s="132">
        <f>IF(SER_hh_emi_in!W8=0,0,1000000*SER_hh_emi_in!W8/SER_hh_num_in!W8)</f>
        <v>2555.0257898326263</v>
      </c>
      <c r="X8" s="132">
        <f>IF(SER_hh_emi_in!X8=0,0,1000000*SER_hh_emi_in!X8/SER_hh_num_in!X8)</f>
        <v>2262.3128205132889</v>
      </c>
      <c r="Y8" s="132">
        <f>IF(SER_hh_emi_in!Y8=0,0,1000000*SER_hh_emi_in!Y8/SER_hh_num_in!Y8)</f>
        <v>2040.6342019837325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65260.344718346154</v>
      </c>
      <c r="D9" s="132">
        <f>IF(SER_hh_emi_in!D9=0,0,1000000*SER_hh_emi_in!D9/SER_hh_num_in!D9)</f>
        <v>55885.664648470345</v>
      </c>
      <c r="E9" s="132">
        <f>IF(SER_hh_emi_in!E9=0,0,1000000*SER_hh_emi_in!E9/SER_hh_num_in!E9)</f>
        <v>54495.155216043284</v>
      </c>
      <c r="F9" s="132">
        <f>IF(SER_hh_emi_in!F9=0,0,1000000*SER_hh_emi_in!F9/SER_hh_num_in!F9)</f>
        <v>66279.690164801214</v>
      </c>
      <c r="G9" s="132">
        <f>IF(SER_hh_emi_in!G9=0,0,1000000*SER_hh_emi_in!G9/SER_hh_num_in!G9)</f>
        <v>61214.785422709414</v>
      </c>
      <c r="H9" s="132">
        <f>IF(SER_hh_emi_in!H9=0,0,1000000*SER_hh_emi_in!H9/SER_hh_num_in!H9)</f>
        <v>52306.822265220901</v>
      </c>
      <c r="I9" s="132">
        <f>IF(SER_hh_emi_in!I9=0,0,1000000*SER_hh_emi_in!I9/SER_hh_num_in!I9)</f>
        <v>39972.110591767218</v>
      </c>
      <c r="J9" s="132">
        <f>IF(SER_hh_emi_in!J9=0,0,1000000*SER_hh_emi_in!J9/SER_hh_num_in!J9)</f>
        <v>38197.063270021266</v>
      </c>
      <c r="K9" s="132">
        <f>IF(SER_hh_emi_in!K9=0,0,1000000*SER_hh_emi_in!K9/SER_hh_num_in!K9)</f>
        <v>41678.808092978601</v>
      </c>
      <c r="L9" s="132">
        <f>IF(SER_hh_emi_in!L9=0,0,1000000*SER_hh_emi_in!L9/SER_hh_num_in!L9)</f>
        <v>43430.322102633618</v>
      </c>
      <c r="M9" s="132">
        <f>IF(SER_hh_emi_in!M9=0,0,1000000*SER_hh_emi_in!M9/SER_hh_num_in!M9)</f>
        <v>39852.801877540551</v>
      </c>
      <c r="N9" s="132">
        <f>IF(SER_hh_emi_in!N9=0,0,1000000*SER_hh_emi_in!N9/SER_hh_num_in!N9)</f>
        <v>26982.356781030747</v>
      </c>
      <c r="O9" s="132">
        <f>IF(SER_hh_emi_in!O9=0,0,1000000*SER_hh_emi_in!O9/SER_hh_num_in!O9)</f>
        <v>24600.215100008711</v>
      </c>
      <c r="P9" s="132">
        <f>IF(SER_hh_emi_in!P9=0,0,1000000*SER_hh_emi_in!P9/SER_hh_num_in!P9)</f>
        <v>18694.700905425227</v>
      </c>
      <c r="Q9" s="132">
        <f>IF(SER_hh_emi_in!Q9=0,0,1000000*SER_hh_emi_in!Q9/SER_hh_num_in!Q9)</f>
        <v>18330.490255339435</v>
      </c>
      <c r="R9" s="132">
        <f>IF(SER_hh_emi_in!R9=0,0,1000000*SER_hh_emi_in!R9/SER_hh_num_in!R9)</f>
        <v>17274.390350714242</v>
      </c>
      <c r="S9" s="132">
        <f>IF(SER_hh_emi_in!S9=0,0,1000000*SER_hh_emi_in!S9/SER_hh_num_in!S9)</f>
        <v>15912.22344901731</v>
      </c>
      <c r="T9" s="132">
        <f>IF(SER_hh_emi_in!T9=0,0,1000000*SER_hh_emi_in!T9/SER_hh_num_in!T9)</f>
        <v>14159.223561490568</v>
      </c>
      <c r="U9" s="132">
        <f>IF(SER_hh_emi_in!U9=0,0,1000000*SER_hh_emi_in!U9/SER_hh_num_in!U9)</f>
        <v>12791.081636672103</v>
      </c>
      <c r="V9" s="132">
        <f>IF(SER_hh_emi_in!V9=0,0,1000000*SER_hh_emi_in!V9/SER_hh_num_in!V9)</f>
        <v>12223.837366838485</v>
      </c>
      <c r="W9" s="132">
        <f>IF(SER_hh_emi_in!W9=0,0,1000000*SER_hh_emi_in!W9/SER_hh_num_in!W9)</f>
        <v>11075.359803794225</v>
      </c>
      <c r="X9" s="132">
        <f>IF(SER_hh_emi_in!X9=0,0,1000000*SER_hh_emi_in!X9/SER_hh_num_in!X9)</f>
        <v>8218.3882602418817</v>
      </c>
      <c r="Y9" s="132">
        <f>IF(SER_hh_emi_in!Y9=0,0,1000000*SER_hh_emi_in!Y9/SER_hh_num_in!Y9)</f>
        <v>6352.3607152358991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8145.4062214870992</v>
      </c>
      <c r="O10" s="132">
        <f>IF(SER_hh_emi_in!O10=0,0,1000000*SER_hh_emi_in!O10/SER_hh_num_in!O10)</f>
        <v>6769.7597631642866</v>
      </c>
      <c r="P10" s="132">
        <f>IF(SER_hh_emi_in!P10=0,0,1000000*SER_hh_emi_in!P10/SER_hh_num_in!P10)</f>
        <v>4392.3520965197304</v>
      </c>
      <c r="Q10" s="132">
        <f>IF(SER_hh_emi_in!Q10=0,0,1000000*SER_hh_emi_in!Q10/SER_hh_num_in!Q10)</f>
        <v>8306.8401147384502</v>
      </c>
      <c r="R10" s="132">
        <f>IF(SER_hh_emi_in!R10=0,0,1000000*SER_hh_emi_in!R10/SER_hh_num_in!R10)</f>
        <v>4884.7327497392616</v>
      </c>
      <c r="S10" s="132">
        <f>IF(SER_hh_emi_in!S10=0,0,1000000*SER_hh_emi_in!S10/SER_hh_num_in!S10)</f>
        <v>5792.8747047948909</v>
      </c>
      <c r="T10" s="132">
        <f>IF(SER_hh_emi_in!T10=0,0,1000000*SER_hh_emi_in!T10/SER_hh_num_in!T10)</f>
        <v>7135.33038928722</v>
      </c>
      <c r="U10" s="132">
        <f>IF(SER_hh_emi_in!U10=0,0,1000000*SER_hh_emi_in!U10/SER_hh_num_in!U10)</f>
        <v>7705.631894902991</v>
      </c>
      <c r="V10" s="132">
        <f>IF(SER_hh_emi_in!V10=0,0,1000000*SER_hh_emi_in!V10/SER_hh_num_in!V10)</f>
        <v>0</v>
      </c>
      <c r="W10" s="132">
        <f>IF(SER_hh_emi_in!W10=0,0,1000000*SER_hh_emi_in!W10/SER_hh_num_in!W10)</f>
        <v>5362.7095951404199</v>
      </c>
      <c r="X10" s="132">
        <f>IF(SER_hh_emi_in!X10=0,0,1000000*SER_hh_emi_in!X10/SER_hh_num_in!X10)</f>
        <v>4606.3443201532673</v>
      </c>
      <c r="Y10" s="132">
        <f>IF(SER_hh_emi_in!Y10=0,0,1000000*SER_hh_emi_in!Y10/SER_hh_num_in!Y10)</f>
        <v>3230.6728145033549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13.586673246500283</v>
      </c>
      <c r="D16" s="130">
        <f>IF(SER_hh_emi_in!D16=0,0,1000000*SER_hh_emi_in!D16/SER_hh_num_in!D16)</f>
        <v>15.797284790931</v>
      </c>
      <c r="E16" s="130">
        <f>IF(SER_hh_emi_in!E16=0,0,1000000*SER_hh_emi_in!E16/SER_hh_num_in!E16)</f>
        <v>16.088449511064372</v>
      </c>
      <c r="F16" s="130">
        <f>IF(SER_hh_emi_in!F16=0,0,1000000*SER_hh_emi_in!F16/SER_hh_num_in!F16)</f>
        <v>5.8384100731066226</v>
      </c>
      <c r="G16" s="130">
        <f>IF(SER_hh_emi_in!G16=0,0,1000000*SER_hh_emi_in!G16/SER_hh_num_in!G16)</f>
        <v>10.737807520526458</v>
      </c>
      <c r="H16" s="130">
        <f>IF(SER_hh_emi_in!H16=0,0,1000000*SER_hh_emi_in!H16/SER_hh_num_in!H16)</f>
        <v>14.559596256230943</v>
      </c>
      <c r="I16" s="130">
        <f>IF(SER_hh_emi_in!I16=0,0,1000000*SER_hh_emi_in!I16/SER_hh_num_in!I16)</f>
        <v>15.001172424167091</v>
      </c>
      <c r="J16" s="130">
        <f>IF(SER_hh_emi_in!J16=0,0,1000000*SER_hh_emi_in!J16/SER_hh_num_in!J16)</f>
        <v>8.0738099046779368</v>
      </c>
      <c r="K16" s="130">
        <f>IF(SER_hh_emi_in!K16=0,0,1000000*SER_hh_emi_in!K16/SER_hh_num_in!K16)</f>
        <v>15.721030250153786</v>
      </c>
      <c r="L16" s="130">
        <f>IF(SER_hh_emi_in!L16=0,0,1000000*SER_hh_emi_in!L16/SER_hh_num_in!L16)</f>
        <v>21.72548161958802</v>
      </c>
      <c r="M16" s="130">
        <f>IF(SER_hh_emi_in!M16=0,0,1000000*SER_hh_emi_in!M16/SER_hh_num_in!M16)</f>
        <v>21.147531046797138</v>
      </c>
      <c r="N16" s="130">
        <f>IF(SER_hh_emi_in!N16=0,0,1000000*SER_hh_emi_in!N16/SER_hh_num_in!N16)</f>
        <v>27.182482841391526</v>
      </c>
      <c r="O16" s="130">
        <f>IF(SER_hh_emi_in!O16=0,0,1000000*SER_hh_emi_in!O16/SER_hh_num_in!O16)</f>
        <v>22.144892102201034</v>
      </c>
      <c r="P16" s="130">
        <f>IF(SER_hh_emi_in!P16=0,0,1000000*SER_hh_emi_in!P16/SER_hh_num_in!P16)</f>
        <v>14.099477694915914</v>
      </c>
      <c r="Q16" s="130">
        <f>IF(SER_hh_emi_in!Q16=0,0,1000000*SER_hh_emi_in!Q16/SER_hh_num_in!Q16)</f>
        <v>27.557911528539414</v>
      </c>
      <c r="R16" s="130">
        <f>IF(SER_hh_emi_in!R16=0,0,1000000*SER_hh_emi_in!R16/SER_hh_num_in!R16)</f>
        <v>17.156618336093736</v>
      </c>
      <c r="S16" s="130">
        <f>IF(SER_hh_emi_in!S16=0,0,1000000*SER_hh_emi_in!S16/SER_hh_num_in!S16)</f>
        <v>34.482431977633908</v>
      </c>
      <c r="T16" s="130">
        <f>IF(SER_hh_emi_in!T16=0,0,1000000*SER_hh_emi_in!T16/SER_hh_num_in!T16)</f>
        <v>22.829077704037108</v>
      </c>
      <c r="U16" s="130">
        <f>IF(SER_hh_emi_in!U16=0,0,1000000*SER_hh_emi_in!U16/SER_hh_num_in!U16)</f>
        <v>45.044695456213852</v>
      </c>
      <c r="V16" s="130">
        <f>IF(SER_hh_emi_in!V16=0,0,1000000*SER_hh_emi_in!V16/SER_hh_num_in!V16)</f>
        <v>24.483201337821807</v>
      </c>
      <c r="W16" s="130">
        <f>IF(SER_hh_emi_in!W16=0,0,1000000*SER_hh_emi_in!W16/SER_hh_num_in!W16)</f>
        <v>20.504199147103911</v>
      </c>
      <c r="X16" s="130">
        <f>IF(SER_hh_emi_in!X16=0,0,1000000*SER_hh_emi_in!X16/SER_hh_num_in!X16)</f>
        <v>18.079452675133744</v>
      </c>
      <c r="Y16" s="130">
        <f>IF(SER_hh_emi_in!Y16=0,0,1000000*SER_hh_emi_in!Y16/SER_hh_num_in!Y16)</f>
        <v>14.615308687312472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3480.5058928307858</v>
      </c>
      <c r="D17" s="132">
        <f>IF(SER_hh_emi_in!D17=0,0,1000000*SER_hh_emi_in!D17/SER_hh_num_in!D17)</f>
        <v>3610.9618007019958</v>
      </c>
      <c r="E17" s="132">
        <f>IF(SER_hh_emi_in!E17=0,0,1000000*SER_hh_emi_in!E17/SER_hh_num_in!E17)</f>
        <v>4070.0014423645343</v>
      </c>
      <c r="F17" s="132">
        <f>IF(SER_hh_emi_in!F17=0,0,1000000*SER_hh_emi_in!F17/SER_hh_num_in!F17)</f>
        <v>3191.5756325661823</v>
      </c>
      <c r="G17" s="132">
        <f>IF(SER_hh_emi_in!G17=0,0,1000000*SER_hh_emi_in!G17/SER_hh_num_in!G17)</f>
        <v>3138.8819947987931</v>
      </c>
      <c r="H17" s="132">
        <f>IF(SER_hh_emi_in!H17=0,0,1000000*SER_hh_emi_in!H17/SER_hh_num_in!H17)</f>
        <v>3408.884402474027</v>
      </c>
      <c r="I17" s="132">
        <f>IF(SER_hh_emi_in!I17=0,0,1000000*SER_hh_emi_in!I17/SER_hh_num_in!I17)</f>
        <v>3655.7102287689231</v>
      </c>
      <c r="J17" s="132">
        <f>IF(SER_hh_emi_in!J17=0,0,1000000*SER_hh_emi_in!J17/SER_hh_num_in!J17)</f>
        <v>3055.7306095980416</v>
      </c>
      <c r="K17" s="132">
        <f>IF(SER_hh_emi_in!K17=0,0,1000000*SER_hh_emi_in!K17/SER_hh_num_in!K17)</f>
        <v>3003.39510210765</v>
      </c>
      <c r="L17" s="132">
        <f>IF(SER_hh_emi_in!L17=0,0,1000000*SER_hh_emi_in!L17/SER_hh_num_in!L17)</f>
        <v>3070.5788029219752</v>
      </c>
      <c r="M17" s="132">
        <f>IF(SER_hh_emi_in!M17=0,0,1000000*SER_hh_emi_in!M17/SER_hh_num_in!M17)</f>
        <v>2952.1805516587942</v>
      </c>
      <c r="N17" s="132">
        <f>IF(SER_hh_emi_in!N17=0,0,1000000*SER_hh_emi_in!N17/SER_hh_num_in!N17)</f>
        <v>3650.9914428512093</v>
      </c>
      <c r="O17" s="132">
        <f>IF(SER_hh_emi_in!O17=0,0,1000000*SER_hh_emi_in!O17/SER_hh_num_in!O17)</f>
        <v>2921.2798001668798</v>
      </c>
      <c r="P17" s="132">
        <f>IF(SER_hh_emi_in!P17=0,0,1000000*SER_hh_emi_in!P17/SER_hh_num_in!P17)</f>
        <v>2547.0897626596884</v>
      </c>
      <c r="Q17" s="132">
        <f>IF(SER_hh_emi_in!Q17=0,0,1000000*SER_hh_emi_in!Q17/SER_hh_num_in!Q17)</f>
        <v>3561.9296024569881</v>
      </c>
      <c r="R17" s="132">
        <f>IF(SER_hh_emi_in!R17=0,0,1000000*SER_hh_emi_in!R17/SER_hh_num_in!R17)</f>
        <v>2406.7221623311275</v>
      </c>
      <c r="S17" s="132">
        <f>IF(SER_hh_emi_in!S17=0,0,1000000*SER_hh_emi_in!S17/SER_hh_num_in!S17)</f>
        <v>2804.2547160989611</v>
      </c>
      <c r="T17" s="132">
        <f>IF(SER_hh_emi_in!T17=0,0,1000000*SER_hh_emi_in!T17/SER_hh_num_in!T17)</f>
        <v>2548.2437069420785</v>
      </c>
      <c r="U17" s="132">
        <f>IF(SER_hh_emi_in!U17=0,0,1000000*SER_hh_emi_in!U17/SER_hh_num_in!U17)</f>
        <v>2610.9990261985081</v>
      </c>
      <c r="V17" s="132">
        <f>IF(SER_hh_emi_in!V17=0,0,1000000*SER_hh_emi_in!V17/SER_hh_num_in!V17)</f>
        <v>1759.4061180339922</v>
      </c>
      <c r="W17" s="132">
        <f>IF(SER_hh_emi_in!W17=0,0,1000000*SER_hh_emi_in!W17/SER_hh_num_in!W17)</f>
        <v>2018.2146460619965</v>
      </c>
      <c r="X17" s="132">
        <f>IF(SER_hh_emi_in!X17=0,0,1000000*SER_hh_emi_in!X17/SER_hh_num_in!X17)</f>
        <v>2135.9890992713445</v>
      </c>
      <c r="Y17" s="132">
        <f>IF(SER_hh_emi_in!Y17=0,0,1000000*SER_hh_emi_in!Y17/SER_hh_num_in!Y17)</f>
        <v>1983.9920131922136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2426.223408331718</v>
      </c>
      <c r="D19" s="130">
        <f>IF(SER_hh_emi_in!D19=0,0,1000000*SER_hh_emi_in!D19/SER_hh_num_in!D19)</f>
        <v>3083.9269661580984</v>
      </c>
      <c r="E19" s="130">
        <f>IF(SER_hh_emi_in!E19=0,0,1000000*SER_hh_emi_in!E19/SER_hh_num_in!E19)</f>
        <v>2674.9917190022857</v>
      </c>
      <c r="F19" s="130">
        <f>IF(SER_hh_emi_in!F19=0,0,1000000*SER_hh_emi_in!F19/SER_hh_num_in!F19)</f>
        <v>3162.5191702530246</v>
      </c>
      <c r="G19" s="130">
        <f>IF(SER_hh_emi_in!G19=0,0,1000000*SER_hh_emi_in!G19/SER_hh_num_in!G19)</f>
        <v>2581.0115571790384</v>
      </c>
      <c r="H19" s="130">
        <f>IF(SER_hh_emi_in!H19=0,0,1000000*SER_hh_emi_in!H19/SER_hh_num_in!H19)</f>
        <v>2942.223917942948</v>
      </c>
      <c r="I19" s="130">
        <f>IF(SER_hh_emi_in!I19=0,0,1000000*SER_hh_emi_in!I19/SER_hh_num_in!I19)</f>
        <v>3560.7098883016388</v>
      </c>
      <c r="J19" s="130">
        <f>IF(SER_hh_emi_in!J19=0,0,1000000*SER_hh_emi_in!J19/SER_hh_num_in!J19)</f>
        <v>3718.1413975718788</v>
      </c>
      <c r="K19" s="130">
        <f>IF(SER_hh_emi_in!K19=0,0,1000000*SER_hh_emi_in!K19/SER_hh_num_in!K19)</f>
        <v>3999.2967692508673</v>
      </c>
      <c r="L19" s="130">
        <f>IF(SER_hh_emi_in!L19=0,0,1000000*SER_hh_emi_in!L19/SER_hh_num_in!L19)</f>
        <v>3603.8673481069168</v>
      </c>
      <c r="M19" s="130">
        <f>IF(SER_hh_emi_in!M19=0,0,1000000*SER_hh_emi_in!M19/SER_hh_num_in!M19)</f>
        <v>3376.7536071646887</v>
      </c>
      <c r="N19" s="130">
        <f>IF(SER_hh_emi_in!N19=0,0,1000000*SER_hh_emi_in!N19/SER_hh_num_in!N19)</f>
        <v>2840.7642890688503</v>
      </c>
      <c r="O19" s="130">
        <f>IF(SER_hh_emi_in!O19=0,0,1000000*SER_hh_emi_in!O19/SER_hh_num_in!O19)</f>
        <v>3607.9396806403493</v>
      </c>
      <c r="P19" s="130">
        <f>IF(SER_hh_emi_in!P19=0,0,1000000*SER_hh_emi_in!P19/SER_hh_num_in!P19)</f>
        <v>3844.8005441837126</v>
      </c>
      <c r="Q19" s="130">
        <f>IF(SER_hh_emi_in!Q19=0,0,1000000*SER_hh_emi_in!Q19/SER_hh_num_in!Q19)</f>
        <v>2570.7468027181826</v>
      </c>
      <c r="R19" s="130">
        <f>IF(SER_hh_emi_in!R19=0,0,1000000*SER_hh_emi_in!R19/SER_hh_num_in!R19)</f>
        <v>2379.0037357852343</v>
      </c>
      <c r="S19" s="130">
        <f>IF(SER_hh_emi_in!S19=0,0,1000000*SER_hh_emi_in!S19/SER_hh_num_in!S19)</f>
        <v>2328.7288015200047</v>
      </c>
      <c r="T19" s="130">
        <f>IF(SER_hh_emi_in!T19=0,0,1000000*SER_hh_emi_in!T19/SER_hh_num_in!T19)</f>
        <v>2479.0847756379821</v>
      </c>
      <c r="U19" s="130">
        <f>IF(SER_hh_emi_in!U19=0,0,1000000*SER_hh_emi_in!U19/SER_hh_num_in!U19)</f>
        <v>2147.5898855030346</v>
      </c>
      <c r="V19" s="130">
        <f>IF(SER_hh_emi_in!V19=0,0,1000000*SER_hh_emi_in!V19/SER_hh_num_in!V19)</f>
        <v>1907.7950240554458</v>
      </c>
      <c r="W19" s="130">
        <f>IF(SER_hh_emi_in!W19=0,0,1000000*SER_hh_emi_in!W19/SER_hh_num_in!W19)</f>
        <v>1475.0975838784732</v>
      </c>
      <c r="X19" s="130">
        <f>IF(SER_hh_emi_in!X19=0,0,1000000*SER_hh_emi_in!X19/SER_hh_num_in!X19)</f>
        <v>1206.0645731813363</v>
      </c>
      <c r="Y19" s="130">
        <f>IF(SER_hh_emi_in!Y19=0,0,1000000*SER_hh_emi_in!Y19/SER_hh_num_in!Y19)</f>
        <v>1663.7566203140605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0</v>
      </c>
      <c r="D21" s="132">
        <f>IF(SER_hh_emi_in!D21=0,0,1000000*SER_hh_emi_in!D21/SER_hh_num_in!D21)</f>
        <v>0</v>
      </c>
      <c r="E21" s="132">
        <f>IF(SER_hh_emi_in!E21=0,0,1000000*SER_hh_emi_in!E21/SER_hh_num_in!E21)</f>
        <v>0</v>
      </c>
      <c r="F21" s="132">
        <f>IF(SER_hh_emi_in!F21=0,0,1000000*SER_hh_emi_in!F21/SER_hh_num_in!F21)</f>
        <v>0</v>
      </c>
      <c r="G21" s="132">
        <f>IF(SER_hh_emi_in!G21=0,0,1000000*SER_hh_emi_in!G21/SER_hh_num_in!G21)</f>
        <v>0</v>
      </c>
      <c r="H21" s="132">
        <f>IF(SER_hh_emi_in!H21=0,0,1000000*SER_hh_emi_in!H21/SER_hh_num_in!H21)</f>
        <v>0</v>
      </c>
      <c r="I21" s="132">
        <f>IF(SER_hh_emi_in!I21=0,0,1000000*SER_hh_emi_in!I21/SER_hh_num_in!I21)</f>
        <v>0</v>
      </c>
      <c r="J21" s="132">
        <f>IF(SER_hh_emi_in!J21=0,0,1000000*SER_hh_emi_in!J21/SER_hh_num_in!J21)</f>
        <v>0</v>
      </c>
      <c r="K21" s="132">
        <f>IF(SER_hh_emi_in!K21=0,0,1000000*SER_hh_emi_in!K21/SER_hh_num_in!K21)</f>
        <v>0</v>
      </c>
      <c r="L21" s="132">
        <f>IF(SER_hh_emi_in!L21=0,0,1000000*SER_hh_emi_in!L21/SER_hh_num_in!L21)</f>
        <v>0</v>
      </c>
      <c r="M21" s="132">
        <f>IF(SER_hh_emi_in!M21=0,0,1000000*SER_hh_emi_in!M21/SER_hh_num_in!M21)</f>
        <v>0</v>
      </c>
      <c r="N21" s="132">
        <f>IF(SER_hh_emi_in!N21=0,0,1000000*SER_hh_emi_in!N21/SER_hh_num_in!N21)</f>
        <v>0</v>
      </c>
      <c r="O21" s="132">
        <f>IF(SER_hh_emi_in!O21=0,0,1000000*SER_hh_emi_in!O21/SER_hh_num_in!O21)</f>
        <v>0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0</v>
      </c>
      <c r="S21" s="132">
        <f>IF(SER_hh_emi_in!S21=0,0,1000000*SER_hh_emi_in!S21/SER_hh_num_in!S21)</f>
        <v>0</v>
      </c>
      <c r="T21" s="132">
        <f>IF(SER_hh_emi_in!T21=0,0,1000000*SER_hh_emi_in!T21/SER_hh_num_in!T21)</f>
        <v>0</v>
      </c>
      <c r="U21" s="132">
        <f>IF(SER_hh_emi_in!U21=0,0,1000000*SER_hh_emi_in!U21/SER_hh_num_in!U21)</f>
        <v>0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0</v>
      </c>
      <c r="Y21" s="132">
        <f>IF(SER_hh_emi_in!Y21=0,0,1000000*SER_hh_emi_in!Y21/SER_hh_num_in!Y21)</f>
        <v>0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0</v>
      </c>
      <c r="D22" s="132">
        <f>IF(SER_hh_emi_in!D22=0,0,1000000*SER_hh_emi_in!D22/SER_hh_num_in!D22)</f>
        <v>0</v>
      </c>
      <c r="E22" s="132">
        <f>IF(SER_hh_emi_in!E22=0,0,1000000*SER_hh_emi_in!E22/SER_hh_num_in!E22)</f>
        <v>0</v>
      </c>
      <c r="F22" s="132">
        <f>IF(SER_hh_emi_in!F22=0,0,1000000*SER_hh_emi_in!F22/SER_hh_num_in!F22)</f>
        <v>0</v>
      </c>
      <c r="G22" s="132">
        <f>IF(SER_hh_emi_in!G22=0,0,1000000*SER_hh_emi_in!G22/SER_hh_num_in!G22)</f>
        <v>0</v>
      </c>
      <c r="H22" s="132">
        <f>IF(SER_hh_emi_in!H22=0,0,1000000*SER_hh_emi_in!H22/SER_hh_num_in!H22)</f>
        <v>0</v>
      </c>
      <c r="I22" s="132">
        <f>IF(SER_hh_emi_in!I22=0,0,1000000*SER_hh_emi_in!I22/SER_hh_num_in!I22)</f>
        <v>0</v>
      </c>
      <c r="J22" s="132">
        <f>IF(SER_hh_emi_in!J22=0,0,1000000*SER_hh_emi_in!J22/SER_hh_num_in!J22)</f>
        <v>0</v>
      </c>
      <c r="K22" s="132">
        <f>IF(SER_hh_emi_in!K22=0,0,1000000*SER_hh_emi_in!K22/SER_hh_num_in!K22)</f>
        <v>0</v>
      </c>
      <c r="L22" s="132">
        <f>IF(SER_hh_emi_in!L22=0,0,1000000*SER_hh_emi_in!L22/SER_hh_num_in!L22)</f>
        <v>0</v>
      </c>
      <c r="M22" s="132">
        <f>IF(SER_hh_emi_in!M22=0,0,1000000*SER_hh_emi_in!M22/SER_hh_num_in!M22)</f>
        <v>0</v>
      </c>
      <c r="N22" s="132">
        <f>IF(SER_hh_emi_in!N22=0,0,1000000*SER_hh_emi_in!N22/SER_hh_num_in!N22)</f>
        <v>0</v>
      </c>
      <c r="O22" s="132">
        <f>IF(SER_hh_emi_in!O22=0,0,1000000*SER_hh_emi_in!O22/SER_hh_num_in!O22)</f>
        <v>0</v>
      </c>
      <c r="P22" s="132">
        <f>IF(SER_hh_emi_in!P22=0,0,1000000*SER_hh_emi_in!P22/SER_hh_num_in!P22)</f>
        <v>0</v>
      </c>
      <c r="Q22" s="132">
        <f>IF(SER_hh_emi_in!Q22=0,0,1000000*SER_hh_emi_in!Q22/SER_hh_num_in!Q22)</f>
        <v>0</v>
      </c>
      <c r="R22" s="132">
        <f>IF(SER_hh_emi_in!R22=0,0,1000000*SER_hh_emi_in!R22/SER_hh_num_in!R22)</f>
        <v>0</v>
      </c>
      <c r="S22" s="132">
        <f>IF(SER_hh_emi_in!S22=0,0,1000000*SER_hh_emi_in!S22/SER_hh_num_in!S22)</f>
        <v>0</v>
      </c>
      <c r="T22" s="132">
        <f>IF(SER_hh_emi_in!T22=0,0,1000000*SER_hh_emi_in!T22/SER_hh_num_in!T22)</f>
        <v>0</v>
      </c>
      <c r="U22" s="132">
        <f>IF(SER_hh_emi_in!U22=0,0,1000000*SER_hh_emi_in!U22/SER_hh_num_in!U22)</f>
        <v>0</v>
      </c>
      <c r="V22" s="132">
        <f>IF(SER_hh_emi_in!V22=0,0,1000000*SER_hh_emi_in!V22/SER_hh_num_in!V22)</f>
        <v>0</v>
      </c>
      <c r="W22" s="132">
        <f>IF(SER_hh_emi_in!W22=0,0,1000000*SER_hh_emi_in!W22/SER_hh_num_in!W22)</f>
        <v>0</v>
      </c>
      <c r="X22" s="132">
        <f>IF(SER_hh_emi_in!X22=0,0,1000000*SER_hh_emi_in!X22/SER_hh_num_in!X22)</f>
        <v>0</v>
      </c>
      <c r="Y22" s="132">
        <f>IF(SER_hh_emi_in!Y22=0,0,1000000*SER_hh_emi_in!Y22/SER_hh_num_in!Y22)</f>
        <v>0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5784.4380625602907</v>
      </c>
      <c r="D23" s="132">
        <f>IF(SER_hh_emi_in!D23=0,0,1000000*SER_hh_emi_in!D23/SER_hh_num_in!D23)</f>
        <v>5777.5510818314542</v>
      </c>
      <c r="E23" s="132">
        <f>IF(SER_hh_emi_in!E23=0,0,1000000*SER_hh_emi_in!E23/SER_hh_num_in!E23)</f>
        <v>5742.210715894731</v>
      </c>
      <c r="F23" s="132">
        <f>IF(SER_hh_emi_in!F23=0,0,1000000*SER_hh_emi_in!F23/SER_hh_num_in!F23)</f>
        <v>5815.1854748373999</v>
      </c>
      <c r="G23" s="132">
        <f>IF(SER_hh_emi_in!G23=0,0,1000000*SER_hh_emi_in!G23/SER_hh_num_in!G23)</f>
        <v>5563.2429458613951</v>
      </c>
      <c r="H23" s="132">
        <f>IF(SER_hh_emi_in!H23=0,0,1000000*SER_hh_emi_in!H23/SER_hh_num_in!H23)</f>
        <v>5380.5058359189261</v>
      </c>
      <c r="I23" s="132">
        <f>IF(SER_hh_emi_in!I23=0,0,1000000*SER_hh_emi_in!I23/SER_hh_num_in!I23)</f>
        <v>5299.0659846317621</v>
      </c>
      <c r="J23" s="132">
        <f>IF(SER_hh_emi_in!J23=0,0,1000000*SER_hh_emi_in!J23/SER_hh_num_in!J23)</f>
        <v>5315.141807774944</v>
      </c>
      <c r="K23" s="132">
        <f>IF(SER_hh_emi_in!K23=0,0,1000000*SER_hh_emi_in!K23/SER_hh_num_in!K23)</f>
        <v>5406.441885182292</v>
      </c>
      <c r="L23" s="132">
        <f>IF(SER_hh_emi_in!L23=0,0,1000000*SER_hh_emi_in!L23/SER_hh_num_in!L23)</f>
        <v>5274.4809128774386</v>
      </c>
      <c r="M23" s="132">
        <f>IF(SER_hh_emi_in!M23=0,0,1000000*SER_hh_emi_in!M23/SER_hh_num_in!M23)</f>
        <v>5082.3454770004664</v>
      </c>
      <c r="N23" s="132">
        <f>IF(SER_hh_emi_in!N23=0,0,1000000*SER_hh_emi_in!N23/SER_hh_num_in!N23)</f>
        <v>4858.4703003942914</v>
      </c>
      <c r="O23" s="132">
        <f>IF(SER_hh_emi_in!O23=0,0,1000000*SER_hh_emi_in!O23/SER_hh_num_in!O23)</f>
        <v>4897.2148030314302</v>
      </c>
      <c r="P23" s="132">
        <f>IF(SER_hh_emi_in!P23=0,0,1000000*SER_hh_emi_in!P23/SER_hh_num_in!P23)</f>
        <v>4505.2791698651472</v>
      </c>
      <c r="Q23" s="132">
        <f>IF(SER_hh_emi_in!Q23=0,0,1000000*SER_hh_emi_in!Q23/SER_hh_num_in!Q23)</f>
        <v>4288.445629629291</v>
      </c>
      <c r="R23" s="132">
        <f>IF(SER_hh_emi_in!R23=0,0,1000000*SER_hh_emi_in!R23/SER_hh_num_in!R23)</f>
        <v>4225.2437097062102</v>
      </c>
      <c r="S23" s="132">
        <f>IF(SER_hh_emi_in!S23=0,0,1000000*SER_hh_emi_in!S23/SER_hh_num_in!S23)</f>
        <v>4096.3185932317401</v>
      </c>
      <c r="T23" s="132">
        <f>IF(SER_hh_emi_in!T23=0,0,1000000*SER_hh_emi_in!T23/SER_hh_num_in!T23)</f>
        <v>4075.8165923416991</v>
      </c>
      <c r="U23" s="132">
        <f>IF(SER_hh_emi_in!U23=0,0,1000000*SER_hh_emi_in!U23/SER_hh_num_in!U23)</f>
        <v>3877.7558051080614</v>
      </c>
      <c r="V23" s="132">
        <f>IF(SER_hh_emi_in!V23=0,0,1000000*SER_hh_emi_in!V23/SER_hh_num_in!V23)</f>
        <v>3522.8585426394325</v>
      </c>
      <c r="W23" s="132">
        <f>IF(SER_hh_emi_in!W23=0,0,1000000*SER_hh_emi_in!W23/SER_hh_num_in!W23)</f>
        <v>3543.9509364574578</v>
      </c>
      <c r="X23" s="132">
        <f>IF(SER_hh_emi_in!X23=0,0,1000000*SER_hh_emi_in!X23/SER_hh_num_in!X23)</f>
        <v>3445.7884558974383</v>
      </c>
      <c r="Y23" s="132">
        <f>IF(SER_hh_emi_in!Y23=0,0,1000000*SER_hh_emi_in!Y23/SER_hh_num_in!Y23)</f>
        <v>3391.1412618380755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1606.4844152835005</v>
      </c>
      <c r="O24" s="132">
        <f>IF(SER_hh_emi_in!O24=0,0,1000000*SER_hh_emi_in!O24/SER_hh_num_in!O24)</f>
        <v>1170.2915806964827</v>
      </c>
      <c r="P24" s="132">
        <f>IF(SER_hh_emi_in!P24=0,0,1000000*SER_hh_emi_in!P24/SER_hh_num_in!P24)</f>
        <v>868.80589610718653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1450.6399868264405</v>
      </c>
      <c r="V24" s="132">
        <f>IF(SER_hh_emi_in!V24=0,0,1000000*SER_hh_emi_in!V24/SER_hh_num_in!V24)</f>
        <v>1576.5037115042137</v>
      </c>
      <c r="W24" s="132">
        <f>IF(SER_hh_emi_in!W24=0,0,1000000*SER_hh_emi_in!W24/SER_hh_num_in!W24)</f>
        <v>1374.2867532715682</v>
      </c>
      <c r="X24" s="132">
        <f>IF(SER_hh_emi_in!X24=0,0,1000000*SER_hh_emi_in!X24/SER_hh_num_in!X24)</f>
        <v>1393.5668098026945</v>
      </c>
      <c r="Y24" s="132">
        <f>IF(SER_hh_emi_in!Y24=0,0,1000000*SER_hh_emi_in!Y24/SER_hh_num_in!Y24)</f>
        <v>1115.8617305394907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2779.8757275660669</v>
      </c>
      <c r="D29" s="130">
        <f>IF(SER_hh_emi_in!D29=0,0,1000000*SER_hh_emi_in!D29/SER_hh_num_in!D29)</f>
        <v>3492.3933688600305</v>
      </c>
      <c r="E29" s="130">
        <f>IF(SER_hh_emi_in!E29=0,0,1000000*SER_hh_emi_in!E29/SER_hh_num_in!E29)</f>
        <v>3128.1286521717261</v>
      </c>
      <c r="F29" s="130">
        <f>IF(SER_hh_emi_in!F29=0,0,1000000*SER_hh_emi_in!F29/SER_hh_num_in!F29)</f>
        <v>4085.0722124548579</v>
      </c>
      <c r="G29" s="130">
        <f>IF(SER_hh_emi_in!G29=0,0,1000000*SER_hh_emi_in!G29/SER_hh_num_in!G29)</f>
        <v>3786.0126860273776</v>
      </c>
      <c r="H29" s="130">
        <f>IF(SER_hh_emi_in!H29=0,0,1000000*SER_hh_emi_in!H29/SER_hh_num_in!H29)</f>
        <v>4103.7185630980084</v>
      </c>
      <c r="I29" s="130">
        <f>IF(SER_hh_emi_in!I29=0,0,1000000*SER_hh_emi_in!I29/SER_hh_num_in!I29)</f>
        <v>3652.5227822631682</v>
      </c>
      <c r="J29" s="130">
        <f>IF(SER_hh_emi_in!J29=0,0,1000000*SER_hh_emi_in!J29/SER_hh_num_in!J29)</f>
        <v>3583.9181738223792</v>
      </c>
      <c r="K29" s="130">
        <f>IF(SER_hh_emi_in!K29=0,0,1000000*SER_hh_emi_in!K29/SER_hh_num_in!K29)</f>
        <v>3191.7230915365176</v>
      </c>
      <c r="L29" s="130">
        <f>IF(SER_hh_emi_in!L29=0,0,1000000*SER_hh_emi_in!L29/SER_hh_num_in!L29)</f>
        <v>3931.4455228221882</v>
      </c>
      <c r="M29" s="130">
        <f>IF(SER_hh_emi_in!M29=0,0,1000000*SER_hh_emi_in!M29/SER_hh_num_in!M29)</f>
        <v>5549.7360836842317</v>
      </c>
      <c r="N29" s="130">
        <f>IF(SER_hh_emi_in!N29=0,0,1000000*SER_hh_emi_in!N29/SER_hh_num_in!N29)</f>
        <v>4961.0163280370125</v>
      </c>
      <c r="O29" s="130">
        <f>IF(SER_hh_emi_in!O29=0,0,1000000*SER_hh_emi_in!O29/SER_hh_num_in!O29)</f>
        <v>4142.1611370006549</v>
      </c>
      <c r="P29" s="130">
        <f>IF(SER_hh_emi_in!P29=0,0,1000000*SER_hh_emi_in!P29/SER_hh_num_in!P29)</f>
        <v>3528.3760296579831</v>
      </c>
      <c r="Q29" s="130">
        <f>IF(SER_hh_emi_in!Q29=0,0,1000000*SER_hh_emi_in!Q29/SER_hh_num_in!Q29)</f>
        <v>3270.3562487937788</v>
      </c>
      <c r="R29" s="130">
        <f>IF(SER_hh_emi_in!R29=0,0,1000000*SER_hh_emi_in!R29/SER_hh_num_in!R29)</f>
        <v>2783.6424159302132</v>
      </c>
      <c r="S29" s="130">
        <f>IF(SER_hh_emi_in!S29=0,0,1000000*SER_hh_emi_in!S29/SER_hh_num_in!S29)</f>
        <v>2914.9761285802037</v>
      </c>
      <c r="T29" s="130">
        <f>IF(SER_hh_emi_in!T29=0,0,1000000*SER_hh_emi_in!T29/SER_hh_num_in!T29)</f>
        <v>3391.1215820627494</v>
      </c>
      <c r="U29" s="130">
        <f>IF(SER_hh_emi_in!U29=0,0,1000000*SER_hh_emi_in!U29/SER_hh_num_in!U29)</f>
        <v>3426.3169824990555</v>
      </c>
      <c r="V29" s="130">
        <f>IF(SER_hh_emi_in!V29=0,0,1000000*SER_hh_emi_in!V29/SER_hh_num_in!V29)</f>
        <v>3472.9111531888925</v>
      </c>
      <c r="W29" s="130">
        <f>IF(SER_hh_emi_in!W29=0,0,1000000*SER_hh_emi_in!W29/SER_hh_num_in!W29)</f>
        <v>3427.5138002015474</v>
      </c>
      <c r="X29" s="130">
        <f>IF(SER_hh_emi_in!X29=0,0,1000000*SER_hh_emi_in!X29/SER_hh_num_in!X29)</f>
        <v>3160.0424460179102</v>
      </c>
      <c r="Y29" s="130">
        <f>IF(SER_hh_emi_in!Y29=0,0,1000000*SER_hh_emi_in!Y29/SER_hh_num_in!Y29)</f>
        <v>2951.9712481000029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6842.1816435250312</v>
      </c>
      <c r="D30" s="132">
        <f>IF(SER_hh_emi_in!D30=0,0,1000000*SER_hh_emi_in!D30/SER_hh_num_in!D30)</f>
        <v>8002.5932122091781</v>
      </c>
      <c r="E30" s="132">
        <f>IF(SER_hh_emi_in!E30=0,0,1000000*SER_hh_emi_in!E30/SER_hh_num_in!E30)</f>
        <v>0</v>
      </c>
      <c r="F30" s="132">
        <f>IF(SER_hh_emi_in!F30=0,0,1000000*SER_hh_emi_in!F30/SER_hh_num_in!F30)</f>
        <v>0</v>
      </c>
      <c r="G30" s="132">
        <f>IF(SER_hh_emi_in!G30=0,0,1000000*SER_hh_emi_in!G30/SER_hh_num_in!G30)</f>
        <v>0</v>
      </c>
      <c r="H30" s="132">
        <f>IF(SER_hh_emi_in!H30=0,0,1000000*SER_hh_emi_in!H30/SER_hh_num_in!H30)</f>
        <v>7102.8599520396874</v>
      </c>
      <c r="I30" s="132">
        <f>IF(SER_hh_emi_in!I30=0,0,1000000*SER_hh_emi_in!I30/SER_hh_num_in!I30)</f>
        <v>7383.5784817214662</v>
      </c>
      <c r="J30" s="132">
        <f>IF(SER_hh_emi_in!J30=0,0,1000000*SER_hh_emi_in!J30/SER_hh_num_in!J30)</f>
        <v>6487.9462292611597</v>
      </c>
      <c r="K30" s="132">
        <f>IF(SER_hh_emi_in!K30=0,0,1000000*SER_hh_emi_in!K30/SER_hh_num_in!K30)</f>
        <v>6772.161103878444</v>
      </c>
      <c r="L30" s="132">
        <f>IF(SER_hh_emi_in!L30=0,0,1000000*SER_hh_emi_in!L30/SER_hh_num_in!L30)</f>
        <v>7754.0945589502053</v>
      </c>
      <c r="M30" s="132">
        <f>IF(SER_hh_emi_in!M30=0,0,1000000*SER_hh_emi_in!M30/SER_hh_num_in!M30)</f>
        <v>0</v>
      </c>
      <c r="N30" s="132">
        <f>IF(SER_hh_emi_in!N30=0,0,1000000*SER_hh_emi_in!N30/SER_hh_num_in!N30)</f>
        <v>0</v>
      </c>
      <c r="O30" s="132">
        <f>IF(SER_hh_emi_in!O30=0,0,1000000*SER_hh_emi_in!O30/SER_hh_num_in!O30)</f>
        <v>0</v>
      </c>
      <c r="P30" s="132">
        <f>IF(SER_hh_emi_in!P30=0,0,1000000*SER_hh_emi_in!P30/SER_hh_num_in!P30)</f>
        <v>6555.2517102720067</v>
      </c>
      <c r="Q30" s="132">
        <f>IF(SER_hh_emi_in!Q30=0,0,1000000*SER_hh_emi_in!Q30/SER_hh_num_in!Q30)</f>
        <v>7728.6520944508566</v>
      </c>
      <c r="R30" s="132">
        <f>IF(SER_hh_emi_in!R30=0,0,1000000*SER_hh_emi_in!R30/SER_hh_num_in!R30)</f>
        <v>6363.5506463527072</v>
      </c>
      <c r="S30" s="132">
        <f>IF(SER_hh_emi_in!S30=0,0,1000000*SER_hh_emi_in!S30/SER_hh_num_in!S30)</f>
        <v>5519.9597083057224</v>
      </c>
      <c r="T30" s="132">
        <f>IF(SER_hh_emi_in!T30=0,0,1000000*SER_hh_emi_in!T30/SER_hh_num_in!T30)</f>
        <v>6770.8734773339374</v>
      </c>
      <c r="U30" s="132">
        <f>IF(SER_hh_emi_in!U30=0,0,1000000*SER_hh_emi_in!U30/SER_hh_num_in!U30)</f>
        <v>5863.6690769545994</v>
      </c>
      <c r="V30" s="132">
        <f>IF(SER_hh_emi_in!V30=0,0,1000000*SER_hh_emi_in!V30/SER_hh_num_in!V30)</f>
        <v>8371.4902949306997</v>
      </c>
      <c r="W30" s="132">
        <f>IF(SER_hh_emi_in!W30=0,0,1000000*SER_hh_emi_in!W30/SER_hh_num_in!W30)</f>
        <v>5810.4914506041341</v>
      </c>
      <c r="X30" s="132">
        <f>IF(SER_hh_emi_in!X30=0,0,1000000*SER_hh_emi_in!X30/SER_hh_num_in!X30)</f>
        <v>6042.5598744862245</v>
      </c>
      <c r="Y30" s="132">
        <f>IF(SER_hh_emi_in!Y30=0,0,1000000*SER_hh_emi_in!Y30/SER_hh_num_in!Y30)</f>
        <v>0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6959.4657321910963</v>
      </c>
      <c r="D31" s="132">
        <f>IF(SER_hh_emi_in!D31=0,0,1000000*SER_hh_emi_in!D31/SER_hh_num_in!D31)</f>
        <v>5787.4055018114232</v>
      </c>
      <c r="E31" s="132">
        <f>IF(SER_hh_emi_in!E31=0,0,1000000*SER_hh_emi_in!E31/SER_hh_num_in!E31)</f>
        <v>6089.1095066371845</v>
      </c>
      <c r="F31" s="132">
        <f>IF(SER_hh_emi_in!F31=0,0,1000000*SER_hh_emi_in!F31/SER_hh_num_in!F31)</f>
        <v>6548.9058604692464</v>
      </c>
      <c r="G31" s="132">
        <f>IF(SER_hh_emi_in!G31=0,0,1000000*SER_hh_emi_in!G31/SER_hh_num_in!G31)</f>
        <v>6259.9393327403259</v>
      </c>
      <c r="H31" s="132">
        <f>IF(SER_hh_emi_in!H31=0,0,1000000*SER_hh_emi_in!H31/SER_hh_num_in!H31)</f>
        <v>6302.2868263343107</v>
      </c>
      <c r="I31" s="132">
        <f>IF(SER_hh_emi_in!I31=0,0,1000000*SER_hh_emi_in!I31/SER_hh_num_in!I31)</f>
        <v>6162.880068789138</v>
      </c>
      <c r="J31" s="132">
        <f>IF(SER_hh_emi_in!J31=0,0,1000000*SER_hh_emi_in!J31/SER_hh_num_in!J31)</f>
        <v>6172.7163629626484</v>
      </c>
      <c r="K31" s="132">
        <f>IF(SER_hh_emi_in!K31=0,0,1000000*SER_hh_emi_in!K31/SER_hh_num_in!K31)</f>
        <v>6127.5824477559954</v>
      </c>
      <c r="L31" s="132">
        <f>IF(SER_hh_emi_in!L31=0,0,1000000*SER_hh_emi_in!L31/SER_hh_num_in!L31)</f>
        <v>6122.2579466239886</v>
      </c>
      <c r="M31" s="132">
        <f>IF(SER_hh_emi_in!M31=0,0,1000000*SER_hh_emi_in!M31/SER_hh_num_in!M31)</f>
        <v>6173.0267735271491</v>
      </c>
      <c r="N31" s="132">
        <f>IF(SER_hh_emi_in!N31=0,0,1000000*SER_hh_emi_in!N31/SER_hh_num_in!N31)</f>
        <v>6147.3881945010835</v>
      </c>
      <c r="O31" s="132">
        <f>IF(SER_hh_emi_in!O31=0,0,1000000*SER_hh_emi_in!O31/SER_hh_num_in!O31)</f>
        <v>6166.8134798492865</v>
      </c>
      <c r="P31" s="132">
        <f>IF(SER_hh_emi_in!P31=0,0,1000000*SER_hh_emi_in!P31/SER_hh_num_in!P31)</f>
        <v>5989.642602580273</v>
      </c>
      <c r="Q31" s="132">
        <f>IF(SER_hh_emi_in!Q31=0,0,1000000*SER_hh_emi_in!Q31/SER_hh_num_in!Q31)</f>
        <v>5815.636441703843</v>
      </c>
      <c r="R31" s="132">
        <f>IF(SER_hh_emi_in!R31=0,0,1000000*SER_hh_emi_in!R31/SER_hh_num_in!R31)</f>
        <v>5741.8358977202288</v>
      </c>
      <c r="S31" s="132">
        <f>IF(SER_hh_emi_in!S31=0,0,1000000*SER_hh_emi_in!S31/SER_hh_num_in!S31)</f>
        <v>5682.8593504451364</v>
      </c>
      <c r="T31" s="132">
        <f>IF(SER_hh_emi_in!T31=0,0,1000000*SER_hh_emi_in!T31/SER_hh_num_in!T31)</f>
        <v>5648.8496825132788</v>
      </c>
      <c r="U31" s="132">
        <f>IF(SER_hh_emi_in!U31=0,0,1000000*SER_hh_emi_in!U31/SER_hh_num_in!U31)</f>
        <v>5599.2768827601012</v>
      </c>
      <c r="V31" s="132">
        <f>IF(SER_hh_emi_in!V31=0,0,1000000*SER_hh_emi_in!V31/SER_hh_num_in!V31)</f>
        <v>5281.3920078958054</v>
      </c>
      <c r="W31" s="132">
        <f>IF(SER_hh_emi_in!W31=0,0,1000000*SER_hh_emi_in!W31/SER_hh_num_in!W31)</f>
        <v>5664.9056674549711</v>
      </c>
      <c r="X31" s="132">
        <f>IF(SER_hh_emi_in!X31=0,0,1000000*SER_hh_emi_in!X31/SER_hh_num_in!X31)</f>
        <v>5571.0804429999353</v>
      </c>
      <c r="Y31" s="132">
        <f>IF(SER_hh_emi_in!Y31=0,0,1000000*SER_hh_emi_in!Y31/SER_hh_num_in!Y31)</f>
        <v>5402.6600864444554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410.31908767278014</v>
      </c>
      <c r="D3" s="125">
        <f>IF(SER_hh_fech_in!D3=0,0,SER_hh_fech_in!D3/SER_summary!D$27)</f>
        <v>373.18183909463869</v>
      </c>
      <c r="E3" s="125">
        <f>IF(SER_hh_fech_in!E3=0,0,SER_hh_fech_in!E3/SER_summary!E$27)</f>
        <v>363.38504332046477</v>
      </c>
      <c r="F3" s="125">
        <f>IF(SER_hh_fech_in!F3=0,0,SER_hh_fech_in!F3/SER_summary!F$27)</f>
        <v>415.43941370141482</v>
      </c>
      <c r="G3" s="125">
        <f>IF(SER_hh_fech_in!G3=0,0,SER_hh_fech_in!G3/SER_summary!G$27)</f>
        <v>360.90062683930074</v>
      </c>
      <c r="H3" s="125">
        <f>IF(SER_hh_fech_in!H3=0,0,SER_hh_fech_in!H3/SER_summary!H$27)</f>
        <v>291.82270424553161</v>
      </c>
      <c r="I3" s="125">
        <f>IF(SER_hh_fech_in!I3=0,0,SER_hh_fech_in!I3/SER_summary!I$27)</f>
        <v>258.101233562235</v>
      </c>
      <c r="J3" s="125">
        <f>IF(SER_hh_fech_in!J3=0,0,SER_hh_fech_in!J3/SER_summary!J$27)</f>
        <v>250.60585583416074</v>
      </c>
      <c r="K3" s="125">
        <f>IF(SER_hh_fech_in!K3=0,0,SER_hh_fech_in!K3/SER_summary!K$27)</f>
        <v>278.73775945942816</v>
      </c>
      <c r="L3" s="125">
        <f>IF(SER_hh_fech_in!L3=0,0,SER_hh_fech_in!L3/SER_summary!L$27)</f>
        <v>300.23694437745439</v>
      </c>
      <c r="M3" s="125">
        <f>IF(SER_hh_fech_in!M3=0,0,SER_hh_fech_in!M3/SER_summary!M$27)</f>
        <v>282.69770518620629</v>
      </c>
      <c r="N3" s="125">
        <f>IF(SER_hh_fech_in!N3=0,0,SER_hh_fech_in!N3/SER_summary!N$27)</f>
        <v>218.15839338745056</v>
      </c>
      <c r="O3" s="125">
        <f>IF(SER_hh_fech_in!O3=0,0,SER_hh_fech_in!O3/SER_summary!O$27)</f>
        <v>194.97418978283332</v>
      </c>
      <c r="P3" s="125">
        <f>IF(SER_hh_fech_in!P3=0,0,SER_hh_fech_in!P3/SER_summary!P$27)</f>
        <v>158.68441433014507</v>
      </c>
      <c r="Q3" s="125">
        <f>IF(SER_hh_fech_in!Q3=0,0,SER_hh_fech_in!Q3/SER_summary!Q$27)</f>
        <v>157.90451116693896</v>
      </c>
      <c r="R3" s="125">
        <f>IF(SER_hh_fech_in!R3=0,0,SER_hh_fech_in!R3/SER_summary!R$27)</f>
        <v>148.11339831255782</v>
      </c>
      <c r="S3" s="125">
        <f>IF(SER_hh_fech_in!S3=0,0,SER_hh_fech_in!S3/SER_summary!S$27)</f>
        <v>140.87648387502418</v>
      </c>
      <c r="T3" s="125">
        <f>IF(SER_hh_fech_in!T3=0,0,SER_hh_fech_in!T3/SER_summary!T$27)</f>
        <v>132.93504868914991</v>
      </c>
      <c r="U3" s="125">
        <f>IF(SER_hh_fech_in!U3=0,0,SER_hh_fech_in!U3/SER_summary!U$27)</f>
        <v>124.19452383905119</v>
      </c>
      <c r="V3" s="125">
        <f>IF(SER_hh_fech_in!V3=0,0,SER_hh_fech_in!V3/SER_summary!V$27)</f>
        <v>111.42296192942739</v>
      </c>
      <c r="W3" s="125">
        <f>IF(SER_hh_fech_in!W3=0,0,SER_hh_fech_in!W3/SER_summary!W$27)</f>
        <v>101.58935255487084</v>
      </c>
      <c r="X3" s="125">
        <f>IF(SER_hh_fech_in!X3=0,0,SER_hh_fech_in!X3/SER_summary!X$27)</f>
        <v>88.767756175968714</v>
      </c>
      <c r="Y3" s="125">
        <f>IF(SER_hh_fech_in!Y3=0,0,SER_hh_fech_in!Y3/SER_summary!Y$27)</f>
        <v>79.829464541599009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339.86046326823362</v>
      </c>
      <c r="D4" s="130">
        <f>IF(SER_hh_fech_in!D4=0,0,SER_hh_fech_in!D4/SER_summary!D$27)</f>
        <v>303.0246788260111</v>
      </c>
      <c r="E4" s="130">
        <f>IF(SER_hh_fech_in!E4=0,0,SER_hh_fech_in!E4/SER_summary!E$27)</f>
        <v>296.47121343448407</v>
      </c>
      <c r="F4" s="130">
        <f>IF(SER_hh_fech_in!F4=0,0,SER_hh_fech_in!F4/SER_summary!F$27)</f>
        <v>344.96126175638602</v>
      </c>
      <c r="G4" s="130">
        <f>IF(SER_hh_fech_in!G4=0,0,SER_hh_fech_in!G4/SER_summary!G$27)</f>
        <v>293.34119752817588</v>
      </c>
      <c r="H4" s="130">
        <f>IF(SER_hh_fech_in!H4=0,0,SER_hh_fech_in!H4/SER_summary!H$27)</f>
        <v>223.62272831540474</v>
      </c>
      <c r="I4" s="130">
        <f>IF(SER_hh_fech_in!I4=0,0,SER_hh_fech_in!I4/SER_summary!I$27)</f>
        <v>190.86698073449833</v>
      </c>
      <c r="J4" s="130">
        <f>IF(SER_hh_fech_in!J4=0,0,SER_hh_fech_in!J4/SER_summary!J$27)</f>
        <v>185.46525019951056</v>
      </c>
      <c r="K4" s="130">
        <f>IF(SER_hh_fech_in!K4=0,0,SER_hh_fech_in!K4/SER_summary!K$27)</f>
        <v>213.64722716256472</v>
      </c>
      <c r="L4" s="130">
        <f>IF(SER_hh_fech_in!L4=0,0,SER_hh_fech_in!L4/SER_summary!L$27)</f>
        <v>234.32165250964155</v>
      </c>
      <c r="M4" s="130">
        <f>IF(SER_hh_fech_in!M4=0,0,SER_hh_fech_in!M4/SER_summary!M$27)</f>
        <v>215.62619707746137</v>
      </c>
      <c r="N4" s="130">
        <f>IF(SER_hh_fech_in!N4=0,0,SER_hh_fech_in!N4/SER_summary!N$27)</f>
        <v>150.06713729997435</v>
      </c>
      <c r="O4" s="130">
        <f>IF(SER_hh_fech_in!O4=0,0,SER_hh_fech_in!O4/SER_summary!O$27)</f>
        <v>131.72110018494024</v>
      </c>
      <c r="P4" s="130">
        <f>IF(SER_hh_fech_in!P4=0,0,SER_hh_fech_in!P4/SER_summary!P$27)</f>
        <v>100.15886883632672</v>
      </c>
      <c r="Q4" s="130">
        <f>IF(SER_hh_fech_in!Q4=0,0,SER_hh_fech_in!Q4/SER_summary!Q$27)</f>
        <v>99.167923522063859</v>
      </c>
      <c r="R4" s="130">
        <f>IF(SER_hh_fech_in!R4=0,0,SER_hh_fech_in!R4/SER_summary!R$27)</f>
        <v>93.255016373315399</v>
      </c>
      <c r="S4" s="130">
        <f>IF(SER_hh_fech_in!S4=0,0,SER_hh_fech_in!S4/SER_summary!S$27)</f>
        <v>86.045012753723441</v>
      </c>
      <c r="T4" s="130">
        <f>IF(SER_hh_fech_in!T4=0,0,SER_hh_fech_in!T4/SER_summary!T$27)</f>
        <v>78.066103399912024</v>
      </c>
      <c r="U4" s="130">
        <f>IF(SER_hh_fech_in!U4=0,0,SER_hh_fech_in!U4/SER_summary!U$27)</f>
        <v>70.567384755351156</v>
      </c>
      <c r="V4" s="130">
        <f>IF(SER_hh_fech_in!V4=0,0,SER_hh_fech_in!V4/SER_summary!V$27)</f>
        <v>62.555218712600649</v>
      </c>
      <c r="W4" s="130">
        <f>IF(SER_hh_fech_in!W4=0,0,SER_hh_fech_in!W4/SER_summary!W$27)</f>
        <v>51.514225004677471</v>
      </c>
      <c r="X4" s="130">
        <f>IF(SER_hh_fech_in!X4=0,0,SER_hh_fech_in!X4/SER_summary!X$27)</f>
        <v>39.265676743978297</v>
      </c>
      <c r="Y4" s="130">
        <f>IF(SER_hh_fech_in!Y4=0,0,SER_hh_fech_in!Y4/SER_summary!Y$27)</f>
        <v>31.54068391269395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0</v>
      </c>
      <c r="D5" s="132">
        <f>IF(SER_hh_fech_in!D5=0,0,SER_hh_fech_in!D5/SER_summary!D$27)</f>
        <v>0</v>
      </c>
      <c r="E5" s="132">
        <f>IF(SER_hh_fech_in!E5=0,0,SER_hh_fech_in!E5/SER_summary!E$27)</f>
        <v>0</v>
      </c>
      <c r="F5" s="132">
        <f>IF(SER_hh_fech_in!F5=0,0,SER_hh_fech_in!F5/SER_summary!F$27)</f>
        <v>0</v>
      </c>
      <c r="G5" s="132">
        <f>IF(SER_hh_fech_in!G5=0,0,SER_hh_fech_in!G5/SER_summary!G$27)</f>
        <v>0</v>
      </c>
      <c r="H5" s="132">
        <f>IF(SER_hh_fech_in!H5=0,0,SER_hh_fech_in!H5/SER_summary!H$27)</f>
        <v>0</v>
      </c>
      <c r="I5" s="132">
        <f>IF(SER_hh_fech_in!I5=0,0,SER_hh_fech_in!I5/SER_summary!I$27)</f>
        <v>0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231.17352767871299</v>
      </c>
      <c r="N5" s="132">
        <f>IF(SER_hh_fech_in!N5=0,0,SER_hh_fech_in!N5/SER_summary!N$27)</f>
        <v>68.270093529901388</v>
      </c>
      <c r="O5" s="132">
        <f>IF(SER_hh_fech_in!O5=0,0,SER_hh_fech_in!O5/SER_summary!O$27)</f>
        <v>150.16002581257956</v>
      </c>
      <c r="P5" s="132">
        <f>IF(SER_hh_fech_in!P5=0,0,SER_hh_fech_in!P5/SER_summary!P$27)</f>
        <v>112.4178543817857</v>
      </c>
      <c r="Q5" s="132">
        <f>IF(SER_hh_fech_in!Q5=0,0,SER_hh_fech_in!Q5/SER_summary!Q$27)</f>
        <v>124.50039679336631</v>
      </c>
      <c r="R5" s="132">
        <f>IF(SER_hh_fech_in!R5=0,0,SER_hh_fech_in!R5/SER_summary!R$27)</f>
        <v>0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0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0</v>
      </c>
      <c r="D7" s="132">
        <f>IF(SER_hh_fech_in!D7=0,0,SER_hh_fech_in!D7/SER_summary!D$27)</f>
        <v>0</v>
      </c>
      <c r="E7" s="132">
        <f>IF(SER_hh_fech_in!E7=0,0,SER_hh_fech_in!E7/SER_summary!E$27)</f>
        <v>0</v>
      </c>
      <c r="F7" s="132">
        <f>IF(SER_hh_fech_in!F7=0,0,SER_hh_fech_in!F7/SER_summary!F$27)</f>
        <v>0</v>
      </c>
      <c r="G7" s="132">
        <f>IF(SER_hh_fech_in!G7=0,0,SER_hh_fech_in!G7/SER_summary!G$27)</f>
        <v>0</v>
      </c>
      <c r="H7" s="132">
        <f>IF(SER_hh_fech_in!H7=0,0,SER_hh_fech_in!H7/SER_summary!H$27)</f>
        <v>0</v>
      </c>
      <c r="I7" s="132">
        <f>IF(SER_hh_fech_in!I7=0,0,SER_hh_fech_in!I7/SER_summary!I$27)</f>
        <v>0</v>
      </c>
      <c r="J7" s="132">
        <f>IF(SER_hh_fech_in!J7=0,0,SER_hh_fech_in!J7/SER_summary!J$27)</f>
        <v>0</v>
      </c>
      <c r="K7" s="132">
        <f>IF(SER_hh_fech_in!K7=0,0,SER_hh_fech_in!K7/SER_summary!K$27)</f>
        <v>0</v>
      </c>
      <c r="L7" s="132">
        <f>IF(SER_hh_fech_in!L7=0,0,SER_hh_fech_in!L7/SER_summary!L$27)</f>
        <v>0</v>
      </c>
      <c r="M7" s="132">
        <f>IF(SER_hh_fech_in!M7=0,0,SER_hh_fech_in!M7/SER_summary!M$27)</f>
        <v>0</v>
      </c>
      <c r="N7" s="132">
        <f>IF(SER_hh_fech_in!N7=0,0,SER_hh_fech_in!N7/SER_summary!N$27)</f>
        <v>230.65256587864701</v>
      </c>
      <c r="O7" s="132">
        <f>IF(SER_hh_fech_in!O7=0,0,SER_hh_fech_in!O7/SER_summary!O$27)</f>
        <v>83.834262087923378</v>
      </c>
      <c r="P7" s="132">
        <f>IF(SER_hh_fech_in!P7=0,0,SER_hh_fech_in!P7/SER_summary!P$27)</f>
        <v>106.41816382342786</v>
      </c>
      <c r="Q7" s="132">
        <f>IF(SER_hh_fech_in!Q7=0,0,SER_hh_fech_in!Q7/SER_summary!Q$27)</f>
        <v>124.45068015142603</v>
      </c>
      <c r="R7" s="132">
        <f>IF(SER_hh_fech_in!R7=0,0,SER_hh_fech_in!R7/SER_summary!R$27)</f>
        <v>120.1419652010314</v>
      </c>
      <c r="S7" s="132">
        <f>IF(SER_hh_fech_in!S7=0,0,SER_hh_fech_in!S7/SER_summary!S$27)</f>
        <v>96.144958536697459</v>
      </c>
      <c r="T7" s="132">
        <f>IF(SER_hh_fech_in!T7=0,0,SER_hh_fech_in!T7/SER_summary!T$27)</f>
        <v>97.700211438201677</v>
      </c>
      <c r="U7" s="132">
        <f>IF(SER_hh_fech_in!U7=0,0,SER_hh_fech_in!U7/SER_summary!U$27)</f>
        <v>79.410857994324843</v>
      </c>
      <c r="V7" s="132">
        <f>IF(SER_hh_fech_in!V7=0,0,SER_hh_fech_in!V7/SER_summary!V$27)</f>
        <v>73.658815001755229</v>
      </c>
      <c r="W7" s="132">
        <f>IF(SER_hh_fech_in!W7=0,0,SER_hh_fech_in!W7/SER_summary!W$27)</f>
        <v>75.615722430659517</v>
      </c>
      <c r="X7" s="132">
        <f>IF(SER_hh_fech_in!X7=0,0,SER_hh_fech_in!X7/SER_summary!X$27)</f>
        <v>48.247012548054293</v>
      </c>
      <c r="Y7" s="132">
        <f>IF(SER_hh_fech_in!Y7=0,0,SER_hh_fech_in!Y7/SER_summary!Y$27)</f>
        <v>43.630658810626393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0</v>
      </c>
      <c r="D8" s="132">
        <f>IF(SER_hh_fech_in!D8=0,0,SER_hh_fech_in!D8/SER_summary!D$27)</f>
        <v>0</v>
      </c>
      <c r="E8" s="132">
        <f>IF(SER_hh_fech_in!E8=0,0,SER_hh_fech_in!E8/SER_summary!E$27)</f>
        <v>0</v>
      </c>
      <c r="F8" s="132">
        <f>IF(SER_hh_fech_in!F8=0,0,SER_hh_fech_in!F8/SER_summary!F$27)</f>
        <v>0</v>
      </c>
      <c r="G8" s="132">
        <f>IF(SER_hh_fech_in!G8=0,0,SER_hh_fech_in!G8/SER_summary!G$27)</f>
        <v>0</v>
      </c>
      <c r="H8" s="132">
        <f>IF(SER_hh_fech_in!H8=0,0,SER_hh_fech_in!H8/SER_summary!H$27)</f>
        <v>0</v>
      </c>
      <c r="I8" s="132">
        <f>IF(SER_hh_fech_in!I8=0,0,SER_hh_fech_in!I8/SER_summary!I$27)</f>
        <v>0</v>
      </c>
      <c r="J8" s="132">
        <f>IF(SER_hh_fech_in!J8=0,0,SER_hh_fech_in!J8/SER_summary!J$27)</f>
        <v>0</v>
      </c>
      <c r="K8" s="132">
        <f>IF(SER_hh_fech_in!K8=0,0,SER_hh_fech_in!K8/SER_summary!K$27)</f>
        <v>0</v>
      </c>
      <c r="L8" s="132">
        <f>IF(SER_hh_fech_in!L8=0,0,SER_hh_fech_in!L8/SER_summary!L$27)</f>
        <v>0</v>
      </c>
      <c r="M8" s="132">
        <f>IF(SER_hh_fech_in!M8=0,0,SER_hh_fech_in!M8/SER_summary!M$27)</f>
        <v>0</v>
      </c>
      <c r="N8" s="132">
        <f>IF(SER_hh_fech_in!N8=0,0,SER_hh_fech_in!N8/SER_summary!N$27)</f>
        <v>0</v>
      </c>
      <c r="O8" s="132">
        <f>IF(SER_hh_fech_in!O8=0,0,SER_hh_fech_in!O8/SER_summary!O$27)</f>
        <v>0</v>
      </c>
      <c r="P8" s="132">
        <f>IF(SER_hh_fech_in!P8=0,0,SER_hh_fech_in!P8/SER_summary!P$27)</f>
        <v>0</v>
      </c>
      <c r="Q8" s="132">
        <f>IF(SER_hh_fech_in!Q8=0,0,SER_hh_fech_in!Q8/SER_summary!Q$27)</f>
        <v>0</v>
      </c>
      <c r="R8" s="132">
        <f>IF(SER_hh_fech_in!R8=0,0,SER_hh_fech_in!R8/SER_summary!R$27)</f>
        <v>8.3719585295618888</v>
      </c>
      <c r="S8" s="132">
        <f>IF(SER_hh_fech_in!S8=0,0,SER_hh_fech_in!S8/SER_summary!S$27)</f>
        <v>18.919591049540539</v>
      </c>
      <c r="T8" s="132">
        <f>IF(SER_hh_fech_in!T8=0,0,SER_hh_fech_in!T8/SER_summary!T$27)</f>
        <v>23.633601955459167</v>
      </c>
      <c r="U8" s="132">
        <f>IF(SER_hh_fech_in!U8=0,0,SER_hh_fech_in!U8/SER_summary!U$27)</f>
        <v>18.682790670161975</v>
      </c>
      <c r="V8" s="132">
        <f>IF(SER_hh_fech_in!V8=0,0,SER_hh_fech_in!V8/SER_summary!V$27)</f>
        <v>23.093481496841815</v>
      </c>
      <c r="W8" s="132">
        <f>IF(SER_hh_fech_in!W8=0,0,SER_hh_fech_in!W8/SER_summary!W$27)</f>
        <v>14.102434696336806</v>
      </c>
      <c r="X8" s="132">
        <f>IF(SER_hh_fech_in!X8=0,0,SER_hh_fech_in!X8/SER_summary!X$27)</f>
        <v>12.489575668274771</v>
      </c>
      <c r="Y8" s="132">
        <f>IF(SER_hh_fech_in!Y8=0,0,SER_hh_fech_in!Y8/SER_summary!Y$27)</f>
        <v>11.291075190177002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359.03888953998666</v>
      </c>
      <c r="D9" s="132">
        <f>IF(SER_hh_fech_in!D9=0,0,SER_hh_fech_in!D9/SER_summary!D$27)</f>
        <v>307.61121541253175</v>
      </c>
      <c r="E9" s="132">
        <f>IF(SER_hh_fech_in!E9=0,0,SER_hh_fech_in!E9/SER_summary!E$27)</f>
        <v>299.86952386774789</v>
      </c>
      <c r="F9" s="132">
        <f>IF(SER_hh_fech_in!F9=0,0,SER_hh_fech_in!F9/SER_summary!F$27)</f>
        <v>364.82452734913142</v>
      </c>
      <c r="G9" s="132">
        <f>IF(SER_hh_fech_in!G9=0,0,SER_hh_fech_in!G9/SER_summary!G$27)</f>
        <v>336.92980274976713</v>
      </c>
      <c r="H9" s="132">
        <f>IF(SER_hh_fech_in!H9=0,0,SER_hh_fech_in!H9/SER_summary!H$27)</f>
        <v>288.10208169134273</v>
      </c>
      <c r="I9" s="132">
        <f>IF(SER_hh_fech_in!I9=0,0,SER_hh_fech_in!I9/SER_summary!I$27)</f>
        <v>220.37963635605988</v>
      </c>
      <c r="J9" s="132">
        <f>IF(SER_hh_fech_in!J9=0,0,SER_hh_fech_in!J9/SER_summary!J$27)</f>
        <v>210.46669244183664</v>
      </c>
      <c r="K9" s="132">
        <f>IF(SER_hh_fech_in!K9=0,0,SER_hh_fech_in!K9/SER_summary!K$27)</f>
        <v>229.76522218882374</v>
      </c>
      <c r="L9" s="132">
        <f>IF(SER_hh_fech_in!L9=0,0,SER_hh_fech_in!L9/SER_summary!L$27)</f>
        <v>239.30730329690937</v>
      </c>
      <c r="M9" s="132">
        <f>IF(SER_hh_fech_in!M9=0,0,SER_hh_fech_in!M9/SER_summary!M$27)</f>
        <v>219.55918805242581</v>
      </c>
      <c r="N9" s="132">
        <f>IF(SER_hh_fech_in!N9=0,0,SER_hh_fech_in!N9/SER_summary!N$27)</f>
        <v>148.67469222587607</v>
      </c>
      <c r="O9" s="132">
        <f>IF(SER_hh_fech_in!O9=0,0,SER_hh_fech_in!O9/SER_summary!O$27)</f>
        <v>135.80530789207344</v>
      </c>
      <c r="P9" s="132">
        <f>IF(SER_hh_fech_in!P9=0,0,SER_hh_fech_in!P9/SER_summary!P$27)</f>
        <v>102.95623246864571</v>
      </c>
      <c r="Q9" s="132">
        <f>IF(SER_hh_fech_in!Q9=0,0,SER_hh_fech_in!Q9/SER_summary!Q$27)</f>
        <v>101.03301762185562</v>
      </c>
      <c r="R9" s="132">
        <f>IF(SER_hh_fech_in!R9=0,0,SER_hh_fech_in!R9/SER_summary!R$27)</f>
        <v>95.276365154695952</v>
      </c>
      <c r="S9" s="132">
        <f>IF(SER_hh_fech_in!S9=0,0,SER_hh_fech_in!S9/SER_summary!S$27)</f>
        <v>87.822110146775913</v>
      </c>
      <c r="T9" s="132">
        <f>IF(SER_hh_fech_in!T9=0,0,SER_hh_fech_in!T9/SER_summary!T$27)</f>
        <v>78.142279163230981</v>
      </c>
      <c r="U9" s="132">
        <f>IF(SER_hh_fech_in!U9=0,0,SER_hh_fech_in!U9/SER_summary!U$27)</f>
        <v>70.619699153883403</v>
      </c>
      <c r="V9" s="132">
        <f>IF(SER_hh_fech_in!V9=0,0,SER_hh_fech_in!V9/SER_summary!V$27)</f>
        <v>67.48097852780441</v>
      </c>
      <c r="W9" s="132">
        <f>IF(SER_hh_fech_in!W9=0,0,SER_hh_fech_in!W9/SER_summary!W$27)</f>
        <v>61.130317741987753</v>
      </c>
      <c r="X9" s="132">
        <f>IF(SER_hh_fech_in!X9=0,0,SER_hh_fech_in!X9/SER_summary!X$27)</f>
        <v>45.371347904160928</v>
      </c>
      <c r="Y9" s="132">
        <f>IF(SER_hh_fech_in!Y9=0,0,SER_hh_fech_in!Y9/SER_summary!Y$27)</f>
        <v>35.148378088111095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305.9774228816629</v>
      </c>
      <c r="D10" s="132">
        <f>IF(SER_hh_fech_in!D10=0,0,SER_hh_fech_in!D10/SER_summary!D$27)</f>
        <v>325.7989294057187</v>
      </c>
      <c r="E10" s="132">
        <f>IF(SER_hh_fech_in!E10=0,0,SER_hh_fech_in!E10/SER_summary!E$27)</f>
        <v>390.89517297314796</v>
      </c>
      <c r="F10" s="132">
        <f>IF(SER_hh_fech_in!F10=0,0,SER_hh_fech_in!F10/SER_summary!F$27)</f>
        <v>372.40972597254876</v>
      </c>
      <c r="G10" s="132">
        <f>IF(SER_hh_fech_in!G10=0,0,SER_hh_fech_in!G10/SER_summary!G$27)</f>
        <v>0</v>
      </c>
      <c r="H10" s="132">
        <f>IF(SER_hh_fech_in!H10=0,0,SER_hh_fech_in!H10/SER_summary!H$27)</f>
        <v>0</v>
      </c>
      <c r="I10" s="132">
        <f>IF(SER_hh_fech_in!I10=0,0,SER_hh_fech_in!I10/SER_summary!I$27)</f>
        <v>247.83718677561663</v>
      </c>
      <c r="J10" s="132">
        <f>IF(SER_hh_fech_in!J10=0,0,SER_hh_fech_in!J10/SER_summary!J$27)</f>
        <v>237.66090784230167</v>
      </c>
      <c r="K10" s="132">
        <f>IF(SER_hh_fech_in!K10=0,0,SER_hh_fech_in!K10/SER_summary!K$27)</f>
        <v>249.69315323419335</v>
      </c>
      <c r="L10" s="132">
        <f>IF(SER_hh_fech_in!L10=0,0,SER_hh_fech_in!L10/SER_summary!L$27)</f>
        <v>250.44062209104962</v>
      </c>
      <c r="M10" s="132">
        <f>IF(SER_hh_fech_in!M10=0,0,SER_hh_fech_in!M10/SER_summary!M$27)</f>
        <v>229.78131058849786</v>
      </c>
      <c r="N10" s="132">
        <f>IF(SER_hh_fech_in!N10=0,0,SER_hh_fech_in!N10/SER_summary!N$27)</f>
        <v>184.03280644872524</v>
      </c>
      <c r="O10" s="132">
        <f>IF(SER_hh_fech_in!O10=0,0,SER_hh_fech_in!O10/SER_summary!O$27)</f>
        <v>161.40650656556511</v>
      </c>
      <c r="P10" s="132">
        <f>IF(SER_hh_fech_in!P10=0,0,SER_hh_fech_in!P10/SER_summary!P$27)</f>
        <v>125.99601316545781</v>
      </c>
      <c r="Q10" s="132">
        <f>IF(SER_hh_fech_in!Q10=0,0,SER_hh_fech_in!Q10/SER_summary!Q$27)</f>
        <v>146.00656449506562</v>
      </c>
      <c r="R10" s="132">
        <f>IF(SER_hh_fech_in!R10=0,0,SER_hh_fech_in!R10/SER_summary!R$27)</f>
        <v>124.50038990599184</v>
      </c>
      <c r="S10" s="132">
        <f>IF(SER_hh_fech_in!S10=0,0,SER_hh_fech_in!S10/SER_summary!S$27)</f>
        <v>120.80001540749971</v>
      </c>
      <c r="T10" s="132">
        <f>IF(SER_hh_fech_in!T10=0,0,SER_hh_fech_in!T10/SER_summary!T$27)</f>
        <v>106.315273949024</v>
      </c>
      <c r="U10" s="132">
        <f>IF(SER_hh_fech_in!U10=0,0,SER_hh_fech_in!U10/SER_summary!U$27)</f>
        <v>110.06746264711225</v>
      </c>
      <c r="V10" s="132">
        <f>IF(SER_hh_fech_in!V10=0,0,SER_hh_fech_in!V10/SER_summary!V$27)</f>
        <v>0</v>
      </c>
      <c r="W10" s="132">
        <f>IF(SER_hh_fech_in!W10=0,0,SER_hh_fech_in!W10/SER_summary!W$27)</f>
        <v>67.506468740365449</v>
      </c>
      <c r="X10" s="132">
        <f>IF(SER_hh_fech_in!X10=0,0,SER_hh_fech_in!X10/SER_summary!X$27)</f>
        <v>62.384918128091698</v>
      </c>
      <c r="Y10" s="132">
        <f>IF(SER_hh_fech_in!Y10=0,0,SER_hh_fech_in!Y10/SER_summary!Y$27)</f>
        <v>56.993497618545746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235.2626559657198</v>
      </c>
      <c r="D11" s="132">
        <f>IF(SER_hh_fech_in!D11=0,0,SER_hh_fech_in!D11/SER_summary!D$27)</f>
        <v>228.38912389620057</v>
      </c>
      <c r="E11" s="132">
        <f>IF(SER_hh_fech_in!E11=0,0,SER_hh_fech_in!E11/SER_summary!E$27)</f>
        <v>231.34346777496822</v>
      </c>
      <c r="F11" s="132">
        <f>IF(SER_hh_fech_in!F11=0,0,SER_hh_fech_in!F11/SER_summary!F$27)</f>
        <v>0</v>
      </c>
      <c r="G11" s="132">
        <f>IF(SER_hh_fech_in!G11=0,0,SER_hh_fech_in!G11/SER_summary!G$27)</f>
        <v>210.72747927302157</v>
      </c>
      <c r="H11" s="132">
        <f>IF(SER_hh_fech_in!H11=0,0,SER_hh_fech_in!H11/SER_summary!H$27)</f>
        <v>192.10797514972043</v>
      </c>
      <c r="I11" s="132">
        <f>IF(SER_hh_fech_in!I11=0,0,SER_hh_fech_in!I11/SER_summary!I$27)</f>
        <v>168.50115506454384</v>
      </c>
      <c r="J11" s="132">
        <f>IF(SER_hh_fech_in!J11=0,0,SER_hh_fech_in!J11/SER_summary!J$27)</f>
        <v>173.10963298305074</v>
      </c>
      <c r="K11" s="132">
        <f>IF(SER_hh_fech_in!K11=0,0,SER_hh_fech_in!K11/SER_summary!K$27)</f>
        <v>171.87581655472854</v>
      </c>
      <c r="L11" s="132">
        <f>IF(SER_hh_fech_in!L11=0,0,SER_hh_fech_in!L11/SER_summary!L$27)</f>
        <v>162.92160843066239</v>
      </c>
      <c r="M11" s="132">
        <f>IF(SER_hh_fech_in!M11=0,0,SER_hh_fech_in!M11/SER_summary!M$27)</f>
        <v>157.04167641418894</v>
      </c>
      <c r="N11" s="132">
        <f>IF(SER_hh_fech_in!N11=0,0,SER_hh_fech_in!N11/SER_summary!N$27)</f>
        <v>145.90662528793982</v>
      </c>
      <c r="O11" s="132">
        <f>IF(SER_hh_fech_in!O11=0,0,SER_hh_fech_in!O11/SER_summary!O$27)</f>
        <v>150.22961120501307</v>
      </c>
      <c r="P11" s="132">
        <f>IF(SER_hh_fech_in!P11=0,0,SER_hh_fech_in!P11/SER_summary!P$27)</f>
        <v>0</v>
      </c>
      <c r="Q11" s="132">
        <f>IF(SER_hh_fech_in!Q11=0,0,SER_hh_fech_in!Q11/SER_summary!Q$27)</f>
        <v>0</v>
      </c>
      <c r="R11" s="132">
        <f>IF(SER_hh_fech_in!R11=0,0,SER_hh_fech_in!R11/SER_summary!R$27)</f>
        <v>0</v>
      </c>
      <c r="S11" s="132">
        <f>IF(SER_hh_fech_in!S11=0,0,SER_hh_fech_in!S11/SER_summary!S$27)</f>
        <v>86.192895695829634</v>
      </c>
      <c r="T11" s="132">
        <f>IF(SER_hh_fech_in!T11=0,0,SER_hh_fech_in!T11/SER_summary!T$27)</f>
        <v>73.668905832733742</v>
      </c>
      <c r="U11" s="132">
        <f>IF(SER_hh_fech_in!U11=0,0,SER_hh_fech_in!U11/SER_summary!U$27)</f>
        <v>69.912232416792122</v>
      </c>
      <c r="V11" s="132">
        <f>IF(SER_hh_fech_in!V11=0,0,SER_hh_fech_in!V11/SER_summary!V$27)</f>
        <v>54.971126358392553</v>
      </c>
      <c r="W11" s="132">
        <f>IF(SER_hh_fech_in!W11=0,0,SER_hh_fech_in!W11/SER_summary!W$27)</f>
        <v>52.036870354543517</v>
      </c>
      <c r="X11" s="132">
        <f>IF(SER_hh_fech_in!X11=0,0,SER_hh_fech_in!X11/SER_summary!X$27)</f>
        <v>43.036254985831</v>
      </c>
      <c r="Y11" s="132">
        <f>IF(SER_hh_fech_in!Y11=0,0,SER_hh_fech_in!Y11/SER_summary!Y$27)</f>
        <v>39.864857217643362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255.11072312078778</v>
      </c>
      <c r="D12" s="132">
        <f>IF(SER_hh_fech_in!D12=0,0,SER_hh_fech_in!D12/SER_summary!D$27)</f>
        <v>212.62563098606023</v>
      </c>
      <c r="E12" s="132">
        <f>IF(SER_hh_fech_in!E12=0,0,SER_hh_fech_in!E12/SER_summary!E$27)</f>
        <v>232.37277635764525</v>
      </c>
      <c r="F12" s="132">
        <f>IF(SER_hh_fech_in!F12=0,0,SER_hh_fech_in!F12/SER_summary!F$27)</f>
        <v>0</v>
      </c>
      <c r="G12" s="132">
        <f>IF(SER_hh_fech_in!G12=0,0,SER_hh_fech_in!G12/SER_summary!G$27)</f>
        <v>227.80511794097879</v>
      </c>
      <c r="H12" s="132">
        <f>IF(SER_hh_fech_in!H12=0,0,SER_hh_fech_in!H12/SER_summary!H$27)</f>
        <v>180.56723982448437</v>
      </c>
      <c r="I12" s="132">
        <f>IF(SER_hh_fech_in!I12=0,0,SER_hh_fech_in!I12/SER_summary!I$27)</f>
        <v>168.52555989534503</v>
      </c>
      <c r="J12" s="132">
        <f>IF(SER_hh_fech_in!J12=0,0,SER_hh_fech_in!J12/SER_summary!J$27)</f>
        <v>178.04319228359731</v>
      </c>
      <c r="K12" s="132">
        <f>IF(SER_hh_fech_in!K12=0,0,SER_hh_fech_in!K12/SER_summary!K$27)</f>
        <v>166.48084442270749</v>
      </c>
      <c r="L12" s="132">
        <f>IF(SER_hh_fech_in!L12=0,0,SER_hh_fech_in!L12/SER_summary!L$27)</f>
        <v>171.8651373906383</v>
      </c>
      <c r="M12" s="132">
        <f>IF(SER_hh_fech_in!M12=0,0,SER_hh_fech_in!M12/SER_summary!M$27)</f>
        <v>165.04496366282763</v>
      </c>
      <c r="N12" s="132">
        <f>IF(SER_hh_fech_in!N12=0,0,SER_hh_fech_in!N12/SER_summary!N$27)</f>
        <v>110.13207031405697</v>
      </c>
      <c r="O12" s="132">
        <f>IF(SER_hh_fech_in!O12=0,0,SER_hh_fech_in!O12/SER_summary!O$27)</f>
        <v>99.314473837050642</v>
      </c>
      <c r="P12" s="132">
        <f>IF(SER_hh_fech_in!P12=0,0,SER_hh_fech_in!P12/SER_summary!P$27)</f>
        <v>81.725642973447037</v>
      </c>
      <c r="Q12" s="132">
        <f>IF(SER_hh_fech_in!Q12=0,0,SER_hh_fech_in!Q12/SER_summary!Q$27)</f>
        <v>89.844456868259314</v>
      </c>
      <c r="R12" s="132">
        <f>IF(SER_hh_fech_in!R12=0,0,SER_hh_fech_in!R12/SER_summary!R$27)</f>
        <v>88.074784422367699</v>
      </c>
      <c r="S12" s="132">
        <f>IF(SER_hh_fech_in!S12=0,0,SER_hh_fech_in!S12/SER_summary!S$27)</f>
        <v>81.478838539574397</v>
      </c>
      <c r="T12" s="132">
        <f>IF(SER_hh_fech_in!T12=0,0,SER_hh_fech_in!T12/SER_summary!T$27)</f>
        <v>71.956445995892935</v>
      </c>
      <c r="U12" s="132">
        <f>IF(SER_hh_fech_in!U12=0,0,SER_hh_fech_in!U12/SER_summary!U$27)</f>
        <v>64.478267005353061</v>
      </c>
      <c r="V12" s="132">
        <f>IF(SER_hh_fech_in!V12=0,0,SER_hh_fech_in!V12/SER_summary!V$27)</f>
        <v>59.863005786940029</v>
      </c>
      <c r="W12" s="132">
        <f>IF(SER_hh_fech_in!W12=0,0,SER_hh_fech_in!W12/SER_summary!W$27)</f>
        <v>54.278304737318692</v>
      </c>
      <c r="X12" s="132">
        <f>IF(SER_hh_fech_in!X12=0,0,SER_hh_fech_in!X12/SER_summary!X$27)</f>
        <v>42.84437416709271</v>
      </c>
      <c r="Y12" s="132">
        <f>IF(SER_hh_fech_in!Y12=0,0,SER_hh_fech_in!Y12/SER_summary!Y$27)</f>
        <v>32.750824307311653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121.97973839654604</v>
      </c>
      <c r="D13" s="132">
        <f>IF(SER_hh_fech_in!D13=0,0,SER_hh_fech_in!D13/SER_summary!D$27)</f>
        <v>99.267424726830995</v>
      </c>
      <c r="E13" s="132">
        <f>IF(SER_hh_fech_in!E13=0,0,SER_hh_fech_in!E13/SER_summary!E$27)</f>
        <v>72.836714430786955</v>
      </c>
      <c r="F13" s="132">
        <f>IF(SER_hh_fech_in!F13=0,0,SER_hh_fech_in!F13/SER_summary!F$27)</f>
        <v>78.573757979432671</v>
      </c>
      <c r="G13" s="132">
        <f>IF(SER_hh_fech_in!G13=0,0,SER_hh_fech_in!G13/SER_summary!G$27)</f>
        <v>75.816872930770444</v>
      </c>
      <c r="H13" s="132">
        <f>IF(SER_hh_fech_in!H13=0,0,SER_hh_fech_in!H13/SER_summary!H$27)</f>
        <v>64.576932517445954</v>
      </c>
      <c r="I13" s="132">
        <f>IF(SER_hh_fech_in!I13=0,0,SER_hh_fech_in!I13/SER_summary!I$27)</f>
        <v>69.101197901969755</v>
      </c>
      <c r="J13" s="132">
        <f>IF(SER_hh_fech_in!J13=0,0,SER_hh_fech_in!J13/SER_summary!J$27)</f>
        <v>57.557611651704242</v>
      </c>
      <c r="K13" s="132">
        <f>IF(SER_hh_fech_in!K13=0,0,SER_hh_fech_in!K13/SER_summary!K$27)</f>
        <v>58.802501588340718</v>
      </c>
      <c r="L13" s="132">
        <f>IF(SER_hh_fech_in!L13=0,0,SER_hh_fech_in!L13/SER_summary!L$27)</f>
        <v>45.250588001602075</v>
      </c>
      <c r="M13" s="132">
        <f>IF(SER_hh_fech_in!M13=0,0,SER_hh_fech_in!M13/SER_summary!M$27)</f>
        <v>31.420879841398342</v>
      </c>
      <c r="N13" s="132">
        <f>IF(SER_hh_fech_in!N13=0,0,SER_hh_fech_in!N13/SER_summary!N$27)</f>
        <v>30.011182515131658</v>
      </c>
      <c r="O13" s="132">
        <f>IF(SER_hh_fech_in!O13=0,0,SER_hh_fech_in!O13/SER_summary!O$27)</f>
        <v>27.752507641223051</v>
      </c>
      <c r="P13" s="132">
        <f>IF(SER_hh_fech_in!P13=0,0,SER_hh_fech_in!P13/SER_summary!P$27)</f>
        <v>28.348787719780958</v>
      </c>
      <c r="Q13" s="132">
        <f>IF(SER_hh_fech_in!Q13=0,0,SER_hh_fech_in!Q13/SER_summary!Q$27)</f>
        <v>20.439140668934296</v>
      </c>
      <c r="R13" s="132">
        <f>IF(SER_hh_fech_in!R13=0,0,SER_hh_fech_in!R13/SER_summary!R$27)</f>
        <v>17.391496980504794</v>
      </c>
      <c r="S13" s="132">
        <f>IF(SER_hh_fech_in!S13=0,0,SER_hh_fech_in!S13/SER_summary!S$27)</f>
        <v>15.635374427437293</v>
      </c>
      <c r="T13" s="132">
        <f>IF(SER_hh_fech_in!T13=0,0,SER_hh_fech_in!T13/SER_summary!T$27)</f>
        <v>16.281034906061446</v>
      </c>
      <c r="U13" s="132">
        <f>IF(SER_hh_fech_in!U13=0,0,SER_hh_fech_in!U13/SER_summary!U$27)</f>
        <v>13.856029231377549</v>
      </c>
      <c r="V13" s="132">
        <f>IF(SER_hh_fech_in!V13=0,0,SER_hh_fech_in!V13/SER_summary!V$27)</f>
        <v>11.404836702476688</v>
      </c>
      <c r="W13" s="132">
        <f>IF(SER_hh_fech_in!W13=0,0,SER_hh_fech_in!W13/SER_summary!W$27)</f>
        <v>3.8387003934612567</v>
      </c>
      <c r="X13" s="132">
        <f>IF(SER_hh_fech_in!X13=0,0,SER_hh_fech_in!X13/SER_summary!X$27)</f>
        <v>10.971248165556451</v>
      </c>
      <c r="Y13" s="132">
        <f>IF(SER_hh_fech_in!Y13=0,0,SER_hh_fech_in!Y13/SER_summary!Y$27)</f>
        <v>8.570161265888018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271.11201423538404</v>
      </c>
      <c r="D14" s="65">
        <f>IF(SER_hh_fech_in!D14=0,0,SER_hh_fech_in!D14/SER_summary!D$27)</f>
        <v>0</v>
      </c>
      <c r="E14" s="65">
        <f>IF(SER_hh_fech_in!E14=0,0,SER_hh_fech_in!E14/SER_summary!E$27)</f>
        <v>201.39680708695781</v>
      </c>
      <c r="F14" s="65">
        <f>IF(SER_hh_fech_in!F14=0,0,SER_hh_fech_in!F14/SER_summary!F$27)</f>
        <v>222.07213264178321</v>
      </c>
      <c r="G14" s="65">
        <f>IF(SER_hh_fech_in!G14=0,0,SER_hh_fech_in!G14/SER_summary!G$27)</f>
        <v>244.07701715839391</v>
      </c>
      <c r="H14" s="65">
        <f>IF(SER_hh_fech_in!H14=0,0,SER_hh_fech_in!H14/SER_summary!H$27)</f>
        <v>207.49607472712285</v>
      </c>
      <c r="I14" s="65">
        <f>IF(SER_hh_fech_in!I14=0,0,SER_hh_fech_in!I14/SER_summary!I$27)</f>
        <v>196.51869889427991</v>
      </c>
      <c r="J14" s="65">
        <f>IF(SER_hh_fech_in!J14=0,0,SER_hh_fech_in!J14/SER_summary!J$27)</f>
        <v>176.03360701913729</v>
      </c>
      <c r="K14" s="65">
        <f>IF(SER_hh_fech_in!K14=0,0,SER_hh_fech_in!K14/SER_summary!K$27)</f>
        <v>191.64572019093279</v>
      </c>
      <c r="L14" s="65">
        <f>IF(SER_hh_fech_in!L14=0,0,SER_hh_fech_in!L14/SER_summary!L$27)</f>
        <v>0</v>
      </c>
      <c r="M14" s="65">
        <f>IF(SER_hh_fech_in!M14=0,0,SER_hh_fech_in!M14/SER_summary!M$27)</f>
        <v>0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94.019743389244695</v>
      </c>
      <c r="Q14" s="65">
        <f>IF(SER_hh_fech_in!Q14=0,0,SER_hh_fech_in!Q14/SER_summary!Q$27)</f>
        <v>96.492178740850392</v>
      </c>
      <c r="R14" s="65">
        <f>IF(SER_hh_fech_in!R14=0,0,SER_hh_fech_in!R14/SER_summary!R$27)</f>
        <v>88.300921204124364</v>
      </c>
      <c r="S14" s="65">
        <f>IF(SER_hh_fech_in!S14=0,0,SER_hh_fech_in!S14/SER_summary!S$27)</f>
        <v>82.740492191857228</v>
      </c>
      <c r="T14" s="65">
        <f>IF(SER_hh_fech_in!T14=0,0,SER_hh_fech_in!T14/SER_summary!T$27)</f>
        <v>79.266510333443264</v>
      </c>
      <c r="U14" s="65">
        <f>IF(SER_hh_fech_in!U14=0,0,SER_hh_fech_in!U14/SER_summary!U$27)</f>
        <v>71.936882055006009</v>
      </c>
      <c r="V14" s="65">
        <f>IF(SER_hh_fech_in!V14=0,0,SER_hh_fech_in!V14/SER_summary!V$27)</f>
        <v>59.527751115002054</v>
      </c>
      <c r="W14" s="65">
        <f>IF(SER_hh_fech_in!W14=0,0,SER_hh_fech_in!W14/SER_summary!W$27)</f>
        <v>49.485614432405121</v>
      </c>
      <c r="X14" s="65">
        <f>IF(SER_hh_fech_in!X14=0,0,SER_hh_fech_in!X14/SER_summary!X$27)</f>
        <v>45.993456606711796</v>
      </c>
      <c r="Y14" s="65">
        <f>IF(SER_hh_fech_in!Y14=0,0,SER_hh_fech_in!Y14/SER_summary!Y$27)</f>
        <v>31.858688491928397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3.2421006063773072</v>
      </c>
      <c r="D15" s="134">
        <f>IF(SER_hh_fech_in!D15=0,0,SER_hh_fech_in!D15/SER_summary!D$27)</f>
        <v>2.9734125019922399</v>
      </c>
      <c r="E15" s="134">
        <f>IF(SER_hh_fech_in!E15=0,0,SER_hh_fech_in!E15/SER_summary!E$27)</f>
        <v>2.9513665523235999</v>
      </c>
      <c r="F15" s="134">
        <f>IF(SER_hh_fech_in!F15=0,0,SER_hh_fech_in!F15/SER_summary!F$27)</f>
        <v>3.7189418292580267</v>
      </c>
      <c r="G15" s="134">
        <f>IF(SER_hh_fech_in!G15=0,0,SER_hh_fech_in!G15/SER_summary!G$27)</f>
        <v>2.9236048011202231</v>
      </c>
      <c r="H15" s="134">
        <f>IF(SER_hh_fech_in!H15=0,0,SER_hh_fech_in!H15/SER_summary!H$27)</f>
        <v>1.7506666751489663</v>
      </c>
      <c r="I15" s="134">
        <f>IF(SER_hh_fech_in!I15=0,0,SER_hh_fech_in!I15/SER_summary!I$27)</f>
        <v>1.0867706948197688</v>
      </c>
      <c r="J15" s="134">
        <f>IF(SER_hh_fech_in!J15=0,0,SER_hh_fech_in!J15/SER_summary!J$27)</f>
        <v>1.1173885348932249</v>
      </c>
      <c r="K15" s="134">
        <f>IF(SER_hh_fech_in!K15=0,0,SER_hh_fech_in!K15/SER_summary!K$27)</f>
        <v>1.9531641251794285</v>
      </c>
      <c r="L15" s="134">
        <f>IF(SER_hh_fech_in!L15=0,0,SER_hh_fech_in!L15/SER_summary!L$27)</f>
        <v>2.1785782534009184</v>
      </c>
      <c r="M15" s="134">
        <f>IF(SER_hh_fech_in!M15=0,0,SER_hh_fech_in!M15/SER_summary!M$27)</f>
        <v>2.021140486749168</v>
      </c>
      <c r="N15" s="134">
        <f>IF(SER_hh_fech_in!N15=0,0,SER_hh_fech_in!N15/SER_summary!N$27)</f>
        <v>1.3997948836848695</v>
      </c>
      <c r="O15" s="134">
        <f>IF(SER_hh_fech_in!O15=0,0,SER_hh_fech_in!O15/SER_summary!O$27)</f>
        <v>1.2595648333691423</v>
      </c>
      <c r="P15" s="134">
        <f>IF(SER_hh_fech_in!P15=0,0,SER_hh_fech_in!P15/SER_summary!P$27)</f>
        <v>0.98308986651746211</v>
      </c>
      <c r="Q15" s="134">
        <f>IF(SER_hh_fech_in!Q15=0,0,SER_hh_fech_in!Q15/SER_summary!Q$27)</f>
        <v>0.75612877403771783</v>
      </c>
      <c r="R15" s="134">
        <f>IF(SER_hh_fech_in!R15=0,0,SER_hh_fech_in!R15/SER_summary!R$27)</f>
        <v>0.83275508594522407</v>
      </c>
      <c r="S15" s="134">
        <f>IF(SER_hh_fech_in!S15=0,0,SER_hh_fech_in!S15/SER_summary!S$27)</f>
        <v>0.83505669085131906</v>
      </c>
      <c r="T15" s="134">
        <f>IF(SER_hh_fech_in!T15=0,0,SER_hh_fech_in!T15/SER_summary!T$27)</f>
        <v>0.82631374721479789</v>
      </c>
      <c r="U15" s="134">
        <f>IF(SER_hh_fech_in!U15=0,0,SER_hh_fech_in!U15/SER_summary!U$27)</f>
        <v>0.76090743744621636</v>
      </c>
      <c r="V15" s="134">
        <f>IF(SER_hh_fech_in!V15=0,0,SER_hh_fech_in!V15/SER_summary!V$27)</f>
        <v>0.71401620777762609</v>
      </c>
      <c r="W15" s="134">
        <f>IF(SER_hh_fech_in!W15=0,0,SER_hh_fech_in!W15/SER_summary!W$27)</f>
        <v>0.55486300070875816</v>
      </c>
      <c r="X15" s="134">
        <f>IF(SER_hh_fech_in!X15=0,0,SER_hh_fech_in!X15/SER_summary!X$27)</f>
        <v>0.3482574636345569</v>
      </c>
      <c r="Y15" s="134">
        <f>IF(SER_hh_fech_in!Y15=0,0,SER_hh_fech_in!Y15/SER_summary!Y$27)</f>
        <v>0.27782283713487932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9.9863497475474485</v>
      </c>
      <c r="D16" s="130">
        <f>IF(SER_hh_fech_in!D16=0,0,SER_hh_fech_in!D16/SER_summary!D$27)</f>
        <v>10.113244790997635</v>
      </c>
      <c r="E16" s="130">
        <f>IF(SER_hh_fech_in!E16=0,0,SER_hh_fech_in!E16/SER_summary!E$27)</f>
        <v>11.117810146156168</v>
      </c>
      <c r="F16" s="130">
        <f>IF(SER_hh_fech_in!F16=0,0,SER_hh_fech_in!F16/SER_summary!F$27)</f>
        <v>8.5192818732647009</v>
      </c>
      <c r="G16" s="130">
        <f>IF(SER_hh_fech_in!G16=0,0,SER_hh_fech_in!G16/SER_summary!G$27)</f>
        <v>8.2036756972113576</v>
      </c>
      <c r="H16" s="130">
        <f>IF(SER_hh_fech_in!H16=0,0,SER_hh_fech_in!H16/SER_summary!H$27)</f>
        <v>8.7285745691973347</v>
      </c>
      <c r="I16" s="130">
        <f>IF(SER_hh_fech_in!I16=0,0,SER_hh_fech_in!I16/SER_summary!I$27)</f>
        <v>9.1670283828697698</v>
      </c>
      <c r="J16" s="130">
        <f>IF(SER_hh_fech_in!J16=0,0,SER_hh_fech_in!J16/SER_summary!J$27)</f>
        <v>7.4829151627534181</v>
      </c>
      <c r="K16" s="130">
        <f>IF(SER_hh_fech_in!K16=0,0,SER_hh_fech_in!K16/SER_summary!K$27)</f>
        <v>7.2288414397278613</v>
      </c>
      <c r="L16" s="130">
        <f>IF(SER_hh_fech_in!L16=0,0,SER_hh_fech_in!L16/SER_summary!L$27)</f>
        <v>7.2528765654176173</v>
      </c>
      <c r="M16" s="130">
        <f>IF(SER_hh_fech_in!M16=0,0,SER_hh_fech_in!M16/SER_summary!M$27)</f>
        <v>6.8080542510705264</v>
      </c>
      <c r="N16" s="130">
        <f>IF(SER_hh_fech_in!N16=0,0,SER_hh_fech_in!N16/SER_summary!N$27)</f>
        <v>8.2032608632806578</v>
      </c>
      <c r="O16" s="130">
        <f>IF(SER_hh_fech_in!O16=0,0,SER_hh_fech_in!O16/SER_summary!O$27)</f>
        <v>6.3886455280264274</v>
      </c>
      <c r="P16" s="130">
        <f>IF(SER_hh_fech_in!P16=0,0,SER_hh_fech_in!P16/SER_summary!P$27)</f>
        <v>5.4078257928173157</v>
      </c>
      <c r="Q16" s="130">
        <f>IF(SER_hh_fech_in!Q16=0,0,SER_hh_fech_in!Q16/SER_summary!Q$27)</f>
        <v>7.4639616487947729</v>
      </c>
      <c r="R16" s="130">
        <f>IF(SER_hh_fech_in!R16=0,0,SER_hh_fech_in!R16/SER_summary!R$27)</f>
        <v>4.9807838816262828</v>
      </c>
      <c r="S16" s="130">
        <f>IF(SER_hh_fech_in!S16=0,0,SER_hh_fech_in!S16/SER_summary!S$27)</f>
        <v>5.8458472257092415</v>
      </c>
      <c r="T16" s="130">
        <f>IF(SER_hh_fech_in!T16=0,0,SER_hh_fech_in!T16/SER_summary!T$27)</f>
        <v>5.350620267166371</v>
      </c>
      <c r="U16" s="130">
        <f>IF(SER_hh_fech_in!U16=0,0,SER_hh_fech_in!U16/SER_summary!U$27)</f>
        <v>5.5827259975392209</v>
      </c>
      <c r="V16" s="130">
        <f>IF(SER_hh_fech_in!V16=0,0,SER_hh_fech_in!V16/SER_summary!V$27)</f>
        <v>4.2729425473517173</v>
      </c>
      <c r="W16" s="130">
        <f>IF(SER_hh_fech_in!W16=0,0,SER_hh_fech_in!W16/SER_summary!W$27)</f>
        <v>4.8883532208881126</v>
      </c>
      <c r="X16" s="130">
        <f>IF(SER_hh_fech_in!X16=0,0,SER_hh_fech_in!X16/SER_summary!X$27)</f>
        <v>4.7802655074936649</v>
      </c>
      <c r="Y16" s="130">
        <f>IF(SER_hh_fech_in!Y16=0,0,SER_hh_fech_in!Y16/SER_summary!Y$27)</f>
        <v>4.3000782338628936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19.148488660190051</v>
      </c>
      <c r="D17" s="132">
        <f>IF(SER_hh_fech_in!D17=0,0,SER_hh_fech_in!D17/SER_summary!D$27)</f>
        <v>19.875800982400378</v>
      </c>
      <c r="E17" s="132">
        <f>IF(SER_hh_fech_in!E17=0,0,SER_hh_fech_in!E17/SER_summary!E$27)</f>
        <v>22.395924735408336</v>
      </c>
      <c r="F17" s="132">
        <f>IF(SER_hh_fech_in!F17=0,0,SER_hh_fech_in!F17/SER_summary!F$27)</f>
        <v>17.567448923717443</v>
      </c>
      <c r="G17" s="132">
        <f>IF(SER_hh_fech_in!G17=0,0,SER_hh_fech_in!G17/SER_summary!G$27)</f>
        <v>17.276592314411868</v>
      </c>
      <c r="H17" s="132">
        <f>IF(SER_hh_fech_in!H17=0,0,SER_hh_fech_in!H17/SER_summary!H$27)</f>
        <v>18.775881425527245</v>
      </c>
      <c r="I17" s="132">
        <f>IF(SER_hh_fech_in!I17=0,0,SER_hh_fech_in!I17/SER_summary!I$27)</f>
        <v>20.155155154733229</v>
      </c>
      <c r="J17" s="132">
        <f>IF(SER_hh_fech_in!J17=0,0,SER_hh_fech_in!J17/SER_summary!J$27)</f>
        <v>16.83714556401862</v>
      </c>
      <c r="K17" s="132">
        <f>IF(SER_hh_fech_in!K17=0,0,SER_hh_fech_in!K17/SER_summary!K$27)</f>
        <v>16.556993218643466</v>
      </c>
      <c r="L17" s="132">
        <f>IF(SER_hh_fech_in!L17=0,0,SER_hh_fech_in!L17/SER_summary!L$27)</f>
        <v>16.919329567748033</v>
      </c>
      <c r="M17" s="132">
        <f>IF(SER_hh_fech_in!M17=0,0,SER_hh_fech_in!M17/SER_summary!M$27)</f>
        <v>16.264311023804193</v>
      </c>
      <c r="N17" s="132">
        <f>IF(SER_hh_fech_in!N17=0,0,SER_hh_fech_in!N17/SER_summary!N$27)</f>
        <v>20.117220800624043</v>
      </c>
      <c r="O17" s="132">
        <f>IF(SER_hh_fech_in!O17=0,0,SER_hh_fech_in!O17/SER_summary!O$27)</f>
        <v>16.12690381314663</v>
      </c>
      <c r="P17" s="132">
        <f>IF(SER_hh_fech_in!P17=0,0,SER_hh_fech_in!P17/SER_summary!P$27)</f>
        <v>14.027438419557519</v>
      </c>
      <c r="Q17" s="132">
        <f>IF(SER_hh_fech_in!Q17=0,0,SER_hh_fech_in!Q17/SER_summary!Q$27)</f>
        <v>19.63245343031782</v>
      </c>
      <c r="R17" s="132">
        <f>IF(SER_hh_fech_in!R17=0,0,SER_hh_fech_in!R17/SER_summary!R$27)</f>
        <v>13.2742015728896</v>
      </c>
      <c r="S17" s="132">
        <f>IF(SER_hh_fech_in!S17=0,0,SER_hh_fech_in!S17/SER_summary!S$27)</f>
        <v>15.477130983355314</v>
      </c>
      <c r="T17" s="132">
        <f>IF(SER_hh_fech_in!T17=0,0,SER_hh_fech_in!T17/SER_summary!T$27)</f>
        <v>14.063311470367951</v>
      </c>
      <c r="U17" s="132">
        <f>IF(SER_hh_fech_in!U17=0,0,SER_hh_fech_in!U17/SER_summary!U$27)</f>
        <v>14.415353678345685</v>
      </c>
      <c r="V17" s="132">
        <f>IF(SER_hh_fech_in!V17=0,0,SER_hh_fech_in!V17/SER_summary!V$27)</f>
        <v>9.7126984685535316</v>
      </c>
      <c r="W17" s="132">
        <f>IF(SER_hh_fech_in!W17=0,0,SER_hh_fech_in!W17/SER_summary!W$27)</f>
        <v>11.139511922947854</v>
      </c>
      <c r="X17" s="132">
        <f>IF(SER_hh_fech_in!X17=0,0,SER_hh_fech_in!X17/SER_summary!X$27)</f>
        <v>11.792178888818185</v>
      </c>
      <c r="Y17" s="132">
        <f>IF(SER_hh_fech_in!Y17=0,0,SER_hh_fech_in!Y17/SER_summary!Y$27)</f>
        <v>10.977667127154476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9.9504438092313965</v>
      </c>
      <c r="D18" s="132">
        <f>IF(SER_hh_fech_in!D18=0,0,SER_hh_fech_in!D18/SER_summary!D$27)</f>
        <v>10.070347760900537</v>
      </c>
      <c r="E18" s="132">
        <f>IF(SER_hh_fech_in!E18=0,0,SER_hh_fech_in!E18/SER_summary!E$27)</f>
        <v>11.073051569080379</v>
      </c>
      <c r="F18" s="132">
        <f>IF(SER_hh_fech_in!F18=0,0,SER_hh_fech_in!F18/SER_summary!F$27)</f>
        <v>8.502699554648613</v>
      </c>
      <c r="G18" s="132">
        <f>IF(SER_hh_fech_in!G18=0,0,SER_hh_fech_in!G18/SER_summary!G$27)</f>
        <v>8.1725315982016316</v>
      </c>
      <c r="H18" s="132">
        <f>IF(SER_hh_fech_in!H18=0,0,SER_hh_fech_in!H18/SER_summary!H$27)</f>
        <v>8.6854777120484083</v>
      </c>
      <c r="I18" s="132">
        <f>IF(SER_hh_fech_in!I18=0,0,SER_hh_fech_in!I18/SER_summary!I$27)</f>
        <v>9.1217529209275217</v>
      </c>
      <c r="J18" s="132">
        <f>IF(SER_hh_fech_in!J18=0,0,SER_hh_fech_in!J18/SER_summary!J$27)</f>
        <v>7.4581340659868873</v>
      </c>
      <c r="K18" s="132">
        <f>IF(SER_hh_fech_in!K18=0,0,SER_hh_fech_in!K18/SER_summary!K$27)</f>
        <v>7.1797570507459056</v>
      </c>
      <c r="L18" s="132">
        <f>IF(SER_hh_fech_in!L18=0,0,SER_hh_fech_in!L18/SER_summary!L$27)</f>
        <v>7.1839954731192739</v>
      </c>
      <c r="M18" s="132">
        <f>IF(SER_hh_fech_in!M18=0,0,SER_hh_fech_in!M18/SER_summary!M$27)</f>
        <v>6.7398269461300613</v>
      </c>
      <c r="N18" s="132">
        <f>IF(SER_hh_fech_in!N18=0,0,SER_hh_fech_in!N18/SER_summary!N$27)</f>
        <v>8.1138932903363656</v>
      </c>
      <c r="O18" s="132">
        <f>IF(SER_hh_fech_in!O18=0,0,SER_hh_fech_in!O18/SER_summary!O$27)</f>
        <v>6.3142603456096111</v>
      </c>
      <c r="P18" s="132">
        <f>IF(SER_hh_fech_in!P18=0,0,SER_hh_fech_in!P18/SER_summary!P$27)</f>
        <v>5.3598461236133241</v>
      </c>
      <c r="Q18" s="132">
        <f>IF(SER_hh_fech_in!Q18=0,0,SER_hh_fech_in!Q18/SER_summary!Q$27)</f>
        <v>7.3690824880059758</v>
      </c>
      <c r="R18" s="132">
        <f>IF(SER_hh_fech_in!R18=0,0,SER_hh_fech_in!R18/SER_summary!R$27)</f>
        <v>4.9212387469935965</v>
      </c>
      <c r="S18" s="132">
        <f>IF(SER_hh_fech_in!S18=0,0,SER_hh_fech_in!S18/SER_summary!S$27)</f>
        <v>5.7259420302770199</v>
      </c>
      <c r="T18" s="132">
        <f>IF(SER_hh_fech_in!T18=0,0,SER_hh_fech_in!T18/SER_summary!T$27)</f>
        <v>5.2718598520700271</v>
      </c>
      <c r="U18" s="132">
        <f>IF(SER_hh_fech_in!U18=0,0,SER_hh_fech_in!U18/SER_summary!U$27)</f>
        <v>5.4276713969201404</v>
      </c>
      <c r="V18" s="132">
        <f>IF(SER_hh_fech_in!V18=0,0,SER_hh_fech_in!V18/SER_summary!V$27)</f>
        <v>4.1961768085596942</v>
      </c>
      <c r="W18" s="132">
        <f>IF(SER_hh_fech_in!W18=0,0,SER_hh_fech_in!W18/SER_summary!W$27)</f>
        <v>4.8241922694723911</v>
      </c>
      <c r="X18" s="132">
        <f>IF(SER_hh_fech_in!X18=0,0,SER_hh_fech_in!X18/SER_summary!X$27)</f>
        <v>4.7204085837842262</v>
      </c>
      <c r="Y18" s="132">
        <f>IF(SER_hh_fech_in!Y18=0,0,SER_hh_fech_in!Y18/SER_summary!Y$27)</f>
        <v>4.2505219337710027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29.059522305635909</v>
      </c>
      <c r="D19" s="130">
        <f>IF(SER_hh_fech_in!D19=0,0,SER_hh_fech_in!D19/SER_summary!D$27)</f>
        <v>29.676062898700181</v>
      </c>
      <c r="E19" s="130">
        <f>IF(SER_hh_fech_in!E19=0,0,SER_hh_fech_in!E19/SER_summary!E$27)</f>
        <v>28.87568309416578</v>
      </c>
      <c r="F19" s="130">
        <f>IF(SER_hh_fech_in!F19=0,0,SER_hh_fech_in!F19/SER_summary!F$27)</f>
        <v>29.402124206612861</v>
      </c>
      <c r="G19" s="130">
        <f>IF(SER_hh_fech_in!G19=0,0,SER_hh_fech_in!G19/SER_summary!G$27)</f>
        <v>28.298239080254191</v>
      </c>
      <c r="H19" s="130">
        <f>IF(SER_hh_fech_in!H19=0,0,SER_hh_fech_in!H19/SER_summary!H$27)</f>
        <v>27.988387812974906</v>
      </c>
      <c r="I19" s="130">
        <f>IF(SER_hh_fech_in!I19=0,0,SER_hh_fech_in!I19/SER_summary!I$27)</f>
        <v>27.891172428642175</v>
      </c>
      <c r="J19" s="130">
        <f>IF(SER_hh_fech_in!J19=0,0,SER_hh_fech_in!J19/SER_summary!J$27)</f>
        <v>27.721583696924426</v>
      </c>
      <c r="K19" s="130">
        <f>IF(SER_hh_fech_in!K19=0,0,SER_hh_fech_in!K19/SER_summary!K$27)</f>
        <v>28.315928483196096</v>
      </c>
      <c r="L19" s="130">
        <f>IF(SER_hh_fech_in!L19=0,0,SER_hh_fech_in!L19/SER_summary!L$27)</f>
        <v>27.477959268659873</v>
      </c>
      <c r="M19" s="130">
        <f>IF(SER_hh_fech_in!M19=0,0,SER_hh_fech_in!M19/SER_summary!M$27)</f>
        <v>27.096504680972981</v>
      </c>
      <c r="N19" s="130">
        <f>IF(SER_hh_fech_in!N19=0,0,SER_hh_fech_in!N19/SER_summary!N$27)</f>
        <v>27.835061956787978</v>
      </c>
      <c r="O19" s="130">
        <f>IF(SER_hh_fech_in!O19=0,0,SER_hh_fech_in!O19/SER_summary!O$27)</f>
        <v>26.088834399721158</v>
      </c>
      <c r="P19" s="130">
        <f>IF(SER_hh_fech_in!P19=0,0,SER_hh_fech_in!P19/SER_summary!P$27)</f>
        <v>24.483365888745407</v>
      </c>
      <c r="Q19" s="130">
        <f>IF(SER_hh_fech_in!Q19=0,0,SER_hh_fech_in!Q19/SER_summary!Q$27)</f>
        <v>22.934000058983138</v>
      </c>
      <c r="R19" s="130">
        <f>IF(SER_hh_fech_in!R19=0,0,SER_hh_fech_in!R19/SER_summary!R$27)</f>
        <v>22.575639785927752</v>
      </c>
      <c r="S19" s="130">
        <f>IF(SER_hh_fech_in!S19=0,0,SER_hh_fech_in!S19/SER_summary!S$27)</f>
        <v>22.013371931707805</v>
      </c>
      <c r="T19" s="130">
        <f>IF(SER_hh_fech_in!T19=0,0,SER_hh_fech_in!T19/SER_summary!T$27)</f>
        <v>21.710120149278392</v>
      </c>
      <c r="U19" s="130">
        <f>IF(SER_hh_fech_in!U19=0,0,SER_hh_fech_in!U19/SER_summary!U$27)</f>
        <v>20.787995882631879</v>
      </c>
      <c r="V19" s="130">
        <f>IF(SER_hh_fech_in!V19=0,0,SER_hh_fech_in!V19/SER_summary!V$27)</f>
        <v>18.31968674935867</v>
      </c>
      <c r="W19" s="130">
        <f>IF(SER_hh_fech_in!W19=0,0,SER_hh_fech_in!W19/SER_summary!W$27)</f>
        <v>18.103565344967372</v>
      </c>
      <c r="X19" s="130">
        <f>IF(SER_hh_fech_in!X19=0,0,SER_hh_fech_in!X19/SER_summary!X$27)</f>
        <v>18.119737124688974</v>
      </c>
      <c r="Y19" s="130">
        <f>IF(SER_hh_fech_in!Y19=0,0,SER_hh_fech_in!Y19/SER_summary!Y$27)</f>
        <v>18.093180626388609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0</v>
      </c>
      <c r="D21" s="132">
        <f>IF(SER_hh_fech_in!D21=0,0,SER_hh_fech_in!D21/SER_summary!D$27)</f>
        <v>0</v>
      </c>
      <c r="E21" s="132">
        <f>IF(SER_hh_fech_in!E21=0,0,SER_hh_fech_in!E21/SER_summary!E$27)</f>
        <v>0</v>
      </c>
      <c r="F21" s="132">
        <f>IF(SER_hh_fech_in!F21=0,0,SER_hh_fech_in!F21/SER_summary!F$27)</f>
        <v>0</v>
      </c>
      <c r="G21" s="132">
        <f>IF(SER_hh_fech_in!G21=0,0,SER_hh_fech_in!G21/SER_summary!G$27)</f>
        <v>0</v>
      </c>
      <c r="H21" s="132">
        <f>IF(SER_hh_fech_in!H21=0,0,SER_hh_fech_in!H21/SER_summary!H$27)</f>
        <v>0</v>
      </c>
      <c r="I21" s="132">
        <f>IF(SER_hh_fech_in!I21=0,0,SER_hh_fech_in!I21/SER_summary!I$27)</f>
        <v>0</v>
      </c>
      <c r="J21" s="132">
        <f>IF(SER_hh_fech_in!J21=0,0,SER_hh_fech_in!J21/SER_summary!J$27)</f>
        <v>0</v>
      </c>
      <c r="K21" s="132">
        <f>IF(SER_hh_fech_in!K21=0,0,SER_hh_fech_in!K21/SER_summary!K$27)</f>
        <v>0</v>
      </c>
      <c r="L21" s="132">
        <f>IF(SER_hh_fech_in!L21=0,0,SER_hh_fech_in!L21/SER_summary!L$27)</f>
        <v>0</v>
      </c>
      <c r="M21" s="132">
        <f>IF(SER_hh_fech_in!M21=0,0,SER_hh_fech_in!M21/SER_summary!M$27)</f>
        <v>0</v>
      </c>
      <c r="N21" s="132">
        <f>IF(SER_hh_fech_in!N21=0,0,SER_hh_fech_in!N21/SER_summary!N$27)</f>
        <v>0</v>
      </c>
      <c r="O21" s="132">
        <f>IF(SER_hh_fech_in!O21=0,0,SER_hh_fech_in!O21/SER_summary!O$27)</f>
        <v>0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0</v>
      </c>
      <c r="S21" s="132">
        <f>IF(SER_hh_fech_in!S21=0,0,SER_hh_fech_in!S21/SER_summary!S$27)</f>
        <v>0</v>
      </c>
      <c r="T21" s="132">
        <f>IF(SER_hh_fech_in!T21=0,0,SER_hh_fech_in!T21/SER_summary!T$27)</f>
        <v>0</v>
      </c>
      <c r="U21" s="132">
        <f>IF(SER_hh_fech_in!U21=0,0,SER_hh_fech_in!U21/SER_summary!U$27)</f>
        <v>0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0</v>
      </c>
      <c r="Y21" s="132">
        <f>IF(SER_hh_fech_in!Y21=0,0,SER_hh_fech_in!Y21/SER_summary!Y$27)</f>
        <v>0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0</v>
      </c>
      <c r="D22" s="132">
        <f>IF(SER_hh_fech_in!D22=0,0,SER_hh_fech_in!D22/SER_summary!D$27)</f>
        <v>0</v>
      </c>
      <c r="E22" s="132">
        <f>IF(SER_hh_fech_in!E22=0,0,SER_hh_fech_in!E22/SER_summary!E$27)</f>
        <v>0</v>
      </c>
      <c r="F22" s="132">
        <f>IF(SER_hh_fech_in!F22=0,0,SER_hh_fech_in!F22/SER_summary!F$27)</f>
        <v>0</v>
      </c>
      <c r="G22" s="132">
        <f>IF(SER_hh_fech_in!G22=0,0,SER_hh_fech_in!G22/SER_summary!G$27)</f>
        <v>0</v>
      </c>
      <c r="H22" s="132">
        <f>IF(SER_hh_fech_in!H22=0,0,SER_hh_fech_in!H22/SER_summary!H$27)</f>
        <v>0</v>
      </c>
      <c r="I22" s="132">
        <f>IF(SER_hh_fech_in!I22=0,0,SER_hh_fech_in!I22/SER_summary!I$27)</f>
        <v>0</v>
      </c>
      <c r="J22" s="132">
        <f>IF(SER_hh_fech_in!J22=0,0,SER_hh_fech_in!J22/SER_summary!J$27)</f>
        <v>0</v>
      </c>
      <c r="K22" s="132">
        <f>IF(SER_hh_fech_in!K22=0,0,SER_hh_fech_in!K22/SER_summary!K$27)</f>
        <v>0</v>
      </c>
      <c r="L22" s="132">
        <f>IF(SER_hh_fech_in!L22=0,0,SER_hh_fech_in!L22/SER_summary!L$27)</f>
        <v>0</v>
      </c>
      <c r="M22" s="132">
        <f>IF(SER_hh_fech_in!M22=0,0,SER_hh_fech_in!M22/SER_summary!M$27)</f>
        <v>0</v>
      </c>
      <c r="N22" s="132">
        <f>IF(SER_hh_fech_in!N22=0,0,SER_hh_fech_in!N22/SER_summary!N$27)</f>
        <v>0</v>
      </c>
      <c r="O22" s="132">
        <f>IF(SER_hh_fech_in!O22=0,0,SER_hh_fech_in!O22/SER_summary!O$27)</f>
        <v>0</v>
      </c>
      <c r="P22" s="132">
        <f>IF(SER_hh_fech_in!P22=0,0,SER_hh_fech_in!P22/SER_summary!P$27)</f>
        <v>0</v>
      </c>
      <c r="Q22" s="132">
        <f>IF(SER_hh_fech_in!Q22=0,0,SER_hh_fech_in!Q22/SER_summary!Q$27)</f>
        <v>0</v>
      </c>
      <c r="R22" s="132">
        <f>IF(SER_hh_fech_in!R22=0,0,SER_hh_fech_in!R22/SER_summary!R$27)</f>
        <v>0</v>
      </c>
      <c r="S22" s="132">
        <f>IF(SER_hh_fech_in!S22=0,0,SER_hh_fech_in!S22/SER_summary!S$27)</f>
        <v>0</v>
      </c>
      <c r="T22" s="132">
        <f>IF(SER_hh_fech_in!T22=0,0,SER_hh_fech_in!T22/SER_summary!T$27)</f>
        <v>0</v>
      </c>
      <c r="U22" s="132">
        <f>IF(SER_hh_fech_in!U22=0,0,SER_hh_fech_in!U22/SER_summary!U$27)</f>
        <v>0</v>
      </c>
      <c r="V22" s="132">
        <f>IF(SER_hh_fech_in!V22=0,0,SER_hh_fech_in!V22/SER_summary!V$27)</f>
        <v>0</v>
      </c>
      <c r="W22" s="132">
        <f>IF(SER_hh_fech_in!W22=0,0,SER_hh_fech_in!W22/SER_summary!W$27)</f>
        <v>0</v>
      </c>
      <c r="X22" s="132">
        <f>IF(SER_hh_fech_in!X22=0,0,SER_hh_fech_in!X22/SER_summary!X$27)</f>
        <v>0</v>
      </c>
      <c r="Y22" s="132">
        <f>IF(SER_hh_fech_in!Y22=0,0,SER_hh_fech_in!Y22/SER_summary!Y$27)</f>
        <v>0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31.823892864155102</v>
      </c>
      <c r="D23" s="132">
        <f>IF(SER_hh_fech_in!D23=0,0,SER_hh_fech_in!D23/SER_summary!D$27)</f>
        <v>31.801348728144841</v>
      </c>
      <c r="E23" s="132">
        <f>IF(SER_hh_fech_in!E23=0,0,SER_hh_fech_in!E23/SER_summary!E$27)</f>
        <v>31.597561040007903</v>
      </c>
      <c r="F23" s="132">
        <f>IF(SER_hh_fech_in!F23=0,0,SER_hh_fech_in!F23/SER_summary!F$27)</f>
        <v>32.008633218260783</v>
      </c>
      <c r="G23" s="132">
        <f>IF(SER_hh_fech_in!G23=0,0,SER_hh_fech_in!G23/SER_summary!G$27)</f>
        <v>30.620418505996128</v>
      </c>
      <c r="H23" s="132">
        <f>IF(SER_hh_fech_in!H23=0,0,SER_hh_fech_in!H23/SER_summary!H$27)</f>
        <v>29.635425452166196</v>
      </c>
      <c r="I23" s="132">
        <f>IF(SER_hh_fech_in!I23=0,0,SER_hh_fech_in!I23/SER_summary!I$27)</f>
        <v>29.215525961254571</v>
      </c>
      <c r="J23" s="132">
        <f>IF(SER_hh_fech_in!J23=0,0,SER_hh_fech_in!J23/SER_summary!J$27)</f>
        <v>29.286552953920168</v>
      </c>
      <c r="K23" s="132">
        <f>IF(SER_hh_fech_in!K23=0,0,SER_hh_fech_in!K23/SER_summary!K$27)</f>
        <v>29.804410870596399</v>
      </c>
      <c r="L23" s="132">
        <f>IF(SER_hh_fech_in!L23=0,0,SER_hh_fech_in!L23/SER_summary!L$27)</f>
        <v>29.063146263775444</v>
      </c>
      <c r="M23" s="132">
        <f>IF(SER_hh_fech_in!M23=0,0,SER_hh_fech_in!M23/SER_summary!M$27)</f>
        <v>27.999929584900876</v>
      </c>
      <c r="N23" s="132">
        <f>IF(SER_hh_fech_in!N23=0,0,SER_hh_fech_in!N23/SER_summary!N$27)</f>
        <v>26.770514616703085</v>
      </c>
      <c r="O23" s="132">
        <f>IF(SER_hh_fech_in!O23=0,0,SER_hh_fech_in!O23/SER_summary!O$27)</f>
        <v>27.035038573263027</v>
      </c>
      <c r="P23" s="132">
        <f>IF(SER_hh_fech_in!P23=0,0,SER_hh_fech_in!P23/SER_summary!P$27)</f>
        <v>24.811660368108615</v>
      </c>
      <c r="Q23" s="132">
        <f>IF(SER_hh_fech_in!Q23=0,0,SER_hh_fech_in!Q23/SER_summary!Q$27)</f>
        <v>23.636825684053846</v>
      </c>
      <c r="R23" s="132">
        <f>IF(SER_hh_fech_in!R23=0,0,SER_hh_fech_in!R23/SER_summary!R$27)</f>
        <v>23.304200865005125</v>
      </c>
      <c r="S23" s="132">
        <f>IF(SER_hh_fech_in!S23=0,0,SER_hh_fech_in!S23/SER_summary!S$27)</f>
        <v>22.608238493112722</v>
      </c>
      <c r="T23" s="132">
        <f>IF(SER_hh_fech_in!T23=0,0,SER_hh_fech_in!T23/SER_summary!T$27)</f>
        <v>22.493719136062957</v>
      </c>
      <c r="U23" s="132">
        <f>IF(SER_hh_fech_in!U23=0,0,SER_hh_fech_in!U23/SER_summary!U$27)</f>
        <v>21.409131465773648</v>
      </c>
      <c r="V23" s="132">
        <f>IF(SER_hh_fech_in!V23=0,0,SER_hh_fech_in!V23/SER_summary!V$27)</f>
        <v>19.447734335639989</v>
      </c>
      <c r="W23" s="132">
        <f>IF(SER_hh_fech_in!W23=0,0,SER_hh_fech_in!W23/SER_summary!W$27)</f>
        <v>19.560795373297164</v>
      </c>
      <c r="X23" s="132">
        <f>IF(SER_hh_fech_in!X23=0,0,SER_hh_fech_in!X23/SER_summary!X$27)</f>
        <v>19.023202833211339</v>
      </c>
      <c r="Y23" s="132">
        <f>IF(SER_hh_fech_in!Y23=0,0,SER_hh_fech_in!Y23/SER_summary!Y$27)</f>
        <v>18.763593656669816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36.296021023588217</v>
      </c>
      <c r="O24" s="132">
        <f>IF(SER_hh_fech_in!O24=0,0,SER_hh_fech_in!O24/SER_summary!O$27)</f>
        <v>27.902419334156875</v>
      </c>
      <c r="P24" s="132">
        <f>IF(SER_hh_fech_in!P24=0,0,SER_hh_fech_in!P24/SER_summary!P$27)</f>
        <v>24.9219727195558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20.720982359674053</v>
      </c>
      <c r="V24" s="132">
        <f>IF(SER_hh_fech_in!V24=0,0,SER_hh_fech_in!V24/SER_summary!V$27)</f>
        <v>19.772552306387684</v>
      </c>
      <c r="W24" s="132">
        <f>IF(SER_hh_fech_in!W24=0,0,SER_hh_fech_in!W24/SER_summary!W$27)</f>
        <v>17.299696003321664</v>
      </c>
      <c r="X24" s="132">
        <f>IF(SER_hh_fech_in!X24=0,0,SER_hh_fech_in!X24/SER_summary!X$27)</f>
        <v>18.873437436104286</v>
      </c>
      <c r="Y24" s="132">
        <f>IF(SER_hh_fech_in!Y24=0,0,SER_hh_fech_in!Y24/SER_summary!Y$27)</f>
        <v>19.685330744922691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22.9461105184382</v>
      </c>
      <c r="D25" s="132">
        <f>IF(SER_hh_fech_in!D25=0,0,SER_hh_fech_in!D25/SER_summary!D$27)</f>
        <v>22.924520625467508</v>
      </c>
      <c r="E25" s="132">
        <f>IF(SER_hh_fech_in!E25=0,0,SER_hh_fech_in!E25/SER_summary!E$27)</f>
        <v>22.692036300812575</v>
      </c>
      <c r="F25" s="132">
        <f>IF(SER_hh_fech_in!F25=0,0,SER_hh_fech_in!F25/SER_summary!F$27)</f>
        <v>22.501421058398918</v>
      </c>
      <c r="G25" s="132">
        <f>IF(SER_hh_fech_in!G25=0,0,SER_hh_fech_in!G25/SER_summary!G$27)</f>
        <v>22.997561517473557</v>
      </c>
      <c r="H25" s="132">
        <f>IF(SER_hh_fech_in!H25=0,0,SER_hh_fech_in!H25/SER_summary!H$27)</f>
        <v>22.461249832332214</v>
      </c>
      <c r="I25" s="132">
        <f>IF(SER_hh_fech_in!I25=0,0,SER_hh_fech_in!I25/SER_summary!I$27)</f>
        <v>22.134839943998877</v>
      </c>
      <c r="J25" s="132">
        <f>IF(SER_hh_fech_in!J25=0,0,SER_hh_fech_in!J25/SER_summary!J$27)</f>
        <v>22.672662938005374</v>
      </c>
      <c r="K25" s="132">
        <f>IF(SER_hh_fech_in!K25=0,0,SER_hh_fech_in!K25/SER_summary!K$27)</f>
        <v>22.567957824855593</v>
      </c>
      <c r="L25" s="132">
        <f>IF(SER_hh_fech_in!L25=0,0,SER_hh_fech_in!L25/SER_summary!L$27)</f>
        <v>22.203123765327611</v>
      </c>
      <c r="M25" s="132">
        <f>IF(SER_hh_fech_in!M25=0,0,SER_hh_fech_in!M25/SER_summary!M$27)</f>
        <v>22.23357104144403</v>
      </c>
      <c r="N25" s="132">
        <f>IF(SER_hh_fech_in!N25=0,0,SER_hh_fech_in!N25/SER_summary!N$27)</f>
        <v>22.422706755892392</v>
      </c>
      <c r="O25" s="132">
        <f>IF(SER_hh_fech_in!O25=0,0,SER_hh_fech_in!O25/SER_summary!O$27)</f>
        <v>21.600455627512446</v>
      </c>
      <c r="P25" s="132">
        <f>IF(SER_hh_fech_in!P25=0,0,SER_hh_fech_in!P25/SER_summary!P$27)</f>
        <v>20.920416170495752</v>
      </c>
      <c r="Q25" s="132">
        <f>IF(SER_hh_fech_in!Q25=0,0,SER_hh_fech_in!Q25/SER_summary!Q$27)</f>
        <v>20.859042594494273</v>
      </c>
      <c r="R25" s="132">
        <f>IF(SER_hh_fech_in!R25=0,0,SER_hh_fech_in!R25/SER_summary!R$27)</f>
        <v>20.801996488549911</v>
      </c>
      <c r="S25" s="132">
        <f>IF(SER_hh_fech_in!S25=0,0,SER_hh_fech_in!S25/SER_summary!S$27)</f>
        <v>20.577090179210931</v>
      </c>
      <c r="T25" s="132">
        <f>IF(SER_hh_fech_in!T25=0,0,SER_hh_fech_in!T25/SER_summary!T$27)</f>
        <v>20.217106488838418</v>
      </c>
      <c r="U25" s="132">
        <f>IF(SER_hh_fech_in!U25=0,0,SER_hh_fech_in!U25/SER_summary!U$27)</f>
        <v>20.325970899091907</v>
      </c>
      <c r="V25" s="132">
        <f>IF(SER_hh_fech_in!V25=0,0,SER_hh_fech_in!V25/SER_summary!V$27)</f>
        <v>17.384808676277899</v>
      </c>
      <c r="W25" s="132">
        <f>IF(SER_hh_fech_in!W25=0,0,SER_hh_fech_in!W25/SER_summary!W$27)</f>
        <v>18.563665381160789</v>
      </c>
      <c r="X25" s="132">
        <f>IF(SER_hh_fech_in!X25=0,0,SER_hh_fech_in!X25/SER_summary!X$27)</f>
        <v>17.343648177653932</v>
      </c>
      <c r="Y25" s="132">
        <f>IF(SER_hh_fech_in!Y25=0,0,SER_hh_fech_in!Y25/SER_summary!Y$27)</f>
        <v>17.04298101807748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27.692944330769748</v>
      </c>
      <c r="D26" s="65">
        <f>IF(SER_hh_fech_in!D26=0,0,SER_hh_fech_in!D26/SER_summary!D$27)</f>
        <v>28.126317420702716</v>
      </c>
      <c r="E26" s="65">
        <f>IF(SER_hh_fech_in!E26=0,0,SER_hh_fech_in!E26/SER_summary!E$27)</f>
        <v>27.173517689749485</v>
      </c>
      <c r="F26" s="65">
        <f>IF(SER_hh_fech_in!F26=0,0,SER_hh_fech_in!F26/SER_summary!F$27)</f>
        <v>27.460283086403361</v>
      </c>
      <c r="G26" s="65">
        <f>IF(SER_hh_fech_in!G26=0,0,SER_hh_fech_in!G26/SER_summary!G$27)</f>
        <v>26.965383700640437</v>
      </c>
      <c r="H26" s="65">
        <f>IF(SER_hh_fech_in!H26=0,0,SER_hh_fech_in!H26/SER_summary!H$27)</f>
        <v>26.868092655924979</v>
      </c>
      <c r="I26" s="65">
        <f>IF(SER_hh_fech_in!I26=0,0,SER_hh_fech_in!I26/SER_summary!I$27)</f>
        <v>26.521218860125728</v>
      </c>
      <c r="J26" s="65">
        <f>IF(SER_hh_fech_in!J26=0,0,SER_hh_fech_in!J26/SER_summary!J$27)</f>
        <v>21.026337652746601</v>
      </c>
      <c r="K26" s="65">
        <f>IF(SER_hh_fech_in!K26=0,0,SER_hh_fech_in!K26/SER_summary!K$27)</f>
        <v>21.731052127407569</v>
      </c>
      <c r="L26" s="65">
        <f>IF(SER_hh_fech_in!L26=0,0,SER_hh_fech_in!L26/SER_summary!L$27)</f>
        <v>19.774825915847384</v>
      </c>
      <c r="M26" s="65">
        <f>IF(SER_hh_fech_in!M26=0,0,SER_hh_fech_in!M26/SER_summary!M$27)</f>
        <v>25.01958431120768</v>
      </c>
      <c r="N26" s="65">
        <f>IF(SER_hh_fech_in!N26=0,0,SER_hh_fech_in!N26/SER_summary!N$27)</f>
        <v>26.402946233487668</v>
      </c>
      <c r="O26" s="65">
        <f>IF(SER_hh_fech_in!O26=0,0,SER_hh_fech_in!O26/SER_summary!O$27)</f>
        <v>23.093176340434557</v>
      </c>
      <c r="P26" s="65">
        <f>IF(SER_hh_fech_in!P26=0,0,SER_hh_fech_in!P26/SER_summary!P$27)</f>
        <v>21.470083032911223</v>
      </c>
      <c r="Q26" s="65">
        <f>IF(SER_hh_fech_in!Q26=0,0,SER_hh_fech_in!Q26/SER_summary!Q$27)</f>
        <v>20.508403336615739</v>
      </c>
      <c r="R26" s="65">
        <f>IF(SER_hh_fech_in!R26=0,0,SER_hh_fech_in!R26/SER_summary!R$27)</f>
        <v>21.863246374455706</v>
      </c>
      <c r="S26" s="65">
        <f>IF(SER_hh_fech_in!S26=0,0,SER_hh_fech_in!S26/SER_summary!S$27)</f>
        <v>20.951713782746811</v>
      </c>
      <c r="T26" s="65">
        <f>IF(SER_hh_fech_in!T26=0,0,SER_hh_fech_in!T26/SER_summary!T$27)</f>
        <v>20.360176151054247</v>
      </c>
      <c r="U26" s="65">
        <f>IF(SER_hh_fech_in!U26=0,0,SER_hh_fech_in!U26/SER_summary!U$27)</f>
        <v>19.180528101317247</v>
      </c>
      <c r="V26" s="65">
        <f>IF(SER_hh_fech_in!V26=0,0,SER_hh_fech_in!V26/SER_summary!V$27)</f>
        <v>16.073475804457701</v>
      </c>
      <c r="W26" s="65">
        <f>IF(SER_hh_fech_in!W26=0,0,SER_hh_fech_in!W26/SER_summary!W$27)</f>
        <v>16.894918938193282</v>
      </c>
      <c r="X26" s="65">
        <f>IF(SER_hh_fech_in!X26=0,0,SER_hh_fech_in!X26/SER_summary!X$27)</f>
        <v>16.990764777446433</v>
      </c>
      <c r="Y26" s="65">
        <f>IF(SER_hh_fech_in!Y26=0,0,SER_hh_fech_in!Y26/SER_summary!Y$27)</f>
        <v>16.170560824357963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</v>
      </c>
      <c r="D27" s="145">
        <f>IF(SER_hh_fech_in!D27=0,0,SER_hh_fech_in!D27/SER_summary!D$27)</f>
        <v>0</v>
      </c>
      <c r="E27" s="145">
        <f>IF(SER_hh_fech_in!E27=0,0,SER_hh_fech_in!E27/SER_summary!E$27)</f>
        <v>0</v>
      </c>
      <c r="F27" s="145">
        <f>IF(SER_hh_fech_in!F27=0,0,SER_hh_fech_in!F27/SER_summary!F$27)</f>
        <v>0</v>
      </c>
      <c r="G27" s="145">
        <f>IF(SER_hh_fech_in!G27=0,0,SER_hh_fech_in!G27/SER_summary!G$27)</f>
        <v>0.11401480955709742</v>
      </c>
      <c r="H27" s="145">
        <f>IF(SER_hh_fech_in!H27=0,0,SER_hh_fech_in!H27/SER_summary!H$27)</f>
        <v>0.18341721709318456</v>
      </c>
      <c r="I27" s="145">
        <f>IF(SER_hh_fech_in!I27=0,0,SER_hh_fech_in!I27/SER_summary!I$27)</f>
        <v>0.11036517172090178</v>
      </c>
      <c r="J27" s="145">
        <f>IF(SER_hh_fech_in!J27=0,0,SER_hh_fech_in!J27/SER_summary!J$27)</f>
        <v>0.63875998679430857</v>
      </c>
      <c r="K27" s="145">
        <f>IF(SER_hh_fech_in!K27=0,0,SER_hh_fech_in!K27/SER_summary!K$27)</f>
        <v>0.49197645603529844</v>
      </c>
      <c r="L27" s="145">
        <f>IF(SER_hh_fech_in!L27=0,0,SER_hh_fech_in!L27/SER_summary!L$27)</f>
        <v>1.0466487298627571</v>
      </c>
      <c r="M27" s="145">
        <f>IF(SER_hh_fech_in!M27=0,0,SER_hh_fech_in!M27/SER_summary!M$27)</f>
        <v>0.40437894119922424</v>
      </c>
      <c r="N27" s="145">
        <f>IF(SER_hh_fech_in!N27=0,0,SER_hh_fech_in!N27/SER_summary!N$27)</f>
        <v>7.3206895335351744E-3</v>
      </c>
      <c r="O27" s="145">
        <f>IF(SER_hh_fech_in!O27=0,0,SER_hh_fech_in!O27/SER_summary!O$27)</f>
        <v>3.5135344478091211E-2</v>
      </c>
      <c r="P27" s="145">
        <f>IF(SER_hh_fech_in!P27=0,0,SER_hh_fech_in!P27/SER_summary!P$27)</f>
        <v>0.10210071814451741</v>
      </c>
      <c r="Q27" s="145">
        <f>IF(SER_hh_fech_in!Q27=0,0,SER_hh_fech_in!Q27/SER_summary!Q$27)</f>
        <v>0.50683427737696574</v>
      </c>
      <c r="R27" s="145">
        <f>IF(SER_hh_fech_in!R27=0,0,SER_hh_fech_in!R27/SER_summary!R$27)</f>
        <v>6.9330626866656872E-3</v>
      </c>
      <c r="S27" s="145">
        <f>IF(SER_hh_fech_in!S27=0,0,SER_hh_fech_in!S27/SER_summary!S$27)</f>
        <v>0.15606671402209676</v>
      </c>
      <c r="T27" s="145">
        <f>IF(SER_hh_fech_in!T27=0,0,SER_hh_fech_in!T27/SER_summary!T$27)</f>
        <v>6.4666943316604331E-2</v>
      </c>
      <c r="U27" s="145">
        <f>IF(SER_hh_fech_in!U27=0,0,SER_hh_fech_in!U27/SER_summary!U$27)</f>
        <v>0.26016953621318639</v>
      </c>
      <c r="V27" s="145">
        <f>IF(SER_hh_fech_in!V27=0,0,SER_hh_fech_in!V27/SER_summary!V$27)</f>
        <v>0.31889891313341928</v>
      </c>
      <c r="W27" s="145">
        <f>IF(SER_hh_fech_in!W27=0,0,SER_hh_fech_in!W27/SER_summary!W$27)</f>
        <v>1.1628270872374692E-15</v>
      </c>
      <c r="X27" s="145">
        <f>IF(SER_hh_fech_in!X27=0,0,SER_hh_fech_in!X27/SER_summary!X$27)</f>
        <v>0.37912045621358653</v>
      </c>
      <c r="Y27" s="145">
        <f>IF(SER_hh_fech_in!Y27=0,0,SER_hh_fech_in!Y27/SER_summary!Y$27)</f>
        <v>0.48953640582904584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0</v>
      </c>
      <c r="D28" s="146">
        <f>IF(SER_hh_fech_in!D28=0,0,SER_hh_fech_in!D28/SER_summary!D$27)</f>
        <v>0</v>
      </c>
      <c r="E28" s="146">
        <f>IF(SER_hh_fech_in!E28=0,0,SER_hh_fech_in!E28/SER_summary!E$27)</f>
        <v>0</v>
      </c>
      <c r="F28" s="146">
        <f>IF(SER_hh_fech_in!F28=0,0,SER_hh_fech_in!F28/SER_summary!F$27)</f>
        <v>0</v>
      </c>
      <c r="G28" s="146">
        <f>IF(SER_hh_fech_in!G28=0,0,SER_hh_fech_in!G28/SER_summary!G$27)</f>
        <v>14.721181220580032</v>
      </c>
      <c r="H28" s="146">
        <f>IF(SER_hh_fech_in!H28=0,0,SER_hh_fech_in!H28/SER_summary!H$27)</f>
        <v>13.360387974496692</v>
      </c>
      <c r="I28" s="146">
        <f>IF(SER_hh_fech_in!I28=0,0,SER_hh_fech_in!I28/SER_summary!I$27)</f>
        <v>14.182626762719444</v>
      </c>
      <c r="J28" s="146">
        <f>IF(SER_hh_fech_in!J28=0,0,SER_hh_fech_in!J28/SER_summary!J$27)</f>
        <v>13.736834656969123</v>
      </c>
      <c r="K28" s="146">
        <f>IF(SER_hh_fech_in!K28=0,0,SER_hh_fech_in!K28/SER_summary!K$27)</f>
        <v>14.288341182784546</v>
      </c>
      <c r="L28" s="146">
        <f>IF(SER_hh_fech_in!L28=0,0,SER_hh_fech_in!L28/SER_summary!L$27)</f>
        <v>14.409454281458819</v>
      </c>
      <c r="M28" s="146">
        <f>IF(SER_hh_fech_in!M28=0,0,SER_hh_fech_in!M28/SER_summary!M$27)</f>
        <v>13.786946767304858</v>
      </c>
      <c r="N28" s="146">
        <f>IF(SER_hh_fech_in!N28=0,0,SER_hh_fech_in!N28/SER_summary!N$27)</f>
        <v>302040298304000.13</v>
      </c>
      <c r="O28" s="146">
        <f>IF(SER_hh_fech_in!O28=0,0,SER_hh_fech_in!O28/SER_summary!O$27)</f>
        <v>21.308678579461862</v>
      </c>
      <c r="P28" s="146">
        <f>IF(SER_hh_fech_in!P28=0,0,SER_hh_fech_in!P28/SER_summary!P$27)</f>
        <v>15.082592583346161</v>
      </c>
      <c r="Q28" s="146">
        <f>IF(SER_hh_fech_in!Q28=0,0,SER_hh_fech_in!Q28/SER_summary!Q$27)</f>
        <v>13.219475172131053</v>
      </c>
      <c r="R28" s="146">
        <f>IF(SER_hh_fech_in!R28=0,0,SER_hh_fech_in!R28/SER_summary!R$27)</f>
        <v>13.319944970391591</v>
      </c>
      <c r="S28" s="146">
        <f>IF(SER_hh_fech_in!S28=0,0,SER_hh_fech_in!S28/SER_summary!S$27)</f>
        <v>13.562626362265872</v>
      </c>
      <c r="T28" s="146">
        <f>IF(SER_hh_fech_in!T28=0,0,SER_hh_fech_in!T28/SER_summary!T$27)</f>
        <v>13.461071972094102</v>
      </c>
      <c r="U28" s="146">
        <f>IF(SER_hh_fech_in!U28=0,0,SER_hh_fech_in!U28/SER_summary!U$27)</f>
        <v>13.304740565980325</v>
      </c>
      <c r="V28" s="146">
        <f>IF(SER_hh_fech_in!V28=0,0,SER_hh_fech_in!V28/SER_summary!V$27)</f>
        <v>11.721316279451269</v>
      </c>
      <c r="W28" s="146">
        <f>IF(SER_hh_fech_in!W28=0,0,SER_hh_fech_in!W28/SER_summary!W$27)</f>
        <v>12.71902322921272</v>
      </c>
      <c r="X28" s="146">
        <f>IF(SER_hh_fech_in!X28=0,0,SER_hh_fech_in!X28/SER_summary!X$27)</f>
        <v>12.417411384324694</v>
      </c>
      <c r="Y28" s="146">
        <f>IF(SER_hh_fech_in!Y28=0,0,SER_hh_fech_in!Y28/SER_summary!Y$27)</f>
        <v>11.349665445232095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31.412752351363253</v>
      </c>
      <c r="D29" s="130">
        <f>IF(SER_hh_fech_in!D29=0,0,SER_hh_fech_in!D29/SER_summary!D$27)</f>
        <v>30.36785257892971</v>
      </c>
      <c r="E29" s="130">
        <f>IF(SER_hh_fech_in!E29=0,0,SER_hh_fech_in!E29/SER_summary!E$27)</f>
        <v>30.04390276501104</v>
      </c>
      <c r="F29" s="130">
        <f>IF(SER_hh_fech_in!F29=0,0,SER_hh_fech_in!F29/SER_summary!F$27)</f>
        <v>32.556745865151278</v>
      </c>
      <c r="G29" s="130">
        <f>IF(SER_hh_fech_in!G29=0,0,SER_hh_fech_in!G29/SER_summary!G$27)</f>
        <v>31.05751453365934</v>
      </c>
      <c r="H29" s="130">
        <f>IF(SER_hh_fech_in!H29=0,0,SER_hh_fech_in!H29/SER_summary!H$27)</f>
        <v>31.483013547954574</v>
      </c>
      <c r="I29" s="130">
        <f>IF(SER_hh_fech_in!I29=0,0,SER_hh_fech_in!I29/SER_summary!I$27)</f>
        <v>30.176052016224709</v>
      </c>
      <c r="J29" s="130">
        <f>IF(SER_hh_fech_in!J29=0,0,SER_hh_fech_in!J29/SER_summary!J$27)</f>
        <v>29.936106774972316</v>
      </c>
      <c r="K29" s="130">
        <f>IF(SER_hh_fech_in!K29=0,0,SER_hh_fech_in!K29/SER_summary!K$27)</f>
        <v>29.54576237393951</v>
      </c>
      <c r="L29" s="130">
        <f>IF(SER_hh_fech_in!L29=0,0,SER_hh_fech_in!L29/SER_summary!L$27)</f>
        <v>31.184456033735398</v>
      </c>
      <c r="M29" s="130">
        <f>IF(SER_hh_fech_in!M29=0,0,SER_hh_fech_in!M29/SER_summary!M$27)</f>
        <v>33.166949176701401</v>
      </c>
      <c r="N29" s="130">
        <f>IF(SER_hh_fech_in!N29=0,0,SER_hh_fech_in!N29/SER_summary!N$27)</f>
        <v>32.052933267407532</v>
      </c>
      <c r="O29" s="130">
        <f>IF(SER_hh_fech_in!O29=0,0,SER_hh_fech_in!O29/SER_summary!O$27)</f>
        <v>30.775609670145503</v>
      </c>
      <c r="P29" s="130">
        <f>IF(SER_hh_fech_in!P29=0,0,SER_hh_fech_in!P29/SER_summary!P$27)</f>
        <v>28.634353812255647</v>
      </c>
      <c r="Q29" s="130">
        <f>IF(SER_hh_fech_in!Q29=0,0,SER_hh_fech_in!Q29/SER_summary!Q$27)</f>
        <v>28.338625937097188</v>
      </c>
      <c r="R29" s="130">
        <f>IF(SER_hh_fech_in!R29=0,0,SER_hh_fech_in!R29/SER_summary!R$27)</f>
        <v>27.30195827168837</v>
      </c>
      <c r="S29" s="130">
        <f>IF(SER_hh_fech_in!S29=0,0,SER_hh_fech_in!S29/SER_summary!S$27)</f>
        <v>26.972251963883664</v>
      </c>
      <c r="T29" s="130">
        <f>IF(SER_hh_fech_in!T29=0,0,SER_hh_fech_in!T29/SER_summary!T$27)</f>
        <v>27.80820487279313</v>
      </c>
      <c r="U29" s="130">
        <f>IF(SER_hh_fech_in!U29=0,0,SER_hh_fech_in!U29/SER_summary!U$27)</f>
        <v>27.25641720352894</v>
      </c>
      <c r="V29" s="130">
        <f>IF(SER_hh_fech_in!V29=0,0,SER_hh_fech_in!V29/SER_summary!V$27)</f>
        <v>26.275113920116357</v>
      </c>
      <c r="W29" s="130">
        <f>IF(SER_hh_fech_in!W29=0,0,SER_hh_fech_in!W29/SER_summary!W$27)</f>
        <v>27.083208984337883</v>
      </c>
      <c r="X29" s="130">
        <f>IF(SER_hh_fech_in!X29=0,0,SER_hh_fech_in!X29/SER_summary!X$27)</f>
        <v>26.602076799807776</v>
      </c>
      <c r="Y29" s="130">
        <f>IF(SER_hh_fech_in!Y29=0,0,SER_hh_fech_in!Y29/SER_summary!Y$27)</f>
        <v>25.895521768653563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33.467265576514983</v>
      </c>
      <c r="D30" s="132">
        <f>IF(SER_hh_fech_in!D30=0,0,SER_hh_fech_in!D30/SER_summary!D$27)</f>
        <v>39.143204066684163</v>
      </c>
      <c r="E30" s="132">
        <f>IF(SER_hh_fech_in!E30=0,0,SER_hh_fech_in!E30/SER_summary!E$27)</f>
        <v>0</v>
      </c>
      <c r="F30" s="132">
        <f>IF(SER_hh_fech_in!F30=0,0,SER_hh_fech_in!F30/SER_summary!F$27)</f>
        <v>0</v>
      </c>
      <c r="G30" s="132">
        <f>IF(SER_hh_fech_in!G30=0,0,SER_hh_fech_in!G30/SER_summary!G$27)</f>
        <v>0</v>
      </c>
      <c r="H30" s="132">
        <f>IF(SER_hh_fech_in!H30=0,0,SER_hh_fech_in!H30/SER_summary!H$27)</f>
        <v>34.742325292205614</v>
      </c>
      <c r="I30" s="132">
        <f>IF(SER_hh_fech_in!I30=0,0,SER_hh_fech_in!I30/SER_summary!I$27)</f>
        <v>36.115408041915956</v>
      </c>
      <c r="J30" s="132">
        <f>IF(SER_hh_fech_in!J30=0,0,SER_hh_fech_in!J30/SER_summary!J$27)</f>
        <v>31.734588587883025</v>
      </c>
      <c r="K30" s="132">
        <f>IF(SER_hh_fech_in!K30=0,0,SER_hh_fech_in!K30/SER_summary!K$27)</f>
        <v>33.124773061955565</v>
      </c>
      <c r="L30" s="132">
        <f>IF(SER_hh_fech_in!L30=0,0,SER_hh_fech_in!L30/SER_summary!L$27)</f>
        <v>37.927718881210517</v>
      </c>
      <c r="M30" s="132">
        <f>IF(SER_hh_fech_in!M30=0,0,SER_hh_fech_in!M30/SER_summary!M$27)</f>
        <v>0</v>
      </c>
      <c r="N30" s="132">
        <f>IF(SER_hh_fech_in!N30=0,0,SER_hh_fech_in!N30/SER_summary!N$27)</f>
        <v>0</v>
      </c>
      <c r="O30" s="132">
        <f>IF(SER_hh_fech_in!O30=0,0,SER_hh_fech_in!O30/SER_summary!O$27)</f>
        <v>0</v>
      </c>
      <c r="P30" s="132">
        <f>IF(SER_hh_fech_in!P30=0,0,SER_hh_fech_in!P30/SER_summary!P$27)</f>
        <v>32.06380089546284</v>
      </c>
      <c r="Q30" s="132">
        <f>IF(SER_hh_fech_in!Q30=0,0,SER_hh_fech_in!Q30/SER_summary!Q$27)</f>
        <v>37.803271773448252</v>
      </c>
      <c r="R30" s="132">
        <f>IF(SER_hh_fech_in!R30=0,0,SER_hh_fech_in!R30/SER_summary!R$27)</f>
        <v>31.126130609617821</v>
      </c>
      <c r="S30" s="132">
        <f>IF(SER_hh_fech_in!S30=0,0,SER_hh_fech_in!S30/SER_summary!S$27)</f>
        <v>26.999861616411938</v>
      </c>
      <c r="T30" s="132">
        <f>IF(SER_hh_fech_in!T30=0,0,SER_hh_fech_in!T30/SER_summary!T$27)</f>
        <v>33.118474874948333</v>
      </c>
      <c r="U30" s="132">
        <f>IF(SER_hh_fech_in!U30=0,0,SER_hh_fech_in!U30/SER_summary!U$27)</f>
        <v>28.68105240043532</v>
      </c>
      <c r="V30" s="132">
        <f>IF(SER_hh_fech_in!V30=0,0,SER_hh_fech_in!V30/SER_summary!V$27)</f>
        <v>40.947595893891219</v>
      </c>
      <c r="W30" s="132">
        <f>IF(SER_hh_fech_in!W30=0,0,SER_hh_fech_in!W30/SER_summary!W$27)</f>
        <v>28.420943880006917</v>
      </c>
      <c r="X30" s="132">
        <f>IF(SER_hh_fech_in!X30=0,0,SER_hh_fech_in!X30/SER_summary!X$27)</f>
        <v>29.556063638386181</v>
      </c>
      <c r="Y30" s="132">
        <f>IF(SER_hh_fech_in!Y30=0,0,SER_hh_fech_in!Y30/SER_summary!Y$27)</f>
        <v>0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38.288471491555512</v>
      </c>
      <c r="D31" s="132">
        <f>IF(SER_hh_fech_in!D31=0,0,SER_hh_fech_in!D31/SER_summary!D$27)</f>
        <v>31.85559036822001</v>
      </c>
      <c r="E31" s="132">
        <f>IF(SER_hh_fech_in!E31=0,0,SER_hh_fech_in!E31/SER_summary!E$27)</f>
        <v>33.506434861870368</v>
      </c>
      <c r="F31" s="132">
        <f>IF(SER_hh_fech_in!F31=0,0,SER_hh_fech_in!F31/SER_summary!F$27)</f>
        <v>36.047263939511737</v>
      </c>
      <c r="G31" s="132">
        <f>IF(SER_hh_fech_in!G31=0,0,SER_hh_fech_in!G31/SER_summary!G$27)</f>
        <v>34.455076662300151</v>
      </c>
      <c r="H31" s="132">
        <f>IF(SER_hh_fech_in!H31=0,0,SER_hh_fech_in!H31/SER_summary!H$27)</f>
        <v>34.71252650134916</v>
      </c>
      <c r="I31" s="132">
        <f>IF(SER_hh_fech_in!I31=0,0,SER_hh_fech_in!I31/SER_summary!I$27)</f>
        <v>33.978022385074979</v>
      </c>
      <c r="J31" s="132">
        <f>IF(SER_hh_fech_in!J31=0,0,SER_hh_fech_in!J31/SER_summary!J$27)</f>
        <v>34.011808371508586</v>
      </c>
      <c r="K31" s="132">
        <f>IF(SER_hh_fech_in!K31=0,0,SER_hh_fech_in!K31/SER_summary!K$27)</f>
        <v>33.779884958518643</v>
      </c>
      <c r="L31" s="132">
        <f>IF(SER_hh_fech_in!L31=0,0,SER_hh_fech_in!L31/SER_summary!L$27)</f>
        <v>33.734519302720436</v>
      </c>
      <c r="M31" s="132">
        <f>IF(SER_hh_fech_in!M31=0,0,SER_hh_fech_in!M31/SER_summary!M$27)</f>
        <v>34.00876933035228</v>
      </c>
      <c r="N31" s="132">
        <f>IF(SER_hh_fech_in!N31=0,0,SER_hh_fech_in!N31/SER_summary!N$27)</f>
        <v>33.872543278093843</v>
      </c>
      <c r="O31" s="132">
        <f>IF(SER_hh_fech_in!O31=0,0,SER_hh_fech_in!O31/SER_summary!O$27)</f>
        <v>34.043848801290544</v>
      </c>
      <c r="P31" s="132">
        <f>IF(SER_hh_fech_in!P31=0,0,SER_hh_fech_in!P31/SER_summary!P$27)</f>
        <v>32.986408250928477</v>
      </c>
      <c r="Q31" s="132">
        <f>IF(SER_hh_fech_in!Q31=0,0,SER_hh_fech_in!Q31/SER_summary!Q$27)</f>
        <v>32.05431447343959</v>
      </c>
      <c r="R31" s="132">
        <f>IF(SER_hh_fech_in!R31=0,0,SER_hh_fech_in!R31/SER_summary!R$27)</f>
        <v>31.668918123464465</v>
      </c>
      <c r="S31" s="132">
        <f>IF(SER_hh_fech_in!S31=0,0,SER_hh_fech_in!S31/SER_summary!S$27)</f>
        <v>31.364611075408813</v>
      </c>
      <c r="T31" s="132">
        <f>IF(SER_hh_fech_in!T31=0,0,SER_hh_fech_in!T31/SER_summary!T$27)</f>
        <v>31.17501372339466</v>
      </c>
      <c r="U31" s="132">
        <f>IF(SER_hh_fech_in!U31=0,0,SER_hh_fech_in!U31/SER_summary!U$27)</f>
        <v>30.913667832917522</v>
      </c>
      <c r="V31" s="132">
        <f>IF(SER_hh_fech_in!V31=0,0,SER_hh_fech_in!V31/SER_summary!V$27)</f>
        <v>29.155615375624937</v>
      </c>
      <c r="W31" s="132">
        <f>IF(SER_hh_fech_in!W31=0,0,SER_hh_fech_in!W31/SER_summary!W$27)</f>
        <v>31.267379982659719</v>
      </c>
      <c r="X31" s="132">
        <f>IF(SER_hh_fech_in!X31=0,0,SER_hh_fech_in!X31/SER_summary!X$27)</f>
        <v>30.756326055344786</v>
      </c>
      <c r="Y31" s="132">
        <f>IF(SER_hh_fech_in!Y31=0,0,SER_hh_fech_in!Y31/SER_summary!Y$27)</f>
        <v>29.893569951788361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27.392637117627626</v>
      </c>
      <c r="D33" s="68">
        <f>IF(SER_hh_fech_in!D33=0,0,SER_hh_fech_in!D33/SER_summary!D$27)</f>
        <v>26.923423573240395</v>
      </c>
      <c r="E33" s="68">
        <f>IF(SER_hh_fech_in!E33=0,0,SER_hh_fech_in!E33/SER_summary!E$27)</f>
        <v>26.385910230234824</v>
      </c>
      <c r="F33" s="68">
        <f>IF(SER_hh_fech_in!F33=0,0,SER_hh_fech_in!F33/SER_summary!F$27)</f>
        <v>26.769415862521942</v>
      </c>
      <c r="G33" s="68">
        <f>IF(SER_hh_fech_in!G33=0,0,SER_hh_fech_in!G33/SER_summary!G$27)</f>
        <v>25.858001711526416</v>
      </c>
      <c r="H33" s="68">
        <f>IF(SER_hh_fech_in!H33=0,0,SER_hh_fech_in!H33/SER_summary!H$27)</f>
        <v>25.684641165220519</v>
      </c>
      <c r="I33" s="68">
        <f>IF(SER_hh_fech_in!I33=0,0,SER_hh_fech_in!I33/SER_summary!I$27)</f>
        <v>24.562440633869688</v>
      </c>
      <c r="J33" s="68">
        <f>IF(SER_hh_fech_in!J33=0,0,SER_hh_fech_in!J33/SER_summary!J$27)</f>
        <v>25.05484254288444</v>
      </c>
      <c r="K33" s="68">
        <f>IF(SER_hh_fech_in!K33=0,0,SER_hh_fech_in!K33/SER_summary!K$27)</f>
        <v>25.386425742802839</v>
      </c>
      <c r="L33" s="68">
        <f>IF(SER_hh_fech_in!L33=0,0,SER_hh_fech_in!L33/SER_summary!L$27)</f>
        <v>25.94625432153417</v>
      </c>
      <c r="M33" s="68">
        <f>IF(SER_hh_fech_in!M33=0,0,SER_hh_fech_in!M33/SER_summary!M$27)</f>
        <v>25.671442250605235</v>
      </c>
      <c r="N33" s="68">
        <f>IF(SER_hh_fech_in!N33=0,0,SER_hh_fech_in!N33/SER_summary!N$27)</f>
        <v>24.443923623088061</v>
      </c>
      <c r="O33" s="68">
        <f>IF(SER_hh_fech_in!O33=0,0,SER_hh_fech_in!O33/SER_summary!O$27)</f>
        <v>24.089240445685576</v>
      </c>
      <c r="P33" s="68">
        <f>IF(SER_hh_fech_in!P33=0,0,SER_hh_fech_in!P33/SER_summary!P$27)</f>
        <v>22.469464679604357</v>
      </c>
      <c r="Q33" s="68">
        <f>IF(SER_hh_fech_in!Q33=0,0,SER_hh_fech_in!Q33/SER_summary!Q$27)</f>
        <v>23.40769151397415</v>
      </c>
      <c r="R33" s="68">
        <f>IF(SER_hh_fech_in!R33=0,0,SER_hh_fech_in!R33/SER_summary!R$27)</f>
        <v>23.242715094777985</v>
      </c>
      <c r="S33" s="68">
        <f>IF(SER_hh_fech_in!S33=0,0,SER_hh_fech_in!S33/SER_summary!S$27)</f>
        <v>22.680518429771986</v>
      </c>
      <c r="T33" s="68">
        <f>IF(SER_hh_fech_in!T33=0,0,SER_hh_fech_in!T33/SER_summary!T$27)</f>
        <v>22.678998373516432</v>
      </c>
      <c r="U33" s="68">
        <f>IF(SER_hh_fech_in!U33=0,0,SER_hh_fech_in!U33/SER_summary!U$27)</f>
        <v>22.216184264249943</v>
      </c>
      <c r="V33" s="68">
        <f>IF(SER_hh_fech_in!V33=0,0,SER_hh_fech_in!V33/SER_summary!V$27)</f>
        <v>19.365928140695722</v>
      </c>
      <c r="W33" s="68">
        <f>IF(SER_hh_fech_in!W33=0,0,SER_hh_fech_in!W33/SER_summary!W$27)</f>
        <v>21.081116562180895</v>
      </c>
      <c r="X33" s="68">
        <f>IF(SER_hh_fech_in!X33=0,0,SER_hh_fech_in!X33/SER_summary!X$27)</f>
        <v>21.223491021193539</v>
      </c>
      <c r="Y33" s="68">
        <f>IF(SER_hh_fech_in!Y33=0,0,SER_hh_fech_in!Y33/SER_summary!Y$27)</f>
        <v>21.079682605202191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260.90046010801541</v>
      </c>
      <c r="D3" s="125">
        <f>IF(SER_hh_tesh_in!D3=0,0,SER_hh_tesh_in!D3/SER_summary!D$27)</f>
        <v>234.19023446924177</v>
      </c>
      <c r="E3" s="125">
        <f>IF(SER_hh_tesh_in!E3=0,0,SER_hh_tesh_in!E3/SER_summary!E$27)</f>
        <v>227.26025275678151</v>
      </c>
      <c r="F3" s="125">
        <f>IF(SER_hh_tesh_in!F3=0,0,SER_hh_tesh_in!F3/SER_summary!F$27)</f>
        <v>260.88649432145434</v>
      </c>
      <c r="G3" s="125">
        <f>IF(SER_hh_tesh_in!G3=0,0,SER_hh_tesh_in!G3/SER_summary!G$27)</f>
        <v>247.38021148668395</v>
      </c>
      <c r="H3" s="125">
        <f>IF(SER_hh_tesh_in!H3=0,0,SER_hh_tesh_in!H3/SER_summary!H$27)</f>
        <v>218.64380990742998</v>
      </c>
      <c r="I3" s="125">
        <f>IF(SER_hh_tesh_in!I3=0,0,SER_hh_tesh_in!I3/SER_summary!I$27)</f>
        <v>203.90804311604026</v>
      </c>
      <c r="J3" s="125">
        <f>IF(SER_hh_tesh_in!J3=0,0,SER_hh_tesh_in!J3/SER_summary!J$27)</f>
        <v>195.42593214826002</v>
      </c>
      <c r="K3" s="125">
        <f>IF(SER_hh_tesh_in!K3=0,0,SER_hh_tesh_in!K3/SER_summary!K$27)</f>
        <v>199.09157877210652</v>
      </c>
      <c r="L3" s="125">
        <f>IF(SER_hh_tesh_in!L3=0,0,SER_hh_tesh_in!L3/SER_summary!L$27)</f>
        <v>204.2392218278477</v>
      </c>
      <c r="M3" s="125">
        <f>IF(SER_hh_tesh_in!M3=0,0,SER_hh_tesh_in!M3/SER_summary!M$27)</f>
        <v>194.79881744718816</v>
      </c>
      <c r="N3" s="125">
        <f>IF(SER_hh_tesh_in!N3=0,0,SER_hh_tesh_in!N3/SER_summary!N$27)</f>
        <v>163.87235471054998</v>
      </c>
      <c r="O3" s="125">
        <f>IF(SER_hh_tesh_in!O3=0,0,SER_hh_tesh_in!O3/SER_summary!O$27)</f>
        <v>150.37940941454633</v>
      </c>
      <c r="P3" s="125">
        <f>IF(SER_hh_tesh_in!P3=0,0,SER_hh_tesh_in!P3/SER_summary!P$27)</f>
        <v>128.66420559963061</v>
      </c>
      <c r="Q3" s="125">
        <f>IF(SER_hh_tesh_in!Q3=0,0,SER_hh_tesh_in!Q3/SER_summary!Q$27)</f>
        <v>141.08704958378917</v>
      </c>
      <c r="R3" s="125">
        <f>IF(SER_hh_tesh_in!R3=0,0,SER_hh_tesh_in!R3/SER_summary!R$27)</f>
        <v>128.84570252415898</v>
      </c>
      <c r="S3" s="125">
        <f>IF(SER_hh_tesh_in!S3=0,0,SER_hh_tesh_in!S3/SER_summary!S$27)</f>
        <v>126.81628956889644</v>
      </c>
      <c r="T3" s="125">
        <f>IF(SER_hh_tesh_in!T3=0,0,SER_hh_tesh_in!T3/SER_summary!T$27)</f>
        <v>120.10105333967464</v>
      </c>
      <c r="U3" s="125">
        <f>IF(SER_hh_tesh_in!U3=0,0,SER_hh_tesh_in!U3/SER_summary!U$27)</f>
        <v>114.46038942969831</v>
      </c>
      <c r="V3" s="125">
        <f>IF(SER_hh_tesh_in!V3=0,0,SER_hh_tesh_in!V3/SER_summary!V$27)</f>
        <v>102.62964774355434</v>
      </c>
      <c r="W3" s="125">
        <f>IF(SER_hh_tesh_in!W3=0,0,SER_hh_tesh_in!W3/SER_summary!W$27)</f>
        <v>97.393022487207489</v>
      </c>
      <c r="X3" s="125">
        <f>IF(SER_hh_tesh_in!X3=0,0,SER_hh_tesh_in!X3/SER_summary!X$27)</f>
        <v>92.991467818285514</v>
      </c>
      <c r="Y3" s="125">
        <f>IF(SER_hh_tesh_in!Y3=0,0,SER_hh_tesh_in!Y3/SER_summary!Y$27)</f>
        <v>82.31890065000367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197.62074080106643</v>
      </c>
      <c r="D4" s="130">
        <f>IF(SER_hh_tesh_in!D4=0,0,SER_hh_tesh_in!D4/SER_summary!D$27)</f>
        <v>171.17801317870376</v>
      </c>
      <c r="E4" s="130">
        <f>IF(SER_hh_tesh_in!E4=0,0,SER_hh_tesh_in!E4/SER_summary!E$27)</f>
        <v>168.49394105818695</v>
      </c>
      <c r="F4" s="130">
        <f>IF(SER_hh_tesh_in!F4=0,0,SER_hh_tesh_in!F4/SER_summary!F$27)</f>
        <v>198.68483433523568</v>
      </c>
      <c r="G4" s="130">
        <f>IF(SER_hh_tesh_in!G4=0,0,SER_hh_tesh_in!G4/SER_summary!G$27)</f>
        <v>186.42261531746468</v>
      </c>
      <c r="H4" s="130">
        <f>IF(SER_hh_tesh_in!H4=0,0,SER_hh_tesh_in!H4/SER_summary!H$27)</f>
        <v>155.70593158058267</v>
      </c>
      <c r="I4" s="130">
        <f>IF(SER_hh_tesh_in!I4=0,0,SER_hh_tesh_in!I4/SER_summary!I$27)</f>
        <v>139.71283765684245</v>
      </c>
      <c r="J4" s="130">
        <f>IF(SER_hh_tesh_in!J4=0,0,SER_hh_tesh_in!J4/SER_summary!J$27)</f>
        <v>134.9275411274842</v>
      </c>
      <c r="K4" s="130">
        <f>IF(SER_hh_tesh_in!K4=0,0,SER_hh_tesh_in!K4/SER_summary!K$27)</f>
        <v>138.17495376912592</v>
      </c>
      <c r="L4" s="130">
        <f>IF(SER_hh_tesh_in!L4=0,0,SER_hh_tesh_in!L4/SER_summary!L$27)</f>
        <v>142.17185914769203</v>
      </c>
      <c r="M4" s="130">
        <f>IF(SER_hh_tesh_in!M4=0,0,SER_hh_tesh_in!M4/SER_summary!M$27)</f>
        <v>133.69495374115843</v>
      </c>
      <c r="N4" s="130">
        <f>IF(SER_hh_tesh_in!N4=0,0,SER_hh_tesh_in!N4/SER_summary!N$27)</f>
        <v>96.540220231822673</v>
      </c>
      <c r="O4" s="130">
        <f>IF(SER_hh_tesh_in!O4=0,0,SER_hh_tesh_in!O4/SER_summary!O$27)</f>
        <v>89.074197298945592</v>
      </c>
      <c r="P4" s="130">
        <f>IF(SER_hh_tesh_in!P4=0,0,SER_hh_tesh_in!P4/SER_summary!P$27)</f>
        <v>71.446870635880671</v>
      </c>
      <c r="Q4" s="130">
        <f>IF(SER_hh_tesh_in!Q4=0,0,SER_hh_tesh_in!Q4/SER_summary!Q$27)</f>
        <v>75.749902542272707</v>
      </c>
      <c r="R4" s="130">
        <f>IF(SER_hh_tesh_in!R4=0,0,SER_hh_tesh_in!R4/SER_summary!R$27)</f>
        <v>72.261917708706122</v>
      </c>
      <c r="S4" s="130">
        <f>IF(SER_hh_tesh_in!S4=0,0,SER_hh_tesh_in!S4/SER_summary!S$27)</f>
        <v>67.225897683955154</v>
      </c>
      <c r="T4" s="130">
        <f>IF(SER_hh_tesh_in!T4=0,0,SER_hh_tesh_in!T4/SER_summary!T$27)</f>
        <v>61.853780249051091</v>
      </c>
      <c r="U4" s="130">
        <f>IF(SER_hh_tesh_in!U4=0,0,SER_hh_tesh_in!U4/SER_summary!U$27)</f>
        <v>56.286624782315961</v>
      </c>
      <c r="V4" s="130">
        <f>IF(SER_hh_tesh_in!V4=0,0,SER_hh_tesh_in!V4/SER_summary!V$27)</f>
        <v>51.952901762220989</v>
      </c>
      <c r="W4" s="130">
        <f>IF(SER_hh_tesh_in!W4=0,0,SER_hh_tesh_in!W4/SER_summary!W$27)</f>
        <v>43.121872285843828</v>
      </c>
      <c r="X4" s="130">
        <f>IF(SER_hh_tesh_in!X4=0,0,SER_hh_tesh_in!X4/SER_summary!X$27)</f>
        <v>38.680141077362222</v>
      </c>
      <c r="Y4" s="130">
        <f>IF(SER_hh_tesh_in!Y4=0,0,SER_hh_tesh_in!Y4/SER_summary!Y$27)</f>
        <v>30.299564241920347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0</v>
      </c>
      <c r="D5" s="132">
        <f>IF(SER_hh_tesh_in!D5=0,0,SER_hh_tesh_in!D5/SER_summary!D$27)</f>
        <v>0</v>
      </c>
      <c r="E5" s="132">
        <f>IF(SER_hh_tesh_in!E5=0,0,SER_hh_tesh_in!E5/SER_summary!E$27)</f>
        <v>0</v>
      </c>
      <c r="F5" s="132">
        <f>IF(SER_hh_tesh_in!F5=0,0,SER_hh_tesh_in!F5/SER_summary!F$27)</f>
        <v>0</v>
      </c>
      <c r="G5" s="132">
        <f>IF(SER_hh_tesh_in!G5=0,0,SER_hh_tesh_in!G5/SER_summary!G$27)</f>
        <v>0</v>
      </c>
      <c r="H5" s="132">
        <f>IF(SER_hh_tesh_in!H5=0,0,SER_hh_tesh_in!H5/SER_summary!H$27)</f>
        <v>0</v>
      </c>
      <c r="I5" s="132">
        <f>IF(SER_hh_tesh_in!I5=0,0,SER_hh_tesh_in!I5/SER_summary!I$27)</f>
        <v>0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151.74885415107826</v>
      </c>
      <c r="N5" s="132">
        <f>IF(SER_hh_tesh_in!N5=0,0,SER_hh_tesh_in!N5/SER_summary!N$27)</f>
        <v>45.121023984320146</v>
      </c>
      <c r="O5" s="132">
        <f>IF(SER_hh_tesh_in!O5=0,0,SER_hh_tesh_in!O5/SER_summary!O$27)</f>
        <v>99.837916206615915</v>
      </c>
      <c r="P5" s="132">
        <f>IF(SER_hh_tesh_in!P5=0,0,SER_hh_tesh_in!P5/SER_summary!P$27)</f>
        <v>75.176387981244474</v>
      </c>
      <c r="Q5" s="132">
        <f>IF(SER_hh_tesh_in!Q5=0,0,SER_hh_tesh_in!Q5/SER_summary!Q$27)</f>
        <v>83.874657124229458</v>
      </c>
      <c r="R5" s="132">
        <f>IF(SER_hh_tesh_in!R5=0,0,SER_hh_tesh_in!R5/SER_summary!R$27)</f>
        <v>0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0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0</v>
      </c>
      <c r="D7" s="132">
        <f>IF(SER_hh_tesh_in!D7=0,0,SER_hh_tesh_in!D7/SER_summary!D$27)</f>
        <v>0</v>
      </c>
      <c r="E7" s="132">
        <f>IF(SER_hh_tesh_in!E7=0,0,SER_hh_tesh_in!E7/SER_summary!E$27)</f>
        <v>0</v>
      </c>
      <c r="F7" s="132">
        <f>IF(SER_hh_tesh_in!F7=0,0,SER_hh_tesh_in!F7/SER_summary!F$27)</f>
        <v>0</v>
      </c>
      <c r="G7" s="132">
        <f>IF(SER_hh_tesh_in!G7=0,0,SER_hh_tesh_in!G7/SER_summary!G$27)</f>
        <v>0</v>
      </c>
      <c r="H7" s="132">
        <f>IF(SER_hh_tesh_in!H7=0,0,SER_hh_tesh_in!H7/SER_summary!H$27)</f>
        <v>0</v>
      </c>
      <c r="I7" s="132">
        <f>IF(SER_hh_tesh_in!I7=0,0,SER_hh_tesh_in!I7/SER_summary!I$27)</f>
        <v>0</v>
      </c>
      <c r="J7" s="132">
        <f>IF(SER_hh_tesh_in!J7=0,0,SER_hh_tesh_in!J7/SER_summary!J$27)</f>
        <v>0</v>
      </c>
      <c r="K7" s="132">
        <f>IF(SER_hh_tesh_in!K7=0,0,SER_hh_tesh_in!K7/SER_summary!K$27)</f>
        <v>0</v>
      </c>
      <c r="L7" s="132">
        <f>IF(SER_hh_tesh_in!L7=0,0,SER_hh_tesh_in!L7/SER_summary!L$27)</f>
        <v>0</v>
      </c>
      <c r="M7" s="132">
        <f>IF(SER_hh_tesh_in!M7=0,0,SER_hh_tesh_in!M7/SER_summary!M$27)</f>
        <v>0</v>
      </c>
      <c r="N7" s="132">
        <f>IF(SER_hh_tesh_in!N7=0,0,SER_hh_tesh_in!N7/SER_summary!N$27)</f>
        <v>133.76872911868699</v>
      </c>
      <c r="O7" s="132">
        <f>IF(SER_hh_tesh_in!O7=0,0,SER_hh_tesh_in!O7/SER_summary!O$27)</f>
        <v>50.819644328726248</v>
      </c>
      <c r="P7" s="132">
        <f>IF(SER_hh_tesh_in!P7=0,0,SER_hh_tesh_in!P7/SER_summary!P$27)</f>
        <v>67.727229205205887</v>
      </c>
      <c r="Q7" s="132">
        <f>IF(SER_hh_tesh_in!Q7=0,0,SER_hh_tesh_in!Q7/SER_summary!Q$27)</f>
        <v>82.208059951845399</v>
      </c>
      <c r="R7" s="132">
        <f>IF(SER_hh_tesh_in!R7=0,0,SER_hh_tesh_in!R7/SER_summary!R$27)</f>
        <v>80.466869123139347</v>
      </c>
      <c r="S7" s="132">
        <f>IF(SER_hh_tesh_in!S7=0,0,SER_hh_tesh_in!S7/SER_summary!S$27)</f>
        <v>64.810746335011501</v>
      </c>
      <c r="T7" s="132">
        <f>IF(SER_hh_tesh_in!T7=0,0,SER_hh_tesh_in!T7/SER_summary!T$27)</f>
        <v>65.999534525504927</v>
      </c>
      <c r="U7" s="132">
        <f>IF(SER_hh_tesh_in!U7=0,0,SER_hh_tesh_in!U7/SER_summary!U$27)</f>
        <v>53.677953844471233</v>
      </c>
      <c r="V7" s="132">
        <f>IF(SER_hh_tesh_in!V7=0,0,SER_hh_tesh_in!V7/SER_summary!V$27)</f>
        <v>49.878941806671023</v>
      </c>
      <c r="W7" s="132">
        <f>IF(SER_hh_tesh_in!W7=0,0,SER_hh_tesh_in!W7/SER_summary!W$27)</f>
        <v>51.330642005738127</v>
      </c>
      <c r="X7" s="132">
        <f>IF(SER_hh_tesh_in!X7=0,0,SER_hh_tesh_in!X7/SER_summary!X$27)</f>
        <v>32.804489411101557</v>
      </c>
      <c r="Y7" s="132">
        <f>IF(SER_hh_tesh_in!Y7=0,0,SER_hh_tesh_in!Y7/SER_summary!Y$27)</f>
        <v>29.69624442141059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0</v>
      </c>
      <c r="D8" s="132">
        <f>IF(SER_hh_tesh_in!D8=0,0,SER_hh_tesh_in!D8/SER_summary!D$27)</f>
        <v>0</v>
      </c>
      <c r="E8" s="132">
        <f>IF(SER_hh_tesh_in!E8=0,0,SER_hh_tesh_in!E8/SER_summary!E$27)</f>
        <v>0</v>
      </c>
      <c r="F8" s="132">
        <f>IF(SER_hh_tesh_in!F8=0,0,SER_hh_tesh_in!F8/SER_summary!F$27)</f>
        <v>0</v>
      </c>
      <c r="G8" s="132">
        <f>IF(SER_hh_tesh_in!G8=0,0,SER_hh_tesh_in!G8/SER_summary!G$27)</f>
        <v>0</v>
      </c>
      <c r="H8" s="132">
        <f>IF(SER_hh_tesh_in!H8=0,0,SER_hh_tesh_in!H8/SER_summary!H$27)</f>
        <v>0</v>
      </c>
      <c r="I8" s="132">
        <f>IF(SER_hh_tesh_in!I8=0,0,SER_hh_tesh_in!I8/SER_summary!I$27)</f>
        <v>0</v>
      </c>
      <c r="J8" s="132">
        <f>IF(SER_hh_tesh_in!J8=0,0,SER_hh_tesh_in!J8/SER_summary!J$27)</f>
        <v>0</v>
      </c>
      <c r="K8" s="132">
        <f>IF(SER_hh_tesh_in!K8=0,0,SER_hh_tesh_in!K8/SER_summary!K$27)</f>
        <v>0</v>
      </c>
      <c r="L8" s="132">
        <f>IF(SER_hh_tesh_in!L8=0,0,SER_hh_tesh_in!L8/SER_summary!L$27)</f>
        <v>0</v>
      </c>
      <c r="M8" s="132">
        <f>IF(SER_hh_tesh_in!M8=0,0,SER_hh_tesh_in!M8/SER_summary!M$27)</f>
        <v>0</v>
      </c>
      <c r="N8" s="132">
        <f>IF(SER_hh_tesh_in!N8=0,0,SER_hh_tesh_in!N8/SER_summary!N$27)</f>
        <v>0</v>
      </c>
      <c r="O8" s="132">
        <f>IF(SER_hh_tesh_in!O8=0,0,SER_hh_tesh_in!O8/SER_summary!O$27)</f>
        <v>0</v>
      </c>
      <c r="P8" s="132">
        <f>IF(SER_hh_tesh_in!P8=0,0,SER_hh_tesh_in!P8/SER_summary!P$27)</f>
        <v>0</v>
      </c>
      <c r="Q8" s="132">
        <f>IF(SER_hh_tesh_in!Q8=0,0,SER_hh_tesh_in!Q8/SER_summary!Q$27)</f>
        <v>0</v>
      </c>
      <c r="R8" s="132">
        <f>IF(SER_hh_tesh_in!R8=0,0,SER_hh_tesh_in!R8/SER_summary!R$27)</f>
        <v>22.612692282617918</v>
      </c>
      <c r="S8" s="132">
        <f>IF(SER_hh_tesh_in!S8=0,0,SER_hh_tesh_in!S8/SER_summary!S$27)</f>
        <v>52.52351888074044</v>
      </c>
      <c r="T8" s="132">
        <f>IF(SER_hh_tesh_in!T8=0,0,SER_hh_tesh_in!T8/SER_summary!T$27)</f>
        <v>66.73621342277913</v>
      </c>
      <c r="U8" s="132">
        <f>IF(SER_hh_tesh_in!U8=0,0,SER_hh_tesh_in!U8/SER_summary!U$27)</f>
        <v>53.367979563392041</v>
      </c>
      <c r="V8" s="132">
        <f>IF(SER_hh_tesh_in!V8=0,0,SER_hh_tesh_in!V8/SER_summary!V$27)</f>
        <v>66.661977399026185</v>
      </c>
      <c r="W8" s="132">
        <f>IF(SER_hh_tesh_in!W8=0,0,SER_hh_tesh_in!W8/SER_summary!W$27)</f>
        <v>41.122553712881775</v>
      </c>
      <c r="X8" s="132">
        <f>IF(SER_hh_tesh_in!X8=0,0,SER_hh_tesh_in!X8/SER_summary!X$27)</f>
        <v>36.721888127669118</v>
      </c>
      <c r="Y8" s="132">
        <f>IF(SER_hh_tesh_in!Y8=0,0,SER_hh_tesh_in!Y8/SER_summary!Y$27)</f>
        <v>33.429802056217568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193.65936773628721</v>
      </c>
      <c r="D9" s="132">
        <f>IF(SER_hh_tesh_in!D9=0,0,SER_hh_tesh_in!D9/SER_summary!D$27)</f>
        <v>167.25197749513944</v>
      </c>
      <c r="E9" s="132">
        <f>IF(SER_hh_tesh_in!E9=0,0,SER_hh_tesh_in!E9/SER_summary!E$27)</f>
        <v>164.42269337010657</v>
      </c>
      <c r="F9" s="132">
        <f>IF(SER_hh_tesh_in!F9=0,0,SER_hh_tesh_in!F9/SER_summary!F$27)</f>
        <v>201.71116528220836</v>
      </c>
      <c r="G9" s="132">
        <f>IF(SER_hh_tesh_in!G9=0,0,SER_hh_tesh_in!G9/SER_summary!G$27)</f>
        <v>187.91521056580177</v>
      </c>
      <c r="H9" s="132">
        <f>IF(SER_hh_tesh_in!H9=0,0,SER_hh_tesh_in!H9/SER_summary!H$27)</f>
        <v>162.13452049564964</v>
      </c>
      <c r="I9" s="132">
        <f>IF(SER_hh_tesh_in!I9=0,0,SER_hh_tesh_in!I9/SER_summary!I$27)</f>
        <v>125.19337885748143</v>
      </c>
      <c r="J9" s="132">
        <f>IF(SER_hh_tesh_in!J9=0,0,SER_hh_tesh_in!J9/SER_summary!J$27)</f>
        <v>120.7925738837926</v>
      </c>
      <c r="K9" s="132">
        <f>IF(SER_hh_tesh_in!K9=0,0,SER_hh_tesh_in!K9/SER_summary!K$27)</f>
        <v>133.38495298922706</v>
      </c>
      <c r="L9" s="132">
        <f>IF(SER_hh_tesh_in!L9=0,0,SER_hh_tesh_in!L9/SER_summary!L$27)</f>
        <v>140.69713101034532</v>
      </c>
      <c r="M9" s="132">
        <f>IF(SER_hh_tesh_in!M9=0,0,SER_hh_tesh_in!M9/SER_summary!M$27)</f>
        <v>132.09493567670739</v>
      </c>
      <c r="N9" s="132">
        <f>IF(SER_hh_tesh_in!N9=0,0,SER_hh_tesh_in!N9/SER_summary!N$27)</f>
        <v>92.674806282976093</v>
      </c>
      <c r="O9" s="132">
        <f>IF(SER_hh_tesh_in!O9=0,0,SER_hh_tesh_in!O9/SER_summary!O$27)</f>
        <v>88.840727349918097</v>
      </c>
      <c r="P9" s="132">
        <f>IF(SER_hh_tesh_in!P9=0,0,SER_hh_tesh_in!P9/SER_summary!P$27)</f>
        <v>71.090472400613677</v>
      </c>
      <c r="Q9" s="132">
        <f>IF(SER_hh_tesh_in!Q9=0,0,SER_hh_tesh_in!Q9/SER_summary!Q$27)</f>
        <v>72.85498799127113</v>
      </c>
      <c r="R9" s="132">
        <f>IF(SER_hh_tesh_in!R9=0,0,SER_hh_tesh_in!R9/SER_summary!R$27)</f>
        <v>70.182198070854426</v>
      </c>
      <c r="S9" s="132">
        <f>IF(SER_hh_tesh_in!S9=0,0,SER_hh_tesh_in!S9/SER_summary!S$27)</f>
        <v>65.732339681393242</v>
      </c>
      <c r="T9" s="132">
        <f>IF(SER_hh_tesh_in!T9=0,0,SER_hh_tesh_in!T9/SER_summary!T$27)</f>
        <v>59.23835297976165</v>
      </c>
      <c r="U9" s="132">
        <f>IF(SER_hh_tesh_in!U9=0,0,SER_hh_tesh_in!U9/SER_summary!U$27)</f>
        <v>54.125240521402766</v>
      </c>
      <c r="V9" s="132">
        <f>IF(SER_hh_tesh_in!V9=0,0,SER_hh_tesh_in!V9/SER_summary!V$27)</f>
        <v>52.230513857608045</v>
      </c>
      <c r="W9" s="132">
        <f>IF(SER_hh_tesh_in!W9=0,0,SER_hh_tesh_in!W9/SER_summary!W$27)</f>
        <v>47.659313259846847</v>
      </c>
      <c r="X9" s="132">
        <f>IF(SER_hh_tesh_in!X9=0,0,SER_hh_tesh_in!X9/SER_summary!X$27)</f>
        <v>35.538410746865054</v>
      </c>
      <c r="Y9" s="132">
        <f>IF(SER_hh_tesh_in!Y9=0,0,SER_hh_tesh_in!Y9/SER_summary!Y$27)</f>
        <v>27.618407223417403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165.73188480395294</v>
      </c>
      <c r="D10" s="132">
        <f>IF(SER_hh_tesh_in!D10=0,0,SER_hh_tesh_in!D10/SER_summary!D$27)</f>
        <v>176.55728579357361</v>
      </c>
      <c r="E10" s="132">
        <f>IF(SER_hh_tesh_in!E10=0,0,SER_hh_tesh_in!E10/SER_summary!E$27)</f>
        <v>211.94226823134514</v>
      </c>
      <c r="F10" s="132">
        <f>IF(SER_hh_tesh_in!F10=0,0,SER_hh_tesh_in!F10/SER_summary!F$27)</f>
        <v>202.02323471613789</v>
      </c>
      <c r="G10" s="132">
        <f>IF(SER_hh_tesh_in!G10=0,0,SER_hh_tesh_in!G10/SER_summary!G$27)</f>
        <v>0</v>
      </c>
      <c r="H10" s="132">
        <f>IF(SER_hh_tesh_in!H10=0,0,SER_hh_tesh_in!H10/SER_summary!H$27)</f>
        <v>0</v>
      </c>
      <c r="I10" s="132">
        <f>IF(SER_hh_tesh_in!I10=0,0,SER_hh_tesh_in!I10/SER_summary!I$27)</f>
        <v>134.65545673431714</v>
      </c>
      <c r="J10" s="132">
        <f>IF(SER_hh_tesh_in!J10=0,0,SER_hh_tesh_in!J10/SER_summary!J$27)</f>
        <v>129.19395675891749</v>
      </c>
      <c r="K10" s="132">
        <f>IF(SER_hh_tesh_in!K10=0,0,SER_hh_tesh_in!K10/SER_summary!K$27)</f>
        <v>135.80546884206748</v>
      </c>
      <c r="L10" s="132">
        <f>IF(SER_hh_tesh_in!L10=0,0,SER_hh_tesh_in!L10/SER_summary!L$27)</f>
        <v>136.28244959859364</v>
      </c>
      <c r="M10" s="132">
        <f>IF(SER_hh_tesh_in!M10=0,0,SER_hh_tesh_in!M10/SER_summary!M$27)</f>
        <v>125.09962510744701</v>
      </c>
      <c r="N10" s="132">
        <f>IF(SER_hh_tesh_in!N10=0,0,SER_hh_tesh_in!N10/SER_summary!N$27)</f>
        <v>100.23402976072407</v>
      </c>
      <c r="O10" s="132">
        <f>IF(SER_hh_tesh_in!O10=0,0,SER_hh_tesh_in!O10/SER_summary!O$27)</f>
        <v>87.940078717678261</v>
      </c>
      <c r="P10" s="132">
        <f>IF(SER_hh_tesh_in!P10=0,0,SER_hh_tesh_in!P10/SER_summary!P$27)</f>
        <v>68.667049087303468</v>
      </c>
      <c r="Q10" s="132">
        <f>IF(SER_hh_tesh_in!Q10=0,0,SER_hh_tesh_in!Q10/SER_summary!Q$27)</f>
        <v>79.600167518740534</v>
      </c>
      <c r="R10" s="132">
        <f>IF(SER_hh_tesh_in!R10=0,0,SER_hh_tesh_in!R10/SER_summary!R$27)</f>
        <v>67.910499083053253</v>
      </c>
      <c r="S10" s="132">
        <f>IF(SER_hh_tesh_in!S10=0,0,SER_hh_tesh_in!S10/SER_summary!S$27)</f>
        <v>65.930422461798841</v>
      </c>
      <c r="T10" s="132">
        <f>IF(SER_hh_tesh_in!T10=0,0,SER_hh_tesh_in!T10/SER_summary!T$27)</f>
        <v>58.058957596103312</v>
      </c>
      <c r="U10" s="132">
        <f>IF(SER_hh_tesh_in!U10=0,0,SER_hh_tesh_in!U10/SER_summary!U$27)</f>
        <v>60.14058872058407</v>
      </c>
      <c r="V10" s="132">
        <f>IF(SER_hh_tesh_in!V10=0,0,SER_hh_tesh_in!V10/SER_summary!V$27)</f>
        <v>0</v>
      </c>
      <c r="W10" s="132">
        <f>IF(SER_hh_tesh_in!W10=0,0,SER_hh_tesh_in!W10/SER_summary!W$27)</f>
        <v>36.915569393416668</v>
      </c>
      <c r="X10" s="132">
        <f>IF(SER_hh_tesh_in!X10=0,0,SER_hh_tesh_in!X10/SER_summary!X$27)</f>
        <v>34.442937644719564</v>
      </c>
      <c r="Y10" s="132">
        <f>IF(SER_hh_tesh_in!Y10=0,0,SER_hh_tesh_in!Y10/SER_summary!Y$27)</f>
        <v>31.748763156279541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187.01954499593691</v>
      </c>
      <c r="D11" s="132">
        <f>IF(SER_hh_tesh_in!D11=0,0,SER_hh_tesh_in!D11/SER_summary!D$27)</f>
        <v>181.87094495386907</v>
      </c>
      <c r="E11" s="132">
        <f>IF(SER_hh_tesh_in!E11=0,0,SER_hh_tesh_in!E11/SER_summary!E$27)</f>
        <v>184.54311979191232</v>
      </c>
      <c r="F11" s="132">
        <f>IF(SER_hh_tesh_in!F11=0,0,SER_hh_tesh_in!F11/SER_summary!F$27)</f>
        <v>0</v>
      </c>
      <c r="G11" s="132">
        <f>IF(SER_hh_tesh_in!G11=0,0,SER_hh_tesh_in!G11/SER_summary!G$27)</f>
        <v>168.67994375198555</v>
      </c>
      <c r="H11" s="132">
        <f>IF(SER_hh_tesh_in!H11=0,0,SER_hh_tesh_in!H11/SER_summary!H$27)</f>
        <v>154.04113247746483</v>
      </c>
      <c r="I11" s="132">
        <f>IF(SER_hh_tesh_in!I11=0,0,SER_hh_tesh_in!I11/SER_summary!I$27)</f>
        <v>135.34494802777257</v>
      </c>
      <c r="J11" s="132">
        <f>IF(SER_hh_tesh_in!J11=0,0,SER_hh_tesh_in!J11/SER_summary!J$27)</f>
        <v>139.28590871203093</v>
      </c>
      <c r="K11" s="132">
        <f>IF(SER_hh_tesh_in!K11=0,0,SER_hh_tesh_in!K11/SER_summary!K$27)</f>
        <v>138.53085006028004</v>
      </c>
      <c r="L11" s="132">
        <f>IF(SER_hh_tesh_in!L11=0,0,SER_hh_tesh_in!L11/SER_summary!L$27)</f>
        <v>131.5392056760964</v>
      </c>
      <c r="M11" s="132">
        <f>IF(SER_hh_tesh_in!M11=0,0,SER_hh_tesh_in!M11/SER_summary!M$27)</f>
        <v>127.01146150608595</v>
      </c>
      <c r="N11" s="132">
        <f>IF(SER_hh_tesh_in!N11=0,0,SER_hh_tesh_in!N11/SER_summary!N$27)</f>
        <v>118.21264815835367</v>
      </c>
      <c r="O11" s="132">
        <f>IF(SER_hh_tesh_in!O11=0,0,SER_hh_tesh_in!O11/SER_summary!O$27)</f>
        <v>121.93022926328325</v>
      </c>
      <c r="P11" s="132">
        <f>IF(SER_hh_tesh_in!P11=0,0,SER_hh_tesh_in!P11/SER_summary!P$27)</f>
        <v>0</v>
      </c>
      <c r="Q11" s="132">
        <f>IF(SER_hh_tesh_in!Q11=0,0,SER_hh_tesh_in!Q11/SER_summary!Q$27)</f>
        <v>0</v>
      </c>
      <c r="R11" s="132">
        <f>IF(SER_hh_tesh_in!R11=0,0,SER_hh_tesh_in!R11/SER_summary!R$27)</f>
        <v>0</v>
      </c>
      <c r="S11" s="132">
        <f>IF(SER_hh_tesh_in!S11=0,0,SER_hh_tesh_in!S11/SER_summary!S$27)</f>
        <v>70.381950363630295</v>
      </c>
      <c r="T11" s="132">
        <f>IF(SER_hh_tesh_in!T11=0,0,SER_hh_tesh_in!T11/SER_summary!T$27)</f>
        <v>60.227890178812928</v>
      </c>
      <c r="U11" s="132">
        <f>IF(SER_hh_tesh_in!U11=0,0,SER_hh_tesh_in!U11/SER_summary!U$27)</f>
        <v>57.221738256030989</v>
      </c>
      <c r="V11" s="132">
        <f>IF(SER_hh_tesh_in!V11=0,0,SER_hh_tesh_in!V11/SER_summary!V$27)</f>
        <v>45.042006341024923</v>
      </c>
      <c r="W11" s="132">
        <f>IF(SER_hh_tesh_in!W11=0,0,SER_hh_tesh_in!W11/SER_summary!W$27)</f>
        <v>42.681345861005667</v>
      </c>
      <c r="X11" s="132">
        <f>IF(SER_hh_tesh_in!X11=0,0,SER_hh_tesh_in!X11/SER_summary!X$27)</f>
        <v>35.404812970067404</v>
      </c>
      <c r="Y11" s="132">
        <f>IF(SER_hh_tesh_in!Y11=0,0,SER_hh_tesh_in!Y11/SER_summary!Y$27)</f>
        <v>32.889825913871491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204.40840426872822</v>
      </c>
      <c r="D12" s="132">
        <f>IF(SER_hh_tesh_in!D12=0,0,SER_hh_tesh_in!D12/SER_summary!D$27)</f>
        <v>170.72212015109267</v>
      </c>
      <c r="E12" s="132">
        <f>IF(SER_hh_tesh_in!E12=0,0,SER_hh_tesh_in!E12/SER_summary!E$27)</f>
        <v>186.97607009259266</v>
      </c>
      <c r="F12" s="132">
        <f>IF(SER_hh_tesh_in!F12=0,0,SER_hh_tesh_in!F12/SER_summary!F$27)</f>
        <v>0</v>
      </c>
      <c r="G12" s="132">
        <f>IF(SER_hh_tesh_in!G12=0,0,SER_hh_tesh_in!G12/SER_summary!G$27)</f>
        <v>184.09435376119237</v>
      </c>
      <c r="H12" s="132">
        <f>IF(SER_hh_tesh_in!H12=0,0,SER_hh_tesh_in!H12/SER_summary!H$27)</f>
        <v>146.24536125598479</v>
      </c>
      <c r="I12" s="132">
        <f>IF(SER_hh_tesh_in!I12=0,0,SER_hh_tesh_in!I12/SER_summary!I$27)</f>
        <v>136.80358605447947</v>
      </c>
      <c r="J12" s="132">
        <f>IF(SER_hh_tesh_in!J12=0,0,SER_hh_tesh_in!J12/SER_summary!J$27)</f>
        <v>144.87283256155561</v>
      </c>
      <c r="K12" s="132">
        <f>IF(SER_hh_tesh_in!K12=0,0,SER_hh_tesh_in!K12/SER_summary!K$27)</f>
        <v>135.80410624634015</v>
      </c>
      <c r="L12" s="132">
        <f>IF(SER_hh_tesh_in!L12=0,0,SER_hh_tesh_in!L12/SER_summary!L$27)</f>
        <v>140.5673730141267</v>
      </c>
      <c r="M12" s="132">
        <f>IF(SER_hh_tesh_in!M12=0,0,SER_hh_tesh_in!M12/SER_summary!M$27)</f>
        <v>135.48266139720357</v>
      </c>
      <c r="N12" s="132">
        <f>IF(SER_hh_tesh_in!N12=0,0,SER_hh_tesh_in!N12/SER_summary!N$27)</f>
        <v>90.851070386491628</v>
      </c>
      <c r="O12" s="132">
        <f>IF(SER_hh_tesh_in!O12=0,0,SER_hh_tesh_in!O12/SER_summary!O$27)</f>
        <v>82.45340803885307</v>
      </c>
      <c r="P12" s="132">
        <f>IF(SER_hh_tesh_in!P12=0,0,SER_hh_tesh_in!P12/SER_summary!P$27)</f>
        <v>68.355331115534852</v>
      </c>
      <c r="Q12" s="132">
        <f>IF(SER_hh_tesh_in!Q12=0,0,SER_hh_tesh_in!Q12/SER_summary!Q$27)</f>
        <v>75.669300208825874</v>
      </c>
      <c r="R12" s="132">
        <f>IF(SER_hh_tesh_in!R12=0,0,SER_hh_tesh_in!R12/SER_summary!R$27)</f>
        <v>74.571995572411652</v>
      </c>
      <c r="S12" s="132">
        <f>IF(SER_hh_tesh_in!S12=0,0,SER_hh_tesh_in!S12/SER_summary!S$27)</f>
        <v>69.341111315713462</v>
      </c>
      <c r="T12" s="132">
        <f>IF(SER_hh_tesh_in!T12=0,0,SER_hh_tesh_in!T12/SER_summary!T$27)</f>
        <v>61.538916419346094</v>
      </c>
      <c r="U12" s="132">
        <f>IF(SER_hh_tesh_in!U12=0,0,SER_hh_tesh_in!U12/SER_summary!U$27)</f>
        <v>55.402149368374225</v>
      </c>
      <c r="V12" s="132">
        <f>IF(SER_hh_tesh_in!V12=0,0,SER_hh_tesh_in!V12/SER_summary!V$27)</f>
        <v>51.664306551388819</v>
      </c>
      <c r="W12" s="132">
        <f>IF(SER_hh_tesh_in!W12=0,0,SER_hh_tesh_in!W12/SER_summary!W$27)</f>
        <v>47.034713114382868</v>
      </c>
      <c r="X12" s="132">
        <f>IF(SER_hh_tesh_in!X12=0,0,SER_hh_tesh_in!X12/SER_summary!X$27)</f>
        <v>37.324288718413051</v>
      </c>
      <c r="Y12" s="132">
        <f>IF(SER_hh_tesh_in!Y12=0,0,SER_hh_tesh_in!Y12/SER_summary!Y$27)</f>
        <v>28.676356545781832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192.56129795959998</v>
      </c>
      <c r="D13" s="132">
        <f>IF(SER_hh_tesh_in!D13=0,0,SER_hh_tesh_in!D13/SER_summary!D$27)</f>
        <v>166.47995656363778</v>
      </c>
      <c r="E13" s="132">
        <f>IF(SER_hh_tesh_in!E13=0,0,SER_hh_tesh_in!E13/SER_summary!E$27)</f>
        <v>129.44504874032847</v>
      </c>
      <c r="F13" s="132">
        <f>IF(SER_hh_tesh_in!F13=0,0,SER_hh_tesh_in!F13/SER_summary!F$27)</f>
        <v>147.56128730082085</v>
      </c>
      <c r="G13" s="132">
        <f>IF(SER_hh_tesh_in!G13=0,0,SER_hh_tesh_in!G13/SER_summary!G$27)</f>
        <v>150.14552749436805</v>
      </c>
      <c r="H13" s="132">
        <f>IF(SER_hh_tesh_in!H13=0,0,SER_hh_tesh_in!H13/SER_summary!H$27)</f>
        <v>134.59193396359626</v>
      </c>
      <c r="I13" s="132">
        <f>IF(SER_hh_tesh_in!I13=0,0,SER_hh_tesh_in!I13/SER_summary!I$27)</f>
        <v>151.31332080439117</v>
      </c>
      <c r="J13" s="132">
        <f>IF(SER_hh_tesh_in!J13=0,0,SER_hh_tesh_in!J13/SER_summary!J$27)</f>
        <v>132.25791892417908</v>
      </c>
      <c r="K13" s="132">
        <f>IF(SER_hh_tesh_in!K13=0,0,SER_hh_tesh_in!K13/SER_summary!K$27)</f>
        <v>141.6712281363898</v>
      </c>
      <c r="L13" s="132">
        <f>IF(SER_hh_tesh_in!L13=0,0,SER_hh_tesh_in!L13/SER_summary!L$27)</f>
        <v>114.2239662621927</v>
      </c>
      <c r="M13" s="132">
        <f>IF(SER_hh_tesh_in!M13=0,0,SER_hh_tesh_in!M13/SER_summary!M$27)</f>
        <v>83.732009131061105</v>
      </c>
      <c r="N13" s="132">
        <f>IF(SER_hh_tesh_in!N13=0,0,SER_hh_tesh_in!N13/SER_summary!N$27)</f>
        <v>85.192133005377585</v>
      </c>
      <c r="O13" s="132">
        <f>IF(SER_hh_tesh_in!O13=0,0,SER_hh_tesh_in!O13/SER_summary!O$27)</f>
        <v>84.599362261454658</v>
      </c>
      <c r="P13" s="132">
        <f>IF(SER_hh_tesh_in!P13=0,0,SER_hh_tesh_in!P13/SER_summary!P$27)</f>
        <v>92.777721667693896</v>
      </c>
      <c r="Q13" s="132">
        <f>IF(SER_hh_tesh_in!Q13=0,0,SER_hh_tesh_in!Q13/SER_summary!Q$27)</f>
        <v>70.45801120332527</v>
      </c>
      <c r="R13" s="132">
        <f>IF(SER_hh_tesh_in!R13=0,0,SER_hh_tesh_in!R13/SER_summary!R$27)</f>
        <v>62.774971333246157</v>
      </c>
      <c r="S13" s="132">
        <f>IF(SER_hh_tesh_in!S13=0,0,SER_hh_tesh_in!S13/SER_summary!S$27)</f>
        <v>58.079772880818638</v>
      </c>
      <c r="T13" s="132">
        <f>IF(SER_hh_tesh_in!T13=0,0,SER_hh_tesh_in!T13/SER_summary!T$27)</f>
        <v>61.545037857727237</v>
      </c>
      <c r="U13" s="132">
        <f>IF(SER_hh_tesh_in!U13=0,0,SER_hh_tesh_in!U13/SER_summary!U$27)</f>
        <v>52.988911343976639</v>
      </c>
      <c r="V13" s="132">
        <f>IF(SER_hh_tesh_in!V13=0,0,SER_hh_tesh_in!V13/SER_summary!V$27)</f>
        <v>44.077427117730053</v>
      </c>
      <c r="W13" s="132">
        <f>IF(SER_hh_tesh_in!W13=0,0,SER_hh_tesh_in!W13/SER_summary!W$27)</f>
        <v>14.991570650774955</v>
      </c>
      <c r="X13" s="132">
        <f>IF(SER_hh_tesh_in!X13=0,0,SER_hh_tesh_in!X13/SER_summary!X$27)</f>
        <v>43.219920726051946</v>
      </c>
      <c r="Y13" s="132">
        <f>IF(SER_hh_tesh_in!Y13=0,0,SER_hh_tesh_in!Y13/SER_summary!Y$27)</f>
        <v>34.011078905897385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196.95162415168826</v>
      </c>
      <c r="D14" s="65">
        <f>IF(SER_hh_tesh_in!D14=0,0,SER_hh_tesh_in!D14/SER_summary!D$27)</f>
        <v>0</v>
      </c>
      <c r="E14" s="65">
        <f>IF(SER_hh_tesh_in!E14=0,0,SER_hh_tesh_in!E14/SER_summary!E$27)</f>
        <v>147.66970231702618</v>
      </c>
      <c r="F14" s="65">
        <f>IF(SER_hh_tesh_in!F14=0,0,SER_hh_tesh_in!F14/SER_summary!F$27)</f>
        <v>163.57963311575605</v>
      </c>
      <c r="G14" s="65">
        <f>IF(SER_hh_tesh_in!G14=0,0,SER_hh_tesh_in!G14/SER_summary!G$27)</f>
        <v>180.61098797320997</v>
      </c>
      <c r="H14" s="65">
        <f>IF(SER_hh_tesh_in!H14=0,0,SER_hh_tesh_in!H14/SER_summary!H$27)</f>
        <v>154.23954001307604</v>
      </c>
      <c r="I14" s="65">
        <f>IF(SER_hh_tesh_in!I14=0,0,SER_hh_tesh_in!I14/SER_summary!I$27)</f>
        <v>146.73842643365808</v>
      </c>
      <c r="J14" s="65">
        <f>IF(SER_hh_tesh_in!J14=0,0,SER_hh_tesh_in!J14/SER_summary!J$27)</f>
        <v>132.0296120488409</v>
      </c>
      <c r="K14" s="65">
        <f>IF(SER_hh_tesh_in!K14=0,0,SER_hh_tesh_in!K14/SER_summary!K$27)</f>
        <v>144.37402610713738</v>
      </c>
      <c r="L14" s="65">
        <f>IF(SER_hh_tesh_in!L14=0,0,SER_hh_tesh_in!L14/SER_summary!L$27)</f>
        <v>0</v>
      </c>
      <c r="M14" s="65">
        <f>IF(SER_hh_tesh_in!M14=0,0,SER_hh_tesh_in!M14/SER_summary!M$27)</f>
        <v>0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71.860711646434737</v>
      </c>
      <c r="Q14" s="65">
        <f>IF(SER_hh_tesh_in!Q14=0,0,SER_hh_tesh_in!Q14/SER_summary!Q$27)</f>
        <v>74.340686334962456</v>
      </c>
      <c r="R14" s="65">
        <f>IF(SER_hh_tesh_in!R14=0,0,SER_hh_tesh_in!R14/SER_summary!R$27)</f>
        <v>69.294963515824122</v>
      </c>
      <c r="S14" s="65">
        <f>IF(SER_hh_tesh_in!S14=0,0,SER_hh_tesh_in!S14/SER_summary!S$27)</f>
        <v>66.52835746637119</v>
      </c>
      <c r="T14" s="65">
        <f>IF(SER_hh_tesh_in!T14=0,0,SER_hh_tesh_in!T14/SER_summary!T$27)</f>
        <v>65.449064384497348</v>
      </c>
      <c r="U14" s="65">
        <f>IF(SER_hh_tesh_in!U14=0,0,SER_hh_tesh_in!U14/SER_summary!U$27)</f>
        <v>60.93061603138559</v>
      </c>
      <c r="V14" s="65">
        <f>IF(SER_hh_tesh_in!V14=0,0,SER_hh_tesh_in!V14/SER_summary!V$27)</f>
        <v>51.514252938806386</v>
      </c>
      <c r="W14" s="65">
        <f>IF(SER_hh_tesh_in!W14=0,0,SER_hh_tesh_in!W14/SER_summary!W$27)</f>
        <v>43.56251556019015</v>
      </c>
      <c r="X14" s="65">
        <f>IF(SER_hh_tesh_in!X14=0,0,SER_hh_tesh_in!X14/SER_summary!X$27)</f>
        <v>41.159234470862692</v>
      </c>
      <c r="Y14" s="65">
        <f>IF(SER_hh_tesh_in!Y14=0,0,SER_hh_tesh_in!Y14/SER_summary!Y$27)</f>
        <v>28.94845336449055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3.2421006063773072</v>
      </c>
      <c r="D15" s="134">
        <f>IF(SER_hh_tesh_in!D15=0,0,SER_hh_tesh_in!D15/SER_summary!D$27)</f>
        <v>2.9734125019922399</v>
      </c>
      <c r="E15" s="134">
        <f>IF(SER_hh_tesh_in!E15=0,0,SER_hh_tesh_in!E15/SER_summary!E$27)</f>
        <v>2.9513665523235999</v>
      </c>
      <c r="F15" s="134">
        <f>IF(SER_hh_tesh_in!F15=0,0,SER_hh_tesh_in!F15/SER_summary!F$27)</f>
        <v>3.7189418292580267</v>
      </c>
      <c r="G15" s="134">
        <f>IF(SER_hh_tesh_in!G15=0,0,SER_hh_tesh_in!G15/SER_summary!G$27)</f>
        <v>2.9236048011202231</v>
      </c>
      <c r="H15" s="134">
        <f>IF(SER_hh_tesh_in!H15=0,0,SER_hh_tesh_in!H15/SER_summary!H$27)</f>
        <v>1.7506666751489663</v>
      </c>
      <c r="I15" s="134">
        <f>IF(SER_hh_tesh_in!I15=0,0,SER_hh_tesh_in!I15/SER_summary!I$27)</f>
        <v>1.0867706948197688</v>
      </c>
      <c r="J15" s="134">
        <f>IF(SER_hh_tesh_in!J15=0,0,SER_hh_tesh_in!J15/SER_summary!J$27)</f>
        <v>1.1173885348932249</v>
      </c>
      <c r="K15" s="134">
        <f>IF(SER_hh_tesh_in!K15=0,0,SER_hh_tesh_in!K15/SER_summary!K$27)</f>
        <v>1.9531641251794285</v>
      </c>
      <c r="L15" s="134">
        <f>IF(SER_hh_tesh_in!L15=0,0,SER_hh_tesh_in!L15/SER_summary!L$27)</f>
        <v>2.1785782534009184</v>
      </c>
      <c r="M15" s="134">
        <f>IF(SER_hh_tesh_in!M15=0,0,SER_hh_tesh_in!M15/SER_summary!M$27)</f>
        <v>2.021140486749168</v>
      </c>
      <c r="N15" s="134">
        <f>IF(SER_hh_tesh_in!N15=0,0,SER_hh_tesh_in!N15/SER_summary!N$27)</f>
        <v>1.3997948836848695</v>
      </c>
      <c r="O15" s="134">
        <f>IF(SER_hh_tesh_in!O15=0,0,SER_hh_tesh_in!O15/SER_summary!O$27)</f>
        <v>1.2595648333691423</v>
      </c>
      <c r="P15" s="134">
        <f>IF(SER_hh_tesh_in!P15=0,0,SER_hh_tesh_in!P15/SER_summary!P$27)</f>
        <v>0.98308986651746211</v>
      </c>
      <c r="Q15" s="134">
        <f>IF(SER_hh_tesh_in!Q15=0,0,SER_hh_tesh_in!Q15/SER_summary!Q$27)</f>
        <v>0.75612877403771783</v>
      </c>
      <c r="R15" s="134">
        <f>IF(SER_hh_tesh_in!R15=0,0,SER_hh_tesh_in!R15/SER_summary!R$27)</f>
        <v>0.83275508594522407</v>
      </c>
      <c r="S15" s="134">
        <f>IF(SER_hh_tesh_in!S15=0,0,SER_hh_tesh_in!S15/SER_summary!S$27)</f>
        <v>0.83505669085131906</v>
      </c>
      <c r="T15" s="134">
        <f>IF(SER_hh_tesh_in!T15=0,0,SER_hh_tesh_in!T15/SER_summary!T$27)</f>
        <v>0.82631374721479789</v>
      </c>
      <c r="U15" s="134">
        <f>IF(SER_hh_tesh_in!U15=0,0,SER_hh_tesh_in!U15/SER_summary!U$27)</f>
        <v>0.76090743744621636</v>
      </c>
      <c r="V15" s="134">
        <f>IF(SER_hh_tesh_in!V15=0,0,SER_hh_tesh_in!V15/SER_summary!V$27)</f>
        <v>0.71401620777762609</v>
      </c>
      <c r="W15" s="134">
        <f>IF(SER_hh_tesh_in!W15=0,0,SER_hh_tesh_in!W15/SER_summary!W$27)</f>
        <v>0.55486300070875816</v>
      </c>
      <c r="X15" s="134">
        <f>IF(SER_hh_tesh_in!X15=0,0,SER_hh_tesh_in!X15/SER_summary!X$27)</f>
        <v>0.3482574636345569</v>
      </c>
      <c r="Y15" s="134">
        <f>IF(SER_hh_tesh_in!Y15=0,0,SER_hh_tesh_in!Y15/SER_summary!Y$27)</f>
        <v>0.27782283713487932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22.031749576349238</v>
      </c>
      <c r="D16" s="130">
        <f>IF(SER_hh_tesh_in!D16=0,0,SER_hh_tesh_in!D16/SER_summary!D$27)</f>
        <v>23.184578109436433</v>
      </c>
      <c r="E16" s="130">
        <f>IF(SER_hh_tesh_in!E16=0,0,SER_hh_tesh_in!E16/SER_summary!E$27)</f>
        <v>26.483744169164627</v>
      </c>
      <c r="F16" s="130">
        <f>IF(SER_hh_tesh_in!F16=0,0,SER_hh_tesh_in!F16/SER_summary!F$27)</f>
        <v>21.103071537194598</v>
      </c>
      <c r="G16" s="130">
        <f>IF(SER_hh_tesh_in!G16=0,0,SER_hh_tesh_in!G16/SER_summary!G$27)</f>
        <v>21.031307166962215</v>
      </c>
      <c r="H16" s="130">
        <f>IF(SER_hh_tesh_in!H16=0,0,SER_hh_tesh_in!H16/SER_summary!H$27)</f>
        <v>23.156227272143397</v>
      </c>
      <c r="I16" s="130">
        <f>IF(SER_hh_tesh_in!I16=0,0,SER_hh_tesh_in!I16/SER_summary!I$27)</f>
        <v>25.176462961376373</v>
      </c>
      <c r="J16" s="130">
        <f>IF(SER_hh_tesh_in!J16=0,0,SER_hh_tesh_in!J16/SER_summary!J$27)</f>
        <v>21.298815188376356</v>
      </c>
      <c r="K16" s="130">
        <f>IF(SER_hh_tesh_in!K16=0,0,SER_hh_tesh_in!K16/SER_summary!K$27)</f>
        <v>21.206786377362317</v>
      </c>
      <c r="L16" s="130">
        <f>IF(SER_hh_tesh_in!L16=0,0,SER_hh_tesh_in!L16/SER_summary!L$27)</f>
        <v>21.938598847960943</v>
      </c>
      <c r="M16" s="130">
        <f>IF(SER_hh_tesh_in!M16=0,0,SER_hh_tesh_in!M16/SER_summary!M$27)</f>
        <v>21.355538716448027</v>
      </c>
      <c r="N16" s="130">
        <f>IF(SER_hh_tesh_in!N16=0,0,SER_hh_tesh_in!N16/SER_summary!N$27)</f>
        <v>26.788695405202443</v>
      </c>
      <c r="O16" s="130">
        <f>IF(SER_hh_tesh_in!O16=0,0,SER_hh_tesh_in!O16/SER_summary!O$27)</f>
        <v>21.801004218791665</v>
      </c>
      <c r="P16" s="130">
        <f>IF(SER_hh_tesh_in!P16=0,0,SER_hh_tesh_in!P16/SER_summary!P$27)</f>
        <v>19.332640599651469</v>
      </c>
      <c r="Q16" s="130">
        <f>IF(SER_hh_tesh_in!Q16=0,0,SER_hh_tesh_in!Q16/SER_summary!Q$27)</f>
        <v>27.452945363785389</v>
      </c>
      <c r="R16" s="130">
        <f>IF(SER_hh_tesh_in!R16=0,0,SER_hh_tesh_in!R16/SER_summary!R$27)</f>
        <v>18.887892276443129</v>
      </c>
      <c r="S16" s="130">
        <f>IF(SER_hh_tesh_in!S16=0,0,SER_hh_tesh_in!S16/SER_summary!S$27)</f>
        <v>22.312847768922708</v>
      </c>
      <c r="T16" s="130">
        <f>IF(SER_hh_tesh_in!T16=0,0,SER_hh_tesh_in!T16/SER_summary!T$27)</f>
        <v>20.740130983515716</v>
      </c>
      <c r="U16" s="130">
        <f>IF(SER_hh_tesh_in!U16=0,0,SER_hh_tesh_in!U16/SER_summary!U$27)</f>
        <v>21.500994476886842</v>
      </c>
      <c r="V16" s="130">
        <f>IF(SER_hh_tesh_in!V16=0,0,SER_hh_tesh_in!V16/SER_summary!V$27)</f>
        <v>16.701871643698318</v>
      </c>
      <c r="W16" s="130">
        <f>IF(SER_hh_tesh_in!W16=0,0,SER_hh_tesh_in!W16/SER_summary!W$27)</f>
        <v>19.330279115218179</v>
      </c>
      <c r="X16" s="130">
        <f>IF(SER_hh_tesh_in!X16=0,0,SER_hh_tesh_in!X16/SER_summary!X$27)</f>
        <v>19.0234656421183</v>
      </c>
      <c r="Y16" s="130">
        <f>IF(SER_hh_tesh_in!Y16=0,0,SER_hh_tesh_in!Y16/SER_summary!Y$27)</f>
        <v>17.207713376326126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22.043494300939678</v>
      </c>
      <c r="D17" s="132">
        <f>IF(SER_hh_tesh_in!D17=0,0,SER_hh_tesh_in!D17/SER_summary!D$27)</f>
        <v>23.220072248555919</v>
      </c>
      <c r="E17" s="132">
        <f>IF(SER_hh_tesh_in!E17=0,0,SER_hh_tesh_in!E17/SER_summary!E$27)</f>
        <v>26.541281258775459</v>
      </c>
      <c r="F17" s="132">
        <f>IF(SER_hh_tesh_in!F17=0,0,SER_hh_tesh_in!F17/SER_summary!F$27)</f>
        <v>21.108502134989191</v>
      </c>
      <c r="G17" s="132">
        <f>IF(SER_hh_tesh_in!G17=0,0,SER_hh_tesh_in!G17/SER_summary!G$27)</f>
        <v>21.039975945039252</v>
      </c>
      <c r="H17" s="132">
        <f>IF(SER_hh_tesh_in!H17=0,0,SER_hh_tesh_in!H17/SER_summary!H$27)</f>
        <v>23.167233580174788</v>
      </c>
      <c r="I17" s="132">
        <f>IF(SER_hh_tesh_in!I17=0,0,SER_hh_tesh_in!I17/SER_summary!I$27)</f>
        <v>25.189223906706388</v>
      </c>
      <c r="J17" s="132">
        <f>IF(SER_hh_tesh_in!J17=0,0,SER_hh_tesh_in!J17/SER_summary!J$27)</f>
        <v>21.309210567757283</v>
      </c>
      <c r="K17" s="132">
        <f>IF(SER_hh_tesh_in!K17=0,0,SER_hh_tesh_in!K17/SER_summary!K$27)</f>
        <v>21.217913239790569</v>
      </c>
      <c r="L17" s="132">
        <f>IF(SER_hh_tesh_in!L17=0,0,SER_hh_tesh_in!L17/SER_summary!L$27)</f>
        <v>21.952709003811535</v>
      </c>
      <c r="M17" s="132">
        <f>IF(SER_hh_tesh_in!M17=0,0,SER_hh_tesh_in!M17/SER_summary!M$27)</f>
        <v>21.406191351533408</v>
      </c>
      <c r="N17" s="132">
        <f>IF(SER_hh_tesh_in!N17=0,0,SER_hh_tesh_in!N17/SER_summary!N$27)</f>
        <v>26.905758355005609</v>
      </c>
      <c r="O17" s="132">
        <f>IF(SER_hh_tesh_in!O17=0,0,SER_hh_tesh_in!O17/SER_summary!O$27)</f>
        <v>21.948191537894317</v>
      </c>
      <c r="P17" s="132">
        <f>IF(SER_hh_tesh_in!P17=0,0,SER_hh_tesh_in!P17/SER_summary!P$27)</f>
        <v>19.417865062420553</v>
      </c>
      <c r="Q17" s="132">
        <f>IF(SER_hh_tesh_in!Q17=0,0,SER_hh_tesh_in!Q17/SER_summary!Q$27)</f>
        <v>27.522794837329162</v>
      </c>
      <c r="R17" s="132">
        <f>IF(SER_hh_tesh_in!R17=0,0,SER_hh_tesh_in!R17/SER_summary!R$27)</f>
        <v>18.911327957730546</v>
      </c>
      <c r="S17" s="132">
        <f>IF(SER_hh_tesh_in!S17=0,0,SER_hh_tesh_in!S17/SER_summary!S$27)</f>
        <v>22.490774933820607</v>
      </c>
      <c r="T17" s="132">
        <f>IF(SER_hh_tesh_in!T17=0,0,SER_hh_tesh_in!T17/SER_summary!T$27)</f>
        <v>20.863392098793007</v>
      </c>
      <c r="U17" s="132">
        <f>IF(SER_hh_tesh_in!U17=0,0,SER_hh_tesh_in!U17/SER_summary!U$27)</f>
        <v>21.786014036320921</v>
      </c>
      <c r="V17" s="132">
        <f>IF(SER_hh_tesh_in!V17=0,0,SER_hh_tesh_in!V17/SER_summary!V$27)</f>
        <v>14.922654392855113</v>
      </c>
      <c r="W17" s="132">
        <f>IF(SER_hh_tesh_in!W17=0,0,SER_hh_tesh_in!W17/SER_summary!W$27)</f>
        <v>17.328314421500146</v>
      </c>
      <c r="X17" s="132">
        <f>IF(SER_hh_tesh_in!X17=0,0,SER_hh_tesh_in!X17/SER_summary!X$27)</f>
        <v>18.431591199397332</v>
      </c>
      <c r="Y17" s="132">
        <f>IF(SER_hh_tesh_in!Y17=0,0,SER_hh_tesh_in!Y17/SER_summary!Y$27)</f>
        <v>17.171799385823068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22.031703549394106</v>
      </c>
      <c r="D18" s="132">
        <f>IF(SER_hh_tesh_in!D18=0,0,SER_hh_tesh_in!D18/SER_summary!D$27)</f>
        <v>23.184422146886853</v>
      </c>
      <c r="E18" s="132">
        <f>IF(SER_hh_tesh_in!E18=0,0,SER_hh_tesh_in!E18/SER_summary!E$27)</f>
        <v>26.483515826187649</v>
      </c>
      <c r="F18" s="132">
        <f>IF(SER_hh_tesh_in!F18=0,0,SER_hh_tesh_in!F18/SER_summary!F$27)</f>
        <v>21.103061584692348</v>
      </c>
      <c r="G18" s="132">
        <f>IF(SER_hh_tesh_in!G18=0,0,SER_hh_tesh_in!G18/SER_summary!G$27)</f>
        <v>21.031277410127217</v>
      </c>
      <c r="H18" s="132">
        <f>IF(SER_hh_tesh_in!H18=0,0,SER_hh_tesh_in!H18/SER_summary!H$27)</f>
        <v>23.156180061752419</v>
      </c>
      <c r="I18" s="132">
        <f>IF(SER_hh_tesh_in!I18=0,0,SER_hh_tesh_in!I18/SER_summary!I$27)</f>
        <v>25.176410381195367</v>
      </c>
      <c r="J18" s="132">
        <f>IF(SER_hh_tesh_in!J18=0,0,SER_hh_tesh_in!J18/SER_summary!J$27)</f>
        <v>21.298787649082225</v>
      </c>
      <c r="K18" s="132">
        <f>IF(SER_hh_tesh_in!K18=0,0,SER_hh_tesh_in!K18/SER_summary!K$27)</f>
        <v>21.206727828224551</v>
      </c>
      <c r="L18" s="132">
        <f>IF(SER_hh_tesh_in!L18=0,0,SER_hh_tesh_in!L18/SER_summary!L$27)</f>
        <v>21.938498301985362</v>
      </c>
      <c r="M18" s="132">
        <f>IF(SER_hh_tesh_in!M18=0,0,SER_hh_tesh_in!M18/SER_summary!M$27)</f>
        <v>21.355173255477258</v>
      </c>
      <c r="N18" s="132">
        <f>IF(SER_hh_tesh_in!N18=0,0,SER_hh_tesh_in!N18/SER_summary!N$27)</f>
        <v>26.787817306588668</v>
      </c>
      <c r="O18" s="132">
        <f>IF(SER_hh_tesh_in!O18=0,0,SER_hh_tesh_in!O18/SER_summary!O$27)</f>
        <v>21.799879936064677</v>
      </c>
      <c r="P18" s="132">
        <f>IF(SER_hh_tesh_in!P18=0,0,SER_hh_tesh_in!P18/SER_summary!P$27)</f>
        <v>19.332166211565969</v>
      </c>
      <c r="Q18" s="132">
        <f>IF(SER_hh_tesh_in!Q18=0,0,SER_hh_tesh_in!Q18/SER_summary!Q$27)</f>
        <v>27.452400739229581</v>
      </c>
      <c r="R18" s="132">
        <f>IF(SER_hh_tesh_in!R18=0,0,SER_hh_tesh_in!R18/SER_summary!R$27)</f>
        <v>18.887724012785199</v>
      </c>
      <c r="S18" s="132">
        <f>IF(SER_hh_tesh_in!S18=0,0,SER_hh_tesh_in!S18/SER_summary!S$27)</f>
        <v>22.310632654923719</v>
      </c>
      <c r="T18" s="132">
        <f>IF(SER_hh_tesh_in!T18=0,0,SER_hh_tesh_in!T18/SER_summary!T$27)</f>
        <v>20.739016735761716</v>
      </c>
      <c r="U18" s="132">
        <f>IF(SER_hh_tesh_in!U18=0,0,SER_hh_tesh_in!U18/SER_summary!U$27)</f>
        <v>21.495991028812977</v>
      </c>
      <c r="V18" s="132">
        <f>IF(SER_hh_tesh_in!V18=0,0,SER_hh_tesh_in!V18/SER_summary!V$27)</f>
        <v>16.726979925891666</v>
      </c>
      <c r="W18" s="132">
        <f>IF(SER_hh_tesh_in!W18=0,0,SER_hh_tesh_in!W18/SER_summary!W$27)</f>
        <v>19.350826979313727</v>
      </c>
      <c r="X18" s="132">
        <f>IF(SER_hh_tesh_in!X18=0,0,SER_hh_tesh_in!X18/SER_summary!X$27)</f>
        <v>19.028518155096833</v>
      </c>
      <c r="Y18" s="132">
        <f>IF(SER_hh_tesh_in!Y18=0,0,SER_hh_tesh_in!Y18/SER_summary!Y$27)</f>
        <v>17.207979904337851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18.222647957239854</v>
      </c>
      <c r="D19" s="130">
        <f>IF(SER_hh_tesh_in!D19=0,0,SER_hh_tesh_in!D19/SER_summary!D$27)</f>
        <v>18.424034021497402</v>
      </c>
      <c r="E19" s="130">
        <f>IF(SER_hh_tesh_in!E19=0,0,SER_hh_tesh_in!E19/SER_summary!E$27)</f>
        <v>18.212527873035974</v>
      </c>
      <c r="F19" s="130">
        <f>IF(SER_hh_tesh_in!F19=0,0,SER_hh_tesh_in!F19/SER_summary!F$27)</f>
        <v>18.544355297760248</v>
      </c>
      <c r="G19" s="130">
        <f>IF(SER_hh_tesh_in!G19=0,0,SER_hh_tesh_in!G19/SER_summary!G$27)</f>
        <v>18.27452190958828</v>
      </c>
      <c r="H19" s="130">
        <f>IF(SER_hh_tesh_in!H19=0,0,SER_hh_tesh_in!H19/SER_summary!H$27)</f>
        <v>18.089591114394224</v>
      </c>
      <c r="I19" s="130">
        <f>IF(SER_hh_tesh_in!I19=0,0,SER_hh_tesh_in!I19/SER_summary!I$27)</f>
        <v>17.876655469662818</v>
      </c>
      <c r="J19" s="130">
        <f>IF(SER_hh_tesh_in!J19=0,0,SER_hh_tesh_in!J19/SER_summary!J$27)</f>
        <v>18.172712312614305</v>
      </c>
      <c r="K19" s="130">
        <f>IF(SER_hh_tesh_in!K19=0,0,SER_hh_tesh_in!K19/SER_summary!K$27)</f>
        <v>18.537245153509396</v>
      </c>
      <c r="L19" s="130">
        <f>IF(SER_hh_tesh_in!L19=0,0,SER_hh_tesh_in!L19/SER_summary!L$27)</f>
        <v>18.412024280036544</v>
      </c>
      <c r="M19" s="130">
        <f>IF(SER_hh_tesh_in!M19=0,0,SER_hh_tesh_in!M19/SER_summary!M$27)</f>
        <v>18.268837578376736</v>
      </c>
      <c r="N19" s="130">
        <f>IF(SER_hh_tesh_in!N19=0,0,SER_hh_tesh_in!N19/SER_summary!N$27)</f>
        <v>19.306154934317679</v>
      </c>
      <c r="O19" s="130">
        <f>IF(SER_hh_tesh_in!O19=0,0,SER_hh_tesh_in!O19/SER_summary!O$27)</f>
        <v>18.36220711953214</v>
      </c>
      <c r="P19" s="130">
        <f>IF(SER_hh_tesh_in!P19=0,0,SER_hh_tesh_in!P19/SER_summary!P$27)</f>
        <v>17.756965498239417</v>
      </c>
      <c r="Q19" s="130">
        <f>IF(SER_hh_tesh_in!Q19=0,0,SER_hh_tesh_in!Q19/SER_summary!Q$27)</f>
        <v>17.614936130626592</v>
      </c>
      <c r="R19" s="130">
        <f>IF(SER_hh_tesh_in!R19=0,0,SER_hh_tesh_in!R19/SER_summary!R$27)</f>
        <v>17.590143727652535</v>
      </c>
      <c r="S19" s="130">
        <f>IF(SER_hh_tesh_in!S19=0,0,SER_hh_tesh_in!S19/SER_summary!S$27)</f>
        <v>17.478523609692019</v>
      </c>
      <c r="T19" s="130">
        <f>IF(SER_hh_tesh_in!T19=0,0,SER_hh_tesh_in!T19/SER_summary!T$27)</f>
        <v>17.431868081437251</v>
      </c>
      <c r="U19" s="130">
        <f>IF(SER_hh_tesh_in!U19=0,0,SER_hh_tesh_in!U19/SER_summary!U$27)</f>
        <v>17.030891865114576</v>
      </c>
      <c r="V19" s="130">
        <f>IF(SER_hh_tesh_in!V19=0,0,SER_hh_tesh_in!V19/SER_summary!V$27)</f>
        <v>15.19819671596907</v>
      </c>
      <c r="W19" s="130">
        <f>IF(SER_hh_tesh_in!W19=0,0,SER_hh_tesh_in!W19/SER_summary!W$27)</f>
        <v>15.322500528571506</v>
      </c>
      <c r="X19" s="130">
        <f>IF(SER_hh_tesh_in!X19=0,0,SER_hh_tesh_in!X19/SER_summary!X$27)</f>
        <v>15.662721289764447</v>
      </c>
      <c r="Y19" s="130">
        <f>IF(SER_hh_tesh_in!Y19=0,0,SER_hh_tesh_in!Y19/SER_summary!Y$27)</f>
        <v>15.484954879685151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0</v>
      </c>
      <c r="D21" s="132">
        <f>IF(SER_hh_tesh_in!D21=0,0,SER_hh_tesh_in!D21/SER_summary!D$27)</f>
        <v>0</v>
      </c>
      <c r="E21" s="132">
        <f>IF(SER_hh_tesh_in!E21=0,0,SER_hh_tesh_in!E21/SER_summary!E$27)</f>
        <v>0</v>
      </c>
      <c r="F21" s="132">
        <f>IF(SER_hh_tesh_in!F21=0,0,SER_hh_tesh_in!F21/SER_summary!F$27)</f>
        <v>0</v>
      </c>
      <c r="G21" s="132">
        <f>IF(SER_hh_tesh_in!G21=0,0,SER_hh_tesh_in!G21/SER_summary!G$27)</f>
        <v>0</v>
      </c>
      <c r="H21" s="132">
        <f>IF(SER_hh_tesh_in!H21=0,0,SER_hh_tesh_in!H21/SER_summary!H$27)</f>
        <v>0</v>
      </c>
      <c r="I21" s="132">
        <f>IF(SER_hh_tesh_in!I21=0,0,SER_hh_tesh_in!I21/SER_summary!I$27)</f>
        <v>0</v>
      </c>
      <c r="J21" s="132">
        <f>IF(SER_hh_tesh_in!J21=0,0,SER_hh_tesh_in!J21/SER_summary!J$27)</f>
        <v>0</v>
      </c>
      <c r="K21" s="132">
        <f>IF(SER_hh_tesh_in!K21=0,0,SER_hh_tesh_in!K21/SER_summary!K$27)</f>
        <v>0</v>
      </c>
      <c r="L21" s="132">
        <f>IF(SER_hh_tesh_in!L21=0,0,SER_hh_tesh_in!L21/SER_summary!L$27)</f>
        <v>0</v>
      </c>
      <c r="M21" s="132">
        <f>IF(SER_hh_tesh_in!M21=0,0,SER_hh_tesh_in!M21/SER_summary!M$27)</f>
        <v>0</v>
      </c>
      <c r="N21" s="132">
        <f>IF(SER_hh_tesh_in!N21=0,0,SER_hh_tesh_in!N21/SER_summary!N$27)</f>
        <v>0</v>
      </c>
      <c r="O21" s="132">
        <f>IF(SER_hh_tesh_in!O21=0,0,SER_hh_tesh_in!O21/SER_summary!O$27)</f>
        <v>0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0</v>
      </c>
      <c r="S21" s="132">
        <f>IF(SER_hh_tesh_in!S21=0,0,SER_hh_tesh_in!S21/SER_summary!S$27)</f>
        <v>0</v>
      </c>
      <c r="T21" s="132">
        <f>IF(SER_hh_tesh_in!T21=0,0,SER_hh_tesh_in!T21/SER_summary!T$27)</f>
        <v>0</v>
      </c>
      <c r="U21" s="132">
        <f>IF(SER_hh_tesh_in!U21=0,0,SER_hh_tesh_in!U21/SER_summary!U$27)</f>
        <v>0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0</v>
      </c>
      <c r="Y21" s="132">
        <f>IF(SER_hh_tesh_in!Y21=0,0,SER_hh_tesh_in!Y21/SER_summary!Y$27)</f>
        <v>0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0</v>
      </c>
      <c r="D22" s="132">
        <f>IF(SER_hh_tesh_in!D22=0,0,SER_hh_tesh_in!D22/SER_summary!D$27)</f>
        <v>0</v>
      </c>
      <c r="E22" s="132">
        <f>IF(SER_hh_tesh_in!E22=0,0,SER_hh_tesh_in!E22/SER_summary!E$27)</f>
        <v>0</v>
      </c>
      <c r="F22" s="132">
        <f>IF(SER_hh_tesh_in!F22=0,0,SER_hh_tesh_in!F22/SER_summary!F$27)</f>
        <v>0</v>
      </c>
      <c r="G22" s="132">
        <f>IF(SER_hh_tesh_in!G22=0,0,SER_hh_tesh_in!G22/SER_summary!G$27)</f>
        <v>0</v>
      </c>
      <c r="H22" s="132">
        <f>IF(SER_hh_tesh_in!H22=0,0,SER_hh_tesh_in!H22/SER_summary!H$27)</f>
        <v>0</v>
      </c>
      <c r="I22" s="132">
        <f>IF(SER_hh_tesh_in!I22=0,0,SER_hh_tesh_in!I22/SER_summary!I$27)</f>
        <v>0</v>
      </c>
      <c r="J22" s="132">
        <f>IF(SER_hh_tesh_in!J22=0,0,SER_hh_tesh_in!J22/SER_summary!J$27)</f>
        <v>0</v>
      </c>
      <c r="K22" s="132">
        <f>IF(SER_hh_tesh_in!K22=0,0,SER_hh_tesh_in!K22/SER_summary!K$27)</f>
        <v>0</v>
      </c>
      <c r="L22" s="132">
        <f>IF(SER_hh_tesh_in!L22=0,0,SER_hh_tesh_in!L22/SER_summary!L$27)</f>
        <v>0</v>
      </c>
      <c r="M22" s="132">
        <f>IF(SER_hh_tesh_in!M22=0,0,SER_hh_tesh_in!M22/SER_summary!M$27)</f>
        <v>0</v>
      </c>
      <c r="N22" s="132">
        <f>IF(SER_hh_tesh_in!N22=0,0,SER_hh_tesh_in!N22/SER_summary!N$27)</f>
        <v>0</v>
      </c>
      <c r="O22" s="132">
        <f>IF(SER_hh_tesh_in!O22=0,0,SER_hh_tesh_in!O22/SER_summary!O$27)</f>
        <v>0</v>
      </c>
      <c r="P22" s="132">
        <f>IF(SER_hh_tesh_in!P22=0,0,SER_hh_tesh_in!P22/SER_summary!P$27)</f>
        <v>0</v>
      </c>
      <c r="Q22" s="132">
        <f>IF(SER_hh_tesh_in!Q22=0,0,SER_hh_tesh_in!Q22/SER_summary!Q$27)</f>
        <v>0</v>
      </c>
      <c r="R22" s="132">
        <f>IF(SER_hh_tesh_in!R22=0,0,SER_hh_tesh_in!R22/SER_summary!R$27)</f>
        <v>0</v>
      </c>
      <c r="S22" s="132">
        <f>IF(SER_hh_tesh_in!S22=0,0,SER_hh_tesh_in!S22/SER_summary!S$27)</f>
        <v>0</v>
      </c>
      <c r="T22" s="132">
        <f>IF(SER_hh_tesh_in!T22=0,0,SER_hh_tesh_in!T22/SER_summary!T$27)</f>
        <v>0</v>
      </c>
      <c r="U22" s="132">
        <f>IF(SER_hh_tesh_in!U22=0,0,SER_hh_tesh_in!U22/SER_summary!U$27)</f>
        <v>0</v>
      </c>
      <c r="V22" s="132">
        <f>IF(SER_hh_tesh_in!V22=0,0,SER_hh_tesh_in!V22/SER_summary!V$27)</f>
        <v>0</v>
      </c>
      <c r="W22" s="132">
        <f>IF(SER_hh_tesh_in!W22=0,0,SER_hh_tesh_in!W22/SER_summary!W$27)</f>
        <v>0</v>
      </c>
      <c r="X22" s="132">
        <f>IF(SER_hh_tesh_in!X22=0,0,SER_hh_tesh_in!X22/SER_summary!X$27)</f>
        <v>0</v>
      </c>
      <c r="Y22" s="132">
        <f>IF(SER_hh_tesh_in!Y22=0,0,SER_hh_tesh_in!Y22/SER_summary!Y$27)</f>
        <v>0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18.107195817918306</v>
      </c>
      <c r="D23" s="132">
        <f>IF(SER_hh_tesh_in!D23=0,0,SER_hh_tesh_in!D23/SER_summary!D$27)</f>
        <v>18.273975464989693</v>
      </c>
      <c r="E23" s="132">
        <f>IF(SER_hh_tesh_in!E23=0,0,SER_hh_tesh_in!E23/SER_summary!E$27)</f>
        <v>18.343412051224895</v>
      </c>
      <c r="F23" s="132">
        <f>IF(SER_hh_tesh_in!F23=0,0,SER_hh_tesh_in!F23/SER_summary!F$27)</f>
        <v>18.772474341471042</v>
      </c>
      <c r="G23" s="132">
        <f>IF(SER_hh_tesh_in!G23=0,0,SER_hh_tesh_in!G23/SER_summary!G$27)</f>
        <v>18.147632660883531</v>
      </c>
      <c r="H23" s="132">
        <f>IF(SER_hh_tesh_in!H23=0,0,SER_hh_tesh_in!H23/SER_summary!H$27)</f>
        <v>17.753279718895815</v>
      </c>
      <c r="I23" s="132">
        <f>IF(SER_hh_tesh_in!I23=0,0,SER_hh_tesh_in!I23/SER_summary!I$27)</f>
        <v>17.695865951255737</v>
      </c>
      <c r="J23" s="132">
        <f>IF(SER_hh_tesh_in!J23=0,0,SER_hh_tesh_in!J23/SER_summary!J$27)</f>
        <v>17.946360928259132</v>
      </c>
      <c r="K23" s="132">
        <f>IF(SER_hh_tesh_in!K23=0,0,SER_hh_tesh_in!K23/SER_summary!K$27)</f>
        <v>18.492583949596014</v>
      </c>
      <c r="L23" s="132">
        <f>IF(SER_hh_tesh_in!L23=0,0,SER_hh_tesh_in!L23/SER_summary!L$27)</f>
        <v>18.274230013785022</v>
      </c>
      <c r="M23" s="132">
        <f>IF(SER_hh_tesh_in!M23=0,0,SER_hh_tesh_in!M23/SER_summary!M$27)</f>
        <v>17.964776144185354</v>
      </c>
      <c r="N23" s="132">
        <f>IF(SER_hh_tesh_in!N23=0,0,SER_hh_tesh_in!N23/SER_summary!N$27)</f>
        <v>17.672144129930729</v>
      </c>
      <c r="O23" s="132">
        <f>IF(SER_hh_tesh_in!O23=0,0,SER_hh_tesh_in!O23/SER_summary!O$27)</f>
        <v>18.525309900463846</v>
      </c>
      <c r="P23" s="132">
        <f>IF(SER_hh_tesh_in!P23=0,0,SER_hh_tesh_in!P23/SER_summary!P$27)</f>
        <v>17.725858684571225</v>
      </c>
      <c r="Q23" s="132">
        <f>IF(SER_hh_tesh_in!Q23=0,0,SER_hh_tesh_in!Q23/SER_summary!Q$27)</f>
        <v>17.490471095417448</v>
      </c>
      <c r="R23" s="132">
        <f>IF(SER_hh_tesh_in!R23=0,0,SER_hh_tesh_in!R23/SER_summary!R$27)</f>
        <v>17.608313100250541</v>
      </c>
      <c r="S23" s="132">
        <f>IF(SER_hh_tesh_in!S23=0,0,SER_hh_tesh_in!S23/SER_summary!S$27)</f>
        <v>17.383161758085656</v>
      </c>
      <c r="T23" s="132">
        <f>IF(SER_hh_tesh_in!T23=0,0,SER_hh_tesh_in!T23/SER_summary!T$27)</f>
        <v>17.546859393945315</v>
      </c>
      <c r="U23" s="132">
        <f>IF(SER_hh_tesh_in!U23=0,0,SER_hh_tesh_in!U23/SER_summary!U$27)</f>
        <v>16.899516545336642</v>
      </c>
      <c r="V23" s="132">
        <f>IF(SER_hh_tesh_in!V23=0,0,SER_hh_tesh_in!V23/SER_summary!V$27)</f>
        <v>15.498028626417646</v>
      </c>
      <c r="W23" s="132">
        <f>IF(SER_hh_tesh_in!W23=0,0,SER_hh_tesh_in!W23/SER_summary!W$27)</f>
        <v>15.685819614883165</v>
      </c>
      <c r="X23" s="132">
        <f>IF(SER_hh_tesh_in!X23=0,0,SER_hh_tesh_in!X23/SER_summary!X$27)</f>
        <v>15.304375340095977</v>
      </c>
      <c r="Y23" s="132">
        <f>IF(SER_hh_tesh_in!Y23=0,0,SER_hh_tesh_in!Y23/SER_summary!Y$27)</f>
        <v>15.124231790100351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25.630482751860363</v>
      </c>
      <c r="O24" s="132">
        <f>IF(SER_hh_tesh_in!O24=0,0,SER_hh_tesh_in!O24/SER_summary!O$27)</f>
        <v>19.923365163366846</v>
      </c>
      <c r="P24" s="132">
        <f>IF(SER_hh_tesh_in!P24=0,0,SER_hh_tesh_in!P24/SER_summary!P$27)</f>
        <v>17.964717622760393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16.190080221043274</v>
      </c>
      <c r="V24" s="132">
        <f>IF(SER_hh_tesh_in!V24=0,0,SER_hh_tesh_in!V24/SER_summary!V$27)</f>
        <v>15.660461551826993</v>
      </c>
      <c r="W24" s="132">
        <f>IF(SER_hh_tesh_in!W24=0,0,SER_hh_tesh_in!W24/SER_summary!W$27)</f>
        <v>13.850486271562229</v>
      </c>
      <c r="X24" s="132">
        <f>IF(SER_hh_tesh_in!X24=0,0,SER_hh_tesh_in!X24/SER_summary!X$27)</f>
        <v>15.255763605355391</v>
      </c>
      <c r="Y24" s="132">
        <f>IF(SER_hh_tesh_in!Y24=0,0,SER_hh_tesh_in!Y24/SER_summary!Y$27)</f>
        <v>16.054862332669895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18.258486264404137</v>
      </c>
      <c r="D25" s="132">
        <f>IF(SER_hh_tesh_in!D25=0,0,SER_hh_tesh_in!D25/SER_summary!D$27)</f>
        <v>18.283533383261766</v>
      </c>
      <c r="E25" s="132">
        <f>IF(SER_hh_tesh_in!E25=0,0,SER_hh_tesh_in!E25/SER_summary!E$27)</f>
        <v>18.141041337995723</v>
      </c>
      <c r="F25" s="132">
        <f>IF(SER_hh_tesh_in!F25=0,0,SER_hh_tesh_in!F25/SER_summary!F$27)</f>
        <v>18.031373538968406</v>
      </c>
      <c r="G25" s="132">
        <f>IF(SER_hh_tesh_in!G25=0,0,SER_hh_tesh_in!G25/SER_summary!G$27)</f>
        <v>18.473666398828041</v>
      </c>
      <c r="H25" s="132">
        <f>IF(SER_hh_tesh_in!H25=0,0,SER_hh_tesh_in!H25/SER_summary!H$27)</f>
        <v>18.08744608882418</v>
      </c>
      <c r="I25" s="132">
        <f>IF(SER_hh_tesh_in!I25=0,0,SER_hh_tesh_in!I25/SER_summary!I$27)</f>
        <v>17.869662147473448</v>
      </c>
      <c r="J25" s="132">
        <f>IF(SER_hh_tesh_in!J25=0,0,SER_hh_tesh_in!J25/SER_summary!J$27)</f>
        <v>18.352052840234713</v>
      </c>
      <c r="K25" s="132">
        <f>IF(SER_hh_tesh_in!K25=0,0,SER_hh_tesh_in!K25/SER_summary!K$27)</f>
        <v>18.318066671720018</v>
      </c>
      <c r="L25" s="132">
        <f>IF(SER_hh_tesh_in!L25=0,0,SER_hh_tesh_in!L25/SER_summary!L$27)</f>
        <v>18.074822708474684</v>
      </c>
      <c r="M25" s="132">
        <f>IF(SER_hh_tesh_in!M25=0,0,SER_hh_tesh_in!M25/SER_summary!M$27)</f>
        <v>18.172936882146814</v>
      </c>
      <c r="N25" s="132">
        <f>IF(SER_hh_tesh_in!N25=0,0,SER_hh_tesh_in!N25/SER_summary!N$27)</f>
        <v>18.427580070484236</v>
      </c>
      <c r="O25" s="132">
        <f>IF(SER_hh_tesh_in!O25=0,0,SER_hh_tesh_in!O25/SER_summary!O$27)</f>
        <v>17.878046823472118</v>
      </c>
      <c r="P25" s="132">
        <f>IF(SER_hh_tesh_in!P25=0,0,SER_hh_tesh_in!P25/SER_summary!P$27)</f>
        <v>17.457688283729077</v>
      </c>
      <c r="Q25" s="132">
        <f>IF(SER_hh_tesh_in!Q25=0,0,SER_hh_tesh_in!Q25/SER_summary!Q$27)</f>
        <v>17.540514526649918</v>
      </c>
      <c r="R25" s="132">
        <f>IF(SER_hh_tesh_in!R25=0,0,SER_hh_tesh_in!R25/SER_summary!R$27)</f>
        <v>17.594974549854083</v>
      </c>
      <c r="S25" s="132">
        <f>IF(SER_hh_tesh_in!S25=0,0,SER_hh_tesh_in!S25/SER_summary!S$27)</f>
        <v>17.503312187314254</v>
      </c>
      <c r="T25" s="132">
        <f>IF(SER_hh_tesh_in!T25=0,0,SER_hh_tesh_in!T25/SER_summary!T$27)</f>
        <v>17.290596736900763</v>
      </c>
      <c r="U25" s="132">
        <f>IF(SER_hh_tesh_in!U25=0,0,SER_hh_tesh_in!U25/SER_summary!U$27)</f>
        <v>17.473680178592961</v>
      </c>
      <c r="V25" s="132">
        <f>IF(SER_hh_tesh_in!V25=0,0,SER_hh_tesh_in!V25/SER_summary!V$27)</f>
        <v>15.018206574401164</v>
      </c>
      <c r="W25" s="132">
        <f>IF(SER_hh_tesh_in!W25=0,0,SER_hh_tesh_in!W25/SER_summary!W$27)</f>
        <v>16.108355599325723</v>
      </c>
      <c r="X25" s="132">
        <f>IF(SER_hh_tesh_in!X25=0,0,SER_hh_tesh_in!X25/SER_summary!X$27)</f>
        <v>15.129808958932108</v>
      </c>
      <c r="Y25" s="132">
        <f>IF(SER_hh_tesh_in!Y25=0,0,SER_hh_tesh_in!Y25/SER_summary!Y$27)</f>
        <v>14.943163523101115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18.313347344557062</v>
      </c>
      <c r="D26" s="65">
        <f>IF(SER_hh_tesh_in!D26=0,0,SER_hh_tesh_in!D26/SER_summary!D$27)</f>
        <v>18.659730544356172</v>
      </c>
      <c r="E26" s="65">
        <f>IF(SER_hh_tesh_in!E26=0,0,SER_hh_tesh_in!E26/SER_summary!E$27)</f>
        <v>18.090860045456257</v>
      </c>
      <c r="F26" s="65">
        <f>IF(SER_hh_tesh_in!F26=0,0,SER_hh_tesh_in!F26/SER_summary!F$27)</f>
        <v>18.346455179216402</v>
      </c>
      <c r="G26" s="65">
        <f>IF(SER_hh_tesh_in!G26=0,0,SER_hh_tesh_in!G26/SER_summary!G$27)</f>
        <v>18.084367681867011</v>
      </c>
      <c r="H26" s="65">
        <f>IF(SER_hh_tesh_in!H26=0,0,SER_hh_tesh_in!H26/SER_summary!H$27)</f>
        <v>18.091975333498215</v>
      </c>
      <c r="I26" s="65">
        <f>IF(SER_hh_tesh_in!I26=0,0,SER_hh_tesh_in!I26/SER_summary!I$27)</f>
        <v>17.935898058305433</v>
      </c>
      <c r="J26" s="65">
        <f>IF(SER_hh_tesh_in!J26=0,0,SER_hh_tesh_in!J26/SER_summary!J$27)</f>
        <v>14.289131796513296</v>
      </c>
      <c r="K26" s="65">
        <f>IF(SER_hh_tesh_in!K26=0,0,SER_hh_tesh_in!K26/SER_summary!K$27)</f>
        <v>14.851044793718845</v>
      </c>
      <c r="L26" s="65">
        <f>IF(SER_hh_tesh_in!L26=0,0,SER_hh_tesh_in!L26/SER_summary!L$27)</f>
        <v>13.600996683438247</v>
      </c>
      <c r="M26" s="65">
        <f>IF(SER_hh_tesh_in!M26=0,0,SER_hh_tesh_in!M26/SER_summary!M$27)</f>
        <v>17.417189388480576</v>
      </c>
      <c r="N26" s="65">
        <f>IF(SER_hh_tesh_in!N26=0,0,SER_hh_tesh_in!N26/SER_summary!N$27)</f>
        <v>18.743677431624405</v>
      </c>
      <c r="O26" s="65">
        <f>IF(SER_hh_tesh_in!O26=0,0,SER_hh_tesh_in!O26/SER_summary!O$27)</f>
        <v>16.878811890109684</v>
      </c>
      <c r="P26" s="65">
        <f>IF(SER_hh_tesh_in!P26=0,0,SER_hh_tesh_in!P26/SER_summary!P$27)</f>
        <v>16.276954061661556</v>
      </c>
      <c r="Q26" s="65">
        <f>IF(SER_hh_tesh_in!Q26=0,0,SER_hh_tesh_in!Q26/SER_summary!Q$27)</f>
        <v>16.08650706308627</v>
      </c>
      <c r="R26" s="65">
        <f>IF(SER_hh_tesh_in!R26=0,0,SER_hh_tesh_in!R26/SER_summary!R$27)</f>
        <v>17.537815681947674</v>
      </c>
      <c r="S26" s="65">
        <f>IF(SER_hh_tesh_in!S26=0,0,SER_hh_tesh_in!S26/SER_summary!S$27)</f>
        <v>17.16740007729501</v>
      </c>
      <c r="T26" s="65">
        <f>IF(SER_hh_tesh_in!T26=0,0,SER_hh_tesh_in!T26/SER_summary!T$27)</f>
        <v>17.03057872524057</v>
      </c>
      <c r="U26" s="65">
        <f>IF(SER_hh_tesh_in!U26=0,0,SER_hh_tesh_in!U26/SER_summary!U$27)</f>
        <v>16.372292439589863</v>
      </c>
      <c r="V26" s="65">
        <f>IF(SER_hh_tesh_in!V26=0,0,SER_hh_tesh_in!V26/SER_summary!V$27)</f>
        <v>13.990540310945999</v>
      </c>
      <c r="W26" s="65">
        <f>IF(SER_hh_tesh_in!W26=0,0,SER_hh_tesh_in!W26/SER_summary!W$27)</f>
        <v>14.965114655563593</v>
      </c>
      <c r="X26" s="65">
        <f>IF(SER_hh_tesh_in!X26=0,0,SER_hh_tesh_in!X26/SER_summary!X$27)</f>
        <v>15.279522730569484</v>
      </c>
      <c r="Y26" s="65">
        <f>IF(SER_hh_tesh_in!Y26=0,0,SER_hh_tesh_in!Y26/SER_summary!Y$27)</f>
        <v>14.745709168266231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</v>
      </c>
      <c r="D27" s="145">
        <f>IF(SER_hh_tesh_in!D27=0,0,SER_hh_tesh_in!D27/SER_summary!D$27)</f>
        <v>0</v>
      </c>
      <c r="E27" s="145">
        <f>IF(SER_hh_tesh_in!E27=0,0,SER_hh_tesh_in!E27/SER_summary!E$27)</f>
        <v>0</v>
      </c>
      <c r="F27" s="145">
        <f>IF(SER_hh_tesh_in!F27=0,0,SER_hh_tesh_in!F27/SER_summary!F$27)</f>
        <v>0</v>
      </c>
      <c r="G27" s="145">
        <f>IF(SER_hh_tesh_in!G27=0,0,SER_hh_tesh_in!G27/SER_summary!G$27)</f>
        <v>0.11401480955709742</v>
      </c>
      <c r="H27" s="145">
        <f>IF(SER_hh_tesh_in!H27=0,0,SER_hh_tesh_in!H27/SER_summary!H$27)</f>
        <v>0.18341721709318456</v>
      </c>
      <c r="I27" s="145">
        <f>IF(SER_hh_tesh_in!I27=0,0,SER_hh_tesh_in!I27/SER_summary!I$27)</f>
        <v>0.11036517172090178</v>
      </c>
      <c r="J27" s="145">
        <f>IF(SER_hh_tesh_in!J27=0,0,SER_hh_tesh_in!J27/SER_summary!J$27)</f>
        <v>0.63875998679430857</v>
      </c>
      <c r="K27" s="145">
        <f>IF(SER_hh_tesh_in!K27=0,0,SER_hh_tesh_in!K27/SER_summary!K$27)</f>
        <v>0.49197645603529844</v>
      </c>
      <c r="L27" s="145">
        <f>IF(SER_hh_tesh_in!L27=0,0,SER_hh_tesh_in!L27/SER_summary!L$27)</f>
        <v>1.0466487298627571</v>
      </c>
      <c r="M27" s="145">
        <f>IF(SER_hh_tesh_in!M27=0,0,SER_hh_tesh_in!M27/SER_summary!M$27)</f>
        <v>0.40437894119922424</v>
      </c>
      <c r="N27" s="145">
        <f>IF(SER_hh_tesh_in!N27=0,0,SER_hh_tesh_in!N27/SER_summary!N$27)</f>
        <v>7.3206895335351744E-3</v>
      </c>
      <c r="O27" s="145">
        <f>IF(SER_hh_tesh_in!O27=0,0,SER_hh_tesh_in!O27/SER_summary!O$27)</f>
        <v>3.5135344478091211E-2</v>
      </c>
      <c r="P27" s="145">
        <f>IF(SER_hh_tesh_in!P27=0,0,SER_hh_tesh_in!P27/SER_summary!P$27)</f>
        <v>0.10210071814451741</v>
      </c>
      <c r="Q27" s="145">
        <f>IF(SER_hh_tesh_in!Q27=0,0,SER_hh_tesh_in!Q27/SER_summary!Q$27)</f>
        <v>0.50683427737696574</v>
      </c>
      <c r="R27" s="145">
        <f>IF(SER_hh_tesh_in!R27=0,0,SER_hh_tesh_in!R27/SER_summary!R$27)</f>
        <v>6.9330626866656872E-3</v>
      </c>
      <c r="S27" s="145">
        <f>IF(SER_hh_tesh_in!S27=0,0,SER_hh_tesh_in!S27/SER_summary!S$27)</f>
        <v>0.15606671402209676</v>
      </c>
      <c r="T27" s="145">
        <f>IF(SER_hh_tesh_in!T27=0,0,SER_hh_tesh_in!T27/SER_summary!T$27)</f>
        <v>6.4666943316604331E-2</v>
      </c>
      <c r="U27" s="145">
        <f>IF(SER_hh_tesh_in!U27=0,0,SER_hh_tesh_in!U27/SER_summary!U$27)</f>
        <v>0.26016953621318639</v>
      </c>
      <c r="V27" s="145">
        <f>IF(SER_hh_tesh_in!V27=0,0,SER_hh_tesh_in!V27/SER_summary!V$27)</f>
        <v>0.31889891313341928</v>
      </c>
      <c r="W27" s="145">
        <f>IF(SER_hh_tesh_in!W27=0,0,SER_hh_tesh_in!W27/SER_summary!W$27)</f>
        <v>1.1628270872374692E-15</v>
      </c>
      <c r="X27" s="145">
        <f>IF(SER_hh_tesh_in!X27=0,0,SER_hh_tesh_in!X27/SER_summary!X$27)</f>
        <v>0.37912045621358653</v>
      </c>
      <c r="Y27" s="145">
        <f>IF(SER_hh_tesh_in!Y27=0,0,SER_hh_tesh_in!Y27/SER_summary!Y$27)</f>
        <v>0.48953640582904584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0</v>
      </c>
      <c r="D28" s="146">
        <f>IF(SER_hh_tesh_in!D28=0,0,SER_hh_tesh_in!D28/SER_summary!D$27)</f>
        <v>0</v>
      </c>
      <c r="E28" s="146">
        <f>IF(SER_hh_tesh_in!E28=0,0,SER_hh_tesh_in!E28/SER_summary!E$27)</f>
        <v>0</v>
      </c>
      <c r="F28" s="146">
        <f>IF(SER_hh_tesh_in!F28=0,0,SER_hh_tesh_in!F28/SER_summary!F$27)</f>
        <v>0</v>
      </c>
      <c r="G28" s="146">
        <f>IF(SER_hh_tesh_in!G28=0,0,SER_hh_tesh_in!G28/SER_summary!G$27)</f>
        <v>14.721181220580032</v>
      </c>
      <c r="H28" s="146">
        <f>IF(SER_hh_tesh_in!H28=0,0,SER_hh_tesh_in!H28/SER_summary!H$27)</f>
        <v>13.360387974496692</v>
      </c>
      <c r="I28" s="146">
        <f>IF(SER_hh_tesh_in!I28=0,0,SER_hh_tesh_in!I28/SER_summary!I$27)</f>
        <v>14.182626762719444</v>
      </c>
      <c r="J28" s="146">
        <f>IF(SER_hh_tesh_in!J28=0,0,SER_hh_tesh_in!J28/SER_summary!J$27)</f>
        <v>13.736834656969123</v>
      </c>
      <c r="K28" s="146">
        <f>IF(SER_hh_tesh_in!K28=0,0,SER_hh_tesh_in!K28/SER_summary!K$27)</f>
        <v>14.288341182784546</v>
      </c>
      <c r="L28" s="146">
        <f>IF(SER_hh_tesh_in!L28=0,0,SER_hh_tesh_in!L28/SER_summary!L$27)</f>
        <v>14.409454281458819</v>
      </c>
      <c r="M28" s="146">
        <f>IF(SER_hh_tesh_in!M28=0,0,SER_hh_tesh_in!M28/SER_summary!M$27)</f>
        <v>13.786946767304858</v>
      </c>
      <c r="N28" s="146">
        <f>IF(SER_hh_tesh_in!N28=0,0,SER_hh_tesh_in!N28/SER_summary!N$27)</f>
        <v>302040298304000.13</v>
      </c>
      <c r="O28" s="146">
        <f>IF(SER_hh_tesh_in!O28=0,0,SER_hh_tesh_in!O28/SER_summary!O$27)</f>
        <v>21.308678579461862</v>
      </c>
      <c r="P28" s="146">
        <f>IF(SER_hh_tesh_in!P28=0,0,SER_hh_tesh_in!P28/SER_summary!P$27)</f>
        <v>15.082592583346161</v>
      </c>
      <c r="Q28" s="146">
        <f>IF(SER_hh_tesh_in!Q28=0,0,SER_hh_tesh_in!Q28/SER_summary!Q$27)</f>
        <v>13.219475172131053</v>
      </c>
      <c r="R28" s="146">
        <f>IF(SER_hh_tesh_in!R28=0,0,SER_hh_tesh_in!R28/SER_summary!R$27)</f>
        <v>13.319944970391591</v>
      </c>
      <c r="S28" s="146">
        <f>IF(SER_hh_tesh_in!S28=0,0,SER_hh_tesh_in!S28/SER_summary!S$27)</f>
        <v>13.562626362265872</v>
      </c>
      <c r="T28" s="146">
        <f>IF(SER_hh_tesh_in!T28=0,0,SER_hh_tesh_in!T28/SER_summary!T$27)</f>
        <v>13.461071972094102</v>
      </c>
      <c r="U28" s="146">
        <f>IF(SER_hh_tesh_in!U28=0,0,SER_hh_tesh_in!U28/SER_summary!U$27)</f>
        <v>13.304740565980325</v>
      </c>
      <c r="V28" s="146">
        <f>IF(SER_hh_tesh_in!V28=0,0,SER_hh_tesh_in!V28/SER_summary!V$27)</f>
        <v>11.721316279451269</v>
      </c>
      <c r="W28" s="146">
        <f>IF(SER_hh_tesh_in!W28=0,0,SER_hh_tesh_in!W28/SER_summary!W$27)</f>
        <v>12.71902322921272</v>
      </c>
      <c r="X28" s="146">
        <f>IF(SER_hh_tesh_in!X28=0,0,SER_hh_tesh_in!X28/SER_summary!X$27)</f>
        <v>12.417411384324694</v>
      </c>
      <c r="Y28" s="146">
        <f>IF(SER_hh_tesh_in!Y28=0,0,SER_hh_tesh_in!Y28/SER_summary!Y$27)</f>
        <v>11.349665445232095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23.025321773359924</v>
      </c>
      <c r="D29" s="130">
        <f>IF(SER_hh_tesh_in!D29=0,0,SER_hh_tesh_in!D29/SER_summary!D$27)</f>
        <v>21.40360915960413</v>
      </c>
      <c r="E29" s="130">
        <f>IF(SER_hh_tesh_in!E29=0,0,SER_hh_tesh_in!E29/SER_summary!E$27)</f>
        <v>21.510688931107381</v>
      </c>
      <c r="F29" s="130">
        <f>IF(SER_hh_tesh_in!F29=0,0,SER_hh_tesh_in!F29/SER_summary!F$27)</f>
        <v>22.554233151263805</v>
      </c>
      <c r="G29" s="130">
        <f>IF(SER_hh_tesh_in!G29=0,0,SER_hh_tesh_in!G29/SER_summary!G$27)</f>
        <v>21.65176709266877</v>
      </c>
      <c r="H29" s="130">
        <f>IF(SER_hh_tesh_in!H29=0,0,SER_hh_tesh_in!H29/SER_summary!H$27)</f>
        <v>21.692059940309662</v>
      </c>
      <c r="I29" s="130">
        <f>IF(SER_hh_tesh_in!I29=0,0,SER_hh_tesh_in!I29/SER_summary!I$27)</f>
        <v>21.142087028158638</v>
      </c>
      <c r="J29" s="130">
        <f>IF(SER_hh_tesh_in!J29=0,0,SER_hh_tesh_in!J29/SER_summary!J$27)</f>
        <v>21.026863519785184</v>
      </c>
      <c r="K29" s="130">
        <f>IF(SER_hh_tesh_in!K29=0,0,SER_hh_tesh_in!K29/SER_summary!K$27)</f>
        <v>21.172593472108879</v>
      </c>
      <c r="L29" s="130">
        <f>IF(SER_hh_tesh_in!L29=0,0,SER_hh_tesh_in!L29/SER_summary!L$27)</f>
        <v>21.716739552158216</v>
      </c>
      <c r="M29" s="130">
        <f>IF(SER_hh_tesh_in!M29=0,0,SER_hh_tesh_in!M29/SER_summary!M$27)</f>
        <v>21.479487411204989</v>
      </c>
      <c r="N29" s="130">
        <f>IF(SER_hh_tesh_in!N29=0,0,SER_hh_tesh_in!N29/SER_summary!N$27)</f>
        <v>21.237284139207148</v>
      </c>
      <c r="O29" s="130">
        <f>IF(SER_hh_tesh_in!O29=0,0,SER_hh_tesh_in!O29/SER_summary!O$27)</f>
        <v>21.142000777276937</v>
      </c>
      <c r="P29" s="130">
        <f>IF(SER_hh_tesh_in!P29=0,0,SER_hh_tesh_in!P29/SER_summary!P$27)</f>
        <v>20.127728865859023</v>
      </c>
      <c r="Q29" s="130">
        <f>IF(SER_hh_tesh_in!Q29=0,0,SER_hh_tesh_in!Q29/SER_summary!Q$27)</f>
        <v>20.269265547104467</v>
      </c>
      <c r="R29" s="130">
        <f>IF(SER_hh_tesh_in!R29=0,0,SER_hh_tesh_in!R29/SER_summary!R$27)</f>
        <v>20.10574881135717</v>
      </c>
      <c r="S29" s="130">
        <f>IF(SER_hh_tesh_in!S29=0,0,SER_hh_tesh_in!S29/SER_summary!S$27)</f>
        <v>19.799020506326517</v>
      </c>
      <c r="T29" s="130">
        <f>IF(SER_hh_tesh_in!T29=0,0,SER_hh_tesh_in!T29/SER_summary!T$27)</f>
        <v>20.075274025670591</v>
      </c>
      <c r="U29" s="130">
        <f>IF(SER_hh_tesh_in!U29=0,0,SER_hh_tesh_in!U29/SER_summary!U$27)</f>
        <v>19.641878305380917</v>
      </c>
      <c r="V29" s="130">
        <f>IF(SER_hh_tesh_in!V29=0,0,SER_hh_tesh_in!V29/SER_summary!V$27)</f>
        <v>18.776677621665993</v>
      </c>
      <c r="W29" s="130">
        <f>IF(SER_hh_tesh_in!W29=0,0,SER_hh_tesh_in!W29/SER_summary!W$27)</f>
        <v>19.618370557573972</v>
      </c>
      <c r="X29" s="130">
        <f>IF(SER_hh_tesh_in!X29=0,0,SER_hh_tesh_in!X29/SER_summary!X$27)</f>
        <v>19.625139809040551</v>
      </c>
      <c r="Y29" s="130">
        <f>IF(SER_hh_tesh_in!Y29=0,0,SER_hh_tesh_in!Y29/SER_summary!Y$27)</f>
        <v>19.326668152072052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20.647321488252672</v>
      </c>
      <c r="D30" s="132">
        <f>IF(SER_hh_tesh_in!D30=0,0,SER_hh_tesh_in!D30/SER_summary!D$27)</f>
        <v>24.152682404312674</v>
      </c>
      <c r="E30" s="132">
        <f>IF(SER_hh_tesh_in!E30=0,0,SER_hh_tesh_in!E30/SER_summary!E$27)</f>
        <v>0</v>
      </c>
      <c r="F30" s="132">
        <f>IF(SER_hh_tesh_in!F30=0,0,SER_hh_tesh_in!F30/SER_summary!F$27)</f>
        <v>0</v>
      </c>
      <c r="G30" s="132">
        <f>IF(SER_hh_tesh_in!G30=0,0,SER_hh_tesh_in!G30/SER_summary!G$27)</f>
        <v>0</v>
      </c>
      <c r="H30" s="132">
        <f>IF(SER_hh_tesh_in!H30=0,0,SER_hh_tesh_in!H30/SER_summary!H$27)</f>
        <v>21.450126554276316</v>
      </c>
      <c r="I30" s="132">
        <f>IF(SER_hh_tesh_in!I30=0,0,SER_hh_tesh_in!I30/SER_summary!I$27)</f>
        <v>22.301238635867922</v>
      </c>
      <c r="J30" s="132">
        <f>IF(SER_hh_tesh_in!J30=0,0,SER_hh_tesh_in!J30/SER_summary!J$27)</f>
        <v>19.599040687058821</v>
      </c>
      <c r="K30" s="132">
        <f>IF(SER_hh_tesh_in!K30=0,0,SER_hh_tesh_in!K30/SER_summary!K$27)</f>
        <v>20.460693117019641</v>
      </c>
      <c r="L30" s="132">
        <f>IF(SER_hh_tesh_in!L30=0,0,SER_hh_tesh_in!L30/SER_summary!L$27)</f>
        <v>23.430936501120925</v>
      </c>
      <c r="M30" s="132">
        <f>IF(SER_hh_tesh_in!M30=0,0,SER_hh_tesh_in!M30/SER_summary!M$27)</f>
        <v>0</v>
      </c>
      <c r="N30" s="132">
        <f>IF(SER_hh_tesh_in!N30=0,0,SER_hh_tesh_in!N30/SER_summary!N$27)</f>
        <v>0</v>
      </c>
      <c r="O30" s="132">
        <f>IF(SER_hh_tesh_in!O30=0,0,SER_hh_tesh_in!O30/SER_summary!O$27)</f>
        <v>0</v>
      </c>
      <c r="P30" s="132">
        <f>IF(SER_hh_tesh_in!P30=0,0,SER_hh_tesh_in!P30/SER_summary!P$27)</f>
        <v>19.81474169231165</v>
      </c>
      <c r="Q30" s="132">
        <f>IF(SER_hh_tesh_in!Q30=0,0,SER_hh_tesh_in!Q30/SER_summary!Q$27)</f>
        <v>23.371759085317851</v>
      </c>
      <c r="R30" s="132">
        <f>IF(SER_hh_tesh_in!R30=0,0,SER_hh_tesh_in!R30/SER_summary!R$27)</f>
        <v>19.265583376093947</v>
      </c>
      <c r="S30" s="132">
        <f>IF(SER_hh_tesh_in!S30=0,0,SER_hh_tesh_in!S30/SER_summary!S$27)</f>
        <v>16.738474934289485</v>
      </c>
      <c r="T30" s="132">
        <f>IF(SER_hh_tesh_in!T30=0,0,SER_hh_tesh_in!T30/SER_summary!T$27)</f>
        <v>20.567830613422153</v>
      </c>
      <c r="U30" s="132">
        <f>IF(SER_hh_tesh_in!U30=0,0,SER_hh_tesh_in!U30/SER_summary!U$27)</f>
        <v>17.840563457950392</v>
      </c>
      <c r="V30" s="132">
        <f>IF(SER_hh_tesh_in!V30=0,0,SER_hh_tesh_in!V30/SER_summary!V$27)</f>
        <v>25.499671748757077</v>
      </c>
      <c r="W30" s="132">
        <f>IF(SER_hh_tesh_in!W30=0,0,SER_hh_tesh_in!W30/SER_summary!W$27)</f>
        <v>17.708479531804166</v>
      </c>
      <c r="X30" s="132">
        <f>IF(SER_hh_tesh_in!X30=0,0,SER_hh_tesh_in!X30/SER_summary!X$27)</f>
        <v>18.427218582655115</v>
      </c>
      <c r="Y30" s="132">
        <f>IF(SER_hh_tesh_in!Y30=0,0,SER_hh_tesh_in!Y30/SER_summary!Y$27)</f>
        <v>0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24.12806101483304</v>
      </c>
      <c r="D31" s="132">
        <f>IF(SER_hh_tesh_in!D31=0,0,SER_hh_tesh_in!D31/SER_summary!D$27)</f>
        <v>20.077680296078491</v>
      </c>
      <c r="E31" s="132">
        <f>IF(SER_hh_tesh_in!E31=0,0,SER_hh_tesh_in!E31/SER_summary!E$27)</f>
        <v>21.121734270996274</v>
      </c>
      <c r="F31" s="132">
        <f>IF(SER_hh_tesh_in!F31=0,0,SER_hh_tesh_in!F31/SER_summary!F$27)</f>
        <v>22.727262405095832</v>
      </c>
      <c r="G31" s="132">
        <f>IF(SER_hh_tesh_in!G31=0,0,SER_hh_tesh_in!G31/SER_summary!G$27)</f>
        <v>21.727086828305577</v>
      </c>
      <c r="H31" s="132">
        <f>IF(SER_hh_tesh_in!H31=0,0,SER_hh_tesh_in!H31/SER_summary!H$27)</f>
        <v>21.893135063954347</v>
      </c>
      <c r="I31" s="132">
        <f>IF(SER_hh_tesh_in!I31=0,0,SER_hh_tesh_in!I31/SER_summary!I$27)</f>
        <v>21.433508972079512</v>
      </c>
      <c r="J31" s="132">
        <f>IF(SER_hh_tesh_in!J31=0,0,SER_hh_tesh_in!J31/SER_summary!J$27)</f>
        <v>21.458450021192228</v>
      </c>
      <c r="K31" s="132">
        <f>IF(SER_hh_tesh_in!K31=0,0,SER_hh_tesh_in!K31/SER_summary!K$27)</f>
        <v>21.315731551179859</v>
      </c>
      <c r="L31" s="132">
        <f>IF(SER_hh_tesh_in!L31=0,0,SER_hh_tesh_in!L31/SER_summary!L$27)</f>
        <v>21.290705745838718</v>
      </c>
      <c r="M31" s="132">
        <f>IF(SER_hh_tesh_in!M31=0,0,SER_hh_tesh_in!M31/SER_summary!M$27)</f>
        <v>21.466548657597016</v>
      </c>
      <c r="N31" s="132">
        <f>IF(SER_hh_tesh_in!N31=0,0,SER_hh_tesh_in!N31/SER_summary!N$27)</f>
        <v>21.382096669867906</v>
      </c>
      <c r="O31" s="132">
        <f>IF(SER_hh_tesh_in!O31=0,0,SER_hh_tesh_in!O31/SER_summary!O$27)</f>
        <v>21.491155472754016</v>
      </c>
      <c r="P31" s="132">
        <f>IF(SER_hh_tesh_in!P31=0,0,SER_hh_tesh_in!P31/SER_summary!P$27)</f>
        <v>20.826108372992802</v>
      </c>
      <c r="Q31" s="132">
        <f>IF(SER_hh_tesh_in!Q31=0,0,SER_hh_tesh_in!Q31/SER_summary!Q$27)</f>
        <v>20.247485653660476</v>
      </c>
      <c r="R31" s="132">
        <f>IF(SER_hh_tesh_in!R31=0,0,SER_hh_tesh_in!R31/SER_summary!R$27)</f>
        <v>20.0296303149842</v>
      </c>
      <c r="S31" s="132">
        <f>IF(SER_hh_tesh_in!S31=0,0,SER_hh_tesh_in!S31/SER_summary!S$27)</f>
        <v>19.872908840878058</v>
      </c>
      <c r="T31" s="132">
        <f>IF(SER_hh_tesh_in!T31=0,0,SER_hh_tesh_in!T31/SER_summary!T$27)</f>
        <v>19.791758763142631</v>
      </c>
      <c r="U31" s="132">
        <f>IF(SER_hh_tesh_in!U31=0,0,SER_hh_tesh_in!U31/SER_summary!U$27)</f>
        <v>19.661087991267937</v>
      </c>
      <c r="V31" s="132">
        <f>IF(SER_hh_tesh_in!V31=0,0,SER_hh_tesh_in!V31/SER_summary!V$27)</f>
        <v>18.566554426525816</v>
      </c>
      <c r="W31" s="132">
        <f>IF(SER_hh_tesh_in!W31=0,0,SER_hh_tesh_in!W31/SER_summary!W$27)</f>
        <v>19.923502301230943</v>
      </c>
      <c r="X31" s="132">
        <f>IF(SER_hh_tesh_in!X31=0,0,SER_hh_tesh_in!X31/SER_summary!X$27)</f>
        <v>19.610162780128736</v>
      </c>
      <c r="Y31" s="132">
        <f>IF(SER_hh_tesh_in!Y31=0,0,SER_hh_tesh_in!Y31/SER_summary!Y$27)</f>
        <v>19.061267247008718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22.70405632086478</v>
      </c>
      <c r="D33" s="68">
        <f>IF(SER_hh_tesh_in!D33=0,0,SER_hh_tesh_in!D33/SER_summary!D$27)</f>
        <v>22.341051645316742</v>
      </c>
      <c r="E33" s="68">
        <f>IF(SER_hh_tesh_in!E33=0,0,SER_hh_tesh_in!E33/SER_summary!E$27)</f>
        <v>21.921600138065827</v>
      </c>
      <c r="F33" s="68">
        <f>IF(SER_hh_tesh_in!F33=0,0,SER_hh_tesh_in!F33/SER_summary!F$27)</f>
        <v>22.267348118526041</v>
      </c>
      <c r="G33" s="68">
        <f>IF(SER_hh_tesh_in!G33=0,0,SER_hh_tesh_in!G33/SER_summary!G$27)</f>
        <v>21.536500346579881</v>
      </c>
      <c r="H33" s="68">
        <f>IF(SER_hh_tesh_in!H33=0,0,SER_hh_tesh_in!H33/SER_summary!H$27)</f>
        <v>21.420175746651818</v>
      </c>
      <c r="I33" s="68">
        <f>IF(SER_hh_tesh_in!I33=0,0,SER_hh_tesh_in!I33/SER_summary!I$27)</f>
        <v>20.512267472529008</v>
      </c>
      <c r="J33" s="68">
        <f>IF(SER_hh_tesh_in!J33=0,0,SER_hh_tesh_in!J33/SER_summary!J$27)</f>
        <v>20.954064847104799</v>
      </c>
      <c r="K33" s="68">
        <f>IF(SER_hh_tesh_in!K33=0,0,SER_hh_tesh_in!K33/SER_summary!K$27)</f>
        <v>21.265230516821003</v>
      </c>
      <c r="L33" s="68">
        <f>IF(SER_hh_tesh_in!L33=0,0,SER_hh_tesh_in!L33/SER_summary!L$27)</f>
        <v>21.771911802516517</v>
      </c>
      <c r="M33" s="68">
        <f>IF(SER_hh_tesh_in!M33=0,0,SER_hh_tesh_in!M33/SER_summary!M$27)</f>
        <v>21.594693155404599</v>
      </c>
      <c r="N33" s="68">
        <f>IF(SER_hh_tesh_in!N33=0,0,SER_hh_tesh_in!N33/SER_summary!N$27)</f>
        <v>20.631725840481174</v>
      </c>
      <c r="O33" s="68">
        <f>IF(SER_hh_tesh_in!O33=0,0,SER_hh_tesh_in!O33/SER_summary!O$27)</f>
        <v>20.427678135409618</v>
      </c>
      <c r="P33" s="68">
        <f>IF(SER_hh_tesh_in!P33=0,0,SER_hh_tesh_in!P33/SER_summary!P$27)</f>
        <v>19.171688979556791</v>
      </c>
      <c r="Q33" s="68">
        <f>IF(SER_hh_tesh_in!Q33=0,0,SER_hh_tesh_in!Q33/SER_summary!Q$27)</f>
        <v>20.1307189967361</v>
      </c>
      <c r="R33" s="68">
        <f>IF(SER_hh_tesh_in!R33=0,0,SER_hh_tesh_in!R33/SER_summary!R$27)</f>
        <v>20.203004323474261</v>
      </c>
      <c r="S33" s="68">
        <f>IF(SER_hh_tesh_in!S33=0,0,SER_hh_tesh_in!S33/SER_summary!S$27)</f>
        <v>19.975841538241593</v>
      </c>
      <c r="T33" s="68">
        <f>IF(SER_hh_tesh_in!T33=0,0,SER_hh_tesh_in!T33/SER_summary!T$27)</f>
        <v>20.256012800485848</v>
      </c>
      <c r="U33" s="68">
        <f>IF(SER_hh_tesh_in!U33=0,0,SER_hh_tesh_in!U33/SER_summary!U$27)</f>
        <v>20.1061817996145</v>
      </c>
      <c r="V33" s="68">
        <f>IF(SER_hh_tesh_in!V33=0,0,SER_hh_tesh_in!V33/SER_summary!V$27)</f>
        <v>17.717944252622509</v>
      </c>
      <c r="W33" s="68">
        <f>IF(SER_hh_tesh_in!W33=0,0,SER_hh_tesh_in!W33/SER_summary!W$27)</f>
        <v>19.443119931146999</v>
      </c>
      <c r="X33" s="68">
        <f>IF(SER_hh_tesh_in!X33=0,0,SER_hh_tesh_in!X33/SER_summary!X$27)</f>
        <v>19.683587519186361</v>
      </c>
      <c r="Y33" s="68">
        <f>IF(SER_hh_tesh_in!Y33=0,0,SER_hh_tesh_in!Y33/SER_summary!Y$27)</f>
        <v>19.646356163339913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62.409139382773731</v>
      </c>
      <c r="D3" s="125">
        <f>IF(SER_hh_emih_in!D3=0,0,SER_hh_emih_in!D3/SER_summary!D$27)</f>
        <v>62.830227564403465</v>
      </c>
      <c r="E3" s="125">
        <f>IF(SER_hh_emih_in!E3=0,0,SER_hh_emih_in!E3/SER_summary!E$27)</f>
        <v>60.860265294126066</v>
      </c>
      <c r="F3" s="125">
        <f>IF(SER_hh_emih_in!F3=0,0,SER_hh_emih_in!F3/SER_summary!F$27)</f>
        <v>69.422230217556887</v>
      </c>
      <c r="G3" s="125">
        <f>IF(SER_hh_emih_in!G3=0,0,SER_hh_emih_in!G3/SER_summary!G$27)</f>
        <v>43.689663361556086</v>
      </c>
      <c r="H3" s="125">
        <f>IF(SER_hh_emih_in!H3=0,0,SER_hh_emih_in!H3/SER_summary!H$27)</f>
        <v>23.744244368853742</v>
      </c>
      <c r="I3" s="125">
        <f>IF(SER_hh_emih_in!I3=0,0,SER_hh_emih_in!I3/SER_summary!I$27)</f>
        <v>15.350784624938374</v>
      </c>
      <c r="J3" s="125">
        <f>IF(SER_hh_emih_in!J3=0,0,SER_hh_emih_in!J3/SER_summary!J$27)</f>
        <v>16.715527622614044</v>
      </c>
      <c r="K3" s="125">
        <f>IF(SER_hh_emih_in!K3=0,0,SER_hh_emih_in!K3/SER_summary!K$27)</f>
        <v>35.365043871882648</v>
      </c>
      <c r="L3" s="125">
        <f>IF(SER_hh_emih_in!L3=0,0,SER_hh_emih_in!L3/SER_summary!L$27)</f>
        <v>50.76595053988207</v>
      </c>
      <c r="M3" s="125">
        <f>IF(SER_hh_emih_in!M3=0,0,SER_hh_emih_in!M3/SER_summary!M$27)</f>
        <v>48.789154774281926</v>
      </c>
      <c r="N3" s="125">
        <f>IF(SER_hh_emih_in!N3=0,0,SER_hh_emih_in!N3/SER_summary!N$27)</f>
        <v>35.463629071886189</v>
      </c>
      <c r="O3" s="125">
        <f>IF(SER_hh_emih_in!O3=0,0,SER_hh_emih_in!O3/SER_summary!O$27)</f>
        <v>31.430074138125413</v>
      </c>
      <c r="P3" s="125">
        <f>IF(SER_hh_emih_in!P3=0,0,SER_hh_emih_in!P3/SER_summary!P$27)</f>
        <v>25.058684299805211</v>
      </c>
      <c r="Q3" s="125">
        <f>IF(SER_hh_emih_in!Q3=0,0,SER_hh_emih_in!Q3/SER_summary!Q$27)</f>
        <v>14.718047897665816</v>
      </c>
      <c r="R3" s="125">
        <f>IF(SER_hh_emih_in!R3=0,0,SER_hh_emih_in!R3/SER_summary!R$27)</f>
        <v>15.014373274653327</v>
      </c>
      <c r="S3" s="125">
        <f>IF(SER_hh_emih_in!S3=0,0,SER_hh_emih_in!S3/SER_summary!S$27)</f>
        <v>15.259333859600769</v>
      </c>
      <c r="T3" s="125">
        <f>IF(SER_hh_emih_in!T3=0,0,SER_hh_emih_in!T3/SER_summary!T$27)</f>
        <v>16.211774364167251</v>
      </c>
      <c r="U3" s="125">
        <f>IF(SER_hh_emih_in!U3=0,0,SER_hh_emih_in!U3/SER_summary!U$27)</f>
        <v>15.820492517475882</v>
      </c>
      <c r="V3" s="125">
        <f>IF(SER_hh_emih_in!V3=0,0,SER_hh_emih_in!V3/SER_summary!V$27)</f>
        <v>14.86014610615007</v>
      </c>
      <c r="W3" s="125">
        <f>IF(SER_hh_emih_in!W3=0,0,SER_hh_emih_in!W3/SER_summary!W$27)</f>
        <v>11.242129364446468</v>
      </c>
      <c r="X3" s="125">
        <f>IF(SER_hh_emih_in!X3=0,0,SER_hh_emih_in!X3/SER_summary!X$27)</f>
        <v>7.5586838085710371</v>
      </c>
      <c r="Y3" s="125">
        <f>IF(SER_hh_emih_in!Y3=0,0,SER_hh_emih_in!Y3/SER_summary!Y$27)</f>
        <v>7.2004381916184563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56.609488483724526</v>
      </c>
      <c r="D4" s="130">
        <f>IF(SER_hh_emih_in!D4=0,0,SER_hh_emih_in!D4/SER_summary!D$27)</f>
        <v>55.505652431282293</v>
      </c>
      <c r="E4" s="130">
        <f>IF(SER_hh_emih_in!E4=0,0,SER_hh_emih_in!E4/SER_summary!E$27)</f>
        <v>54.399500021153557</v>
      </c>
      <c r="F4" s="130">
        <f>IF(SER_hh_emih_in!F4=0,0,SER_hh_emih_in!F4/SER_summary!F$27)</f>
        <v>61.362863781133562</v>
      </c>
      <c r="G4" s="130">
        <f>IF(SER_hh_emih_in!G4=0,0,SER_hh_emih_in!G4/SER_summary!G$27)</f>
        <v>36.60326108297059</v>
      </c>
      <c r="H4" s="130">
        <f>IF(SER_hh_emih_in!H4=0,0,SER_hh_emih_in!H4/SER_summary!H$27)</f>
        <v>15.899242060745756</v>
      </c>
      <c r="I4" s="130">
        <f>IF(SER_hh_emih_in!I4=0,0,SER_hh_emih_in!I4/SER_summary!I$27)</f>
        <v>7.3194136882839587</v>
      </c>
      <c r="J4" s="130">
        <f>IF(SER_hh_emih_in!J4=0,0,SER_hh_emih_in!J4/SER_summary!J$27)</f>
        <v>8.5931571989485604</v>
      </c>
      <c r="K4" s="130">
        <f>IF(SER_hh_emih_in!K4=0,0,SER_hh_emih_in!K4/SER_summary!K$27)</f>
        <v>27.357553992952052</v>
      </c>
      <c r="L4" s="130">
        <f>IF(SER_hh_emih_in!L4=0,0,SER_hh_emih_in!L4/SER_summary!L$27)</f>
        <v>42.369241259272407</v>
      </c>
      <c r="M4" s="130">
        <f>IF(SER_hh_emih_in!M4=0,0,SER_hh_emih_in!M4/SER_summary!M$27)</f>
        <v>38.847335638842239</v>
      </c>
      <c r="N4" s="130">
        <f>IF(SER_hh_emih_in!N4=0,0,SER_hh_emih_in!N4/SER_summary!N$27)</f>
        <v>26.764781183055906</v>
      </c>
      <c r="O4" s="130">
        <f>IF(SER_hh_emih_in!O4=0,0,SER_hh_emih_in!O4/SER_summary!O$27)</f>
        <v>22.794245571744064</v>
      </c>
      <c r="P4" s="130">
        <f>IF(SER_hh_emih_in!P4=0,0,SER_hh_emih_in!P4/SER_summary!P$27)</f>
        <v>16.850599798097864</v>
      </c>
      <c r="Q4" s="130">
        <f>IF(SER_hh_emih_in!Q4=0,0,SER_hh_emih_in!Q4/SER_summary!Q$27)</f>
        <v>8.1973134942874779</v>
      </c>
      <c r="R4" s="130">
        <f>IF(SER_hh_emih_in!R4=0,0,SER_hh_emih_in!R4/SER_summary!R$27)</f>
        <v>9.2590368634849458</v>
      </c>
      <c r="S4" s="130">
        <f>IF(SER_hh_emih_in!S4=0,0,SER_hh_emih_in!S4/SER_summary!S$27)</f>
        <v>9.3946812350698341</v>
      </c>
      <c r="T4" s="130">
        <f>IF(SER_hh_emih_in!T4=0,0,SER_hh_emih_in!T4/SER_summary!T$27)</f>
        <v>9.663957213717504</v>
      </c>
      <c r="U4" s="130">
        <f>IF(SER_hh_emih_in!U4=0,0,SER_hh_emih_in!U4/SER_summary!U$27)</f>
        <v>9.577213002522214</v>
      </c>
      <c r="V4" s="130">
        <f>IF(SER_hh_emih_in!V4=0,0,SER_hh_emih_in!V4/SER_summary!V$27)</f>
        <v>8.8543801299476712</v>
      </c>
      <c r="W4" s="130">
        <f>IF(SER_hh_emih_in!W4=0,0,SER_hh_emih_in!W4/SER_summary!W$27)</f>
        <v>5.7720009386385511</v>
      </c>
      <c r="X4" s="130">
        <f>IF(SER_hh_emih_in!X4=0,0,SER_hh_emih_in!X4/SER_summary!X$27)</f>
        <v>2.6873655064883915</v>
      </c>
      <c r="Y4" s="130">
        <f>IF(SER_hh_emih_in!Y4=0,0,SER_hh_emih_in!Y4/SER_summary!Y$27)</f>
        <v>2.0556124392835948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0</v>
      </c>
      <c r="D5" s="132">
        <f>IF(SER_hh_emih_in!D5=0,0,SER_hh_emih_in!D5/SER_summary!D$27)</f>
        <v>0</v>
      </c>
      <c r="E5" s="132">
        <f>IF(SER_hh_emih_in!E5=0,0,SER_hh_emih_in!E5/SER_summary!E$27)</f>
        <v>0</v>
      </c>
      <c r="F5" s="132">
        <f>IF(SER_hh_emih_in!F5=0,0,SER_hh_emih_in!F5/SER_summary!F$27)</f>
        <v>0</v>
      </c>
      <c r="G5" s="132">
        <f>IF(SER_hh_emih_in!G5=0,0,SER_hh_emih_in!G5/SER_summary!G$27)</f>
        <v>0</v>
      </c>
      <c r="H5" s="132">
        <f>IF(SER_hh_emih_in!H5=0,0,SER_hh_emih_in!H5/SER_summary!H$27)</f>
        <v>0</v>
      </c>
      <c r="I5" s="132">
        <f>IF(SER_hh_emih_in!I5=0,0,SER_hh_emih_in!I5/SER_summary!I$27)</f>
        <v>0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80.828983902824319</v>
      </c>
      <c r="N5" s="132">
        <f>IF(SER_hh_emih_in!N5=0,0,SER_hh_emih_in!N5/SER_summary!N$27)</f>
        <v>23.610529146381094</v>
      </c>
      <c r="O5" s="132">
        <f>IF(SER_hh_emih_in!O5=0,0,SER_hh_emih_in!O5/SER_summary!O$27)</f>
        <v>51.931343327022518</v>
      </c>
      <c r="P5" s="132">
        <f>IF(SER_hh_emih_in!P5=0,0,SER_hh_emih_in!P5/SER_summary!P$27)</f>
        <v>38.729168655930529</v>
      </c>
      <c r="Q5" s="132">
        <f>IF(SER_hh_emih_in!Q5=0,0,SER_hh_emih_in!Q5/SER_summary!Q$27)</f>
        <v>42.802234210034129</v>
      </c>
      <c r="R5" s="132">
        <f>IF(SER_hh_emih_in!R5=0,0,SER_hh_emih_in!R5/SER_summary!R$27)</f>
        <v>0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0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0</v>
      </c>
      <c r="D7" s="132">
        <f>IF(SER_hh_emih_in!D7=0,0,SER_hh_emih_in!D7/SER_summary!D$27)</f>
        <v>0</v>
      </c>
      <c r="E7" s="132">
        <f>IF(SER_hh_emih_in!E7=0,0,SER_hh_emih_in!E7/SER_summary!E$27)</f>
        <v>0</v>
      </c>
      <c r="F7" s="132">
        <f>IF(SER_hh_emih_in!F7=0,0,SER_hh_emih_in!F7/SER_summary!F$27)</f>
        <v>0</v>
      </c>
      <c r="G7" s="132">
        <f>IF(SER_hh_emih_in!G7=0,0,SER_hh_emih_in!G7/SER_summary!G$27)</f>
        <v>0</v>
      </c>
      <c r="H7" s="132">
        <f>IF(SER_hh_emih_in!H7=0,0,SER_hh_emih_in!H7/SER_summary!H$27)</f>
        <v>0</v>
      </c>
      <c r="I7" s="132">
        <f>IF(SER_hh_emih_in!I7=0,0,SER_hh_emih_in!I7/SER_summary!I$27)</f>
        <v>0</v>
      </c>
      <c r="J7" s="132">
        <f>IF(SER_hh_emih_in!J7=0,0,SER_hh_emih_in!J7/SER_summary!J$27)</f>
        <v>0</v>
      </c>
      <c r="K7" s="132">
        <f>IF(SER_hh_emih_in!K7=0,0,SER_hh_emih_in!K7/SER_summary!K$27)</f>
        <v>0</v>
      </c>
      <c r="L7" s="132">
        <f>IF(SER_hh_emih_in!L7=0,0,SER_hh_emih_in!L7/SER_summary!L$27)</f>
        <v>0</v>
      </c>
      <c r="M7" s="132">
        <f>IF(SER_hh_emih_in!M7=0,0,SER_hh_emih_in!M7/SER_summary!M$27)</f>
        <v>0</v>
      </c>
      <c r="N7" s="132">
        <f>IF(SER_hh_emih_in!N7=0,0,SER_hh_emih_in!N7/SER_summary!N$27)</f>
        <v>62.868953045589144</v>
      </c>
      <c r="O7" s="132">
        <f>IF(SER_hh_emih_in!O7=0,0,SER_hh_emih_in!O7/SER_summary!O$27)</f>
        <v>23.066040755070546</v>
      </c>
      <c r="P7" s="132">
        <f>IF(SER_hh_emih_in!P7=0,0,SER_hh_emih_in!P7/SER_summary!P$27)</f>
        <v>28.79731286960979</v>
      </c>
      <c r="Q7" s="132">
        <f>IF(SER_hh_emih_in!Q7=0,0,SER_hh_emih_in!Q7/SER_summary!Q$27)</f>
        <v>33.472864341991816</v>
      </c>
      <c r="R7" s="132">
        <f>IF(SER_hh_emih_in!R7=0,0,SER_hh_emih_in!R7/SER_summary!R$27)</f>
        <v>32.031542091921793</v>
      </c>
      <c r="S7" s="132">
        <f>IF(SER_hh_emih_in!S7=0,0,SER_hh_emih_in!S7/SER_summary!S$27)</f>
        <v>25.568168982204853</v>
      </c>
      <c r="T7" s="132">
        <f>IF(SER_hh_emih_in!T7=0,0,SER_hh_emih_in!T7/SER_summary!T$27)</f>
        <v>25.934928820233019</v>
      </c>
      <c r="U7" s="132">
        <f>IF(SER_hh_emih_in!U7=0,0,SER_hh_emih_in!U7/SER_summary!U$27)</f>
        <v>20.98491221277467</v>
      </c>
      <c r="V7" s="132">
        <f>IF(SER_hh_emih_in!V7=0,0,SER_hh_emih_in!V7/SER_summary!V$27)</f>
        <v>19.469615155448025</v>
      </c>
      <c r="W7" s="132">
        <f>IF(SER_hh_emih_in!W7=0,0,SER_hh_emih_in!W7/SER_summary!W$27)</f>
        <v>19.877372367497955</v>
      </c>
      <c r="X7" s="132">
        <f>IF(SER_hh_emih_in!X7=0,0,SER_hh_emih_in!X7/SER_summary!X$27)</f>
        <v>12.705867223229481</v>
      </c>
      <c r="Y7" s="132">
        <f>IF(SER_hh_emih_in!Y7=0,0,SER_hh_emih_in!Y7/SER_summary!Y$27)</f>
        <v>11.480842820583787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0</v>
      </c>
      <c r="D8" s="132">
        <f>IF(SER_hh_emih_in!D8=0,0,SER_hh_emih_in!D8/SER_summary!D$27)</f>
        <v>0</v>
      </c>
      <c r="E8" s="132">
        <f>IF(SER_hh_emih_in!E8=0,0,SER_hh_emih_in!E8/SER_summary!E$27)</f>
        <v>0</v>
      </c>
      <c r="F8" s="132">
        <f>IF(SER_hh_emih_in!F8=0,0,SER_hh_emih_in!F8/SER_summary!F$27)</f>
        <v>0</v>
      </c>
      <c r="G8" s="132">
        <f>IF(SER_hh_emih_in!G8=0,0,SER_hh_emih_in!G8/SER_summary!G$27)</f>
        <v>0</v>
      </c>
      <c r="H8" s="132">
        <f>IF(SER_hh_emih_in!H8=0,0,SER_hh_emih_in!H8/SER_summary!H$27)</f>
        <v>0</v>
      </c>
      <c r="I8" s="132">
        <f>IF(SER_hh_emih_in!I8=0,0,SER_hh_emih_in!I8/SER_summary!I$27)</f>
        <v>0</v>
      </c>
      <c r="J8" s="132">
        <f>IF(SER_hh_emih_in!J8=0,0,SER_hh_emih_in!J8/SER_summary!J$27)</f>
        <v>0</v>
      </c>
      <c r="K8" s="132">
        <f>IF(SER_hh_emih_in!K8=0,0,SER_hh_emih_in!K8/SER_summary!K$27)</f>
        <v>0</v>
      </c>
      <c r="L8" s="132">
        <f>IF(SER_hh_emih_in!L8=0,0,SER_hh_emih_in!L8/SER_summary!L$27)</f>
        <v>0</v>
      </c>
      <c r="M8" s="132">
        <f>IF(SER_hh_emih_in!M8=0,0,SER_hh_emih_in!M8/SER_summary!M$27)</f>
        <v>0</v>
      </c>
      <c r="N8" s="132">
        <f>IF(SER_hh_emih_in!N8=0,0,SER_hh_emih_in!N8/SER_summary!N$27)</f>
        <v>0</v>
      </c>
      <c r="O8" s="132">
        <f>IF(SER_hh_emih_in!O8=0,0,SER_hh_emih_in!O8/SER_summary!O$27)</f>
        <v>0</v>
      </c>
      <c r="P8" s="132">
        <f>IF(SER_hh_emih_in!P8=0,0,SER_hh_emih_in!P8/SER_summary!P$27)</f>
        <v>0</v>
      </c>
      <c r="Q8" s="132">
        <f>IF(SER_hh_emih_in!Q8=0,0,SER_hh_emih_in!Q8/SER_summary!Q$27)</f>
        <v>0</v>
      </c>
      <c r="R8" s="132">
        <f>IF(SER_hh_emih_in!R8=0,0,SER_hh_emih_in!R8/SER_summary!R$27)</f>
        <v>1.6865612112817496</v>
      </c>
      <c r="S8" s="132">
        <f>IF(SER_hh_emih_in!S8=0,0,SER_hh_emih_in!S8/SER_summary!S$27)</f>
        <v>3.8088707557833739</v>
      </c>
      <c r="T8" s="132">
        <f>IF(SER_hh_emih_in!T8=0,0,SER_hh_emih_in!T8/SER_summary!T$27)</f>
        <v>4.7581789587172691</v>
      </c>
      <c r="U8" s="132">
        <f>IF(SER_hh_emih_in!U8=0,0,SER_hh_emih_in!U8/SER_summary!U$27)</f>
        <v>3.7599376743963142</v>
      </c>
      <c r="V8" s="132">
        <f>IF(SER_hh_emih_in!V8=0,0,SER_hh_emih_in!V8/SER_summary!V$27)</f>
        <v>4.6480746329488456</v>
      </c>
      <c r="W8" s="132">
        <f>IF(SER_hh_emih_in!W8=0,0,SER_hh_emih_in!W8/SER_summary!W$27)</f>
        <v>2.8389175442584738</v>
      </c>
      <c r="X8" s="132">
        <f>IF(SER_hh_emih_in!X8=0,0,SER_hh_emih_in!X8/SER_summary!X$27)</f>
        <v>2.5136809116814325</v>
      </c>
      <c r="Y8" s="132">
        <f>IF(SER_hh_emih_in!Y8=0,0,SER_hh_emih_in!Y8/SER_summary!Y$27)</f>
        <v>2.2673713355374803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72.511494131495724</v>
      </c>
      <c r="D9" s="132">
        <f>IF(SER_hh_emih_in!D9=0,0,SER_hh_emih_in!D9/SER_summary!D$27)</f>
        <v>62.095182942744827</v>
      </c>
      <c r="E9" s="132">
        <f>IF(SER_hh_emih_in!E9=0,0,SER_hh_emih_in!E9/SER_summary!E$27)</f>
        <v>60.550172462270318</v>
      </c>
      <c r="F9" s="132">
        <f>IF(SER_hh_emih_in!F9=0,0,SER_hh_emih_in!F9/SER_summary!F$27)</f>
        <v>73.644100183112457</v>
      </c>
      <c r="G9" s="132">
        <f>IF(SER_hh_emih_in!G9=0,0,SER_hh_emih_in!G9/SER_summary!G$27)</f>
        <v>68.016428247454911</v>
      </c>
      <c r="H9" s="132">
        <f>IF(SER_hh_emih_in!H9=0,0,SER_hh_emih_in!H9/SER_summary!H$27)</f>
        <v>58.118691405800988</v>
      </c>
      <c r="I9" s="132">
        <f>IF(SER_hh_emih_in!I9=0,0,SER_hh_emih_in!I9/SER_summary!I$27)</f>
        <v>44.413456213074689</v>
      </c>
      <c r="J9" s="132">
        <f>IF(SER_hh_emih_in!J9=0,0,SER_hh_emih_in!J9/SER_summary!J$27)</f>
        <v>42.441181411134735</v>
      </c>
      <c r="K9" s="132">
        <f>IF(SER_hh_emih_in!K9=0,0,SER_hh_emih_in!K9/SER_summary!K$27)</f>
        <v>46.30978676997622</v>
      </c>
      <c r="L9" s="132">
        <f>IF(SER_hh_emih_in!L9=0,0,SER_hh_emih_in!L9/SER_summary!L$27)</f>
        <v>48.255913447370681</v>
      </c>
      <c r="M9" s="132">
        <f>IF(SER_hh_emih_in!M9=0,0,SER_hh_emih_in!M9/SER_summary!M$27)</f>
        <v>44.280890975045054</v>
      </c>
      <c r="N9" s="132">
        <f>IF(SER_hh_emih_in!N9=0,0,SER_hh_emih_in!N9/SER_summary!N$27)</f>
        <v>29.980396423367495</v>
      </c>
      <c r="O9" s="132">
        <f>IF(SER_hh_emih_in!O9=0,0,SER_hh_emih_in!O9/SER_summary!O$27)</f>
        <v>27.333572333343014</v>
      </c>
      <c r="P9" s="132">
        <f>IF(SER_hh_emih_in!P9=0,0,SER_hh_emih_in!P9/SER_summary!P$27)</f>
        <v>20.771889894916917</v>
      </c>
      <c r="Q9" s="132">
        <f>IF(SER_hh_emih_in!Q9=0,0,SER_hh_emih_in!Q9/SER_summary!Q$27)</f>
        <v>20.367211394821595</v>
      </c>
      <c r="R9" s="132">
        <f>IF(SER_hh_emih_in!R9=0,0,SER_hh_emih_in!R9/SER_summary!R$27)</f>
        <v>19.193767056349159</v>
      </c>
      <c r="S9" s="132">
        <f>IF(SER_hh_emih_in!S9=0,0,SER_hh_emih_in!S9/SER_summary!S$27)</f>
        <v>17.680248276685901</v>
      </c>
      <c r="T9" s="132">
        <f>IF(SER_hh_emih_in!T9=0,0,SER_hh_emih_in!T9/SER_summary!T$27)</f>
        <v>15.732470623878408</v>
      </c>
      <c r="U9" s="132">
        <f>IF(SER_hh_emih_in!U9=0,0,SER_hh_emih_in!U9/SER_summary!U$27)</f>
        <v>14.212312929635669</v>
      </c>
      <c r="V9" s="132">
        <f>IF(SER_hh_emih_in!V9=0,0,SER_hh_emih_in!V9/SER_summary!V$27)</f>
        <v>13.582041518709428</v>
      </c>
      <c r="W9" s="132">
        <f>IF(SER_hh_emih_in!W9=0,0,SER_hh_emih_in!W9/SER_summary!W$27)</f>
        <v>12.305955337549138</v>
      </c>
      <c r="X9" s="132">
        <f>IF(SER_hh_emih_in!X9=0,0,SER_hh_emih_in!X9/SER_summary!X$27)</f>
        <v>9.1315425113798696</v>
      </c>
      <c r="Y9" s="132">
        <f>IF(SER_hh_emih_in!Y9=0,0,SER_hh_emih_in!Y9/SER_summary!Y$27)</f>
        <v>7.0581785724843318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9.0504513572078888</v>
      </c>
      <c r="O10" s="132">
        <f>IF(SER_hh_emih_in!O10=0,0,SER_hh_emih_in!O10/SER_summary!O$27)</f>
        <v>7.5219552924047637</v>
      </c>
      <c r="P10" s="132">
        <f>IF(SER_hh_emih_in!P10=0,0,SER_hh_emih_in!P10/SER_summary!P$27)</f>
        <v>4.8803912183552551</v>
      </c>
      <c r="Q10" s="132">
        <f>IF(SER_hh_emih_in!Q10=0,0,SER_hh_emih_in!Q10/SER_summary!Q$27)</f>
        <v>9.229822349709389</v>
      </c>
      <c r="R10" s="132">
        <f>IF(SER_hh_emih_in!R10=0,0,SER_hh_emih_in!R10/SER_summary!R$27)</f>
        <v>5.4274808330436244</v>
      </c>
      <c r="S10" s="132">
        <f>IF(SER_hh_emih_in!S10=0,0,SER_hh_emih_in!S10/SER_summary!S$27)</f>
        <v>6.4365274497721012</v>
      </c>
      <c r="T10" s="132">
        <f>IF(SER_hh_emih_in!T10=0,0,SER_hh_emih_in!T10/SER_summary!T$27)</f>
        <v>7.9281448769858001</v>
      </c>
      <c r="U10" s="132">
        <f>IF(SER_hh_emih_in!U10=0,0,SER_hh_emih_in!U10/SER_summary!U$27)</f>
        <v>8.5618132165588783</v>
      </c>
      <c r="V10" s="132">
        <f>IF(SER_hh_emih_in!V10=0,0,SER_hh_emih_in!V10/SER_summary!V$27)</f>
        <v>0</v>
      </c>
      <c r="W10" s="132">
        <f>IF(SER_hh_emih_in!W10=0,0,SER_hh_emih_in!W10/SER_summary!W$27)</f>
        <v>5.9585662168226889</v>
      </c>
      <c r="X10" s="132">
        <f>IF(SER_hh_emih_in!X10=0,0,SER_hh_emih_in!X10/SER_summary!X$27)</f>
        <v>5.1181603557258528</v>
      </c>
      <c r="Y10" s="132">
        <f>IF(SER_hh_emih_in!Y10=0,0,SER_hh_emih_in!Y10/SER_summary!Y$27)</f>
        <v>3.5896364605592828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1.5096303607222535E-2</v>
      </c>
      <c r="D16" s="130">
        <f>IF(SER_hh_emih_in!D16=0,0,SER_hh_emih_in!D16/SER_summary!D$27)</f>
        <v>1.7552538656590001E-2</v>
      </c>
      <c r="E16" s="130">
        <f>IF(SER_hh_emih_in!E16=0,0,SER_hh_emih_in!E16/SER_summary!E$27)</f>
        <v>1.7876055012293748E-2</v>
      </c>
      <c r="F16" s="130">
        <f>IF(SER_hh_emih_in!F16=0,0,SER_hh_emih_in!F16/SER_summary!F$27)</f>
        <v>6.4871223034518024E-3</v>
      </c>
      <c r="G16" s="130">
        <f>IF(SER_hh_emih_in!G16=0,0,SER_hh_emih_in!G16/SER_summary!G$27)</f>
        <v>1.1930897245029399E-2</v>
      </c>
      <c r="H16" s="130">
        <f>IF(SER_hh_emih_in!H16=0,0,SER_hh_emih_in!H16/SER_summary!H$27)</f>
        <v>1.6177329173589931E-2</v>
      </c>
      <c r="I16" s="130">
        <f>IF(SER_hh_emih_in!I16=0,0,SER_hh_emih_in!I16/SER_summary!I$27)</f>
        <v>1.6667969360185657E-2</v>
      </c>
      <c r="J16" s="130">
        <f>IF(SER_hh_emih_in!J16=0,0,SER_hh_emih_in!J16/SER_summary!J$27)</f>
        <v>8.9708998940865956E-3</v>
      </c>
      <c r="K16" s="130">
        <f>IF(SER_hh_emih_in!K16=0,0,SER_hh_emih_in!K16/SER_summary!K$27)</f>
        <v>1.7467811389059763E-2</v>
      </c>
      <c r="L16" s="130">
        <f>IF(SER_hh_emih_in!L16=0,0,SER_hh_emih_in!L16/SER_summary!L$27)</f>
        <v>2.4139424021764465E-2</v>
      </c>
      <c r="M16" s="130">
        <f>IF(SER_hh_emih_in!M16=0,0,SER_hh_emih_in!M16/SER_summary!M$27)</f>
        <v>2.3497256718663487E-2</v>
      </c>
      <c r="N16" s="130">
        <f>IF(SER_hh_emih_in!N16=0,0,SER_hh_emih_in!N16/SER_summary!N$27)</f>
        <v>3.0202758712657252E-2</v>
      </c>
      <c r="O16" s="130">
        <f>IF(SER_hh_emih_in!O16=0,0,SER_hh_emih_in!O16/SER_summary!O$27)</f>
        <v>2.4605435669112264E-2</v>
      </c>
      <c r="P16" s="130">
        <f>IF(SER_hh_emih_in!P16=0,0,SER_hh_emih_in!P16/SER_summary!P$27)</f>
        <v>1.5666086327684348E-2</v>
      </c>
      <c r="Q16" s="130">
        <f>IF(SER_hh_emih_in!Q16=0,0,SER_hh_emih_in!Q16/SER_summary!Q$27)</f>
        <v>3.0619901698377125E-2</v>
      </c>
      <c r="R16" s="130">
        <f>IF(SER_hh_emih_in!R16=0,0,SER_hh_emih_in!R16/SER_summary!R$27)</f>
        <v>1.9062909262326372E-2</v>
      </c>
      <c r="S16" s="130">
        <f>IF(SER_hh_emih_in!S16=0,0,SER_hh_emih_in!S16/SER_summary!S$27)</f>
        <v>3.8313813308482117E-2</v>
      </c>
      <c r="T16" s="130">
        <f>IF(SER_hh_emih_in!T16=0,0,SER_hh_emih_in!T16/SER_summary!T$27)</f>
        <v>2.5365641893374563E-2</v>
      </c>
      <c r="U16" s="130">
        <f>IF(SER_hh_emih_in!U16=0,0,SER_hh_emih_in!U16/SER_summary!U$27)</f>
        <v>5.0049661618015384E-2</v>
      </c>
      <c r="V16" s="130">
        <f>IF(SER_hh_emih_in!V16=0,0,SER_hh_emih_in!V16/SER_summary!V$27)</f>
        <v>2.7203557042024231E-2</v>
      </c>
      <c r="W16" s="130">
        <f>IF(SER_hh_emih_in!W16=0,0,SER_hh_emih_in!W16/SER_summary!W$27)</f>
        <v>2.2782443496782122E-2</v>
      </c>
      <c r="X16" s="130">
        <f>IF(SER_hh_emih_in!X16=0,0,SER_hh_emih_in!X16/SER_summary!X$27)</f>
        <v>2.0088280750148606E-2</v>
      </c>
      <c r="Y16" s="130">
        <f>IF(SER_hh_emih_in!Y16=0,0,SER_hh_emih_in!Y16/SER_summary!Y$27)</f>
        <v>1.6239231874791635E-2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3.8672287698119838</v>
      </c>
      <c r="D17" s="132">
        <f>IF(SER_hh_emih_in!D17=0,0,SER_hh_emih_in!D17/SER_summary!D$27)</f>
        <v>4.0121797785577735</v>
      </c>
      <c r="E17" s="132">
        <f>IF(SER_hh_emih_in!E17=0,0,SER_hh_emih_in!E17/SER_summary!E$27)</f>
        <v>4.5222238248494824</v>
      </c>
      <c r="F17" s="132">
        <f>IF(SER_hh_emih_in!F17=0,0,SER_hh_emih_in!F17/SER_summary!F$27)</f>
        <v>3.5461951472957578</v>
      </c>
      <c r="G17" s="132">
        <f>IF(SER_hh_emih_in!G17=0,0,SER_hh_emih_in!G17/SER_summary!G$27)</f>
        <v>3.4876466608875485</v>
      </c>
      <c r="H17" s="132">
        <f>IF(SER_hh_emih_in!H17=0,0,SER_hh_emih_in!H17/SER_summary!H$27)</f>
        <v>3.7876493360822514</v>
      </c>
      <c r="I17" s="132">
        <f>IF(SER_hh_emih_in!I17=0,0,SER_hh_emih_in!I17/SER_summary!I$27)</f>
        <v>4.0619002541876927</v>
      </c>
      <c r="J17" s="132">
        <f>IF(SER_hh_emih_in!J17=0,0,SER_hh_emih_in!J17/SER_summary!J$27)</f>
        <v>3.3952562328867124</v>
      </c>
      <c r="K17" s="132">
        <f>IF(SER_hh_emih_in!K17=0,0,SER_hh_emih_in!K17/SER_summary!K$27)</f>
        <v>3.3371056690084999</v>
      </c>
      <c r="L17" s="132">
        <f>IF(SER_hh_emih_in!L17=0,0,SER_hh_emih_in!L17/SER_summary!L$27)</f>
        <v>3.4117542254688611</v>
      </c>
      <c r="M17" s="132">
        <f>IF(SER_hh_emih_in!M17=0,0,SER_hh_emih_in!M17/SER_summary!M$27)</f>
        <v>3.2802006129542156</v>
      </c>
      <c r="N17" s="132">
        <f>IF(SER_hh_emih_in!N17=0,0,SER_hh_emih_in!N17/SER_summary!N$27)</f>
        <v>4.0566571587235662</v>
      </c>
      <c r="O17" s="132">
        <f>IF(SER_hh_emih_in!O17=0,0,SER_hh_emih_in!O17/SER_summary!O$27)</f>
        <v>3.2458664446298671</v>
      </c>
      <c r="P17" s="132">
        <f>IF(SER_hh_emih_in!P17=0,0,SER_hh_emih_in!P17/SER_summary!P$27)</f>
        <v>2.8300997362885423</v>
      </c>
      <c r="Q17" s="132">
        <f>IF(SER_hh_emih_in!Q17=0,0,SER_hh_emih_in!Q17/SER_summary!Q$27)</f>
        <v>3.9576995582855421</v>
      </c>
      <c r="R17" s="132">
        <f>IF(SER_hh_emih_in!R17=0,0,SER_hh_emih_in!R17/SER_summary!R$27)</f>
        <v>2.6741357359234752</v>
      </c>
      <c r="S17" s="132">
        <f>IF(SER_hh_emih_in!S17=0,0,SER_hh_emih_in!S17/SER_summary!S$27)</f>
        <v>3.1158385734432903</v>
      </c>
      <c r="T17" s="132">
        <f>IF(SER_hh_emih_in!T17=0,0,SER_hh_emih_in!T17/SER_summary!T$27)</f>
        <v>2.8313818966023092</v>
      </c>
      <c r="U17" s="132">
        <f>IF(SER_hh_emih_in!U17=0,0,SER_hh_emih_in!U17/SER_summary!U$27)</f>
        <v>2.9011100291094531</v>
      </c>
      <c r="V17" s="132">
        <f>IF(SER_hh_emih_in!V17=0,0,SER_hh_emih_in!V17/SER_summary!V$27)</f>
        <v>1.9548956867044358</v>
      </c>
      <c r="W17" s="132">
        <f>IF(SER_hh_emih_in!W17=0,0,SER_hh_emih_in!W17/SER_summary!W$27)</f>
        <v>2.2424607178466629</v>
      </c>
      <c r="X17" s="132">
        <f>IF(SER_hh_emih_in!X17=0,0,SER_hh_emih_in!X17/SER_summary!X$27)</f>
        <v>2.3733212214126054</v>
      </c>
      <c r="Y17" s="132">
        <f>IF(SER_hh_emih_in!Y17=0,0,SER_hh_emih_in!Y17/SER_summary!Y$27)</f>
        <v>2.2044355702135703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2.695803787035242</v>
      </c>
      <c r="D19" s="130">
        <f>IF(SER_hh_emih_in!D19=0,0,SER_hh_emih_in!D19/SER_summary!D$27)</f>
        <v>3.4265855179534426</v>
      </c>
      <c r="E19" s="130">
        <f>IF(SER_hh_emih_in!E19=0,0,SER_hh_emih_in!E19/SER_summary!E$27)</f>
        <v>2.9722130211136508</v>
      </c>
      <c r="F19" s="130">
        <f>IF(SER_hh_emih_in!F19=0,0,SER_hh_emih_in!F19/SER_summary!F$27)</f>
        <v>3.5139101891700268</v>
      </c>
      <c r="G19" s="130">
        <f>IF(SER_hh_emih_in!G19=0,0,SER_hh_emih_in!G19/SER_summary!G$27)</f>
        <v>2.8677906190878208</v>
      </c>
      <c r="H19" s="130">
        <f>IF(SER_hh_emih_in!H19=0,0,SER_hh_emih_in!H19/SER_summary!H$27)</f>
        <v>3.2691376866032749</v>
      </c>
      <c r="I19" s="130">
        <f>IF(SER_hh_emih_in!I19=0,0,SER_hh_emih_in!I19/SER_summary!I$27)</f>
        <v>3.956344320335154</v>
      </c>
      <c r="J19" s="130">
        <f>IF(SER_hh_emih_in!J19=0,0,SER_hh_emih_in!J19/SER_summary!J$27)</f>
        <v>4.1312682195243093</v>
      </c>
      <c r="K19" s="130">
        <f>IF(SER_hh_emih_in!K19=0,0,SER_hh_emih_in!K19/SER_summary!K$27)</f>
        <v>4.4436630769454082</v>
      </c>
      <c r="L19" s="130">
        <f>IF(SER_hh_emih_in!L19=0,0,SER_hh_emih_in!L19/SER_summary!L$27)</f>
        <v>4.0042970534521292</v>
      </c>
      <c r="M19" s="130">
        <f>IF(SER_hh_emih_in!M19=0,0,SER_hh_emih_in!M19/SER_summary!M$27)</f>
        <v>3.7519484524052098</v>
      </c>
      <c r="N19" s="130">
        <f>IF(SER_hh_emih_in!N19=0,0,SER_hh_emih_in!N19/SER_summary!N$27)</f>
        <v>3.1564047656320557</v>
      </c>
      <c r="O19" s="130">
        <f>IF(SER_hh_emih_in!O19=0,0,SER_hh_emih_in!O19/SER_summary!O$27)</f>
        <v>4.0088218673781659</v>
      </c>
      <c r="P19" s="130">
        <f>IF(SER_hh_emih_in!P19=0,0,SER_hh_emih_in!P19/SER_summary!P$27)</f>
        <v>4.2720006046485688</v>
      </c>
      <c r="Q19" s="130">
        <f>IF(SER_hh_emih_in!Q19=0,0,SER_hh_emih_in!Q19/SER_summary!Q$27)</f>
        <v>2.8563853363535361</v>
      </c>
      <c r="R19" s="130">
        <f>IF(SER_hh_emih_in!R19=0,0,SER_hh_emih_in!R19/SER_summary!R$27)</f>
        <v>2.6433374842058157</v>
      </c>
      <c r="S19" s="130">
        <f>IF(SER_hh_emih_in!S19=0,0,SER_hh_emih_in!S19/SER_summary!S$27)</f>
        <v>2.5874764461333384</v>
      </c>
      <c r="T19" s="130">
        <f>IF(SER_hh_emih_in!T19=0,0,SER_hh_emih_in!T19/SER_summary!T$27)</f>
        <v>2.754538639597758</v>
      </c>
      <c r="U19" s="130">
        <f>IF(SER_hh_emih_in!U19=0,0,SER_hh_emih_in!U19/SER_summary!U$27)</f>
        <v>2.3862109838922603</v>
      </c>
      <c r="V19" s="130">
        <f>IF(SER_hh_emih_in!V19=0,0,SER_hh_emih_in!V19/SER_summary!V$27)</f>
        <v>2.1197722489504951</v>
      </c>
      <c r="W19" s="130">
        <f>IF(SER_hh_emih_in!W19=0,0,SER_hh_emih_in!W19/SER_summary!W$27)</f>
        <v>1.6389973154205257</v>
      </c>
      <c r="X19" s="130">
        <f>IF(SER_hh_emih_in!X19=0,0,SER_hh_emih_in!X19/SER_summary!X$27)</f>
        <v>1.3400717479792628</v>
      </c>
      <c r="Y19" s="130">
        <f>IF(SER_hh_emih_in!Y19=0,0,SER_hh_emih_in!Y19/SER_summary!Y$27)</f>
        <v>1.8486184670156225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0</v>
      </c>
      <c r="D21" s="132">
        <f>IF(SER_hh_emih_in!D21=0,0,SER_hh_emih_in!D21/SER_summary!D$27)</f>
        <v>0</v>
      </c>
      <c r="E21" s="132">
        <f>IF(SER_hh_emih_in!E21=0,0,SER_hh_emih_in!E21/SER_summary!E$27)</f>
        <v>0</v>
      </c>
      <c r="F21" s="132">
        <f>IF(SER_hh_emih_in!F21=0,0,SER_hh_emih_in!F21/SER_summary!F$27)</f>
        <v>0</v>
      </c>
      <c r="G21" s="132">
        <f>IF(SER_hh_emih_in!G21=0,0,SER_hh_emih_in!G21/SER_summary!G$27)</f>
        <v>0</v>
      </c>
      <c r="H21" s="132">
        <f>IF(SER_hh_emih_in!H21=0,0,SER_hh_emih_in!H21/SER_summary!H$27)</f>
        <v>0</v>
      </c>
      <c r="I21" s="132">
        <f>IF(SER_hh_emih_in!I21=0,0,SER_hh_emih_in!I21/SER_summary!I$27)</f>
        <v>0</v>
      </c>
      <c r="J21" s="132">
        <f>IF(SER_hh_emih_in!J21=0,0,SER_hh_emih_in!J21/SER_summary!J$27)</f>
        <v>0</v>
      </c>
      <c r="K21" s="132">
        <f>IF(SER_hh_emih_in!K21=0,0,SER_hh_emih_in!K21/SER_summary!K$27)</f>
        <v>0</v>
      </c>
      <c r="L21" s="132">
        <f>IF(SER_hh_emih_in!L21=0,0,SER_hh_emih_in!L21/SER_summary!L$27)</f>
        <v>0</v>
      </c>
      <c r="M21" s="132">
        <f>IF(SER_hh_emih_in!M21=0,0,SER_hh_emih_in!M21/SER_summary!M$27)</f>
        <v>0</v>
      </c>
      <c r="N21" s="132">
        <f>IF(SER_hh_emih_in!N21=0,0,SER_hh_emih_in!N21/SER_summary!N$27)</f>
        <v>0</v>
      </c>
      <c r="O21" s="132">
        <f>IF(SER_hh_emih_in!O21=0,0,SER_hh_emih_in!O21/SER_summary!O$27)</f>
        <v>0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0</v>
      </c>
      <c r="S21" s="132">
        <f>IF(SER_hh_emih_in!S21=0,0,SER_hh_emih_in!S21/SER_summary!S$27)</f>
        <v>0</v>
      </c>
      <c r="T21" s="132">
        <f>IF(SER_hh_emih_in!T21=0,0,SER_hh_emih_in!T21/SER_summary!T$27)</f>
        <v>0</v>
      </c>
      <c r="U21" s="132">
        <f>IF(SER_hh_emih_in!U21=0,0,SER_hh_emih_in!U21/SER_summary!U$27)</f>
        <v>0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0</v>
      </c>
      <c r="Y21" s="132">
        <f>IF(SER_hh_emih_in!Y21=0,0,SER_hh_emih_in!Y21/SER_summary!Y$27)</f>
        <v>0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0</v>
      </c>
      <c r="D22" s="132">
        <f>IF(SER_hh_emih_in!D22=0,0,SER_hh_emih_in!D22/SER_summary!D$27)</f>
        <v>0</v>
      </c>
      <c r="E22" s="132">
        <f>IF(SER_hh_emih_in!E22=0,0,SER_hh_emih_in!E22/SER_summary!E$27)</f>
        <v>0</v>
      </c>
      <c r="F22" s="132">
        <f>IF(SER_hh_emih_in!F22=0,0,SER_hh_emih_in!F22/SER_summary!F$27)</f>
        <v>0</v>
      </c>
      <c r="G22" s="132">
        <f>IF(SER_hh_emih_in!G22=0,0,SER_hh_emih_in!G22/SER_summary!G$27)</f>
        <v>0</v>
      </c>
      <c r="H22" s="132">
        <f>IF(SER_hh_emih_in!H22=0,0,SER_hh_emih_in!H22/SER_summary!H$27)</f>
        <v>0</v>
      </c>
      <c r="I22" s="132">
        <f>IF(SER_hh_emih_in!I22=0,0,SER_hh_emih_in!I22/SER_summary!I$27)</f>
        <v>0</v>
      </c>
      <c r="J22" s="132">
        <f>IF(SER_hh_emih_in!J22=0,0,SER_hh_emih_in!J22/SER_summary!J$27)</f>
        <v>0</v>
      </c>
      <c r="K22" s="132">
        <f>IF(SER_hh_emih_in!K22=0,0,SER_hh_emih_in!K22/SER_summary!K$27)</f>
        <v>0</v>
      </c>
      <c r="L22" s="132">
        <f>IF(SER_hh_emih_in!L22=0,0,SER_hh_emih_in!L22/SER_summary!L$27)</f>
        <v>0</v>
      </c>
      <c r="M22" s="132">
        <f>IF(SER_hh_emih_in!M22=0,0,SER_hh_emih_in!M22/SER_summary!M$27)</f>
        <v>0</v>
      </c>
      <c r="N22" s="132">
        <f>IF(SER_hh_emih_in!N22=0,0,SER_hh_emih_in!N22/SER_summary!N$27)</f>
        <v>0</v>
      </c>
      <c r="O22" s="132">
        <f>IF(SER_hh_emih_in!O22=0,0,SER_hh_emih_in!O22/SER_summary!O$27)</f>
        <v>0</v>
      </c>
      <c r="P22" s="132">
        <f>IF(SER_hh_emih_in!P22=0,0,SER_hh_emih_in!P22/SER_summary!P$27)</f>
        <v>0</v>
      </c>
      <c r="Q22" s="132">
        <f>IF(SER_hh_emih_in!Q22=0,0,SER_hh_emih_in!Q22/SER_summary!Q$27)</f>
        <v>0</v>
      </c>
      <c r="R22" s="132">
        <f>IF(SER_hh_emih_in!R22=0,0,SER_hh_emih_in!R22/SER_summary!R$27)</f>
        <v>0</v>
      </c>
      <c r="S22" s="132">
        <f>IF(SER_hh_emih_in!S22=0,0,SER_hh_emih_in!S22/SER_summary!S$27)</f>
        <v>0</v>
      </c>
      <c r="T22" s="132">
        <f>IF(SER_hh_emih_in!T22=0,0,SER_hh_emih_in!T22/SER_summary!T$27)</f>
        <v>0</v>
      </c>
      <c r="U22" s="132">
        <f>IF(SER_hh_emih_in!U22=0,0,SER_hh_emih_in!U22/SER_summary!U$27)</f>
        <v>0</v>
      </c>
      <c r="V22" s="132">
        <f>IF(SER_hh_emih_in!V22=0,0,SER_hh_emih_in!V22/SER_summary!V$27)</f>
        <v>0</v>
      </c>
      <c r="W22" s="132">
        <f>IF(SER_hh_emih_in!W22=0,0,SER_hh_emih_in!W22/SER_summary!W$27)</f>
        <v>0</v>
      </c>
      <c r="X22" s="132">
        <f>IF(SER_hh_emih_in!X22=0,0,SER_hh_emih_in!X22/SER_summary!X$27)</f>
        <v>0</v>
      </c>
      <c r="Y22" s="132">
        <f>IF(SER_hh_emih_in!Y22=0,0,SER_hh_emih_in!Y22/SER_summary!Y$27)</f>
        <v>0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6.427153402844767</v>
      </c>
      <c r="D23" s="132">
        <f>IF(SER_hh_emih_in!D23=0,0,SER_hh_emih_in!D23/SER_summary!D$27)</f>
        <v>6.4195012020349491</v>
      </c>
      <c r="E23" s="132">
        <f>IF(SER_hh_emih_in!E23=0,0,SER_hh_emih_in!E23/SER_summary!E$27)</f>
        <v>6.3802341287719235</v>
      </c>
      <c r="F23" s="132">
        <f>IF(SER_hh_emih_in!F23=0,0,SER_hh_emih_in!F23/SER_summary!F$27)</f>
        <v>6.4613171942637768</v>
      </c>
      <c r="G23" s="132">
        <f>IF(SER_hh_emih_in!G23=0,0,SER_hh_emih_in!G23/SER_summary!G$27)</f>
        <v>6.1813810509571061</v>
      </c>
      <c r="H23" s="132">
        <f>IF(SER_hh_emih_in!H23=0,0,SER_hh_emih_in!H23/SER_summary!H$27)</f>
        <v>5.9783398176876945</v>
      </c>
      <c r="I23" s="132">
        <f>IF(SER_hh_emih_in!I23=0,0,SER_hh_emih_in!I23/SER_summary!I$27)</f>
        <v>5.8878510940352911</v>
      </c>
      <c r="J23" s="132">
        <f>IF(SER_hh_emih_in!J23=0,0,SER_hh_emih_in!J23/SER_summary!J$27)</f>
        <v>5.9057131197499366</v>
      </c>
      <c r="K23" s="132">
        <f>IF(SER_hh_emih_in!K23=0,0,SER_hh_emih_in!K23/SER_summary!K$27)</f>
        <v>6.0071576502025463</v>
      </c>
      <c r="L23" s="132">
        <f>IF(SER_hh_emih_in!L23=0,0,SER_hh_emih_in!L23/SER_summary!L$27)</f>
        <v>5.8605343476415976</v>
      </c>
      <c r="M23" s="132">
        <f>IF(SER_hh_emih_in!M23=0,0,SER_hh_emih_in!M23/SER_summary!M$27)</f>
        <v>5.6470505300005183</v>
      </c>
      <c r="N23" s="132">
        <f>IF(SER_hh_emih_in!N23=0,0,SER_hh_emih_in!N23/SER_summary!N$27)</f>
        <v>5.3983003337714353</v>
      </c>
      <c r="O23" s="132">
        <f>IF(SER_hh_emih_in!O23=0,0,SER_hh_emih_in!O23/SER_summary!O$27)</f>
        <v>5.4413497811460338</v>
      </c>
      <c r="P23" s="132">
        <f>IF(SER_hh_emih_in!P23=0,0,SER_hh_emih_in!P23/SER_summary!P$27)</f>
        <v>5.0058657442946073</v>
      </c>
      <c r="Q23" s="132">
        <f>IF(SER_hh_emih_in!Q23=0,0,SER_hh_emih_in!Q23/SER_summary!Q$27)</f>
        <v>4.7649395884769898</v>
      </c>
      <c r="R23" s="132">
        <f>IF(SER_hh_emih_in!R23=0,0,SER_hh_emih_in!R23/SER_summary!R$27)</f>
        <v>4.6947152330069004</v>
      </c>
      <c r="S23" s="132">
        <f>IF(SER_hh_emih_in!S23=0,0,SER_hh_emih_in!S23/SER_summary!S$27)</f>
        <v>4.5514651035908225</v>
      </c>
      <c r="T23" s="132">
        <f>IF(SER_hh_emih_in!T23=0,0,SER_hh_emih_in!T23/SER_summary!T$27)</f>
        <v>4.5286851026018882</v>
      </c>
      <c r="U23" s="132">
        <f>IF(SER_hh_emih_in!U23=0,0,SER_hh_emih_in!U23/SER_summary!U$27)</f>
        <v>4.3086175612311788</v>
      </c>
      <c r="V23" s="132">
        <f>IF(SER_hh_emih_in!V23=0,0,SER_hh_emih_in!V23/SER_summary!V$27)</f>
        <v>3.9142872695993693</v>
      </c>
      <c r="W23" s="132">
        <f>IF(SER_hh_emih_in!W23=0,0,SER_hh_emih_in!W23/SER_summary!W$27)</f>
        <v>3.9377232627305085</v>
      </c>
      <c r="X23" s="132">
        <f>IF(SER_hh_emih_in!X23=0,0,SER_hh_emih_in!X23/SER_summary!X$27)</f>
        <v>3.828653839886043</v>
      </c>
      <c r="Y23" s="132">
        <f>IF(SER_hh_emih_in!Y23=0,0,SER_hh_emih_in!Y23/SER_summary!Y$27)</f>
        <v>3.7679347353756389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1.784982683648334</v>
      </c>
      <c r="O24" s="132">
        <f>IF(SER_hh_emih_in!O24=0,0,SER_hh_emih_in!O24/SER_summary!O$27)</f>
        <v>1.3003239785516476</v>
      </c>
      <c r="P24" s="132">
        <f>IF(SER_hh_emih_in!P24=0,0,SER_hh_emih_in!P24/SER_summary!P$27)</f>
        <v>0.96533988456354047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1.6118222075849336</v>
      </c>
      <c r="V24" s="132">
        <f>IF(SER_hh_emih_in!V24=0,0,SER_hh_emih_in!V24/SER_summary!V$27)</f>
        <v>1.7516707905602373</v>
      </c>
      <c r="W24" s="132">
        <f>IF(SER_hh_emih_in!W24=0,0,SER_hh_emih_in!W24/SER_summary!W$27)</f>
        <v>1.5269852814128535</v>
      </c>
      <c r="X24" s="132">
        <f>IF(SER_hh_emih_in!X24=0,0,SER_hh_emih_in!X24/SER_summary!X$27)</f>
        <v>1.5484075664474386</v>
      </c>
      <c r="Y24" s="132">
        <f>IF(SER_hh_emih_in!Y24=0,0,SER_hh_emih_in!Y24/SER_summary!Y$27)</f>
        <v>1.2398463672661006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3.0887508084067408</v>
      </c>
      <c r="D29" s="130">
        <f>IF(SER_hh_emih_in!D29=0,0,SER_hh_emih_in!D29/SER_summary!D$27)</f>
        <v>3.8804370765111451</v>
      </c>
      <c r="E29" s="130">
        <f>IF(SER_hh_emih_in!E29=0,0,SER_hh_emih_in!E29/SER_summary!E$27)</f>
        <v>3.4756985024130289</v>
      </c>
      <c r="F29" s="130">
        <f>IF(SER_hh_emih_in!F29=0,0,SER_hh_emih_in!F29/SER_summary!F$27)</f>
        <v>4.5389691249498414</v>
      </c>
      <c r="G29" s="130">
        <f>IF(SER_hh_emih_in!G29=0,0,SER_hh_emih_in!G29/SER_summary!G$27)</f>
        <v>4.2066807622526428</v>
      </c>
      <c r="H29" s="130">
        <f>IF(SER_hh_emih_in!H29=0,0,SER_hh_emih_in!H29/SER_summary!H$27)</f>
        <v>4.5596872923311196</v>
      </c>
      <c r="I29" s="130">
        <f>IF(SER_hh_emih_in!I29=0,0,SER_hh_emih_in!I29/SER_summary!I$27)</f>
        <v>4.0583586469590758</v>
      </c>
      <c r="J29" s="130">
        <f>IF(SER_hh_emih_in!J29=0,0,SER_hh_emih_in!J29/SER_summary!J$27)</f>
        <v>3.9821313042470874</v>
      </c>
      <c r="K29" s="130">
        <f>IF(SER_hh_emih_in!K29=0,0,SER_hh_emih_in!K29/SER_summary!K$27)</f>
        <v>3.5463589905961306</v>
      </c>
      <c r="L29" s="130">
        <f>IF(SER_hh_emih_in!L29=0,0,SER_hh_emih_in!L29/SER_summary!L$27)</f>
        <v>4.3682728031357643</v>
      </c>
      <c r="M29" s="130">
        <f>IF(SER_hh_emih_in!M29=0,0,SER_hh_emih_in!M29/SER_summary!M$27)</f>
        <v>6.166373426315813</v>
      </c>
      <c r="N29" s="130">
        <f>IF(SER_hh_emih_in!N29=0,0,SER_hh_emih_in!N29/SER_summary!N$27)</f>
        <v>5.5122403644855691</v>
      </c>
      <c r="O29" s="130">
        <f>IF(SER_hh_emih_in!O29=0,0,SER_hh_emih_in!O29/SER_summary!O$27)</f>
        <v>4.6024012633340616</v>
      </c>
      <c r="P29" s="130">
        <f>IF(SER_hh_emih_in!P29=0,0,SER_hh_emih_in!P29/SER_summary!P$27)</f>
        <v>3.9204178107310916</v>
      </c>
      <c r="Q29" s="130">
        <f>IF(SER_hh_emih_in!Q29=0,0,SER_hh_emih_in!Q29/SER_summary!Q$27)</f>
        <v>3.6337291653264208</v>
      </c>
      <c r="R29" s="130">
        <f>IF(SER_hh_emih_in!R29=0,0,SER_hh_emih_in!R29/SER_summary!R$27)</f>
        <v>3.0929360177002367</v>
      </c>
      <c r="S29" s="130">
        <f>IF(SER_hh_emih_in!S29=0,0,SER_hh_emih_in!S29/SER_summary!S$27)</f>
        <v>3.2388623650891151</v>
      </c>
      <c r="T29" s="130">
        <f>IF(SER_hh_emih_in!T29=0,0,SER_hh_emih_in!T29/SER_summary!T$27)</f>
        <v>3.7679128689586103</v>
      </c>
      <c r="U29" s="130">
        <f>IF(SER_hh_emih_in!U29=0,0,SER_hh_emih_in!U29/SER_summary!U$27)</f>
        <v>3.8070188694433944</v>
      </c>
      <c r="V29" s="130">
        <f>IF(SER_hh_emih_in!V29=0,0,SER_hh_emih_in!V29/SER_summary!V$27)</f>
        <v>3.8587901702098804</v>
      </c>
      <c r="W29" s="130">
        <f>IF(SER_hh_emih_in!W29=0,0,SER_hh_emih_in!W29/SER_summary!W$27)</f>
        <v>3.8083486668906081</v>
      </c>
      <c r="X29" s="130">
        <f>IF(SER_hh_emih_in!X29=0,0,SER_hh_emih_in!X29/SER_summary!X$27)</f>
        <v>3.5111582733532338</v>
      </c>
      <c r="Y29" s="130">
        <f>IF(SER_hh_emih_in!Y29=0,0,SER_hh_emih_in!Y29/SER_summary!Y$27)</f>
        <v>3.2799680534444473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7.6024240483611445</v>
      </c>
      <c r="D30" s="132">
        <f>IF(SER_hh_emih_in!D30=0,0,SER_hh_emih_in!D30/SER_summary!D$27)</f>
        <v>8.8917702357879751</v>
      </c>
      <c r="E30" s="132">
        <f>IF(SER_hh_emih_in!E30=0,0,SER_hh_emih_in!E30/SER_summary!E$27)</f>
        <v>0</v>
      </c>
      <c r="F30" s="132">
        <f>IF(SER_hh_emih_in!F30=0,0,SER_hh_emih_in!F30/SER_summary!F$27)</f>
        <v>0</v>
      </c>
      <c r="G30" s="132">
        <f>IF(SER_hh_emih_in!G30=0,0,SER_hh_emih_in!G30/SER_summary!G$27)</f>
        <v>0</v>
      </c>
      <c r="H30" s="132">
        <f>IF(SER_hh_emih_in!H30=0,0,SER_hh_emih_in!H30/SER_summary!H$27)</f>
        <v>7.8920666133774287</v>
      </c>
      <c r="I30" s="132">
        <f>IF(SER_hh_emih_in!I30=0,0,SER_hh_emih_in!I30/SER_summary!I$27)</f>
        <v>8.2039760908016284</v>
      </c>
      <c r="J30" s="132">
        <f>IF(SER_hh_emih_in!J30=0,0,SER_hh_emih_in!J30/SER_summary!J$27)</f>
        <v>7.2088291436235101</v>
      </c>
      <c r="K30" s="132">
        <f>IF(SER_hh_emih_in!K30=0,0,SER_hh_emih_in!K30/SER_summary!K$27)</f>
        <v>7.524623448753827</v>
      </c>
      <c r="L30" s="132">
        <f>IF(SER_hh_emih_in!L30=0,0,SER_hh_emih_in!L30/SER_summary!L$27)</f>
        <v>8.6156606210557829</v>
      </c>
      <c r="M30" s="132">
        <f>IF(SER_hh_emih_in!M30=0,0,SER_hh_emih_in!M30/SER_summary!M$27)</f>
        <v>0</v>
      </c>
      <c r="N30" s="132">
        <f>IF(SER_hh_emih_in!N30=0,0,SER_hh_emih_in!N30/SER_summary!N$27)</f>
        <v>0</v>
      </c>
      <c r="O30" s="132">
        <f>IF(SER_hh_emih_in!O30=0,0,SER_hh_emih_in!O30/SER_summary!O$27)</f>
        <v>0</v>
      </c>
      <c r="P30" s="132">
        <f>IF(SER_hh_emih_in!P30=0,0,SER_hh_emih_in!P30/SER_summary!P$27)</f>
        <v>7.2836130114133395</v>
      </c>
      <c r="Q30" s="132">
        <f>IF(SER_hh_emih_in!Q30=0,0,SER_hh_emih_in!Q30/SER_summary!Q$27)</f>
        <v>8.587391216056508</v>
      </c>
      <c r="R30" s="132">
        <f>IF(SER_hh_emih_in!R30=0,0,SER_hh_emih_in!R30/SER_summary!R$27)</f>
        <v>7.0706118292807858</v>
      </c>
      <c r="S30" s="132">
        <f>IF(SER_hh_emih_in!S30=0,0,SER_hh_emih_in!S30/SER_summary!S$27)</f>
        <v>6.1332885647841362</v>
      </c>
      <c r="T30" s="132">
        <f>IF(SER_hh_emih_in!T30=0,0,SER_hh_emih_in!T30/SER_summary!T$27)</f>
        <v>7.523192752593264</v>
      </c>
      <c r="U30" s="132">
        <f>IF(SER_hh_emih_in!U30=0,0,SER_hh_emih_in!U30/SER_summary!U$27)</f>
        <v>6.515187863282887</v>
      </c>
      <c r="V30" s="132">
        <f>IF(SER_hh_emih_in!V30=0,0,SER_hh_emih_in!V30/SER_summary!V$27)</f>
        <v>9.3016558832563323</v>
      </c>
      <c r="W30" s="132">
        <f>IF(SER_hh_emih_in!W30=0,0,SER_hh_emih_in!W30/SER_summary!W$27)</f>
        <v>6.4561016117823709</v>
      </c>
      <c r="X30" s="132">
        <f>IF(SER_hh_emih_in!X30=0,0,SER_hh_emih_in!X30/SER_summary!X$27)</f>
        <v>6.7139554160958062</v>
      </c>
      <c r="Y30" s="132">
        <f>IF(SER_hh_emih_in!Y30=0,0,SER_hh_emih_in!Y30/SER_summary!Y$27)</f>
        <v>0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7.7327397024345501</v>
      </c>
      <c r="D31" s="132">
        <f>IF(SER_hh_emih_in!D31=0,0,SER_hh_emih_in!D31/SER_summary!D$27)</f>
        <v>6.430450557568248</v>
      </c>
      <c r="E31" s="132">
        <f>IF(SER_hh_emih_in!E31=0,0,SER_hh_emih_in!E31/SER_summary!E$27)</f>
        <v>6.7656772295968715</v>
      </c>
      <c r="F31" s="132">
        <f>IF(SER_hh_emih_in!F31=0,0,SER_hh_emih_in!F31/SER_summary!F$27)</f>
        <v>7.2765620671880509</v>
      </c>
      <c r="G31" s="132">
        <f>IF(SER_hh_emih_in!G31=0,0,SER_hh_emih_in!G31/SER_summary!G$27)</f>
        <v>6.9554881474892518</v>
      </c>
      <c r="H31" s="132">
        <f>IF(SER_hh_emih_in!H31=0,0,SER_hh_emih_in!H31/SER_summary!H$27)</f>
        <v>7.002540918149232</v>
      </c>
      <c r="I31" s="132">
        <f>IF(SER_hh_emih_in!I31=0,0,SER_hh_emih_in!I31/SER_summary!I$27)</f>
        <v>6.8476445208768197</v>
      </c>
      <c r="J31" s="132">
        <f>IF(SER_hh_emih_in!J31=0,0,SER_hh_emih_in!J31/SER_summary!J$27)</f>
        <v>6.8585737366251642</v>
      </c>
      <c r="K31" s="132">
        <f>IF(SER_hh_emih_in!K31=0,0,SER_hh_emih_in!K31/SER_summary!K$27)</f>
        <v>6.808424941951106</v>
      </c>
      <c r="L31" s="132">
        <f>IF(SER_hh_emih_in!L31=0,0,SER_hh_emih_in!L31/SER_summary!L$27)</f>
        <v>6.8025088295822087</v>
      </c>
      <c r="M31" s="132">
        <f>IF(SER_hh_emih_in!M31=0,0,SER_hh_emih_in!M31/SER_summary!M$27)</f>
        <v>6.8589186372523878</v>
      </c>
      <c r="N31" s="132">
        <f>IF(SER_hh_emih_in!N31=0,0,SER_hh_emih_in!N31/SER_summary!N$27)</f>
        <v>6.8304313272234261</v>
      </c>
      <c r="O31" s="132">
        <f>IF(SER_hh_emih_in!O31=0,0,SER_hh_emih_in!O31/SER_summary!O$27)</f>
        <v>6.8520149776103194</v>
      </c>
      <c r="P31" s="132">
        <f>IF(SER_hh_emih_in!P31=0,0,SER_hh_emih_in!P31/SER_summary!P$27)</f>
        <v>6.6551584473114138</v>
      </c>
      <c r="Q31" s="132">
        <f>IF(SER_hh_emih_in!Q31=0,0,SER_hh_emih_in!Q31/SER_summary!Q$27)</f>
        <v>6.461818268559826</v>
      </c>
      <c r="R31" s="132">
        <f>IF(SER_hh_emih_in!R31=0,0,SER_hh_emih_in!R31/SER_summary!R$27)</f>
        <v>6.3798176641335873</v>
      </c>
      <c r="S31" s="132">
        <f>IF(SER_hh_emih_in!S31=0,0,SER_hh_emih_in!S31/SER_summary!S$27)</f>
        <v>6.314288167161263</v>
      </c>
      <c r="T31" s="132">
        <f>IF(SER_hh_emih_in!T31=0,0,SER_hh_emih_in!T31/SER_summary!T$27)</f>
        <v>6.2764996472369763</v>
      </c>
      <c r="U31" s="132">
        <f>IF(SER_hh_emih_in!U31=0,0,SER_hh_emih_in!U31/SER_summary!U$27)</f>
        <v>6.2214187586223337</v>
      </c>
      <c r="V31" s="132">
        <f>IF(SER_hh_emih_in!V31=0,0,SER_hh_emih_in!V31/SER_summary!V$27)</f>
        <v>5.8682133421064506</v>
      </c>
      <c r="W31" s="132">
        <f>IF(SER_hh_emih_in!W31=0,0,SER_hh_emih_in!W31/SER_summary!W$27)</f>
        <v>6.2943396305055233</v>
      </c>
      <c r="X31" s="132">
        <f>IF(SER_hh_emih_in!X31=0,0,SER_hh_emih_in!X31/SER_summary!X$27)</f>
        <v>6.19008938111104</v>
      </c>
      <c r="Y31" s="132">
        <f>IF(SER_hh_emih_in!Y31=0,0,SER_hh_emih_in!Y31/SER_summary!Y$27)</f>
        <v>6.0029556516049496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330.24016033396208</v>
      </c>
      <c r="C3" s="179">
        <f t="shared" ref="C3:W3" si="1">SUM(C4:C9)</f>
        <v>344.671327745339</v>
      </c>
      <c r="D3" s="179">
        <f t="shared" si="1"/>
        <v>357.95822512547522</v>
      </c>
      <c r="E3" s="179">
        <f t="shared" si="1"/>
        <v>375.11546581791572</v>
      </c>
      <c r="F3" s="179">
        <f t="shared" si="1"/>
        <v>390.95426361181399</v>
      </c>
      <c r="G3" s="179">
        <f t="shared" si="1"/>
        <v>409.91535522764468</v>
      </c>
      <c r="H3" s="179">
        <f t="shared" si="1"/>
        <v>426.97241360585906</v>
      </c>
      <c r="I3" s="179">
        <f t="shared" si="1"/>
        <v>443.05864443595368</v>
      </c>
      <c r="J3" s="179">
        <f t="shared" si="1"/>
        <v>450.15788117463785</v>
      </c>
      <c r="K3" s="179">
        <f t="shared" si="1"/>
        <v>454.16305982292624</v>
      </c>
      <c r="L3" s="179">
        <f t="shared" si="1"/>
        <v>457.09410168129739</v>
      </c>
      <c r="M3" s="179">
        <f t="shared" si="1"/>
        <v>456.5766926434938</v>
      </c>
      <c r="N3" s="179">
        <f t="shared" si="1"/>
        <v>450.92768264555394</v>
      </c>
      <c r="O3" s="179">
        <f t="shared" si="1"/>
        <v>446.59886025452056</v>
      </c>
      <c r="P3" s="179">
        <f t="shared" si="1"/>
        <v>446.12837568537509</v>
      </c>
      <c r="Q3" s="179">
        <f t="shared" si="1"/>
        <v>441.85639335855097</v>
      </c>
      <c r="R3" s="179">
        <f t="shared" si="1"/>
        <v>436.49415776237242</v>
      </c>
      <c r="S3" s="179">
        <f t="shared" si="1"/>
        <v>433.18847375457995</v>
      </c>
      <c r="T3" s="179">
        <f t="shared" si="1"/>
        <v>425.55581404112803</v>
      </c>
      <c r="U3" s="179">
        <f t="shared" si="1"/>
        <v>416.94580269815032</v>
      </c>
      <c r="V3" s="179">
        <f t="shared" si="1"/>
        <v>397.8125861680258</v>
      </c>
      <c r="W3" s="179">
        <f t="shared" si="1"/>
        <v>398.05960838797034</v>
      </c>
      <c r="X3" s="179">
        <f t="shared" ref="X3:Y3" si="2">SUM(X4:X9)</f>
        <v>396.88990167958514</v>
      </c>
      <c r="Y3" s="179">
        <f t="shared" si="2"/>
        <v>391.984080069117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16.69001048564617</v>
      </c>
      <c r="C4" s="180">
        <f t="shared" ref="C4:R9" si="4">C12*C44/11630</f>
        <v>17.553907770414927</v>
      </c>
      <c r="D4" s="180">
        <f t="shared" si="4"/>
        <v>18.567649627442567</v>
      </c>
      <c r="E4" s="180">
        <f t="shared" si="4"/>
        <v>19.655467881330406</v>
      </c>
      <c r="F4" s="180">
        <f t="shared" si="4"/>
        <v>20.257742472003478</v>
      </c>
      <c r="G4" s="180">
        <f t="shared" si="4"/>
        <v>21.024489539622664</v>
      </c>
      <c r="H4" s="180">
        <f t="shared" si="4"/>
        <v>21.745656756138334</v>
      </c>
      <c r="I4" s="180">
        <f t="shared" si="4"/>
        <v>22.560260827448804</v>
      </c>
      <c r="J4" s="180">
        <f t="shared" si="4"/>
        <v>22.847418618686284</v>
      </c>
      <c r="K4" s="180">
        <f t="shared" si="4"/>
        <v>23.012712218800118</v>
      </c>
      <c r="L4" s="180">
        <f t="shared" si="4"/>
        <v>23.17507425042178</v>
      </c>
      <c r="M4" s="180">
        <f t="shared" si="4"/>
        <v>23.27179052900647</v>
      </c>
      <c r="N4" s="180">
        <f t="shared" si="4"/>
        <v>23.271303074034968</v>
      </c>
      <c r="O4" s="180">
        <f t="shared" si="4"/>
        <v>23.479446487157119</v>
      </c>
      <c r="P4" s="180">
        <f t="shared" si="4"/>
        <v>23.881399235564214</v>
      </c>
      <c r="Q4" s="180">
        <f t="shared" si="4"/>
        <v>23.634987914419685</v>
      </c>
      <c r="R4" s="180">
        <f t="shared" si="4"/>
        <v>23.823925076737666</v>
      </c>
      <c r="S4" s="180">
        <f t="shared" ref="D4:W9" si="5">S12*S44/11630</f>
        <v>24.085159036272398</v>
      </c>
      <c r="T4" s="180">
        <f t="shared" si="5"/>
        <v>24.33039749335126</v>
      </c>
      <c r="U4" s="180">
        <f t="shared" si="5"/>
        <v>24.497760961482602</v>
      </c>
      <c r="V4" s="180">
        <f t="shared" si="5"/>
        <v>24.60342991545614</v>
      </c>
      <c r="W4" s="180">
        <f t="shared" si="5"/>
        <v>24.677163660870352</v>
      </c>
      <c r="X4" s="180">
        <f t="shared" ref="X4:Y4" si="6">X12*X44/11630</f>
        <v>24.695626652476331</v>
      </c>
      <c r="Y4" s="180">
        <f t="shared" si="6"/>
        <v>24.572931274161444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48.390158666575388</v>
      </c>
      <c r="C5" s="180">
        <f t="shared" si="4"/>
        <v>50.572259405050225</v>
      </c>
      <c r="D5" s="180">
        <f t="shared" si="5"/>
        <v>53.129618960041142</v>
      </c>
      <c r="E5" s="180">
        <f t="shared" si="5"/>
        <v>55.566701165014202</v>
      </c>
      <c r="F5" s="180">
        <f t="shared" si="5"/>
        <v>57.714276224181226</v>
      </c>
      <c r="G5" s="180">
        <f t="shared" si="5"/>
        <v>59.920182145774838</v>
      </c>
      <c r="H5" s="180">
        <f t="shared" si="5"/>
        <v>61.738265592242946</v>
      </c>
      <c r="I5" s="180">
        <f t="shared" si="5"/>
        <v>62.917712123962431</v>
      </c>
      <c r="J5" s="180">
        <f t="shared" si="5"/>
        <v>63.815841482140073</v>
      </c>
      <c r="K5" s="180">
        <f t="shared" si="5"/>
        <v>64.827935696063591</v>
      </c>
      <c r="L5" s="180">
        <f t="shared" si="5"/>
        <v>65.486181054263241</v>
      </c>
      <c r="M5" s="180">
        <f t="shared" si="5"/>
        <v>65.039413627274428</v>
      </c>
      <c r="N5" s="180">
        <f t="shared" si="5"/>
        <v>64.202747031347812</v>
      </c>
      <c r="O5" s="180">
        <f t="shared" si="5"/>
        <v>63.64340829493738</v>
      </c>
      <c r="P5" s="180">
        <f t="shared" si="5"/>
        <v>62.798938325300433</v>
      </c>
      <c r="Q5" s="180">
        <f t="shared" si="5"/>
        <v>61.339794061978317</v>
      </c>
      <c r="R5" s="180">
        <f t="shared" si="5"/>
        <v>60.003340840705562</v>
      </c>
      <c r="S5" s="180">
        <f t="shared" si="5"/>
        <v>59.341545435146323</v>
      </c>
      <c r="T5" s="180">
        <f t="shared" si="5"/>
        <v>57.805205097763789</v>
      </c>
      <c r="U5" s="180">
        <f t="shared" si="5"/>
        <v>56.219391060324426</v>
      </c>
      <c r="V5" s="180">
        <f t="shared" si="5"/>
        <v>54.675423999773415</v>
      </c>
      <c r="W5" s="180">
        <f t="shared" si="5"/>
        <v>53.932395369282183</v>
      </c>
      <c r="X5" s="180">
        <f t="shared" ref="X5:Y5" si="7">X13*X45/11630</f>
        <v>52.625904292366684</v>
      </c>
      <c r="Y5" s="180">
        <f t="shared" si="7"/>
        <v>51.085948122909478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129.65580435124596</v>
      </c>
      <c r="C6" s="180">
        <f t="shared" si="4"/>
        <v>133.51311436286059</v>
      </c>
      <c r="D6" s="180">
        <f t="shared" si="5"/>
        <v>137.26925113331924</v>
      </c>
      <c r="E6" s="180">
        <f t="shared" si="5"/>
        <v>142.52684708525382</v>
      </c>
      <c r="F6" s="180">
        <f t="shared" si="5"/>
        <v>145.41885815481191</v>
      </c>
      <c r="G6" s="180">
        <f t="shared" si="5"/>
        <v>148.99227735471152</v>
      </c>
      <c r="H6" s="180">
        <f t="shared" si="5"/>
        <v>150.43843333335886</v>
      </c>
      <c r="I6" s="180">
        <f t="shared" si="5"/>
        <v>152.96296086379124</v>
      </c>
      <c r="J6" s="180">
        <f t="shared" si="5"/>
        <v>152.23913638079722</v>
      </c>
      <c r="K6" s="180">
        <f t="shared" si="5"/>
        <v>150.9842482376225</v>
      </c>
      <c r="L6" s="180">
        <f t="shared" si="5"/>
        <v>150.6391199051163</v>
      </c>
      <c r="M6" s="180">
        <f t="shared" si="5"/>
        <v>149.96091249709556</v>
      </c>
      <c r="N6" s="180">
        <f t="shared" si="5"/>
        <v>147.86310893742279</v>
      </c>
      <c r="O6" s="180">
        <f t="shared" si="5"/>
        <v>145.60568137414097</v>
      </c>
      <c r="P6" s="180">
        <f t="shared" si="5"/>
        <v>145.23431132849552</v>
      </c>
      <c r="Q6" s="180">
        <f t="shared" si="5"/>
        <v>140.70173990689915</v>
      </c>
      <c r="R6" s="180">
        <f t="shared" si="5"/>
        <v>133.52875844679326</v>
      </c>
      <c r="S6" s="180">
        <f t="shared" si="5"/>
        <v>128.3121043218421</v>
      </c>
      <c r="T6" s="180">
        <f t="shared" si="5"/>
        <v>120.25339830567542</v>
      </c>
      <c r="U6" s="180">
        <f t="shared" si="5"/>
        <v>111.37003989485282</v>
      </c>
      <c r="V6" s="180">
        <f t="shared" si="5"/>
        <v>97.256843000832546</v>
      </c>
      <c r="W6" s="180">
        <f t="shared" si="5"/>
        <v>93.965351610442042</v>
      </c>
      <c r="X6" s="180">
        <f t="shared" ref="X6:Y6" si="8">X14*X46/11630</f>
        <v>91.264643302162682</v>
      </c>
      <c r="Y6" s="180">
        <f t="shared" si="8"/>
        <v>86.750912408391798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77.674751746456892</v>
      </c>
      <c r="C7" s="180">
        <f t="shared" si="4"/>
        <v>78.795194264859973</v>
      </c>
      <c r="D7" s="180">
        <f t="shared" si="5"/>
        <v>79.313394229906194</v>
      </c>
      <c r="E7" s="180">
        <f t="shared" si="5"/>
        <v>80.194082250918655</v>
      </c>
      <c r="F7" s="180">
        <f t="shared" si="5"/>
        <v>81.553946135901285</v>
      </c>
      <c r="G7" s="180">
        <f t="shared" si="5"/>
        <v>83.780444548184505</v>
      </c>
      <c r="H7" s="180">
        <f t="shared" si="5"/>
        <v>86.450284869403021</v>
      </c>
      <c r="I7" s="180">
        <f t="shared" si="5"/>
        <v>89.38878669128944</v>
      </c>
      <c r="J7" s="180">
        <f t="shared" si="5"/>
        <v>90.679689672334433</v>
      </c>
      <c r="K7" s="180">
        <f t="shared" si="5"/>
        <v>90.818512474523317</v>
      </c>
      <c r="L7" s="180">
        <f t="shared" si="5"/>
        <v>90.397135959402505</v>
      </c>
      <c r="M7" s="180">
        <f t="shared" si="5"/>
        <v>89.081497712583143</v>
      </c>
      <c r="N7" s="180">
        <f t="shared" si="5"/>
        <v>87.742224715377034</v>
      </c>
      <c r="O7" s="180">
        <f t="shared" si="5"/>
        <v>86.911312873878245</v>
      </c>
      <c r="P7" s="180">
        <f t="shared" si="5"/>
        <v>86.266919495055774</v>
      </c>
      <c r="Q7" s="180">
        <f t="shared" si="5"/>
        <v>86.256484730494051</v>
      </c>
      <c r="R7" s="180">
        <f t="shared" si="5"/>
        <v>85.781585732600561</v>
      </c>
      <c r="S7" s="180">
        <f t="shared" si="5"/>
        <v>85.299081034430486</v>
      </c>
      <c r="T7" s="180">
        <f t="shared" si="5"/>
        <v>85.21211313918343</v>
      </c>
      <c r="U7" s="180">
        <f t="shared" si="5"/>
        <v>85.358441319843152</v>
      </c>
      <c r="V7" s="180">
        <f t="shared" si="5"/>
        <v>85.549429278496902</v>
      </c>
      <c r="W7" s="180">
        <f t="shared" si="5"/>
        <v>85.884731270110848</v>
      </c>
      <c r="X7" s="180">
        <f t="shared" ref="X7:Y7" si="9">X15*X47/11630</f>
        <v>85.708547533249515</v>
      </c>
      <c r="Y7" s="180">
        <f t="shared" si="9"/>
        <v>85.124331609580636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24.717606557096559</v>
      </c>
      <c r="C8" s="55">
        <f t="shared" si="4"/>
        <v>27.172205019632408</v>
      </c>
      <c r="D8" s="55">
        <f t="shared" si="5"/>
        <v>29.671735112742702</v>
      </c>
      <c r="E8" s="55">
        <f t="shared" si="5"/>
        <v>33.192244370857836</v>
      </c>
      <c r="F8" s="55">
        <f t="shared" si="5"/>
        <v>36.117894354751932</v>
      </c>
      <c r="G8" s="55">
        <f t="shared" si="5"/>
        <v>38.89062441336295</v>
      </c>
      <c r="H8" s="55">
        <f t="shared" si="5"/>
        <v>41.271691698372116</v>
      </c>
      <c r="I8" s="55">
        <f t="shared" si="5"/>
        <v>43.710214105986104</v>
      </c>
      <c r="J8" s="55">
        <f t="shared" si="5"/>
        <v>44.92413074661301</v>
      </c>
      <c r="K8" s="55">
        <f t="shared" si="5"/>
        <v>46.067911010321794</v>
      </c>
      <c r="L8" s="55">
        <f t="shared" si="5"/>
        <v>47.189377290161211</v>
      </c>
      <c r="M8" s="55">
        <f t="shared" si="5"/>
        <v>47.983597101820159</v>
      </c>
      <c r="N8" s="55">
        <f t="shared" si="5"/>
        <v>47.218965807112518</v>
      </c>
      <c r="O8" s="55">
        <f t="shared" si="5"/>
        <v>46.341654412573789</v>
      </c>
      <c r="P8" s="55">
        <f t="shared" si="5"/>
        <v>45.892470155206574</v>
      </c>
      <c r="Q8" s="55">
        <f t="shared" si="5"/>
        <v>43.905148569157134</v>
      </c>
      <c r="R8" s="55">
        <f t="shared" si="5"/>
        <v>47.377168191795704</v>
      </c>
      <c r="S8" s="55">
        <f t="shared" si="5"/>
        <v>48.288854047095874</v>
      </c>
      <c r="T8" s="55">
        <f t="shared" si="5"/>
        <v>48.663514024744863</v>
      </c>
      <c r="U8" s="55">
        <f t="shared" si="5"/>
        <v>49.353327316063918</v>
      </c>
      <c r="V8" s="55">
        <f t="shared" si="5"/>
        <v>47.001246642120371</v>
      </c>
      <c r="W8" s="55">
        <f t="shared" si="5"/>
        <v>49.060410670520398</v>
      </c>
      <c r="X8" s="55">
        <f t="shared" ref="X8:Y8" si="10">X16*X48/11630</f>
        <v>50.431964396486464</v>
      </c>
      <c r="Y8" s="55">
        <f t="shared" si="10"/>
        <v>51.529333429996846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33.111828526941146</v>
      </c>
      <c r="C9" s="63">
        <f t="shared" si="4"/>
        <v>37.064646922520886</v>
      </c>
      <c r="D9" s="63">
        <f t="shared" si="5"/>
        <v>40.00657606202337</v>
      </c>
      <c r="E9" s="63">
        <f t="shared" si="5"/>
        <v>43.980123064540791</v>
      </c>
      <c r="F9" s="63">
        <f t="shared" si="5"/>
        <v>49.891546270164177</v>
      </c>
      <c r="G9" s="63">
        <f t="shared" si="5"/>
        <v>57.307337225988213</v>
      </c>
      <c r="H9" s="63">
        <f t="shared" si="5"/>
        <v>65.328081356343787</v>
      </c>
      <c r="I9" s="63">
        <f t="shared" si="5"/>
        <v>71.518709823475646</v>
      </c>
      <c r="J9" s="63">
        <f t="shared" si="5"/>
        <v>75.651664274066846</v>
      </c>
      <c r="K9" s="63">
        <f t="shared" si="5"/>
        <v>78.451740185594929</v>
      </c>
      <c r="L9" s="63">
        <f t="shared" si="5"/>
        <v>80.207213221932335</v>
      </c>
      <c r="M9" s="63">
        <f t="shared" si="5"/>
        <v>81.239481175713976</v>
      </c>
      <c r="N9" s="63">
        <f t="shared" si="5"/>
        <v>80.629333080258789</v>
      </c>
      <c r="O9" s="63">
        <f t="shared" si="5"/>
        <v>80.617356811833005</v>
      </c>
      <c r="P9" s="63">
        <f t="shared" si="5"/>
        <v>82.054337145752569</v>
      </c>
      <c r="Q9" s="63">
        <f t="shared" si="5"/>
        <v>86.01823817560269</v>
      </c>
      <c r="R9" s="63">
        <f t="shared" si="5"/>
        <v>85.979379473739698</v>
      </c>
      <c r="S9" s="63">
        <f t="shared" si="5"/>
        <v>87.861729879792776</v>
      </c>
      <c r="T9" s="63">
        <f t="shared" si="5"/>
        <v>89.291185980409296</v>
      </c>
      <c r="U9" s="63">
        <f t="shared" si="5"/>
        <v>90.146842145583392</v>
      </c>
      <c r="V9" s="63">
        <f t="shared" si="5"/>
        <v>88.726213331346472</v>
      </c>
      <c r="W9" s="63">
        <f t="shared" si="5"/>
        <v>90.539555806744517</v>
      </c>
      <c r="X9" s="63">
        <f t="shared" ref="X9:Y9" si="11">X17*X49/11630</f>
        <v>92.163215502843457</v>
      </c>
      <c r="Y9" s="63">
        <f t="shared" si="11"/>
        <v>92.920623224076877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1469.952153171449</v>
      </c>
      <c r="C11" s="179">
        <f t="shared" ref="C11:W11" si="13">SUM(C12:C17)</f>
        <v>1537.7534293629215</v>
      </c>
      <c r="D11" s="179">
        <f t="shared" si="13"/>
        <v>1596.745193644447</v>
      </c>
      <c r="E11" s="179">
        <f t="shared" si="13"/>
        <v>1685.3684754668968</v>
      </c>
      <c r="F11" s="179">
        <f t="shared" si="13"/>
        <v>1766.158425301044</v>
      </c>
      <c r="G11" s="179">
        <f t="shared" si="13"/>
        <v>1860.7591915407893</v>
      </c>
      <c r="H11" s="179">
        <f t="shared" si="13"/>
        <v>1943.7973190562302</v>
      </c>
      <c r="I11" s="179">
        <f t="shared" si="13"/>
        <v>2021.5565463343453</v>
      </c>
      <c r="J11" s="179">
        <f t="shared" si="13"/>
        <v>2050.1542288648411</v>
      </c>
      <c r="K11" s="179">
        <f t="shared" si="13"/>
        <v>2068.1034172430923</v>
      </c>
      <c r="L11" s="179">
        <f t="shared" si="13"/>
        <v>2078.3479330730106</v>
      </c>
      <c r="M11" s="179">
        <f t="shared" si="13"/>
        <v>2081.9909396256048</v>
      </c>
      <c r="N11" s="179">
        <f t="shared" si="13"/>
        <v>2057.6226381468723</v>
      </c>
      <c r="O11" s="179">
        <f t="shared" si="13"/>
        <v>2038.5021287061518</v>
      </c>
      <c r="P11" s="179">
        <f t="shared" si="13"/>
        <v>2042.5307314173785</v>
      </c>
      <c r="Q11" s="179">
        <f t="shared" si="13"/>
        <v>2018.720174217304</v>
      </c>
      <c r="R11" s="179">
        <f t="shared" si="13"/>
        <v>1987.3421439651645</v>
      </c>
      <c r="S11" s="179">
        <f t="shared" si="13"/>
        <v>1963.5150313344284</v>
      </c>
      <c r="T11" s="179">
        <f t="shared" si="13"/>
        <v>1943.3079560898482</v>
      </c>
      <c r="U11" s="179">
        <f t="shared" si="13"/>
        <v>1922.2279066880237</v>
      </c>
      <c r="V11" s="179">
        <f t="shared" si="13"/>
        <v>1900.104015255964</v>
      </c>
      <c r="W11" s="179">
        <f t="shared" si="13"/>
        <v>1885.2904214250384</v>
      </c>
      <c r="X11" s="179">
        <f t="shared" ref="X11:Y11" si="14">SUM(X12:X17)</f>
        <v>1868.8290880946861</v>
      </c>
      <c r="Y11" s="179">
        <f t="shared" si="14"/>
        <v>1846.8616556493473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22.158084697267689</v>
      </c>
      <c r="C12" s="180">
        <f t="shared" ref="C12:W12" si="15">C20*C52</f>
        <v>23.30501682305087</v>
      </c>
      <c r="D12" s="180">
        <f t="shared" si="15"/>
        <v>24.650886434606974</v>
      </c>
      <c r="E12" s="180">
        <f t="shared" si="15"/>
        <v>26.095101764825646</v>
      </c>
      <c r="F12" s="180">
        <f t="shared" si="15"/>
        <v>26.894696912032014</v>
      </c>
      <c r="G12" s="180">
        <f t="shared" si="15"/>
        <v>27.912649925320956</v>
      </c>
      <c r="H12" s="180">
        <f t="shared" si="15"/>
        <v>28.87008996277271</v>
      </c>
      <c r="I12" s="180">
        <f t="shared" si="15"/>
        <v>29.951579157902916</v>
      </c>
      <c r="J12" s="180">
        <f t="shared" si="15"/>
        <v>30.332817184397431</v>
      </c>
      <c r="K12" s="180">
        <f t="shared" si="15"/>
        <v>30.552265194594217</v>
      </c>
      <c r="L12" s="180">
        <f t="shared" si="15"/>
        <v>30.767821179498306</v>
      </c>
      <c r="M12" s="180">
        <f t="shared" si="15"/>
        <v>30.896224184057676</v>
      </c>
      <c r="N12" s="180">
        <f t="shared" si="15"/>
        <v>30.895577026372919</v>
      </c>
      <c r="O12" s="180">
        <f t="shared" si="15"/>
        <v>31.171913544022519</v>
      </c>
      <c r="P12" s="180">
        <f t="shared" si="15"/>
        <v>31.705556291051575</v>
      </c>
      <c r="Q12" s="180">
        <f t="shared" si="15"/>
        <v>31.378414320171352</v>
      </c>
      <c r="R12" s="180">
        <f t="shared" si="15"/>
        <v>31.62925212813461</v>
      </c>
      <c r="S12" s="180">
        <f t="shared" si="15"/>
        <v>31.97607301276804</v>
      </c>
      <c r="T12" s="180">
        <f t="shared" si="15"/>
        <v>32.301657859323662</v>
      </c>
      <c r="U12" s="180">
        <f t="shared" si="15"/>
        <v>32.523853879228625</v>
      </c>
      <c r="V12" s="180">
        <f t="shared" si="15"/>
        <v>32.664142684561071</v>
      </c>
      <c r="W12" s="180">
        <f t="shared" si="15"/>
        <v>32.762033490402096</v>
      </c>
      <c r="X12" s="180">
        <f t="shared" ref="X12:Y12" si="16">X20*X52</f>
        <v>32.786545430171223</v>
      </c>
      <c r="Y12" s="180">
        <f t="shared" si="16"/>
        <v>32.623651908504314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149.53575690543471</v>
      </c>
      <c r="C13" s="180">
        <f t="shared" ref="C13:W13" si="17">C21*C53/1000</f>
        <v>155.81673284977799</v>
      </c>
      <c r="D13" s="180">
        <f t="shared" si="17"/>
        <v>163.29342433483612</v>
      </c>
      <c r="E13" s="180">
        <f t="shared" si="17"/>
        <v>170.44903501017757</v>
      </c>
      <c r="F13" s="180">
        <f t="shared" si="17"/>
        <v>176.95502979488697</v>
      </c>
      <c r="G13" s="180">
        <f t="shared" si="17"/>
        <v>183.25962614949682</v>
      </c>
      <c r="H13" s="180">
        <f t="shared" si="17"/>
        <v>188.43139916510358</v>
      </c>
      <c r="I13" s="180">
        <f t="shared" si="17"/>
        <v>191.79016641248737</v>
      </c>
      <c r="J13" s="180">
        <f t="shared" si="17"/>
        <v>194.42604412000702</v>
      </c>
      <c r="K13" s="180">
        <f t="shared" si="17"/>
        <v>197.38264259770327</v>
      </c>
      <c r="L13" s="180">
        <f t="shared" si="17"/>
        <v>199.32146423757987</v>
      </c>
      <c r="M13" s="180">
        <f t="shared" si="17"/>
        <v>198.24295585488144</v>
      </c>
      <c r="N13" s="180">
        <f t="shared" si="17"/>
        <v>196.05615112072735</v>
      </c>
      <c r="O13" s="180">
        <f t="shared" si="17"/>
        <v>195.06188651204064</v>
      </c>
      <c r="P13" s="180">
        <f t="shared" si="17"/>
        <v>193.30385807698306</v>
      </c>
      <c r="Q13" s="180">
        <f t="shared" si="17"/>
        <v>189.80989348971892</v>
      </c>
      <c r="R13" s="180">
        <f t="shared" si="17"/>
        <v>187.07752186148753</v>
      </c>
      <c r="S13" s="180">
        <f t="shared" si="17"/>
        <v>183.9109723049622</v>
      </c>
      <c r="T13" s="180">
        <f t="shared" si="17"/>
        <v>180.92208288930604</v>
      </c>
      <c r="U13" s="180">
        <f t="shared" si="17"/>
        <v>177.49642450975779</v>
      </c>
      <c r="V13" s="180">
        <f t="shared" si="17"/>
        <v>173.38978785489405</v>
      </c>
      <c r="W13" s="180">
        <f t="shared" si="17"/>
        <v>170.21197171533959</v>
      </c>
      <c r="X13" s="180">
        <f t="shared" ref="X13:Y13" si="18">X21*X53/1000</f>
        <v>166.47271617770031</v>
      </c>
      <c r="Y13" s="180">
        <f t="shared" si="18"/>
        <v>161.97589014616148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694.09615453562583</v>
      </c>
      <c r="C14" s="180">
        <f t="shared" ref="C14:W14" si="19">C22*C54</f>
        <v>708.02136696003083</v>
      </c>
      <c r="D14" s="180">
        <f t="shared" si="19"/>
        <v>721.34882978750147</v>
      </c>
      <c r="E14" s="180">
        <f t="shared" si="19"/>
        <v>743.64005980610409</v>
      </c>
      <c r="F14" s="180">
        <f t="shared" si="19"/>
        <v>752.8570651766081</v>
      </c>
      <c r="G14" s="180">
        <f t="shared" si="19"/>
        <v>766.07369113445714</v>
      </c>
      <c r="H14" s="180">
        <f t="shared" si="19"/>
        <v>769.11742131460494</v>
      </c>
      <c r="I14" s="180">
        <f t="shared" si="19"/>
        <v>779.10685157403861</v>
      </c>
      <c r="J14" s="180">
        <f t="shared" si="19"/>
        <v>772.42713468300599</v>
      </c>
      <c r="K14" s="180">
        <f t="shared" si="19"/>
        <v>765.06032871628474</v>
      </c>
      <c r="L14" s="180">
        <f t="shared" si="19"/>
        <v>760.03269077633774</v>
      </c>
      <c r="M14" s="180">
        <f t="shared" si="19"/>
        <v>753.77636865623936</v>
      </c>
      <c r="N14" s="180">
        <f t="shared" si="19"/>
        <v>741.99414341240447</v>
      </c>
      <c r="O14" s="180">
        <f t="shared" si="19"/>
        <v>726.96047352903213</v>
      </c>
      <c r="P14" s="180">
        <f t="shared" si="19"/>
        <v>720.52869787405484</v>
      </c>
      <c r="Q14" s="180">
        <f t="shared" si="19"/>
        <v>691.57793027922617</v>
      </c>
      <c r="R14" s="180">
        <f t="shared" si="19"/>
        <v>658.37651455996672</v>
      </c>
      <c r="S14" s="180">
        <f t="shared" si="19"/>
        <v>624.31128786734587</v>
      </c>
      <c r="T14" s="180">
        <f t="shared" si="19"/>
        <v>591.71373727631533</v>
      </c>
      <c r="U14" s="180">
        <f t="shared" si="19"/>
        <v>555.23904548084283</v>
      </c>
      <c r="V14" s="180">
        <f t="shared" si="19"/>
        <v>519.61452564831586</v>
      </c>
      <c r="W14" s="180">
        <f t="shared" si="19"/>
        <v>490.28035168547797</v>
      </c>
      <c r="X14" s="180">
        <f t="shared" ref="X14:Y14" si="20">X22*X54</f>
        <v>465.66110535674312</v>
      </c>
      <c r="Y14" s="180">
        <f t="shared" si="20"/>
        <v>437.79116190491544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103.12298662229382</v>
      </c>
      <c r="C15" s="180">
        <f t="shared" ref="C15:W15" si="21">C23*C55/1000</f>
        <v>104.61051476031066</v>
      </c>
      <c r="D15" s="180">
        <f t="shared" si="21"/>
        <v>105.29849028468142</v>
      </c>
      <c r="E15" s="180">
        <f t="shared" si="21"/>
        <v>106.46771422125387</v>
      </c>
      <c r="F15" s="180">
        <f t="shared" si="21"/>
        <v>108.27310428773197</v>
      </c>
      <c r="G15" s="180">
        <f t="shared" si="21"/>
        <v>111.22906051317192</v>
      </c>
      <c r="H15" s="180">
        <f t="shared" si="21"/>
        <v>114.77360879351109</v>
      </c>
      <c r="I15" s="180">
        <f t="shared" si="21"/>
        <v>118.67483895202012</v>
      </c>
      <c r="J15" s="180">
        <f t="shared" si="21"/>
        <v>120.38867475904675</v>
      </c>
      <c r="K15" s="180">
        <f t="shared" si="21"/>
        <v>120.57297946103951</v>
      </c>
      <c r="L15" s="180">
        <f t="shared" si="21"/>
        <v>120.01354922464053</v>
      </c>
      <c r="M15" s="180">
        <f t="shared" si="21"/>
        <v>118.26687424627197</v>
      </c>
      <c r="N15" s="180">
        <f t="shared" si="21"/>
        <v>116.48882116893094</v>
      </c>
      <c r="O15" s="180">
        <f t="shared" si="21"/>
        <v>115.38568136109629</v>
      </c>
      <c r="P15" s="180">
        <f t="shared" si="21"/>
        <v>114.53016823373272</v>
      </c>
      <c r="Q15" s="180">
        <f t="shared" si="21"/>
        <v>114.51631477347557</v>
      </c>
      <c r="R15" s="180">
        <f t="shared" si="21"/>
        <v>113.88582672033617</v>
      </c>
      <c r="S15" s="180">
        <f t="shared" si="21"/>
        <v>113.24524114502591</v>
      </c>
      <c r="T15" s="180">
        <f t="shared" si="21"/>
        <v>113.12978034345929</v>
      </c>
      <c r="U15" s="180">
        <f t="shared" si="21"/>
        <v>113.32404937782829</v>
      </c>
      <c r="V15" s="180">
        <f t="shared" si="21"/>
        <v>113.57760987544739</v>
      </c>
      <c r="W15" s="180">
        <f t="shared" si="21"/>
        <v>114.02276537344628</v>
      </c>
      <c r="X15" s="180">
        <f t="shared" ref="X15:Y15" si="22">X23*X55/1000</f>
        <v>113.78885933923425</v>
      </c>
      <c r="Y15" s="180">
        <f t="shared" si="22"/>
        <v>113.01323934011678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313.38925414058826</v>
      </c>
      <c r="C16" s="55">
        <f t="shared" ref="C16:W16" si="23">C24*C56</f>
        <v>342.87272121289027</v>
      </c>
      <c r="D16" s="55">
        <f t="shared" si="23"/>
        <v>372.7876932820563</v>
      </c>
      <c r="E16" s="55">
        <f t="shared" si="23"/>
        <v>415.35279506256808</v>
      </c>
      <c r="F16" s="55">
        <f t="shared" si="23"/>
        <v>450.29145673726237</v>
      </c>
      <c r="G16" s="55">
        <f t="shared" si="23"/>
        <v>483.1901125984628</v>
      </c>
      <c r="H16" s="55">
        <f t="shared" si="23"/>
        <v>511.12127356880342</v>
      </c>
      <c r="I16" s="55">
        <f t="shared" si="23"/>
        <v>539.68229843820222</v>
      </c>
      <c r="J16" s="55">
        <f t="shared" si="23"/>
        <v>553.0873722084508</v>
      </c>
      <c r="K16" s="55">
        <f t="shared" si="23"/>
        <v>565.63793084138149</v>
      </c>
      <c r="L16" s="55">
        <f t="shared" si="23"/>
        <v>577.92360368299558</v>
      </c>
      <c r="M16" s="55">
        <f t="shared" si="23"/>
        <v>589.79575052268945</v>
      </c>
      <c r="N16" s="55">
        <f t="shared" si="23"/>
        <v>588.81325737274551</v>
      </c>
      <c r="O16" s="55">
        <f t="shared" si="23"/>
        <v>589.62432792649065</v>
      </c>
      <c r="P16" s="55">
        <f t="shared" si="23"/>
        <v>596.06809758661007</v>
      </c>
      <c r="Q16" s="55">
        <f t="shared" si="23"/>
        <v>582.41872943072985</v>
      </c>
      <c r="R16" s="55">
        <f t="shared" si="23"/>
        <v>588.77882788959096</v>
      </c>
      <c r="S16" s="55">
        <f t="shared" si="23"/>
        <v>595.83753614364252</v>
      </c>
      <c r="T16" s="55">
        <f t="shared" si="23"/>
        <v>603.13651187512585</v>
      </c>
      <c r="U16" s="55">
        <f t="shared" si="23"/>
        <v>616.88350499019589</v>
      </c>
      <c r="V16" s="55">
        <f t="shared" si="23"/>
        <v>629.57226688826086</v>
      </c>
      <c r="W16" s="55">
        <f t="shared" si="23"/>
        <v>641.77533428575794</v>
      </c>
      <c r="X16" s="55">
        <f t="shared" ref="X16:Y16" si="24">X24*X56</f>
        <v>649.98087566828269</v>
      </c>
      <c r="Y16" s="55">
        <f t="shared" si="24"/>
        <v>659.25934241461198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187.64991627023875</v>
      </c>
      <c r="C17" s="63">
        <f t="shared" ref="C17:W17" si="25">C25*C57/1000</f>
        <v>203.12707675686084</v>
      </c>
      <c r="D17" s="63">
        <f t="shared" si="25"/>
        <v>209.36586952076473</v>
      </c>
      <c r="E17" s="63">
        <f t="shared" si="25"/>
        <v>223.36376960196785</v>
      </c>
      <c r="F17" s="63">
        <f t="shared" si="25"/>
        <v>250.88707239252264</v>
      </c>
      <c r="G17" s="63">
        <f t="shared" si="25"/>
        <v>289.09405121987976</v>
      </c>
      <c r="H17" s="63">
        <f t="shared" si="25"/>
        <v>331.48352625143457</v>
      </c>
      <c r="I17" s="63">
        <f t="shared" si="25"/>
        <v>362.35081179969399</v>
      </c>
      <c r="J17" s="63">
        <f t="shared" si="25"/>
        <v>379.49218590993326</v>
      </c>
      <c r="K17" s="63">
        <f t="shared" si="25"/>
        <v>388.89727043208887</v>
      </c>
      <c r="L17" s="63">
        <f t="shared" si="25"/>
        <v>390.28880397195866</v>
      </c>
      <c r="M17" s="63">
        <f t="shared" si="25"/>
        <v>391.01276616146515</v>
      </c>
      <c r="N17" s="63">
        <f t="shared" si="25"/>
        <v>383.37468804569124</v>
      </c>
      <c r="O17" s="63">
        <f t="shared" si="25"/>
        <v>380.29784583346964</v>
      </c>
      <c r="P17" s="63">
        <f t="shared" si="25"/>
        <v>386.39435335494642</v>
      </c>
      <c r="Q17" s="63">
        <f t="shared" si="25"/>
        <v>409.01889192398227</v>
      </c>
      <c r="R17" s="63">
        <f t="shared" si="25"/>
        <v>407.59420080564854</v>
      </c>
      <c r="S17" s="63">
        <f t="shared" si="25"/>
        <v>414.23392086068384</v>
      </c>
      <c r="T17" s="63">
        <f t="shared" si="25"/>
        <v>422.1041858463181</v>
      </c>
      <c r="U17" s="63">
        <f t="shared" si="25"/>
        <v>426.7610284501701</v>
      </c>
      <c r="V17" s="63">
        <f t="shared" si="25"/>
        <v>431.28568230448502</v>
      </c>
      <c r="W17" s="63">
        <f t="shared" si="25"/>
        <v>436.23796487461459</v>
      </c>
      <c r="X17" s="63">
        <f t="shared" ref="X17:Y17" si="26">X25*X57/1000</f>
        <v>440.1389861225544</v>
      </c>
      <c r="Y17" s="63">
        <f t="shared" si="26"/>
        <v>442.19836993503742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28.332712298119368</v>
      </c>
      <c r="C20" s="181">
        <v>30.126904445855057</v>
      </c>
      <c r="D20" s="181">
        <v>32.262720596019761</v>
      </c>
      <c r="E20" s="181">
        <v>34.606868711202011</v>
      </c>
      <c r="F20" s="181">
        <v>36.041330005377596</v>
      </c>
      <c r="G20" s="181">
        <v>37.856335333519311</v>
      </c>
      <c r="H20" s="181">
        <v>39.631549518366718</v>
      </c>
      <c r="I20" s="181">
        <v>41.651506632547324</v>
      </c>
      <c r="J20" s="181">
        <v>42.615361011488794</v>
      </c>
      <c r="K20" s="181">
        <v>43.359784538765133</v>
      </c>
      <c r="L20" s="181">
        <v>44.145694142035666</v>
      </c>
      <c r="M20" s="181">
        <v>44.835340989207701</v>
      </c>
      <c r="N20" s="181">
        <v>45.393461396698747</v>
      </c>
      <c r="O20" s="181">
        <v>46.539512957839001</v>
      </c>
      <c r="P20" s="181">
        <v>48.34030985341159</v>
      </c>
      <c r="Q20" s="181">
        <v>48.656659518699328</v>
      </c>
      <c r="R20" s="181">
        <v>50.148414188811245</v>
      </c>
      <c r="S20" s="181">
        <v>51.889340378846484</v>
      </c>
      <c r="T20" s="181">
        <v>53.649540241462297</v>
      </c>
      <c r="U20" s="181">
        <v>55.318599090107618</v>
      </c>
      <c r="V20" s="181">
        <v>56.941823052492097</v>
      </c>
      <c r="W20" s="181">
        <v>58.522624664780722</v>
      </c>
      <c r="X20" s="181">
        <v>59.59200949233928</v>
      </c>
      <c r="Y20" s="181">
        <v>60.391595481195054</v>
      </c>
      <c r="DA20" s="190" t="s">
        <v>922</v>
      </c>
    </row>
    <row r="21" spans="1:105" ht="12" customHeight="1" x14ac:dyDescent="0.25">
      <c r="A21" s="131" t="s">
        <v>156</v>
      </c>
      <c r="B21" s="181">
        <v>729.91896993656621</v>
      </c>
      <c r="C21" s="181">
        <v>769.64442647917815</v>
      </c>
      <c r="D21" s="181">
        <v>818.52961306231759</v>
      </c>
      <c r="E21" s="181">
        <v>868.834650471744</v>
      </c>
      <c r="F21" s="181">
        <v>919.73625068404635</v>
      </c>
      <c r="G21" s="181">
        <v>972.85430968102287</v>
      </c>
      <c r="H21" s="181">
        <v>1023.9270725471466</v>
      </c>
      <c r="I21" s="181">
        <v>1067.1787129864583</v>
      </c>
      <c r="J21" s="181">
        <v>1099.6772383649202</v>
      </c>
      <c r="K21" s="181">
        <v>1134.7001231430074</v>
      </c>
      <c r="L21" s="181">
        <v>1165.702533062861</v>
      </c>
      <c r="M21" s="181">
        <v>1179.5774092875736</v>
      </c>
      <c r="N21" s="181">
        <v>1189.7899034170732</v>
      </c>
      <c r="O21" s="181">
        <v>1211.9417670180349</v>
      </c>
      <c r="P21" s="181">
        <v>1234.7215237396433</v>
      </c>
      <c r="Q21" s="181">
        <v>1253.3021253449106</v>
      </c>
      <c r="R21" s="181">
        <v>1292.0295270537792</v>
      </c>
      <c r="S21" s="181">
        <v>1332.01830207035</v>
      </c>
      <c r="T21" s="181">
        <v>1372.5642561291081</v>
      </c>
      <c r="U21" s="181">
        <v>1413.7292168064726</v>
      </c>
      <c r="V21" s="181">
        <v>1455.803826066779</v>
      </c>
      <c r="W21" s="181">
        <v>1499.403098224127</v>
      </c>
      <c r="X21" s="181">
        <v>1528.374386976602</v>
      </c>
      <c r="Y21" s="181">
        <v>1551.8929792816932</v>
      </c>
      <c r="DA21" s="190" t="s">
        <v>923</v>
      </c>
    </row>
    <row r="22" spans="1:105" ht="12" customHeight="1" x14ac:dyDescent="0.25">
      <c r="A22" s="131" t="s">
        <v>160</v>
      </c>
      <c r="B22" s="181">
        <v>14.376218475552813</v>
      </c>
      <c r="C22" s="181">
        <v>14.835212253539481</v>
      </c>
      <c r="D22" s="181">
        <v>15.372232953457235</v>
      </c>
      <c r="E22" s="181">
        <v>16.173122096916799</v>
      </c>
      <c r="F22" s="181">
        <v>16.728135266780725</v>
      </c>
      <c r="G22" s="181">
        <v>17.471116839849486</v>
      </c>
      <c r="H22" s="181">
        <v>18.069022111043367</v>
      </c>
      <c r="I22" s="181">
        <v>18.765265455947866</v>
      </c>
      <c r="J22" s="181">
        <v>19.050513485966242</v>
      </c>
      <c r="K22" s="181">
        <v>19.418495357099289</v>
      </c>
      <c r="L22" s="181">
        <v>19.86196524397905</v>
      </c>
      <c r="M22" s="181">
        <v>20.398801955024759</v>
      </c>
      <c r="N22" s="181">
        <v>20.890301765462866</v>
      </c>
      <c r="O22" s="181">
        <v>21.522626487990856</v>
      </c>
      <c r="P22" s="181">
        <v>22.532486726723274</v>
      </c>
      <c r="Q22" s="181">
        <v>23.10929130247586</v>
      </c>
      <c r="R22" s="181">
        <v>23.693369828181197</v>
      </c>
      <c r="S22" s="181">
        <v>24.394903475588436</v>
      </c>
      <c r="T22" s="181">
        <v>25.096573253911586</v>
      </c>
      <c r="U22" s="181">
        <v>25.74159390499905</v>
      </c>
      <c r="V22" s="181">
        <v>26.341522629962377</v>
      </c>
      <c r="W22" s="181">
        <v>26.884365349365442</v>
      </c>
      <c r="X22" s="181">
        <v>27.280182194689793</v>
      </c>
      <c r="Y22" s="181">
        <v>27.597984144892646</v>
      </c>
      <c r="DA22" s="190" t="s">
        <v>924</v>
      </c>
    </row>
    <row r="23" spans="1:105" ht="12" customHeight="1" x14ac:dyDescent="0.25">
      <c r="A23" s="131" t="s">
        <v>172</v>
      </c>
      <c r="B23" s="181">
        <v>143.58196353559904</v>
      </c>
      <c r="C23" s="181">
        <v>147.31123312918498</v>
      </c>
      <c r="D23" s="181">
        <v>150.30444740382441</v>
      </c>
      <c r="E23" s="181">
        <v>154.30939529526444</v>
      </c>
      <c r="F23" s="181">
        <v>159.66169307342901</v>
      </c>
      <c r="G23" s="181">
        <v>167.09794038842622</v>
      </c>
      <c r="H23" s="181">
        <v>175.91279579034094</v>
      </c>
      <c r="I23" s="181">
        <v>185.9647127243185</v>
      </c>
      <c r="J23" s="181">
        <v>192.97591301620182</v>
      </c>
      <c r="K23" s="181">
        <v>197.94311722237336</v>
      </c>
      <c r="L23" s="181">
        <v>202.17883903019441</v>
      </c>
      <c r="M23" s="181">
        <v>202.77149094732906</v>
      </c>
      <c r="N23" s="181">
        <v>203.08775291588748</v>
      </c>
      <c r="O23" s="181">
        <v>205.17411244985382</v>
      </c>
      <c r="P23" s="181">
        <v>208.82979631364418</v>
      </c>
      <c r="Q23" s="181">
        <v>215.75942913976181</v>
      </c>
      <c r="R23" s="181">
        <v>221.83823550360609</v>
      </c>
      <c r="S23" s="181">
        <v>228.16279958758085</v>
      </c>
      <c r="T23" s="181">
        <v>234.46883511179666</v>
      </c>
      <c r="U23" s="181">
        <v>240.68073553270625</v>
      </c>
      <c r="V23" s="181">
        <v>246.68825795239209</v>
      </c>
      <c r="W23" s="181">
        <v>252.35648034510589</v>
      </c>
      <c r="X23" s="181">
        <v>256.01246661631819</v>
      </c>
      <c r="Y23" s="181">
        <v>259.08832599336944</v>
      </c>
      <c r="DA23" s="190" t="s">
        <v>925</v>
      </c>
    </row>
    <row r="24" spans="1:105" ht="12" customHeight="1" x14ac:dyDescent="0.25">
      <c r="A24" s="60" t="s">
        <v>159</v>
      </c>
      <c r="B24" s="36">
        <v>5.6412263753804304</v>
      </c>
      <c r="C24" s="36">
        <v>6.2189646944547361</v>
      </c>
      <c r="D24" s="36">
        <v>6.8193602936555777</v>
      </c>
      <c r="E24" s="36">
        <v>7.689428821825925</v>
      </c>
      <c r="F24" s="36">
        <v>8.4296690171769839</v>
      </c>
      <c r="G24" s="36">
        <v>9.1498122943546711</v>
      </c>
      <c r="H24" s="36">
        <v>9.7861229706572228</v>
      </c>
      <c r="I24" s="36">
        <v>10.461902824427765</v>
      </c>
      <c r="J24" s="36">
        <v>10.830170206759842</v>
      </c>
      <c r="K24" s="36">
        <v>11.199392555064899</v>
      </c>
      <c r="L24" s="36">
        <v>11.59174097640827</v>
      </c>
      <c r="M24" s="36">
        <v>12.019719300940663</v>
      </c>
      <c r="N24" s="36">
        <v>12.190921038502152</v>
      </c>
      <c r="O24" s="36">
        <v>12.470290925826399</v>
      </c>
      <c r="P24" s="36">
        <v>12.974878338653575</v>
      </c>
      <c r="Q24" s="36">
        <v>12.996236715610799</v>
      </c>
      <c r="R24" s="36">
        <v>13.537848747482547</v>
      </c>
      <c r="S24" s="36">
        <v>14.119341187435438</v>
      </c>
      <c r="T24" s="36">
        <v>14.842155341186997</v>
      </c>
      <c r="U24" s="36">
        <v>15.699244537838164</v>
      </c>
      <c r="V24" s="36">
        <v>16.525040250132278</v>
      </c>
      <c r="W24" s="36">
        <v>17.305503675026301</v>
      </c>
      <c r="X24" s="36">
        <v>17.981842374780246</v>
      </c>
      <c r="Y24" s="36">
        <v>18.568822426343075</v>
      </c>
      <c r="DA24" s="89" t="s">
        <v>926</v>
      </c>
    </row>
    <row r="25" spans="1:105" ht="12" customHeight="1" x14ac:dyDescent="0.25">
      <c r="A25" s="62" t="s">
        <v>157</v>
      </c>
      <c r="B25" s="38">
        <v>483.27185365956956</v>
      </c>
      <c r="C25" s="38">
        <v>536.90680256516657</v>
      </c>
      <c r="D25" s="38">
        <v>569.88508961240848</v>
      </c>
      <c r="E25" s="38">
        <v>631.59538489414047</v>
      </c>
      <c r="F25" s="38">
        <v>743.13222207218871</v>
      </c>
      <c r="G25" s="38">
        <v>901.41607305521313</v>
      </c>
      <c r="H25" s="38">
        <v>1092.8061367567752</v>
      </c>
      <c r="I25" s="38">
        <v>1247.6015030710171</v>
      </c>
      <c r="J25" s="38">
        <v>1367.8334651242546</v>
      </c>
      <c r="K25" s="38">
        <v>1480.8164732143521</v>
      </c>
      <c r="L25" s="38">
        <v>1589.8191547236449</v>
      </c>
      <c r="M25" s="38">
        <v>1730.0621596153362</v>
      </c>
      <c r="N25" s="38">
        <v>1805.5065013920766</v>
      </c>
      <c r="O25" s="38">
        <v>1900.2412518838287</v>
      </c>
      <c r="P25" s="38">
        <v>2047.0670696949687</v>
      </c>
      <c r="Q25" s="38">
        <v>2307.5804070745753</v>
      </c>
      <c r="R25" s="38">
        <v>2431.6088170146313</v>
      </c>
      <c r="S25" s="38">
        <v>2555.0360028399523</v>
      </c>
      <c r="T25" s="38">
        <v>2676.2296651323618</v>
      </c>
      <c r="U25" s="38">
        <v>2796.5056967247665</v>
      </c>
      <c r="V25" s="38">
        <v>2910.6764749042009</v>
      </c>
      <c r="W25" s="38">
        <v>3023.4965508863797</v>
      </c>
      <c r="X25" s="38">
        <v>3109.9337577698702</v>
      </c>
      <c r="Y25" s="38">
        <v>3180.886223861854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3.0230761471824721</v>
      </c>
      <c r="D28" s="182">
        <v>3.3994598638590077</v>
      </c>
      <c r="E28" s="182">
        <v>3.6435347422991882</v>
      </c>
      <c r="F28" s="182">
        <v>2.7706018442632541</v>
      </c>
      <c r="G28" s="182">
        <v>3.1889394077541269</v>
      </c>
      <c r="H28" s="182">
        <v>3.1880108064277763</v>
      </c>
      <c r="I28" s="182">
        <v>3.4727155278244268</v>
      </c>
      <c r="J28" s="182">
        <v>2.4577049276864713</v>
      </c>
      <c r="K28" s="182">
        <v>2.280528526584817</v>
      </c>
      <c r="L28" s="182">
        <v>2.3654642453884094</v>
      </c>
      <c r="M28" s="182">
        <v>2.3138801310682098</v>
      </c>
      <c r="N28" s="182">
        <v>2.2282960951006388</v>
      </c>
      <c r="O28" s="182">
        <v>2.8634691606557681</v>
      </c>
      <c r="P28" s="182">
        <v>3.5667926725480541</v>
      </c>
      <c r="Q28" s="182">
        <v>2.1322976823425179</v>
      </c>
      <c r="R28" s="182">
        <v>3.3590678560431613</v>
      </c>
      <c r="S28" s="182">
        <v>3.6610574391708397</v>
      </c>
      <c r="T28" s="182">
        <v>3.734643165263158</v>
      </c>
      <c r="U28" s="182">
        <v>4.6921349958277929</v>
      </c>
      <c r="V28" s="182">
        <v>5.0226838262434867</v>
      </c>
      <c r="W28" s="182">
        <v>5.2243363545878125</v>
      </c>
      <c r="X28" s="182">
        <v>3.8399866718218121</v>
      </c>
      <c r="Y28" s="182">
        <v>3.9885253966099015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131.28972534989839</v>
      </c>
      <c r="D29" s="182">
        <v>144.39082849184331</v>
      </c>
      <c r="E29" s="182">
        <v>149.92170835768729</v>
      </c>
      <c r="F29" s="182">
        <v>154.80625895801484</v>
      </c>
      <c r="G29" s="182">
        <v>161.49528146680086</v>
      </c>
      <c r="H29" s="182">
        <v>164.11507003561314</v>
      </c>
      <c r="I29" s="182">
        <v>161.15984032660037</v>
      </c>
      <c r="J29" s="182">
        <v>163.78825072836025</v>
      </c>
      <c r="K29" s="182">
        <v>179.41371326993055</v>
      </c>
      <c r="L29" s="182">
        <v>180.92411827754086</v>
      </c>
      <c r="M29" s="182">
        <v>168.68113518272742</v>
      </c>
      <c r="N29" s="182">
        <v>171.70777559630051</v>
      </c>
      <c r="O29" s="182">
        <v>186.26693363657478</v>
      </c>
      <c r="P29" s="182">
        <v>183.93959704820895</v>
      </c>
      <c r="Q29" s="182">
        <v>182.3688523336275</v>
      </c>
      <c r="R29" s="182">
        <v>218.14111497879935</v>
      </c>
      <c r="S29" s="182">
        <v>220.91289329411165</v>
      </c>
      <c r="T29" s="182">
        <v>209.2270892414856</v>
      </c>
      <c r="U29" s="182">
        <v>212.87273627366494</v>
      </c>
      <c r="V29" s="182">
        <v>228.34154289688126</v>
      </c>
      <c r="W29" s="182">
        <v>227.53886920555692</v>
      </c>
      <c r="X29" s="182">
        <v>211.34014108610245</v>
      </c>
      <c r="Y29" s="182">
        <v>241.65970728389061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2.7040717103988552</v>
      </c>
      <c r="D30" s="182">
        <v>2.8404220573167542</v>
      </c>
      <c r="E30" s="182">
        <v>3.1641290723144984</v>
      </c>
      <c r="F30" s="182">
        <v>2.9796461776523486</v>
      </c>
      <c r="G30" s="182">
        <v>3.2306025508107972</v>
      </c>
      <c r="H30" s="182">
        <v>3.1501505425501151</v>
      </c>
      <c r="I30" s="182">
        <v>3.4003150553033539</v>
      </c>
      <c r="J30" s="182">
        <v>3.1256700873351306</v>
      </c>
      <c r="K30" s="182">
        <v>3.5321109434475453</v>
      </c>
      <c r="L30" s="182">
        <v>3.4231160645321097</v>
      </c>
      <c r="M30" s="182">
        <v>3.7674392618565058</v>
      </c>
      <c r="N30" s="182">
        <v>3.641650352988222</v>
      </c>
      <c r="O30" s="182">
        <v>4.0326397778313421</v>
      </c>
      <c r="P30" s="182">
        <v>4.1355303260675491</v>
      </c>
      <c r="Q30" s="182">
        <v>4.1089155192001314</v>
      </c>
      <c r="R30" s="182">
        <v>4.0071945902374466</v>
      </c>
      <c r="S30" s="182">
        <v>4.4689729092637442</v>
      </c>
      <c r="T30" s="182">
        <v>4.3433201313113727</v>
      </c>
      <c r="U30" s="182">
        <v>4.6776604289188057</v>
      </c>
      <c r="V30" s="182">
        <v>4.7354590510308761</v>
      </c>
      <c r="W30" s="182">
        <v>4.6517582386031968</v>
      </c>
      <c r="X30" s="182">
        <v>4.4030114355617975</v>
      </c>
      <c r="Y30" s="182">
        <v>4.7867748594665969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16.778443885620561</v>
      </c>
      <c r="D31" s="182">
        <v>16.317258790586976</v>
      </c>
      <c r="E31" s="182">
        <v>17.609652548601247</v>
      </c>
      <c r="F31" s="182">
        <v>19.243574453730474</v>
      </c>
      <c r="G31" s="182">
        <v>21.620132415034846</v>
      </c>
      <c r="H31" s="182">
        <v>23.297512484466381</v>
      </c>
      <c r="I31" s="182">
        <v>24.839639387413655</v>
      </c>
      <c r="J31" s="182">
        <v>22.110414069672345</v>
      </c>
      <c r="K31" s="182">
        <v>20.384470619255922</v>
      </c>
      <c r="L31" s="182">
        <v>19.977740375812004</v>
      </c>
      <c r="M31" s="182">
        <v>17.371095802755207</v>
      </c>
      <c r="N31" s="182">
        <v>16.633520759145398</v>
      </c>
      <c r="O31" s="182">
        <v>19.696012082567592</v>
      </c>
      <c r="P31" s="182">
        <v>22.899258317520832</v>
      </c>
      <c r="Q31" s="182">
        <v>28.549765241152471</v>
      </c>
      <c r="R31" s="182">
        <v>29.37631884831066</v>
      </c>
      <c r="S31" s="182">
        <v>31.164203471388419</v>
      </c>
      <c r="T31" s="182">
        <v>28.41644959388816</v>
      </c>
      <c r="U31" s="182">
        <v>26.596371040165508</v>
      </c>
      <c r="V31" s="182">
        <v>25.985262795497846</v>
      </c>
      <c r="W31" s="182">
        <v>23.039318195469008</v>
      </c>
      <c r="X31" s="182">
        <v>20.289507030357697</v>
      </c>
      <c r="Y31" s="182">
        <v>22.771871459618836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0.73841429288918103</v>
      </c>
      <c r="D32" s="41">
        <v>0.77915267752234474</v>
      </c>
      <c r="E32" s="41">
        <v>1.068941404378065</v>
      </c>
      <c r="F32" s="41">
        <v>0.96149252987398448</v>
      </c>
      <c r="G32" s="41">
        <v>0.96629346349427081</v>
      </c>
      <c r="H32" s="41">
        <v>0.9101605064267666</v>
      </c>
      <c r="I32" s="41">
        <v>0.98044640950740813</v>
      </c>
      <c r="J32" s="41">
        <v>0.70721851530324287</v>
      </c>
      <c r="K32" s="41">
        <v>0.74631615259404605</v>
      </c>
      <c r="L32" s="41">
        <v>0.81187714805583866</v>
      </c>
      <c r="M32" s="41">
        <v>0.89471723812669524</v>
      </c>
      <c r="N32" s="41">
        <v>0.69046347005422781</v>
      </c>
      <c r="O32" s="41">
        <v>0.85706490905481303</v>
      </c>
      <c r="P32" s="41">
        <v>1.1472913080866753</v>
      </c>
      <c r="Q32" s="41">
        <v>0.73638669024323633</v>
      </c>
      <c r="R32" s="41">
        <v>1.2800263247609305</v>
      </c>
      <c r="S32" s="41">
        <v>1.3606451174752365</v>
      </c>
      <c r="T32" s="41">
        <v>1.7917555581296245</v>
      </c>
      <c r="U32" s="41">
        <v>1.8185817265251512</v>
      </c>
      <c r="V32" s="41">
        <v>1.7920891757883854</v>
      </c>
      <c r="W32" s="41">
        <v>1.6906239313207898</v>
      </c>
      <c r="X32" s="41">
        <v>1.656785109261353</v>
      </c>
      <c r="Y32" s="41">
        <v>1.294198566866072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150.28931963751091</v>
      </c>
      <c r="D33" s="42">
        <v>129.63265777915581</v>
      </c>
      <c r="E33" s="42">
        <v>158.36466601364589</v>
      </c>
      <c r="F33" s="42">
        <v>208.19120790996215</v>
      </c>
      <c r="G33" s="42">
        <v>254.93822171493832</v>
      </c>
      <c r="H33" s="42">
        <v>341.67938333907296</v>
      </c>
      <c r="I33" s="42">
        <v>284.42802409339765</v>
      </c>
      <c r="J33" s="42">
        <v>278.59662806688334</v>
      </c>
      <c r="K33" s="42">
        <v>321.17421600005969</v>
      </c>
      <c r="L33" s="42">
        <v>363.94090322423131</v>
      </c>
      <c r="M33" s="42">
        <v>481.92238823076423</v>
      </c>
      <c r="N33" s="42">
        <v>359.87236587013808</v>
      </c>
      <c r="O33" s="42">
        <v>373.33137855863538</v>
      </c>
      <c r="P33" s="42">
        <v>468.00003381119973</v>
      </c>
      <c r="Q33" s="42">
        <v>624.45424060383789</v>
      </c>
      <c r="R33" s="42">
        <v>605.95079817082024</v>
      </c>
      <c r="S33" s="42">
        <v>483.29955169545929</v>
      </c>
      <c r="T33" s="42">
        <v>494.52504085104511</v>
      </c>
      <c r="U33" s="42">
        <v>588.27606540360466</v>
      </c>
      <c r="V33" s="42">
        <v>738.62501878327248</v>
      </c>
      <c r="W33" s="42">
        <v>718.77087415299911</v>
      </c>
      <c r="X33" s="42">
        <v>569.73675857894978</v>
      </c>
      <c r="Y33" s="42">
        <v>565.47750694302886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1.2288839994467828</v>
      </c>
      <c r="D36" s="182">
        <v>1.2636437136943073</v>
      </c>
      <c r="E36" s="182">
        <v>1.2993866271169381</v>
      </c>
      <c r="F36" s="182">
        <v>1.33614055008767</v>
      </c>
      <c r="G36" s="182">
        <v>1.3739340796124111</v>
      </c>
      <c r="H36" s="182">
        <v>1.4127966215803696</v>
      </c>
      <c r="I36" s="182">
        <v>1.4527584136438207</v>
      </c>
      <c r="J36" s="182">
        <v>1.4938505487450016</v>
      </c>
      <c r="K36" s="182">
        <v>1.5361049993084777</v>
      </c>
      <c r="L36" s="182">
        <v>1.579554642117877</v>
      </c>
      <c r="M36" s="182">
        <v>1.6242332838961744</v>
      </c>
      <c r="N36" s="182">
        <v>1.6701756876095928</v>
      </c>
      <c r="O36" s="182">
        <v>1.7174175995155139</v>
      </c>
      <c r="P36" s="182">
        <v>1.7659957769754655</v>
      </c>
      <c r="Q36" s="182">
        <v>1.8159480170547795</v>
      </c>
      <c r="R36" s="182">
        <v>1.8673131859312448</v>
      </c>
      <c r="S36" s="182">
        <v>1.9201312491356006</v>
      </c>
      <c r="T36" s="182">
        <v>1.9744433026473445</v>
      </c>
      <c r="U36" s="182">
        <v>3.0230761471824721</v>
      </c>
      <c r="V36" s="182">
        <v>3.3994598638590077</v>
      </c>
      <c r="W36" s="182">
        <v>3.6435347422991882</v>
      </c>
      <c r="X36" s="182">
        <v>2.7706018442632541</v>
      </c>
      <c r="Y36" s="182">
        <v>3.1889394077541269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91.564268807286453</v>
      </c>
      <c r="D37" s="182">
        <v>95.505641908703865</v>
      </c>
      <c r="E37" s="182">
        <v>99.616670948260889</v>
      </c>
      <c r="F37" s="182">
        <v>103.90465874571248</v>
      </c>
      <c r="G37" s="182">
        <v>108.37722246982435</v>
      </c>
      <c r="H37" s="182">
        <v>113.04230716948939</v>
      </c>
      <c r="I37" s="182">
        <v>117.90819988728867</v>
      </c>
      <c r="J37" s="182">
        <v>131.28972534989839</v>
      </c>
      <c r="K37" s="182">
        <v>144.39082849184319</v>
      </c>
      <c r="L37" s="182">
        <v>149.92170835768729</v>
      </c>
      <c r="M37" s="182">
        <v>154.80625895801495</v>
      </c>
      <c r="N37" s="182">
        <v>161.49528146680086</v>
      </c>
      <c r="O37" s="182">
        <v>164.11507003561314</v>
      </c>
      <c r="P37" s="182">
        <v>161.15984032660049</v>
      </c>
      <c r="Q37" s="182">
        <v>163.78825072836025</v>
      </c>
      <c r="R37" s="182">
        <v>179.41371326993067</v>
      </c>
      <c r="S37" s="182">
        <v>180.92411827754086</v>
      </c>
      <c r="T37" s="182">
        <v>168.68113518272753</v>
      </c>
      <c r="U37" s="182">
        <v>171.70777559630051</v>
      </c>
      <c r="V37" s="182">
        <v>186.26693363657478</v>
      </c>
      <c r="W37" s="182">
        <v>183.93959704820895</v>
      </c>
      <c r="X37" s="182">
        <v>182.3688523336275</v>
      </c>
      <c r="Y37" s="182">
        <v>218.14111497879935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2.2450779324121868</v>
      </c>
      <c r="D38" s="182">
        <v>2.3034013573990002</v>
      </c>
      <c r="E38" s="182">
        <v>2.3632399288549344</v>
      </c>
      <c r="F38" s="182">
        <v>2.4246330077884224</v>
      </c>
      <c r="G38" s="182">
        <v>2.4876209777420364</v>
      </c>
      <c r="H38" s="182">
        <v>2.5522452713562345</v>
      </c>
      <c r="I38" s="182">
        <v>2.7040717103988534</v>
      </c>
      <c r="J38" s="182">
        <v>2.8404220573167542</v>
      </c>
      <c r="K38" s="182">
        <v>3.1641290723144984</v>
      </c>
      <c r="L38" s="182">
        <v>2.9796461776523486</v>
      </c>
      <c r="M38" s="182">
        <v>3.2306025508107972</v>
      </c>
      <c r="N38" s="182">
        <v>3.1501505425501151</v>
      </c>
      <c r="O38" s="182">
        <v>3.4003150553033521</v>
      </c>
      <c r="P38" s="182">
        <v>3.1256700873351306</v>
      </c>
      <c r="Q38" s="182">
        <v>3.5321109434475453</v>
      </c>
      <c r="R38" s="182">
        <v>3.4231160645321097</v>
      </c>
      <c r="S38" s="182">
        <v>3.7674392618565058</v>
      </c>
      <c r="T38" s="182">
        <v>3.641650352988222</v>
      </c>
      <c r="U38" s="182">
        <v>4.0326397778313421</v>
      </c>
      <c r="V38" s="182">
        <v>4.1355303260675491</v>
      </c>
      <c r="W38" s="182">
        <v>4.1089155192001314</v>
      </c>
      <c r="X38" s="182">
        <v>4.0071945902374466</v>
      </c>
      <c r="Y38" s="182">
        <v>4.4689729092637442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13.049174292034621</v>
      </c>
      <c r="D39" s="182">
        <v>13.324044515947548</v>
      </c>
      <c r="E39" s="182">
        <v>13.604704657161221</v>
      </c>
      <c r="F39" s="182">
        <v>13.891276675565905</v>
      </c>
      <c r="G39" s="182">
        <v>14.183885100037628</v>
      </c>
      <c r="H39" s="182">
        <v>14.482657082551668</v>
      </c>
      <c r="I39" s="182">
        <v>14.787722453436089</v>
      </c>
      <c r="J39" s="182">
        <v>15.099213777789032</v>
      </c>
      <c r="K39" s="182">
        <v>15.417266413084377</v>
      </c>
      <c r="L39" s="182">
        <v>15.742018567990954</v>
      </c>
      <c r="M39" s="182">
        <v>16.778443885620561</v>
      </c>
      <c r="N39" s="182">
        <v>16.317258790586976</v>
      </c>
      <c r="O39" s="182">
        <v>17.609652548601247</v>
      </c>
      <c r="P39" s="182">
        <v>19.243574453730474</v>
      </c>
      <c r="Q39" s="182">
        <v>21.620132415034846</v>
      </c>
      <c r="R39" s="182">
        <v>23.297512484466381</v>
      </c>
      <c r="S39" s="182">
        <v>24.839639387413655</v>
      </c>
      <c r="T39" s="182">
        <v>22.110414069672316</v>
      </c>
      <c r="U39" s="182">
        <v>20.384470619255922</v>
      </c>
      <c r="V39" s="182">
        <v>19.977740375811976</v>
      </c>
      <c r="W39" s="182">
        <v>17.371095802755207</v>
      </c>
      <c r="X39" s="182">
        <v>16.633520759145426</v>
      </c>
      <c r="Y39" s="182">
        <v>19.69601208256762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0.16067597381487531</v>
      </c>
      <c r="D40" s="41">
        <v>0.17875707832150312</v>
      </c>
      <c r="E40" s="41">
        <v>0.19887287620771765</v>
      </c>
      <c r="F40" s="41">
        <v>0.22125233452292647</v>
      </c>
      <c r="G40" s="41">
        <v>0.24615018631658359</v>
      </c>
      <c r="H40" s="41">
        <v>0.27384983012421493</v>
      </c>
      <c r="I40" s="41">
        <v>0.30466655573686552</v>
      </c>
      <c r="J40" s="41">
        <v>0.3389511329711663</v>
      </c>
      <c r="K40" s="41">
        <v>0.37709380428898953</v>
      </c>
      <c r="L40" s="41">
        <v>0.41952872671246766</v>
      </c>
      <c r="M40" s="41">
        <v>0.46673891359430186</v>
      </c>
      <c r="N40" s="41">
        <v>0.51926173249273866</v>
      </c>
      <c r="O40" s="41">
        <v>0.57769502173056608</v>
      </c>
      <c r="P40" s="41">
        <v>0.64270389525949945</v>
      </c>
      <c r="Q40" s="41">
        <v>0.71502831328601246</v>
      </c>
      <c r="R40" s="41">
        <v>0.73841429288918192</v>
      </c>
      <c r="S40" s="41">
        <v>0.77915267752234563</v>
      </c>
      <c r="T40" s="41">
        <v>1.0689414043780658</v>
      </c>
      <c r="U40" s="41">
        <v>0.96149252987398448</v>
      </c>
      <c r="V40" s="41">
        <v>0.96629346349427081</v>
      </c>
      <c r="W40" s="41">
        <v>0.9101605064267666</v>
      </c>
      <c r="X40" s="41">
        <v>0.98044640950740813</v>
      </c>
      <c r="Y40" s="41">
        <v>0.70721851530324287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96.6543707319139</v>
      </c>
      <c r="D41" s="42">
        <v>96.6543707319139</v>
      </c>
      <c r="E41" s="42">
        <v>96.6543707319139</v>
      </c>
      <c r="F41" s="42">
        <v>96.6543707319139</v>
      </c>
      <c r="G41" s="42">
        <v>96.6543707319139</v>
      </c>
      <c r="H41" s="42">
        <v>150.28931963751074</v>
      </c>
      <c r="I41" s="42">
        <v>129.63265777915581</v>
      </c>
      <c r="J41" s="42">
        <v>158.36466601364577</v>
      </c>
      <c r="K41" s="42">
        <v>208.19120790996226</v>
      </c>
      <c r="L41" s="42">
        <v>254.93822171493844</v>
      </c>
      <c r="M41" s="42">
        <v>341.67938333907273</v>
      </c>
      <c r="N41" s="42">
        <v>284.42802409339765</v>
      </c>
      <c r="O41" s="42">
        <v>278.59662806688311</v>
      </c>
      <c r="P41" s="42">
        <v>321.17421600005991</v>
      </c>
      <c r="Q41" s="42">
        <v>363.94090322423108</v>
      </c>
      <c r="R41" s="42">
        <v>481.92238823076423</v>
      </c>
      <c r="S41" s="42">
        <v>359.87236587013831</v>
      </c>
      <c r="T41" s="42">
        <v>373.33137855863561</v>
      </c>
      <c r="U41" s="42">
        <v>468.00003381119996</v>
      </c>
      <c r="V41" s="42">
        <v>624.45424060383812</v>
      </c>
      <c r="W41" s="42">
        <v>605.95079817082024</v>
      </c>
      <c r="X41" s="42">
        <v>483.29955169545929</v>
      </c>
      <c r="Y41" s="42">
        <v>494.52504085104511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8760</v>
      </c>
      <c r="C44" s="184">
        <v>8759.9999999999982</v>
      </c>
      <c r="D44" s="184">
        <v>8759.9999999999982</v>
      </c>
      <c r="E44" s="184">
        <v>8759.9999999999982</v>
      </c>
      <c r="F44" s="184">
        <v>8760</v>
      </c>
      <c r="G44" s="184">
        <v>8760</v>
      </c>
      <c r="H44" s="184">
        <v>8759.9999999999964</v>
      </c>
      <c r="I44" s="184">
        <v>8760.0000000000018</v>
      </c>
      <c r="J44" s="184">
        <v>8760</v>
      </c>
      <c r="K44" s="184">
        <v>8760.0000000000018</v>
      </c>
      <c r="L44" s="184">
        <v>8760.0000000000036</v>
      </c>
      <c r="M44" s="184">
        <v>8760</v>
      </c>
      <c r="N44" s="184">
        <v>8759.9999999999982</v>
      </c>
      <c r="O44" s="184">
        <v>8760</v>
      </c>
      <c r="P44" s="184">
        <v>8760</v>
      </c>
      <c r="Q44" s="184">
        <v>8759.9999999999964</v>
      </c>
      <c r="R44" s="184">
        <v>8759.9999999999964</v>
      </c>
      <c r="S44" s="184">
        <v>8759.9999999999982</v>
      </c>
      <c r="T44" s="184">
        <v>8759.9999999999964</v>
      </c>
      <c r="U44" s="184">
        <v>8759.9999999999982</v>
      </c>
      <c r="V44" s="184">
        <v>8759.9999999999982</v>
      </c>
      <c r="W44" s="184">
        <v>8759.9999999999945</v>
      </c>
      <c r="X44" s="184">
        <v>8759.9999999999945</v>
      </c>
      <c r="Y44" s="184">
        <v>8759.9999999999945</v>
      </c>
      <c r="DA44" s="193" t="s">
        <v>940</v>
      </c>
    </row>
    <row r="45" spans="1:105" ht="12" customHeight="1" x14ac:dyDescent="0.25">
      <c r="A45" s="131" t="s">
        <v>6</v>
      </c>
      <c r="B45" s="184">
        <v>3763.4981554824249</v>
      </c>
      <c r="C45" s="184">
        <v>3774.6612069434887</v>
      </c>
      <c r="D45" s="184">
        <v>3783.9703039007163</v>
      </c>
      <c r="E45" s="184">
        <v>3791.4015442242189</v>
      </c>
      <c r="F45" s="184">
        <v>3793.1503459678556</v>
      </c>
      <c r="G45" s="184">
        <v>3802.6472769669281</v>
      </c>
      <c r="H45" s="184">
        <v>3810.4903536202046</v>
      </c>
      <c r="I45" s="184">
        <v>3815.2789879118654</v>
      </c>
      <c r="J45" s="184">
        <v>3817.2778744558982</v>
      </c>
      <c r="K45" s="184">
        <v>3819.7324862140254</v>
      </c>
      <c r="L45" s="184">
        <v>3820.9848024861608</v>
      </c>
      <c r="M45" s="184">
        <v>3815.5624608367448</v>
      </c>
      <c r="N45" s="184">
        <v>3808.4902906962925</v>
      </c>
      <c r="O45" s="184">
        <v>3794.5538808496699</v>
      </c>
      <c r="P45" s="184">
        <v>3778.2569887062587</v>
      </c>
      <c r="Q45" s="184">
        <v>3758.4015871093056</v>
      </c>
      <c r="R45" s="184">
        <v>3730.2121977758857</v>
      </c>
      <c r="S45" s="184">
        <v>3752.5883570793926</v>
      </c>
      <c r="T45" s="184">
        <v>3715.823544317208</v>
      </c>
      <c r="U45" s="184">
        <v>3683.6320497015358</v>
      </c>
      <c r="V45" s="184">
        <v>3667.316218470226</v>
      </c>
      <c r="W45" s="184">
        <v>3685.0155240180743</v>
      </c>
      <c r="X45" s="184">
        <v>3676.5139716162666</v>
      </c>
      <c r="Y45" s="184">
        <v>3668.0124192144594</v>
      </c>
      <c r="DA45" s="193" t="s">
        <v>941</v>
      </c>
    </row>
    <row r="46" spans="1:105" ht="12" customHeight="1" x14ac:dyDescent="0.25">
      <c r="A46" s="131" t="s">
        <v>5</v>
      </c>
      <c r="B46" s="184">
        <v>2172.4612573510444</v>
      </c>
      <c r="C46" s="184">
        <v>2193.0941529448573</v>
      </c>
      <c r="D46" s="184">
        <v>2213.1336806227168</v>
      </c>
      <c r="E46" s="184">
        <v>2229.0182054389315</v>
      </c>
      <c r="F46" s="184">
        <v>2246.4042625989428</v>
      </c>
      <c r="G46" s="184">
        <v>2261.8975245961901</v>
      </c>
      <c r="H46" s="184">
        <v>2274.8138726028101</v>
      </c>
      <c r="I46" s="184">
        <v>2283.3315241058913</v>
      </c>
      <c r="J46" s="184">
        <v>2292.1788691891034</v>
      </c>
      <c r="K46" s="184">
        <v>2295.1743033780094</v>
      </c>
      <c r="L46" s="184">
        <v>2305.0758023407984</v>
      </c>
      <c r="M46" s="184">
        <v>2313.7438169497664</v>
      </c>
      <c r="N46" s="184">
        <v>2317.6031404151354</v>
      </c>
      <c r="O46" s="184">
        <v>2329.4169848887</v>
      </c>
      <c r="P46" s="184">
        <v>2344.2161925459432</v>
      </c>
      <c r="Q46" s="184">
        <v>2366.1270313477939</v>
      </c>
      <c r="R46" s="184">
        <v>2358.740669499929</v>
      </c>
      <c r="S46" s="184">
        <v>2390.2655650527049</v>
      </c>
      <c r="T46" s="184">
        <v>2363.5534113718222</v>
      </c>
      <c r="U46" s="184">
        <v>2332.7494248093676</v>
      </c>
      <c r="V46" s="184">
        <v>2176.8003553950466</v>
      </c>
      <c r="W46" s="184">
        <v>2228.9635623221939</v>
      </c>
      <c r="X46" s="184">
        <v>2279.3567884330969</v>
      </c>
      <c r="Y46" s="184">
        <v>2304.5534014885484</v>
      </c>
      <c r="DA46" s="193" t="s">
        <v>942</v>
      </c>
    </row>
    <row r="47" spans="1:105" ht="12" customHeight="1" x14ac:dyDescent="0.25">
      <c r="A47" s="131" t="s">
        <v>171</v>
      </c>
      <c r="B47" s="184">
        <v>8759.9999999999982</v>
      </c>
      <c r="C47" s="184">
        <v>8760</v>
      </c>
      <c r="D47" s="184">
        <v>8759.9999999999982</v>
      </c>
      <c r="E47" s="184">
        <v>8760</v>
      </c>
      <c r="F47" s="184">
        <v>8759.9999999999982</v>
      </c>
      <c r="G47" s="184">
        <v>8759.9999999999982</v>
      </c>
      <c r="H47" s="184">
        <v>8760</v>
      </c>
      <c r="I47" s="184">
        <v>8759.9999999999982</v>
      </c>
      <c r="J47" s="184">
        <v>8759.9999999999982</v>
      </c>
      <c r="K47" s="184">
        <v>8760</v>
      </c>
      <c r="L47" s="184">
        <v>8760</v>
      </c>
      <c r="M47" s="184">
        <v>8759.9999999999964</v>
      </c>
      <c r="N47" s="184">
        <v>8759.9999999999982</v>
      </c>
      <c r="O47" s="184">
        <v>8760.0000000000036</v>
      </c>
      <c r="P47" s="184">
        <v>8760</v>
      </c>
      <c r="Q47" s="184">
        <v>8759.9999999999982</v>
      </c>
      <c r="R47" s="184">
        <v>8759.9999999999982</v>
      </c>
      <c r="S47" s="184">
        <v>8759.9999999999964</v>
      </c>
      <c r="T47" s="184">
        <v>8760</v>
      </c>
      <c r="U47" s="184">
        <v>8760</v>
      </c>
      <c r="V47" s="184">
        <v>8759.9999999999982</v>
      </c>
      <c r="W47" s="184">
        <v>8759.9999999999982</v>
      </c>
      <c r="X47" s="184">
        <v>8759.9999999999982</v>
      </c>
      <c r="Y47" s="184">
        <v>8759.9999999999982</v>
      </c>
      <c r="DA47" s="193" t="s">
        <v>943</v>
      </c>
    </row>
    <row r="48" spans="1:105" ht="12" customHeight="1" x14ac:dyDescent="0.25">
      <c r="A48" s="60" t="s">
        <v>4</v>
      </c>
      <c r="B48" s="44">
        <v>917.28022087851855</v>
      </c>
      <c r="C48" s="44">
        <v>921.66196033458141</v>
      </c>
      <c r="D48" s="44">
        <v>925.68044916682277</v>
      </c>
      <c r="E48" s="44">
        <v>929.39257089849684</v>
      </c>
      <c r="F48" s="44">
        <v>932.84272899465168</v>
      </c>
      <c r="G48" s="44">
        <v>936.0662607417147</v>
      </c>
      <c r="H48" s="44">
        <v>939.09175624922409</v>
      </c>
      <c r="I48" s="44">
        <v>941.94267909794769</v>
      </c>
      <c r="J48" s="44">
        <v>944.63852699605411</v>
      </c>
      <c r="K48" s="44">
        <v>947.19568090684709</v>
      </c>
      <c r="L48" s="44">
        <v>949.62803800900167</v>
      </c>
      <c r="M48" s="44">
        <v>946.17371149183998</v>
      </c>
      <c r="N48" s="44">
        <v>932.64980952879171</v>
      </c>
      <c r="O48" s="44">
        <v>914.0624212599065</v>
      </c>
      <c r="P48" s="44">
        <v>895.41686606956898</v>
      </c>
      <c r="Q48" s="44">
        <v>876.71781839568723</v>
      </c>
      <c r="R48" s="44">
        <v>935.82927912942546</v>
      </c>
      <c r="S48" s="44">
        <v>942.5377531642057</v>
      </c>
      <c r="T48" s="44">
        <v>938.35583978865327</v>
      </c>
      <c r="U48" s="44">
        <v>930.44990187401049</v>
      </c>
      <c r="V48" s="44">
        <v>868.24742320626581</v>
      </c>
      <c r="W48" s="44">
        <v>889.05345159946285</v>
      </c>
      <c r="X48" s="44">
        <v>902.37077410639017</v>
      </c>
      <c r="Y48" s="44">
        <v>909.02943535985389</v>
      </c>
      <c r="DA48" s="95" t="s">
        <v>944</v>
      </c>
    </row>
    <row r="49" spans="1:105" ht="12" customHeight="1" x14ac:dyDescent="0.25">
      <c r="A49" s="62" t="s">
        <v>3</v>
      </c>
      <c r="B49" s="185">
        <v>2052.1755267598851</v>
      </c>
      <c r="C49" s="185">
        <v>2122.1289184646248</v>
      </c>
      <c r="D49" s="185">
        <v>2222.3129331745549</v>
      </c>
      <c r="E49" s="185">
        <v>2289.9364214352117</v>
      </c>
      <c r="F49" s="185">
        <v>2312.7484313508321</v>
      </c>
      <c r="G49" s="185">
        <v>2305.4238893048923</v>
      </c>
      <c r="H49" s="185">
        <v>2292.0161214828699</v>
      </c>
      <c r="I49" s="185">
        <v>2295.4622099944863</v>
      </c>
      <c r="J49" s="185">
        <v>2318.437343835616</v>
      </c>
      <c r="K49" s="185">
        <v>2346.1047626915542</v>
      </c>
      <c r="L49" s="185">
        <v>2390.0503429201449</v>
      </c>
      <c r="M49" s="185">
        <v>2416.3281811709462</v>
      </c>
      <c r="N49" s="185">
        <v>2445.9599784836364</v>
      </c>
      <c r="O49" s="185">
        <v>2465.3830411970803</v>
      </c>
      <c r="P49" s="185">
        <v>2469.7357316929488</v>
      </c>
      <c r="Q49" s="185">
        <v>2445.8335048450181</v>
      </c>
      <c r="R49" s="185">
        <v>2453.2738230895243</v>
      </c>
      <c r="S49" s="185">
        <v>2466.7992335800404</v>
      </c>
      <c r="T49" s="185">
        <v>2460.1899904642187</v>
      </c>
      <c r="U49" s="185">
        <v>2456.6624041575296</v>
      </c>
      <c r="V49" s="185">
        <v>2392.5808423082649</v>
      </c>
      <c r="W49" s="185">
        <v>2413.762943202546</v>
      </c>
      <c r="X49" s="185">
        <v>2435.272107432937</v>
      </c>
      <c r="Y49" s="185">
        <v>2443.850818027151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0.78206719018349924</v>
      </c>
      <c r="C52" s="180">
        <v>0.77356161383707112</v>
      </c>
      <c r="D52" s="180">
        <v>0.76406719517783461</v>
      </c>
      <c r="E52" s="180">
        <v>0.75404400157067186</v>
      </c>
      <c r="F52" s="180">
        <v>0.74621821414523704</v>
      </c>
      <c r="G52" s="180">
        <v>0.73733100891586112</v>
      </c>
      <c r="H52" s="180">
        <v>0.72846230625913955</v>
      </c>
      <c r="I52" s="180">
        <v>0.71909953755425859</v>
      </c>
      <c r="J52" s="180">
        <v>0.7117813029020198</v>
      </c>
      <c r="K52" s="180">
        <v>0.70462216359215168</v>
      </c>
      <c r="L52" s="180">
        <v>0.69696086509603872</v>
      </c>
      <c r="M52" s="180">
        <v>0.68910425352836491</v>
      </c>
      <c r="N52" s="180">
        <v>0.68061734169978516</v>
      </c>
      <c r="O52" s="180">
        <v>0.66979458019386084</v>
      </c>
      <c r="P52" s="180">
        <v>0.65588235547509577</v>
      </c>
      <c r="Q52" s="180">
        <v>0.64489454538308899</v>
      </c>
      <c r="R52" s="180">
        <v>0.63071290767139554</v>
      </c>
      <c r="S52" s="180">
        <v>0.61623587386752743</v>
      </c>
      <c r="T52" s="180">
        <v>0.60208638720746721</v>
      </c>
      <c r="U52" s="180">
        <v>0.58793704855488149</v>
      </c>
      <c r="V52" s="180">
        <v>0.57364062008428274</v>
      </c>
      <c r="W52" s="180">
        <v>0.55981825282211739</v>
      </c>
      <c r="X52" s="180">
        <v>0.55018358517321064</v>
      </c>
      <c r="Y52" s="180">
        <v>0.54020185505221141</v>
      </c>
      <c r="DA52" s="189" t="s">
        <v>946</v>
      </c>
    </row>
    <row r="53" spans="1:105" ht="12" customHeight="1" x14ac:dyDescent="0.25">
      <c r="A53" s="131" t="s">
        <v>100</v>
      </c>
      <c r="B53" s="180">
        <v>204.86624278093518</v>
      </c>
      <c r="C53" s="180">
        <v>202.45288277156573</v>
      </c>
      <c r="D53" s="180">
        <v>199.4960496589926</v>
      </c>
      <c r="E53" s="180">
        <v>196.18121229123429</v>
      </c>
      <c r="F53" s="180">
        <v>192.39758100572649</v>
      </c>
      <c r="G53" s="180">
        <v>188.37314521388464</v>
      </c>
      <c r="H53" s="180">
        <v>184.02814440325025</v>
      </c>
      <c r="I53" s="180">
        <v>179.71700904319016</v>
      </c>
      <c r="J53" s="180">
        <v>176.80282662674165</v>
      </c>
      <c r="K53" s="180">
        <v>173.95137144338437</v>
      </c>
      <c r="L53" s="180">
        <v>170.98827409585064</v>
      </c>
      <c r="M53" s="180">
        <v>168.0626928711815</v>
      </c>
      <c r="N53" s="180">
        <v>164.78216074758632</v>
      </c>
      <c r="O53" s="180">
        <v>160.94988374894248</v>
      </c>
      <c r="P53" s="180">
        <v>156.55664403704333</v>
      </c>
      <c r="Q53" s="180">
        <v>151.44783500425561</v>
      </c>
      <c r="R53" s="180">
        <v>144.79353446982071</v>
      </c>
      <c r="S53" s="180">
        <v>138.06940341518597</v>
      </c>
      <c r="T53" s="180">
        <v>131.81319714644229</v>
      </c>
      <c r="U53" s="180">
        <v>125.55192493701962</v>
      </c>
      <c r="V53" s="180">
        <v>119.10244000618563</v>
      </c>
      <c r="W53" s="180">
        <v>113.51982126549983</v>
      </c>
      <c r="X53" s="180">
        <v>108.92142500962289</v>
      </c>
      <c r="Y53" s="180">
        <v>104.37310581889055</v>
      </c>
      <c r="DA53" s="189" t="s">
        <v>947</v>
      </c>
    </row>
    <row r="54" spans="1:105" ht="12" customHeight="1" x14ac:dyDescent="0.25">
      <c r="A54" s="131" t="s">
        <v>140</v>
      </c>
      <c r="B54" s="180">
        <v>48.28085742547367</v>
      </c>
      <c r="C54" s="180">
        <v>47.725732187694618</v>
      </c>
      <c r="D54" s="180">
        <v>46.925442254976311</v>
      </c>
      <c r="E54" s="180">
        <v>45.979994174895253</v>
      </c>
      <c r="F54" s="180">
        <v>45.005438631982855</v>
      </c>
      <c r="G54" s="180">
        <v>43.848009154580005</v>
      </c>
      <c r="H54" s="180">
        <v>42.565525493742037</v>
      </c>
      <c r="I54" s="180">
        <v>41.518562761769608</v>
      </c>
      <c r="J54" s="180">
        <v>40.546263241251864</v>
      </c>
      <c r="K54" s="180">
        <v>39.398538076565401</v>
      </c>
      <c r="L54" s="180">
        <v>38.265734605830801</v>
      </c>
      <c r="M54" s="180">
        <v>36.9519920982695</v>
      </c>
      <c r="N54" s="180">
        <v>35.518593830899796</v>
      </c>
      <c r="O54" s="180">
        <v>33.776568762862645</v>
      </c>
      <c r="P54" s="180">
        <v>31.977327075023457</v>
      </c>
      <c r="Q54" s="180">
        <v>29.926401516481494</v>
      </c>
      <c r="R54" s="180">
        <v>27.787373401688317</v>
      </c>
      <c r="S54" s="180">
        <v>25.591873667058515</v>
      </c>
      <c r="T54" s="180">
        <v>23.577471365900124</v>
      </c>
      <c r="U54" s="180">
        <v>21.569722820194702</v>
      </c>
      <c r="V54" s="180">
        <v>19.726062648226574</v>
      </c>
      <c r="W54" s="180">
        <v>18.236634762034662</v>
      </c>
      <c r="X54" s="180">
        <v>17.069574610369944</v>
      </c>
      <c r="Y54" s="180">
        <v>15.863157236646728</v>
      </c>
      <c r="DA54" s="189" t="s">
        <v>948</v>
      </c>
    </row>
    <row r="55" spans="1:105" ht="12" customHeight="1" x14ac:dyDescent="0.25">
      <c r="A55" s="131" t="s">
        <v>173</v>
      </c>
      <c r="B55" s="180">
        <v>718.21685734730875</v>
      </c>
      <c r="C55" s="180">
        <v>710.1326391625015</v>
      </c>
      <c r="D55" s="180">
        <v>700.56802778280371</v>
      </c>
      <c r="E55" s="180">
        <v>689.96261710139197</v>
      </c>
      <c r="F55" s="180">
        <v>678.14077505702494</v>
      </c>
      <c r="G55" s="180">
        <v>665.65189406054481</v>
      </c>
      <c r="H55" s="180">
        <v>652.44605020263737</v>
      </c>
      <c r="I55" s="180">
        <v>638.15783765357912</v>
      </c>
      <c r="J55" s="180">
        <v>623.85337567460658</v>
      </c>
      <c r="K55" s="180">
        <v>609.12943654204128</v>
      </c>
      <c r="L55" s="180">
        <v>593.60094162335702</v>
      </c>
      <c r="M55" s="180">
        <v>583.25198327309431</v>
      </c>
      <c r="N55" s="180">
        <v>573.5886063852256</v>
      </c>
      <c r="O55" s="180">
        <v>562.37933715588736</v>
      </c>
      <c r="P55" s="180">
        <v>548.43786784965482</v>
      </c>
      <c r="Q55" s="180">
        <v>530.75925918999212</v>
      </c>
      <c r="R55" s="180">
        <v>513.37329861914134</v>
      </c>
      <c r="S55" s="180">
        <v>496.33525425583872</v>
      </c>
      <c r="T55" s="180">
        <v>482.49389002814848</v>
      </c>
      <c r="U55" s="180">
        <v>470.84802664826748</v>
      </c>
      <c r="V55" s="180">
        <v>460.40946909344393</v>
      </c>
      <c r="W55" s="180">
        <v>451.83212738391484</v>
      </c>
      <c r="X55" s="180">
        <v>444.46608730881763</v>
      </c>
      <c r="Y55" s="180">
        <v>436.19579889141357</v>
      </c>
      <c r="DA55" s="189" t="s">
        <v>949</v>
      </c>
    </row>
    <row r="56" spans="1:105" ht="12" customHeight="1" x14ac:dyDescent="0.25">
      <c r="A56" s="60" t="s">
        <v>99</v>
      </c>
      <c r="B56" s="55">
        <v>55.553390927243917</v>
      </c>
      <c r="C56" s="55">
        <v>55.133408542843085</v>
      </c>
      <c r="D56" s="55">
        <v>54.66607969502374</v>
      </c>
      <c r="E56" s="55">
        <v>54.016079046549883</v>
      </c>
      <c r="F56" s="55">
        <v>53.417453973544113</v>
      </c>
      <c r="G56" s="55">
        <v>52.808745912370853</v>
      </c>
      <c r="H56" s="55">
        <v>52.22918975178964</v>
      </c>
      <c r="I56" s="55">
        <v>51.585481866461627</v>
      </c>
      <c r="J56" s="55">
        <v>51.069130184420509</v>
      </c>
      <c r="K56" s="55">
        <v>50.5061259403371</v>
      </c>
      <c r="L56" s="55">
        <v>49.856497385439916</v>
      </c>
      <c r="M56" s="55">
        <v>49.06901199236259</v>
      </c>
      <c r="N56" s="55">
        <v>48.299325006955385</v>
      </c>
      <c r="O56" s="55">
        <v>47.282323358259312</v>
      </c>
      <c r="P56" s="55">
        <v>45.94016853405541</v>
      </c>
      <c r="Q56" s="55">
        <v>44.814413754955773</v>
      </c>
      <c r="R56" s="55">
        <v>43.491313787877729</v>
      </c>
      <c r="S56" s="55">
        <v>42.200094766026915</v>
      </c>
      <c r="T56" s="55">
        <v>40.636720072685222</v>
      </c>
      <c r="U56" s="55">
        <v>39.293833757630146</v>
      </c>
      <c r="V56" s="55">
        <v>38.098077666299261</v>
      </c>
      <c r="W56" s="55">
        <v>37.085042211854756</v>
      </c>
      <c r="X56" s="55">
        <v>36.146511693367351</v>
      </c>
      <c r="Y56" s="55">
        <v>35.50356222262856</v>
      </c>
      <c r="DA56" s="101" t="s">
        <v>950</v>
      </c>
    </row>
    <row r="57" spans="1:105" ht="12" customHeight="1" x14ac:dyDescent="0.25">
      <c r="A57" s="62" t="s">
        <v>98</v>
      </c>
      <c r="B57" s="63">
        <v>388.29059637813026</v>
      </c>
      <c r="C57" s="63">
        <v>378.3283724221514</v>
      </c>
      <c r="D57" s="63">
        <v>367.38260631307116</v>
      </c>
      <c r="E57" s="63">
        <v>353.65009774320168</v>
      </c>
      <c r="F57" s="63">
        <v>337.60758172070109</v>
      </c>
      <c r="G57" s="63">
        <v>320.71100112519548</v>
      </c>
      <c r="H57" s="63">
        <v>303.33241652102157</v>
      </c>
      <c r="I57" s="63">
        <v>290.4379410474852</v>
      </c>
      <c r="J57" s="63">
        <v>277.44034313085035</v>
      </c>
      <c r="K57" s="63">
        <v>262.623544150562</v>
      </c>
      <c r="L57" s="63">
        <v>245.49257870767178</v>
      </c>
      <c r="M57" s="63">
        <v>226.01081931553449</v>
      </c>
      <c r="N57" s="63">
        <v>212.33636530807436</v>
      </c>
      <c r="O57" s="63">
        <v>200.13134935180281</v>
      </c>
      <c r="P57" s="63">
        <v>188.75510190905598</v>
      </c>
      <c r="Q57" s="63">
        <v>177.25011473923638</v>
      </c>
      <c r="R57" s="63">
        <v>167.62326158451168</v>
      </c>
      <c r="S57" s="63">
        <v>162.12449468432462</v>
      </c>
      <c r="T57" s="63">
        <v>157.7234537624937</v>
      </c>
      <c r="U57" s="63">
        <v>152.60509890968126</v>
      </c>
      <c r="V57" s="63">
        <v>148.17369296210768</v>
      </c>
      <c r="W57" s="63">
        <v>144.28260708507355</v>
      </c>
      <c r="X57" s="63">
        <v>141.52680423591323</v>
      </c>
      <c r="Y57" s="63">
        <v>139.01734888152419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0.69730363367018156</v>
      </c>
      <c r="D60" s="180">
        <v>0.68661610773318338</v>
      </c>
      <c r="E60" s="180">
        <v>0.67528462130085776</v>
      </c>
      <c r="F60" s="180">
        <v>0.66575673322493378</v>
      </c>
      <c r="G60" s="180">
        <v>0.65616228810770016</v>
      </c>
      <c r="H60" s="180">
        <v>0.64690556174831382</v>
      </c>
      <c r="I60" s="180">
        <v>0.63859071321438587</v>
      </c>
      <c r="J60" s="180">
        <v>0.63047826053073985</v>
      </c>
      <c r="K60" s="180">
        <v>0.62300704168804011</v>
      </c>
      <c r="L60" s="180">
        <v>0.61335691225731748</v>
      </c>
      <c r="M60" s="180">
        <v>0.60446630156803871</v>
      </c>
      <c r="N60" s="180">
        <v>0.58589271520394837</v>
      </c>
      <c r="O60" s="180">
        <v>0.56556309260320903</v>
      </c>
      <c r="P60" s="180">
        <v>0.53683246490363135</v>
      </c>
      <c r="Q60" s="180">
        <v>0.51261669577780833</v>
      </c>
      <c r="R60" s="180">
        <v>0.50942769179210046</v>
      </c>
      <c r="S60" s="180">
        <v>0.50490672876388687</v>
      </c>
      <c r="T60" s="180">
        <v>0.50064546723620273</v>
      </c>
      <c r="U60" s="180">
        <v>0.49661785184547119</v>
      </c>
      <c r="V60" s="180">
        <v>0.49264751496435111</v>
      </c>
      <c r="W60" s="180">
        <v>0.48969162987456499</v>
      </c>
      <c r="X60" s="180">
        <v>0.48673574478477888</v>
      </c>
      <c r="Y60" s="180">
        <v>0.48377985969499276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190.71868420124662</v>
      </c>
      <c r="D61" s="180">
        <v>187.28733528115538</v>
      </c>
      <c r="E61" s="180">
        <v>183.85398667612688</v>
      </c>
      <c r="F61" s="180">
        <v>179.5311896072395</v>
      </c>
      <c r="G61" s="180">
        <v>176.52175633934351</v>
      </c>
      <c r="H61" s="180">
        <v>172.62476721096181</v>
      </c>
      <c r="I61" s="180">
        <v>170.72601397219614</v>
      </c>
      <c r="J61" s="180">
        <v>168.96988185858518</v>
      </c>
      <c r="K61" s="180">
        <v>167.20668358186046</v>
      </c>
      <c r="L61" s="180">
        <v>163.06574099466175</v>
      </c>
      <c r="M61" s="180">
        <v>158.37007154203576</v>
      </c>
      <c r="N61" s="180">
        <v>153.28732725979904</v>
      </c>
      <c r="O61" s="180">
        <v>146.75745511201185</v>
      </c>
      <c r="P61" s="180">
        <v>140.02503609675759</v>
      </c>
      <c r="Q61" s="180">
        <v>132.59565149806201</v>
      </c>
      <c r="R61" s="180">
        <v>124.9961537942562</v>
      </c>
      <c r="S61" s="180">
        <v>119.21429963413404</v>
      </c>
      <c r="T61" s="180">
        <v>113.39427469471251</v>
      </c>
      <c r="U61" s="180">
        <v>107.55237148782021</v>
      </c>
      <c r="V61" s="180">
        <v>101.73104815906557</v>
      </c>
      <c r="W61" s="180">
        <v>99.228464374352555</v>
      </c>
      <c r="X61" s="180">
        <v>96.725880589639544</v>
      </c>
      <c r="Y61" s="180">
        <v>94.223296804926534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45.23530182941515</v>
      </c>
      <c r="D62" s="180">
        <v>43.844771250417807</v>
      </c>
      <c r="E62" s="180">
        <v>43.10522009965522</v>
      </c>
      <c r="F62" s="180">
        <v>42.380993715210138</v>
      </c>
      <c r="G62" s="180">
        <v>41.268183757042358</v>
      </c>
      <c r="H62" s="180">
        <v>40.083265398205583</v>
      </c>
      <c r="I62" s="180">
        <v>38.910785646568542</v>
      </c>
      <c r="J62" s="180">
        <v>37.706454991590078</v>
      </c>
      <c r="K62" s="180">
        <v>36.528771656639584</v>
      </c>
      <c r="L62" s="180">
        <v>35.421740222314298</v>
      </c>
      <c r="M62" s="180">
        <v>33.727093859004015</v>
      </c>
      <c r="N62" s="180">
        <v>31.437970123507053</v>
      </c>
      <c r="O62" s="180">
        <v>29.081511571907438</v>
      </c>
      <c r="P62" s="180">
        <v>26.943621259244573</v>
      </c>
      <c r="Q62" s="180">
        <v>24.355065480578549</v>
      </c>
      <c r="R62" s="180">
        <v>21.97330583444672</v>
      </c>
      <c r="S62" s="180">
        <v>20.810050270685561</v>
      </c>
      <c r="T62" s="180">
        <v>18.853904831037074</v>
      </c>
      <c r="U62" s="180">
        <v>17.273714027920601</v>
      </c>
      <c r="V62" s="180">
        <v>16.007242837979092</v>
      </c>
      <c r="W62" s="180">
        <v>15.206880696080137</v>
      </c>
      <c r="X62" s="180">
        <v>14.406518554181181</v>
      </c>
      <c r="Y62" s="180">
        <v>13.606156412282226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647.23911007779338</v>
      </c>
      <c r="D63" s="180">
        <v>628.63064411821244</v>
      </c>
      <c r="E63" s="180">
        <v>621.2701886299327</v>
      </c>
      <c r="F63" s="180">
        <v>612.27393971294987</v>
      </c>
      <c r="G63" s="180">
        <v>607.9084695070818</v>
      </c>
      <c r="H63" s="180">
        <v>598.61484119846739</v>
      </c>
      <c r="I63" s="180">
        <v>584.63093927597572</v>
      </c>
      <c r="J63" s="180">
        <v>567.98328766493034</v>
      </c>
      <c r="K63" s="180">
        <v>552.2461458209483</v>
      </c>
      <c r="L63" s="180">
        <v>537.93635644690187</v>
      </c>
      <c r="M63" s="180">
        <v>524.60651959591769</v>
      </c>
      <c r="N63" s="180">
        <v>509.78238156627634</v>
      </c>
      <c r="O63" s="180">
        <v>499.45198609261018</v>
      </c>
      <c r="P63" s="180">
        <v>477.1694290736512</v>
      </c>
      <c r="Q63" s="180">
        <v>459.87096691717437</v>
      </c>
      <c r="R63" s="180">
        <v>453.28173185438089</v>
      </c>
      <c r="S63" s="180">
        <v>445.42887623533596</v>
      </c>
      <c r="T63" s="180">
        <v>437.87612636995442</v>
      </c>
      <c r="U63" s="180">
        <v>430.56679992768545</v>
      </c>
      <c r="V63" s="180">
        <v>423.32892501404569</v>
      </c>
      <c r="W63" s="180">
        <v>414.86234651376475</v>
      </c>
      <c r="X63" s="180">
        <v>406.39576801348386</v>
      </c>
      <c r="Y63" s="180">
        <v>397.92918951320291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52.016276808471538</v>
      </c>
      <c r="D64" s="55">
        <v>51.139571321090258</v>
      </c>
      <c r="E64" s="55">
        <v>50.155381948646642</v>
      </c>
      <c r="F64" s="55">
        <v>49.121524755061529</v>
      </c>
      <c r="G64" s="55">
        <v>48.197711304021141</v>
      </c>
      <c r="H64" s="55">
        <v>47.403119926586115</v>
      </c>
      <c r="I64" s="55">
        <v>46.393443539212704</v>
      </c>
      <c r="J64" s="55">
        <v>45.579913234605201</v>
      </c>
      <c r="K64" s="55">
        <v>44.886336765459582</v>
      </c>
      <c r="L64" s="55">
        <v>43.839041765260994</v>
      </c>
      <c r="M64" s="55">
        <v>42.249187292625379</v>
      </c>
      <c r="N64" s="55">
        <v>40.355874100905979</v>
      </c>
      <c r="O64" s="55">
        <v>38.391477220731176</v>
      </c>
      <c r="P64" s="55">
        <v>36.737095545701344</v>
      </c>
      <c r="Q64" s="55">
        <v>35.406505307059959</v>
      </c>
      <c r="R64" s="55">
        <v>34.975578119831354</v>
      </c>
      <c r="S64" s="55">
        <v>34.472061505102587</v>
      </c>
      <c r="T64" s="55">
        <v>33.995786909891216</v>
      </c>
      <c r="U64" s="55">
        <v>33.529959821818593</v>
      </c>
      <c r="V64" s="55">
        <v>33.068608463891799</v>
      </c>
      <c r="W64" s="55">
        <v>32.737922379252879</v>
      </c>
      <c r="X64" s="55">
        <v>32.407236294613959</v>
      </c>
      <c r="Y64" s="55">
        <v>32.076550209975046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352.70067007103353</v>
      </c>
      <c r="D65" s="63">
        <v>337.63695636416566</v>
      </c>
      <c r="E65" s="63">
        <v>325.37487453679137</v>
      </c>
      <c r="F65" s="63">
        <v>312.46893995992633</v>
      </c>
      <c r="G65" s="63">
        <v>297.07966726970773</v>
      </c>
      <c r="H65" s="63">
        <v>279.19922425508429</v>
      </c>
      <c r="I65" s="63">
        <v>262.40755215352056</v>
      </c>
      <c r="J65" s="63">
        <v>246.48272996687015</v>
      </c>
      <c r="K65" s="63">
        <v>231.83171891589305</v>
      </c>
      <c r="L65" s="63">
        <v>211.92587845437694</v>
      </c>
      <c r="M65" s="63">
        <v>199.45240833199219</v>
      </c>
      <c r="N65" s="63">
        <v>186.17151469366704</v>
      </c>
      <c r="O65" s="63">
        <v>175.69488931390919</v>
      </c>
      <c r="P65" s="63">
        <v>172.12579544541737</v>
      </c>
      <c r="Q65" s="63">
        <v>159.74434586888344</v>
      </c>
      <c r="R65" s="63">
        <v>156.27653289550133</v>
      </c>
      <c r="S65" s="63">
        <v>152.36451854164716</v>
      </c>
      <c r="T65" s="63">
        <v>148.55199261998595</v>
      </c>
      <c r="U65" s="63">
        <v>144.84988545917619</v>
      </c>
      <c r="V65" s="63">
        <v>141.17811527207758</v>
      </c>
      <c r="W65" s="63">
        <v>138.63690919718019</v>
      </c>
      <c r="X65" s="63">
        <v>136.09570312228277</v>
      </c>
      <c r="Y65" s="63">
        <v>133.55449704738538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332.42467781839645</v>
      </c>
      <c r="C68" s="187">
        <f>1000000*C20/SER_summary!C$8</f>
        <v>346.72866994116094</v>
      </c>
      <c r="D68" s="187">
        <f>1000000*D20/SER_summary!D$8</f>
        <v>363.18462538075318</v>
      </c>
      <c r="E68" s="187">
        <f>1000000*E20/SER_summary!E$8</f>
        <v>375.66538914813805</v>
      </c>
      <c r="F68" s="187">
        <f>1000000*F20/SER_summary!F$8</f>
        <v>385.22335206613639</v>
      </c>
      <c r="G68" s="187">
        <f>1000000*G20/SER_summary!G$8</f>
        <v>395.30581117429534</v>
      </c>
      <c r="H68" s="187">
        <f>1000000*H20/SER_summary!H$8</f>
        <v>408.22185563498675</v>
      </c>
      <c r="I68" s="187">
        <f>1000000*I20/SER_summary!I$8</f>
        <v>420.81387939189949</v>
      </c>
      <c r="J68" s="187">
        <f>1000000*J20/SER_summary!J$8</f>
        <v>433.04913432396171</v>
      </c>
      <c r="K68" s="187">
        <f>1000000*K20/SER_summary!K$8</f>
        <v>442.50563742491897</v>
      </c>
      <c r="L68" s="187">
        <f>1000000*L20/SER_summary!L$8</f>
        <v>450.41884275233127</v>
      </c>
      <c r="M68" s="187">
        <f>1000000*M20/SER_summary!M$8</f>
        <v>455.44143005436422</v>
      </c>
      <c r="N68" s="187">
        <f>1000000*N20/SER_summary!N$8</f>
        <v>457.79015293595342</v>
      </c>
      <c r="O68" s="187">
        <f>1000000*O20/SER_summary!O$8</f>
        <v>464.4595707790815</v>
      </c>
      <c r="P68" s="187">
        <f>1000000*P20/SER_summary!P$8</f>
        <v>467.74160618941613</v>
      </c>
      <c r="Q68" s="187">
        <f>1000000*Q20/SER_summary!Q$8</f>
        <v>470.46877518611188</v>
      </c>
      <c r="R68" s="187">
        <f>1000000*R20/SER_summary!R$8</f>
        <v>480.28277353289491</v>
      </c>
      <c r="S68" s="187">
        <f>1000000*S20/SER_summary!S$8</f>
        <v>490.11250445320053</v>
      </c>
      <c r="T68" s="187">
        <f>1000000*T20/SER_summary!T$8</f>
        <v>499.87476266944356</v>
      </c>
      <c r="U68" s="187">
        <f>1000000*U20/SER_summary!U$8</f>
        <v>509.51908302910869</v>
      </c>
      <c r="V68" s="187">
        <f>1000000*V20/SER_summary!V$8</f>
        <v>518.95153179917736</v>
      </c>
      <c r="W68" s="187">
        <f>1000000*W20/SER_summary!W$8</f>
        <v>528.05729906966258</v>
      </c>
      <c r="X68" s="187">
        <f>1000000*X20/SER_summary!X$8</f>
        <v>532.66992390656367</v>
      </c>
      <c r="Y68" s="187">
        <f>1000000*Y20/SER_summary!Y$8</f>
        <v>534.99132377425269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7.1409155898656443E-2</v>
      </c>
      <c r="C69" s="187">
        <f>1000*C21/SER_summary!C$3</f>
        <v>7.5453131514312433E-2</v>
      </c>
      <c r="D69" s="187">
        <f>1000*D21/SER_summary!D$3</f>
        <v>8.0446333039142448E-2</v>
      </c>
      <c r="E69" s="187">
        <f>1000*E21/SER_summary!E$3</f>
        <v>8.56639361197859E-2</v>
      </c>
      <c r="F69" s="187">
        <f>1000*F21/SER_summary!F$3</f>
        <v>9.0912296733874035E-2</v>
      </c>
      <c r="G69" s="187">
        <f>1000*G21/SER_summary!G$3</f>
        <v>9.6345589378276142E-2</v>
      </c>
      <c r="H69" s="187">
        <f>1000*H21/SER_summary!H$3</f>
        <v>0.1016145329995508</v>
      </c>
      <c r="I69" s="187">
        <f>1000*I21/SER_summary!I$3</f>
        <v>0.10601648742116489</v>
      </c>
      <c r="J69" s="187">
        <f>1000*J21/SER_summary!J$3</f>
        <v>0.10947071583950907</v>
      </c>
      <c r="K69" s="187">
        <f>1000*K21/SER_summary!K$3</f>
        <v>0.11311962427809934</v>
      </c>
      <c r="L69" s="187">
        <f>1000*L21/SER_summary!L$3</f>
        <v>0.11640351690866613</v>
      </c>
      <c r="M69" s="187">
        <f>1000*M21/SER_summary!M$3</f>
        <v>0.1181264018052549</v>
      </c>
      <c r="N69" s="187">
        <f>1000*N21/SER_summary!N$3</f>
        <v>0.11979449134151468</v>
      </c>
      <c r="O69" s="187">
        <f>1000*O21/SER_summary!O$3</f>
        <v>0.12247712458179781</v>
      </c>
      <c r="P69" s="187">
        <f>1000*P21/SER_summary!P$3</f>
        <v>0.12534967744767891</v>
      </c>
      <c r="Q69" s="187">
        <f>1000*Q21/SER_summary!Q$3</f>
        <v>0.12768136268321228</v>
      </c>
      <c r="R69" s="187">
        <f>1000*R21/SER_summary!R$3</f>
        <v>0.13211405958553324</v>
      </c>
      <c r="S69" s="187">
        <f>1000*S21/SER_summary!S$3</f>
        <v>0.13675953374575728</v>
      </c>
      <c r="T69" s="187">
        <f>1000*T21/SER_summary!T$3</f>
        <v>0.14130255358349747</v>
      </c>
      <c r="U69" s="187">
        <f>1000*U21/SER_summary!U$3</f>
        <v>0.14574119331978241</v>
      </c>
      <c r="V69" s="187">
        <f>1000*V21/SER_summary!V$3</f>
        <v>0.1502474283242573</v>
      </c>
      <c r="W69" s="187">
        <f>1000*W21/SER_summary!W$3</f>
        <v>0.15535503880957785</v>
      </c>
      <c r="X69" s="187">
        <f>1000*X21/SER_summary!X$3</f>
        <v>0.15903332950518329</v>
      </c>
      <c r="Y69" s="187">
        <f>1000*Y21/SER_summary!Y$3</f>
        <v>0.16165982960396583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168.67463110122841</v>
      </c>
      <c r="C70" s="187">
        <f>1000000*C22/SER_summary!C$8</f>
        <v>170.73753535512191</v>
      </c>
      <c r="D70" s="187">
        <f>1000000*D22/SER_summary!D$8</f>
        <v>173.04674135744776</v>
      </c>
      <c r="E70" s="187">
        <f>1000000*E22/SER_summary!E$8</f>
        <v>175.56289928975696</v>
      </c>
      <c r="F70" s="187">
        <f>1000000*F22/SER_summary!F$8</f>
        <v>178.79662987807404</v>
      </c>
      <c r="G70" s="187">
        <f>1000000*G22/SER_summary!G$8</f>
        <v>182.43799759408822</v>
      </c>
      <c r="H70" s="187">
        <f>1000000*H22/SER_summary!H$8</f>
        <v>186.11863087163275</v>
      </c>
      <c r="I70" s="187">
        <f>1000000*I22/SER_summary!I$8</f>
        <v>189.58940006663755</v>
      </c>
      <c r="J70" s="187">
        <f>1000000*J22/SER_summary!J$8</f>
        <v>193.58766833632009</v>
      </c>
      <c r="K70" s="187">
        <f>1000000*K22/SER_summary!K$8</f>
        <v>198.17427040357632</v>
      </c>
      <c r="L70" s="187">
        <f>1000000*L22/SER_summary!L$8</f>
        <v>202.65177779731562</v>
      </c>
      <c r="M70" s="187">
        <f>1000000*M22/SER_summary!M$8</f>
        <v>207.21286665419899</v>
      </c>
      <c r="N70" s="187">
        <f>1000000*N22/SER_summary!N$8</f>
        <v>210.67735629398291</v>
      </c>
      <c r="O70" s="187">
        <f>1000000*O22/SER_summary!O$8</f>
        <v>214.79360709482791</v>
      </c>
      <c r="P70" s="187">
        <f>1000000*P22/SER_summary!P$8</f>
        <v>218.02469957183013</v>
      </c>
      <c r="Q70" s="187">
        <f>1000000*Q22/SER_summary!Q$8</f>
        <v>223.44731599004595</v>
      </c>
      <c r="R70" s="187">
        <f>1000000*R22/SER_summary!R$8</f>
        <v>226.91679406999856</v>
      </c>
      <c r="S70" s="187">
        <f>1000000*S22/SER_summary!S$8</f>
        <v>230.41817743339226</v>
      </c>
      <c r="T70" s="187">
        <f>1000000*T22/SER_summary!T$8</f>
        <v>233.83506256816008</v>
      </c>
      <c r="U70" s="187">
        <f>1000000*U22/SER_summary!U$8</f>
        <v>237.09626667910786</v>
      </c>
      <c r="V70" s="187">
        <f>1000000*V22/SER_summary!V$8</f>
        <v>240.06912293868672</v>
      </c>
      <c r="W70" s="187">
        <f>1000000*W22/SER_summary!W$8</f>
        <v>242.58114592272338</v>
      </c>
      <c r="X70" s="187">
        <f>1000000*X22/SER_summary!X$8</f>
        <v>243.84699723325568</v>
      </c>
      <c r="Y70" s="187">
        <f>1000000*Y22/SER_summary!Y$8</f>
        <v>244.48239781600785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1.4046856213697037E-2</v>
      </c>
      <c r="C71" s="187">
        <f>1000*C23/SER_summary!C$3</f>
        <v>1.444185582903411E-2</v>
      </c>
      <c r="D71" s="187">
        <f>1000*D23/SER_summary!D$3</f>
        <v>1.4772149278601314E-2</v>
      </c>
      <c r="E71" s="187">
        <f>1000*E23/SER_summary!E$3</f>
        <v>1.5214345070237528E-2</v>
      </c>
      <c r="F71" s="187">
        <f>1000*F23/SER_summary!F$3</f>
        <v>1.5781927924368239E-2</v>
      </c>
      <c r="G71" s="187">
        <f>1000*G23/SER_summary!G$3</f>
        <v>1.6548366379645813E-2</v>
      </c>
      <c r="H71" s="187">
        <f>1000*H23/SER_summary!H$3</f>
        <v>1.7457587627226032E-2</v>
      </c>
      <c r="I71" s="187">
        <f>1000*I23/SER_summary!I$3</f>
        <v>1.8474249333690022E-2</v>
      </c>
      <c r="J71" s="187">
        <f>1000*J23/SER_summary!J$3</f>
        <v>1.9210374281345446E-2</v>
      </c>
      <c r="K71" s="187">
        <f>1000*K23/SER_summary!K$3</f>
        <v>1.9733188171874954E-2</v>
      </c>
      <c r="L71" s="187">
        <f>1000*L23/SER_summary!L$3</f>
        <v>2.01889652292251E-2</v>
      </c>
      <c r="M71" s="187">
        <f>1000*M23/SER_summary!M$3</f>
        <v>2.0306142204572594E-2</v>
      </c>
      <c r="N71" s="187">
        <f>1000*N23/SER_summary!N$3</f>
        <v>2.0447974880588353E-2</v>
      </c>
      <c r="O71" s="187">
        <f>1000*O23/SER_summary!O$3</f>
        <v>2.0734606245406011E-2</v>
      </c>
      <c r="P71" s="187">
        <f>1000*P23/SER_summary!P$3</f>
        <v>2.1200527492302369E-2</v>
      </c>
      <c r="Q71" s="187">
        <f>1000*Q23/SER_summary!Q$3</f>
        <v>2.1980699918413837E-2</v>
      </c>
      <c r="R71" s="187">
        <f>1000*R23/SER_summary!R$3</f>
        <v>2.2683653314413039E-2</v>
      </c>
      <c r="S71" s="187">
        <f>1000*S23/SER_summary!S$3</f>
        <v>2.3425682696119752E-2</v>
      </c>
      <c r="T71" s="187">
        <f>1000*T23/SER_summary!T$3</f>
        <v>2.4138064931459542E-2</v>
      </c>
      <c r="U71" s="187">
        <f>1000*U23/SER_summary!U$3</f>
        <v>2.4811751209935787E-2</v>
      </c>
      <c r="V71" s="187">
        <f>1000*V23/SER_summary!V$3</f>
        <v>2.5459664064269166E-2</v>
      </c>
      <c r="W71" s="187">
        <f>1000*W23/SER_summary!W$3</f>
        <v>2.6146971981247803E-2</v>
      </c>
      <c r="X71" s="187">
        <f>1000*X23/SER_summary!X$3</f>
        <v>2.6639097925062891E-2</v>
      </c>
      <c r="Y71" s="187">
        <f>1000*Y23/SER_summary!Y$3</f>
        <v>2.698908699996265E-2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66.187904659623953</v>
      </c>
      <c r="C72" s="187">
        <f>1000000*C24/SER_summary!C$8</f>
        <v>71.573677965974952</v>
      </c>
      <c r="D72" s="187">
        <f>1000000*D24/SER_summary!D$8</f>
        <v>76.766210903281106</v>
      </c>
      <c r="E72" s="187">
        <f>1000000*E24/SER_summary!E$8</f>
        <v>83.470489479538131</v>
      </c>
      <c r="F72" s="187">
        <f>1000000*F24/SER_summary!F$8</f>
        <v>90.099487314159944</v>
      </c>
      <c r="G72" s="187">
        <f>1000000*G24/SER_summary!G$8</f>
        <v>95.544746717990421</v>
      </c>
      <c r="H72" s="187">
        <f>1000000*H24/SER_summary!H$8</f>
        <v>100.80123858650725</v>
      </c>
      <c r="I72" s="187">
        <f>1000000*I24/SER_summary!I$8</f>
        <v>105.69879145568062</v>
      </c>
      <c r="J72" s="187">
        <f>1000000*J24/SER_summary!J$8</f>
        <v>110.05411479100511</v>
      </c>
      <c r="K72" s="187">
        <f>1000000*K24/SER_summary!K$8</f>
        <v>114.29471788357792</v>
      </c>
      <c r="L72" s="187">
        <f>1000000*L24/SER_summary!L$8</f>
        <v>118.27061863111598</v>
      </c>
      <c r="M72" s="187">
        <f>1000000*M24/SER_summary!M$8</f>
        <v>122.0973907300085</v>
      </c>
      <c r="N72" s="187">
        <f>1000000*N24/SER_summary!N$8</f>
        <v>122.94465843602539</v>
      </c>
      <c r="O72" s="187">
        <f>1000000*O24/SER_summary!O$8</f>
        <v>124.45222570650091</v>
      </c>
      <c r="P72" s="187">
        <f>1000000*P24/SER_summary!P$8</f>
        <v>125.54512895423193</v>
      </c>
      <c r="Q72" s="187">
        <f>1000000*Q24/SER_summary!Q$8</f>
        <v>125.66262522137146</v>
      </c>
      <c r="R72" s="187">
        <f>1000000*R24/SER_summary!R$8</f>
        <v>129.65505787739195</v>
      </c>
      <c r="S72" s="187">
        <f>1000000*S24/SER_summary!S$8</f>
        <v>133.36198957395658</v>
      </c>
      <c r="T72" s="187">
        <f>1000000*T24/SER_summary!T$8</f>
        <v>138.29044657767682</v>
      </c>
      <c r="U72" s="187">
        <f>1000000*U24/SER_summary!U$8</f>
        <v>144.5999141832838</v>
      </c>
      <c r="V72" s="187">
        <f>1000000*V24/SER_summary!V$8</f>
        <v>150.60450282639636</v>
      </c>
      <c r="W72" s="187">
        <f>1000000*W24/SER_summary!W$8</f>
        <v>156.14982379923902</v>
      </c>
      <c r="X72" s="187">
        <f>1000000*X24/SER_summary!X$8</f>
        <v>160.73273398685009</v>
      </c>
      <c r="Y72" s="187">
        <f>1000000*Y24/SER_summary!Y$8</f>
        <v>164.49571851254774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4.7279268741854986E-2</v>
      </c>
      <c r="C73" s="52">
        <f>1000*C25/SER_summary!C$3</f>
        <v>5.2636384012032453E-2</v>
      </c>
      <c r="D73" s="52">
        <f>1000*D25/SER_summary!D$3</f>
        <v>5.6009171789745606E-2</v>
      </c>
      <c r="E73" s="52">
        <f>1000*E25/SER_summary!E$3</f>
        <v>6.2273007500041944E-2</v>
      </c>
      <c r="F73" s="52">
        <f>1000*F25/SER_summary!F$3</f>
        <v>7.3455685839590334E-2</v>
      </c>
      <c r="G73" s="52">
        <f>1000*G25/SER_summary!G$3</f>
        <v>8.9270779775885517E-2</v>
      </c>
      <c r="H73" s="52">
        <f>1000*H25/SER_summary!H$3</f>
        <v>0.10845009202593371</v>
      </c>
      <c r="I73" s="52">
        <f>1000*I25/SER_summary!I$3</f>
        <v>0.12394018681914362</v>
      </c>
      <c r="J73" s="52">
        <f>1000*J25/SER_summary!J$3</f>
        <v>0.13616514314602818</v>
      </c>
      <c r="K73" s="52">
        <f>1000*K25/SER_summary!K$3</f>
        <v>0.14762438080190132</v>
      </c>
      <c r="L73" s="52">
        <f>1000*L25/SER_summary!L$3</f>
        <v>0.15875451550435607</v>
      </c>
      <c r="M73" s="52">
        <f>1000*M25/SER_summary!M$3</f>
        <v>0.17325358743367142</v>
      </c>
      <c r="N73" s="52">
        <f>1000*N25/SER_summary!N$3</f>
        <v>0.18178817312777501</v>
      </c>
      <c r="O73" s="52">
        <f>1000*O25/SER_summary!O$3</f>
        <v>0.19203569913684129</v>
      </c>
      <c r="P73" s="52">
        <f>1000*P25/SER_summary!P$3</f>
        <v>0.20781948963103744</v>
      </c>
      <c r="Q73" s="52">
        <f>1000*Q25/SER_summary!Q$3</f>
        <v>0.23508697936284076</v>
      </c>
      <c r="R73" s="52">
        <f>1000*R25/SER_summary!R$3</f>
        <v>0.24863960568480672</v>
      </c>
      <c r="S73" s="52">
        <f>1000*S25/SER_summary!S$3</f>
        <v>0.26232787635793342</v>
      </c>
      <c r="T73" s="52">
        <f>1000*T25/SER_summary!T$3</f>
        <v>0.2755121182636569</v>
      </c>
      <c r="U73" s="52">
        <f>1000*U25/SER_summary!U$3</f>
        <v>0.28829147231384505</v>
      </c>
      <c r="V73" s="52">
        <f>1000*V25/SER_summary!V$3</f>
        <v>0.30039875373854841</v>
      </c>
      <c r="W73" s="52">
        <f>1000*W25/SER_summary!W$3</f>
        <v>0.3132682762626694</v>
      </c>
      <c r="X73" s="52">
        <f>1000*X25/SER_summary!X$3</f>
        <v>0.32360076448093489</v>
      </c>
      <c r="Y73" s="52">
        <f>1000*Y25/SER_summary!Y$3</f>
        <v>0.33135115101630358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16.69001048564617</v>
      </c>
      <c r="C3" s="198">
        <f>'SER_se-appl'!C4</f>
        <v>17.553907770414927</v>
      </c>
      <c r="D3" s="198">
        <f>'SER_se-appl'!D4</f>
        <v>18.567649627442567</v>
      </c>
      <c r="E3" s="198">
        <f>'SER_se-appl'!E4</f>
        <v>19.655467881330406</v>
      </c>
      <c r="F3" s="198">
        <f>'SER_se-appl'!F4</f>
        <v>20.257742472003478</v>
      </c>
      <c r="G3" s="198">
        <f>'SER_se-appl'!G4</f>
        <v>21.024489539622664</v>
      </c>
      <c r="H3" s="198">
        <f>'SER_se-appl'!H4</f>
        <v>21.745656756138334</v>
      </c>
      <c r="I3" s="198">
        <f>'SER_se-appl'!I4</f>
        <v>22.560260827448804</v>
      </c>
      <c r="J3" s="198">
        <f>'SER_se-appl'!J4</f>
        <v>22.847418618686284</v>
      </c>
      <c r="K3" s="198">
        <f>'SER_se-appl'!K4</f>
        <v>23.012712218800118</v>
      </c>
      <c r="L3" s="198">
        <f>'SER_se-appl'!L4</f>
        <v>23.17507425042178</v>
      </c>
      <c r="M3" s="198">
        <f>'SER_se-appl'!M4</f>
        <v>23.27179052900647</v>
      </c>
      <c r="N3" s="198">
        <f>'SER_se-appl'!N4</f>
        <v>23.271303074034968</v>
      </c>
      <c r="O3" s="198">
        <f>'SER_se-appl'!O4</f>
        <v>23.479446487157119</v>
      </c>
      <c r="P3" s="198">
        <f>'SER_se-appl'!P4</f>
        <v>23.881399235564214</v>
      </c>
      <c r="Q3" s="198">
        <f>'SER_se-appl'!Q4</f>
        <v>23.634987914419685</v>
      </c>
      <c r="R3" s="198">
        <f>'SER_se-appl'!R4</f>
        <v>23.823925076737666</v>
      </c>
      <c r="S3" s="198">
        <f>'SER_se-appl'!S4</f>
        <v>24.085159036272398</v>
      </c>
      <c r="T3" s="198">
        <f>'SER_se-appl'!T4</f>
        <v>24.33039749335126</v>
      </c>
      <c r="U3" s="198">
        <f>'SER_se-appl'!U4</f>
        <v>24.497760961482602</v>
      </c>
      <c r="V3" s="198">
        <f>'SER_se-appl'!V4</f>
        <v>24.60342991545614</v>
      </c>
      <c r="W3" s="198">
        <f>'SER_se-appl'!W4</f>
        <v>24.677163660870352</v>
      </c>
      <c r="X3" s="198">
        <f>'SER_se-appl'!X4</f>
        <v>24.695626652476331</v>
      </c>
      <c r="Y3" s="198">
        <f>'SER_se-appl'!Y4</f>
        <v>24.572931274161444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22.158084697267689</v>
      </c>
      <c r="C5" s="59">
        <f>'SER_se-appl'!C12</f>
        <v>23.30501682305087</v>
      </c>
      <c r="D5" s="59">
        <f>'SER_se-appl'!D12</f>
        <v>24.650886434606974</v>
      </c>
      <c r="E5" s="59">
        <f>'SER_se-appl'!E12</f>
        <v>26.095101764825646</v>
      </c>
      <c r="F5" s="59">
        <f>'SER_se-appl'!F12</f>
        <v>26.894696912032014</v>
      </c>
      <c r="G5" s="59">
        <f>'SER_se-appl'!G12</f>
        <v>27.912649925320956</v>
      </c>
      <c r="H5" s="59">
        <f>'SER_se-appl'!H12</f>
        <v>28.87008996277271</v>
      </c>
      <c r="I5" s="59">
        <f>'SER_se-appl'!I12</f>
        <v>29.951579157902916</v>
      </c>
      <c r="J5" s="59">
        <f>'SER_se-appl'!J12</f>
        <v>30.332817184397431</v>
      </c>
      <c r="K5" s="59">
        <f>'SER_se-appl'!K12</f>
        <v>30.552265194594217</v>
      </c>
      <c r="L5" s="59">
        <f>'SER_se-appl'!L12</f>
        <v>30.767821179498306</v>
      </c>
      <c r="M5" s="59">
        <f>'SER_se-appl'!M12</f>
        <v>30.896224184057676</v>
      </c>
      <c r="N5" s="59">
        <f>'SER_se-appl'!N12</f>
        <v>30.895577026372919</v>
      </c>
      <c r="O5" s="59">
        <f>'SER_se-appl'!O12</f>
        <v>31.171913544022519</v>
      </c>
      <c r="P5" s="59">
        <f>'SER_se-appl'!P12</f>
        <v>31.705556291051575</v>
      </c>
      <c r="Q5" s="59">
        <f>'SER_se-appl'!Q12</f>
        <v>31.378414320171352</v>
      </c>
      <c r="R5" s="59">
        <f>'SER_se-appl'!R12</f>
        <v>31.62925212813461</v>
      </c>
      <c r="S5" s="59">
        <f>'SER_se-appl'!S12</f>
        <v>31.97607301276804</v>
      </c>
      <c r="T5" s="59">
        <f>'SER_se-appl'!T12</f>
        <v>32.301657859323662</v>
      </c>
      <c r="U5" s="59">
        <f>'SER_se-appl'!U12</f>
        <v>32.523853879228625</v>
      </c>
      <c r="V5" s="59">
        <f>'SER_se-appl'!V12</f>
        <v>32.664142684561071</v>
      </c>
      <c r="W5" s="59">
        <f>'SER_se-appl'!W12</f>
        <v>32.762033490402096</v>
      </c>
      <c r="X5" s="59">
        <f>'SER_se-appl'!X12</f>
        <v>32.786545430171223</v>
      </c>
      <c r="Y5" s="59">
        <f>'SER_se-appl'!Y12</f>
        <v>32.623651908504314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332.42467781839645</v>
      </c>
      <c r="C6" s="201">
        <f>'SER_se-appl'!C68</f>
        <v>346.72866994116094</v>
      </c>
      <c r="D6" s="201">
        <f>'SER_se-appl'!D68</f>
        <v>363.18462538075318</v>
      </c>
      <c r="E6" s="201">
        <f>'SER_se-appl'!E68</f>
        <v>375.66538914813805</v>
      </c>
      <c r="F6" s="201">
        <f>'SER_se-appl'!F68</f>
        <v>385.22335206613639</v>
      </c>
      <c r="G6" s="201">
        <f>'SER_se-appl'!G68</f>
        <v>395.30581117429534</v>
      </c>
      <c r="H6" s="201">
        <f>'SER_se-appl'!H68</f>
        <v>408.22185563498675</v>
      </c>
      <c r="I6" s="201">
        <f>'SER_se-appl'!I68</f>
        <v>420.81387939189949</v>
      </c>
      <c r="J6" s="201">
        <f>'SER_se-appl'!J68</f>
        <v>433.04913432396171</v>
      </c>
      <c r="K6" s="201">
        <f>'SER_se-appl'!K68</f>
        <v>442.50563742491897</v>
      </c>
      <c r="L6" s="201">
        <f>'SER_se-appl'!L68</f>
        <v>450.41884275233127</v>
      </c>
      <c r="M6" s="201">
        <f>'SER_se-appl'!M68</f>
        <v>455.44143005436422</v>
      </c>
      <c r="N6" s="201">
        <f>'SER_se-appl'!N68</f>
        <v>457.79015293595342</v>
      </c>
      <c r="O6" s="201">
        <f>'SER_se-appl'!O68</f>
        <v>464.4595707790815</v>
      </c>
      <c r="P6" s="201">
        <f>'SER_se-appl'!P68</f>
        <v>467.74160618941613</v>
      </c>
      <c r="Q6" s="201">
        <f>'SER_se-appl'!Q68</f>
        <v>470.46877518611188</v>
      </c>
      <c r="R6" s="201">
        <f>'SER_se-appl'!R68</f>
        <v>480.28277353289491</v>
      </c>
      <c r="S6" s="201">
        <f>'SER_se-appl'!S68</f>
        <v>490.11250445320053</v>
      </c>
      <c r="T6" s="201">
        <f>'SER_se-appl'!T68</f>
        <v>499.87476266944356</v>
      </c>
      <c r="U6" s="201">
        <f>'SER_se-appl'!U68</f>
        <v>509.51908302910869</v>
      </c>
      <c r="V6" s="201">
        <f>'SER_se-appl'!V68</f>
        <v>518.95153179917736</v>
      </c>
      <c r="W6" s="201">
        <f>'SER_se-appl'!W68</f>
        <v>528.05729906966258</v>
      </c>
      <c r="X6" s="201">
        <f>'SER_se-appl'!X68</f>
        <v>532.66992390656367</v>
      </c>
      <c r="Y6" s="201">
        <f>'SER_se-appl'!Y68</f>
        <v>534.99132377425269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28.332712298119368</v>
      </c>
      <c r="C8" s="34">
        <f>'SER_se-appl'!C20</f>
        <v>30.126904445855057</v>
      </c>
      <c r="D8" s="34">
        <f>'SER_se-appl'!D20</f>
        <v>32.262720596019761</v>
      </c>
      <c r="E8" s="34">
        <f>'SER_se-appl'!E20</f>
        <v>34.606868711202011</v>
      </c>
      <c r="F8" s="34">
        <f>'SER_se-appl'!F20</f>
        <v>36.041330005377596</v>
      </c>
      <c r="G8" s="34">
        <f>'SER_se-appl'!G20</f>
        <v>37.856335333519311</v>
      </c>
      <c r="H8" s="34">
        <f>'SER_se-appl'!H20</f>
        <v>39.631549518366718</v>
      </c>
      <c r="I8" s="34">
        <f>'SER_se-appl'!I20</f>
        <v>41.651506632547324</v>
      </c>
      <c r="J8" s="34">
        <f>'SER_se-appl'!J20</f>
        <v>42.615361011488794</v>
      </c>
      <c r="K8" s="34">
        <f>'SER_se-appl'!K20</f>
        <v>43.359784538765133</v>
      </c>
      <c r="L8" s="34">
        <f>'SER_se-appl'!L20</f>
        <v>44.145694142035666</v>
      </c>
      <c r="M8" s="34">
        <f>'SER_se-appl'!M20</f>
        <v>44.835340989207701</v>
      </c>
      <c r="N8" s="34">
        <f>'SER_se-appl'!N20</f>
        <v>45.393461396698747</v>
      </c>
      <c r="O8" s="34">
        <f>'SER_se-appl'!O20</f>
        <v>46.539512957839001</v>
      </c>
      <c r="P8" s="34">
        <f>'SER_se-appl'!P20</f>
        <v>48.34030985341159</v>
      </c>
      <c r="Q8" s="34">
        <f>'SER_se-appl'!Q20</f>
        <v>48.656659518699328</v>
      </c>
      <c r="R8" s="34">
        <f>'SER_se-appl'!R20</f>
        <v>50.148414188811245</v>
      </c>
      <c r="S8" s="34">
        <f>'SER_se-appl'!S20</f>
        <v>51.889340378846484</v>
      </c>
      <c r="T8" s="34">
        <f>'SER_se-appl'!T20</f>
        <v>53.649540241462297</v>
      </c>
      <c r="U8" s="34">
        <f>'SER_se-appl'!U20</f>
        <v>55.318599090107618</v>
      </c>
      <c r="V8" s="34">
        <f>'SER_se-appl'!V20</f>
        <v>56.941823052492097</v>
      </c>
      <c r="W8" s="34">
        <f>'SER_se-appl'!W20</f>
        <v>58.522624664780722</v>
      </c>
      <c r="X8" s="34">
        <f>'SER_se-appl'!X20</f>
        <v>59.59200949233928</v>
      </c>
      <c r="Y8" s="34">
        <f>'SER_se-appl'!Y20</f>
        <v>60.391595481195054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3.0230761471824721</v>
      </c>
      <c r="D9" s="36">
        <f>'SER_se-appl'!D28</f>
        <v>3.3994598638590077</v>
      </c>
      <c r="E9" s="36">
        <f>'SER_se-appl'!E28</f>
        <v>3.6435347422991882</v>
      </c>
      <c r="F9" s="36">
        <f>'SER_se-appl'!F28</f>
        <v>2.7706018442632541</v>
      </c>
      <c r="G9" s="36">
        <f>'SER_se-appl'!G28</f>
        <v>3.1889394077541269</v>
      </c>
      <c r="H9" s="36">
        <f>'SER_se-appl'!H28</f>
        <v>3.1880108064277763</v>
      </c>
      <c r="I9" s="36">
        <f>'SER_se-appl'!I28</f>
        <v>3.4727155278244268</v>
      </c>
      <c r="J9" s="36">
        <f>'SER_se-appl'!J28</f>
        <v>2.4577049276864713</v>
      </c>
      <c r="K9" s="36">
        <f>'SER_se-appl'!K28</f>
        <v>2.280528526584817</v>
      </c>
      <c r="L9" s="36">
        <f>'SER_se-appl'!L28</f>
        <v>2.3654642453884094</v>
      </c>
      <c r="M9" s="36">
        <f>'SER_se-appl'!M28</f>
        <v>2.3138801310682098</v>
      </c>
      <c r="N9" s="36">
        <f>'SER_se-appl'!N28</f>
        <v>2.2282960951006388</v>
      </c>
      <c r="O9" s="36">
        <f>'SER_se-appl'!O28</f>
        <v>2.8634691606557681</v>
      </c>
      <c r="P9" s="36">
        <f>'SER_se-appl'!P28</f>
        <v>3.5667926725480541</v>
      </c>
      <c r="Q9" s="36">
        <f>'SER_se-appl'!Q28</f>
        <v>2.1322976823425179</v>
      </c>
      <c r="R9" s="36">
        <f>'SER_se-appl'!R28</f>
        <v>3.3590678560431613</v>
      </c>
      <c r="S9" s="36">
        <f>'SER_se-appl'!S28</f>
        <v>3.6610574391708397</v>
      </c>
      <c r="T9" s="36">
        <f>'SER_se-appl'!T28</f>
        <v>3.734643165263158</v>
      </c>
      <c r="U9" s="36">
        <f>'SER_se-appl'!U28</f>
        <v>4.6921349958277929</v>
      </c>
      <c r="V9" s="36">
        <f>'SER_se-appl'!V28</f>
        <v>5.0226838262434867</v>
      </c>
      <c r="W9" s="36">
        <f>'SER_se-appl'!W28</f>
        <v>5.2243363545878125</v>
      </c>
      <c r="X9" s="36">
        <f>'SER_se-appl'!X28</f>
        <v>3.8399866718218121</v>
      </c>
      <c r="Y9" s="36">
        <f>'SER_se-appl'!Y28</f>
        <v>3.9885253966099015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1.2288839994467828</v>
      </c>
      <c r="D10" s="38">
        <f>'SER_se-appl'!D36</f>
        <v>1.2636437136943073</v>
      </c>
      <c r="E10" s="38">
        <f>'SER_se-appl'!E36</f>
        <v>1.2993866271169381</v>
      </c>
      <c r="F10" s="38">
        <f>'SER_se-appl'!F36</f>
        <v>1.33614055008767</v>
      </c>
      <c r="G10" s="38">
        <f>'SER_se-appl'!G36</f>
        <v>1.3739340796124111</v>
      </c>
      <c r="H10" s="38">
        <f>'SER_se-appl'!H36</f>
        <v>1.4127966215803696</v>
      </c>
      <c r="I10" s="38">
        <f>'SER_se-appl'!I36</f>
        <v>1.4527584136438207</v>
      </c>
      <c r="J10" s="38">
        <f>'SER_se-appl'!J36</f>
        <v>1.4938505487450016</v>
      </c>
      <c r="K10" s="38">
        <f>'SER_se-appl'!K36</f>
        <v>1.5361049993084777</v>
      </c>
      <c r="L10" s="38">
        <f>'SER_se-appl'!L36</f>
        <v>1.579554642117877</v>
      </c>
      <c r="M10" s="38">
        <f>'SER_se-appl'!M36</f>
        <v>1.6242332838961744</v>
      </c>
      <c r="N10" s="38">
        <f>'SER_se-appl'!N36</f>
        <v>1.6701756876095928</v>
      </c>
      <c r="O10" s="38">
        <f>'SER_se-appl'!O36</f>
        <v>1.7174175995155139</v>
      </c>
      <c r="P10" s="38">
        <f>'SER_se-appl'!P36</f>
        <v>1.7659957769754655</v>
      </c>
      <c r="Q10" s="38">
        <f>'SER_se-appl'!Q36</f>
        <v>1.8159480170547795</v>
      </c>
      <c r="R10" s="38">
        <f>'SER_se-appl'!R36</f>
        <v>1.8673131859312448</v>
      </c>
      <c r="S10" s="38">
        <f>'SER_se-appl'!S36</f>
        <v>1.9201312491356006</v>
      </c>
      <c r="T10" s="38">
        <f>'SER_se-appl'!T36</f>
        <v>1.9744433026473445</v>
      </c>
      <c r="U10" s="38">
        <f>'SER_se-appl'!U36</f>
        <v>3.0230761471824721</v>
      </c>
      <c r="V10" s="38">
        <f>'SER_se-appl'!V36</f>
        <v>3.3994598638590077</v>
      </c>
      <c r="W10" s="38">
        <f>'SER_se-appl'!W36</f>
        <v>3.6435347422991882</v>
      </c>
      <c r="X10" s="38">
        <f>'SER_se-appl'!X36</f>
        <v>2.7706018442632541</v>
      </c>
      <c r="Y10" s="38">
        <f>'SER_se-appl'!Y36</f>
        <v>3.1889394077541269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8760</v>
      </c>
      <c r="C12" s="204">
        <f>'SER_se-appl'!C44</f>
        <v>8759.9999999999982</v>
      </c>
      <c r="D12" s="204">
        <f>'SER_se-appl'!D44</f>
        <v>8759.9999999999982</v>
      </c>
      <c r="E12" s="204">
        <f>'SER_se-appl'!E44</f>
        <v>8759.9999999999982</v>
      </c>
      <c r="F12" s="204">
        <f>'SER_se-appl'!F44</f>
        <v>8760</v>
      </c>
      <c r="G12" s="204">
        <f>'SER_se-appl'!G44</f>
        <v>8760</v>
      </c>
      <c r="H12" s="204">
        <f>'SER_se-appl'!H44</f>
        <v>8759.9999999999964</v>
      </c>
      <c r="I12" s="204">
        <f>'SER_se-appl'!I44</f>
        <v>8760.0000000000018</v>
      </c>
      <c r="J12" s="204">
        <f>'SER_se-appl'!J44</f>
        <v>8760</v>
      </c>
      <c r="K12" s="204">
        <f>'SER_se-appl'!K44</f>
        <v>8760.0000000000018</v>
      </c>
      <c r="L12" s="204">
        <f>'SER_se-appl'!L44</f>
        <v>8760.0000000000036</v>
      </c>
      <c r="M12" s="204">
        <f>'SER_se-appl'!M44</f>
        <v>8760</v>
      </c>
      <c r="N12" s="204">
        <f>'SER_se-appl'!N44</f>
        <v>8759.9999999999982</v>
      </c>
      <c r="O12" s="204">
        <f>'SER_se-appl'!O44</f>
        <v>8760</v>
      </c>
      <c r="P12" s="204">
        <f>'SER_se-appl'!P44</f>
        <v>8760</v>
      </c>
      <c r="Q12" s="204">
        <f>'SER_se-appl'!Q44</f>
        <v>8759.9999999999964</v>
      </c>
      <c r="R12" s="204">
        <f>'SER_se-appl'!R44</f>
        <v>8759.9999999999964</v>
      </c>
      <c r="S12" s="204">
        <f>'SER_se-appl'!S44</f>
        <v>8759.9999999999982</v>
      </c>
      <c r="T12" s="204">
        <f>'SER_se-appl'!T44</f>
        <v>8759.9999999999964</v>
      </c>
      <c r="U12" s="204">
        <f>'SER_se-appl'!U44</f>
        <v>8759.9999999999982</v>
      </c>
      <c r="V12" s="204">
        <f>'SER_se-appl'!V44</f>
        <v>8759.9999999999982</v>
      </c>
      <c r="W12" s="204">
        <f>'SER_se-appl'!W44</f>
        <v>8759.9999999999945</v>
      </c>
      <c r="X12" s="204">
        <f>'SER_se-appl'!X44</f>
        <v>8759.9999999999945</v>
      </c>
      <c r="Y12" s="204">
        <f>'SER_se-appl'!Y44</f>
        <v>8759.9999999999945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0.78206719018349924</v>
      </c>
      <c r="C14" s="59">
        <f>'SER_se-appl'!C52</f>
        <v>0.77356161383707112</v>
      </c>
      <c r="D14" s="59">
        <f>'SER_se-appl'!D52</f>
        <v>0.76406719517783461</v>
      </c>
      <c r="E14" s="59">
        <f>'SER_se-appl'!E52</f>
        <v>0.75404400157067186</v>
      </c>
      <c r="F14" s="59">
        <f>'SER_se-appl'!F52</f>
        <v>0.74621821414523704</v>
      </c>
      <c r="G14" s="59">
        <f>'SER_se-appl'!G52</f>
        <v>0.73733100891586112</v>
      </c>
      <c r="H14" s="59">
        <f>'SER_se-appl'!H52</f>
        <v>0.72846230625913955</v>
      </c>
      <c r="I14" s="59">
        <f>'SER_se-appl'!I52</f>
        <v>0.71909953755425859</v>
      </c>
      <c r="J14" s="59">
        <f>'SER_se-appl'!J52</f>
        <v>0.7117813029020198</v>
      </c>
      <c r="K14" s="59">
        <f>'SER_se-appl'!K52</f>
        <v>0.70462216359215168</v>
      </c>
      <c r="L14" s="59">
        <f>'SER_se-appl'!L52</f>
        <v>0.69696086509603872</v>
      </c>
      <c r="M14" s="59">
        <f>'SER_se-appl'!M52</f>
        <v>0.68910425352836491</v>
      </c>
      <c r="N14" s="59">
        <f>'SER_se-appl'!N52</f>
        <v>0.68061734169978516</v>
      </c>
      <c r="O14" s="59">
        <f>'SER_se-appl'!O52</f>
        <v>0.66979458019386084</v>
      </c>
      <c r="P14" s="59">
        <f>'SER_se-appl'!P52</f>
        <v>0.65588235547509577</v>
      </c>
      <c r="Q14" s="59">
        <f>'SER_se-appl'!Q52</f>
        <v>0.64489454538308899</v>
      </c>
      <c r="R14" s="59">
        <f>'SER_se-appl'!R52</f>
        <v>0.63071290767139554</v>
      </c>
      <c r="S14" s="59">
        <f>'SER_se-appl'!S52</f>
        <v>0.61623587386752743</v>
      </c>
      <c r="T14" s="59">
        <f>'SER_se-appl'!T52</f>
        <v>0.60208638720746721</v>
      </c>
      <c r="U14" s="59">
        <f>'SER_se-appl'!U52</f>
        <v>0.58793704855488149</v>
      </c>
      <c r="V14" s="59">
        <f>'SER_se-appl'!V52</f>
        <v>0.57364062008428274</v>
      </c>
      <c r="W14" s="59">
        <f>'SER_se-appl'!W52</f>
        <v>0.55981825282211739</v>
      </c>
      <c r="X14" s="59">
        <f>'SER_se-appl'!X52</f>
        <v>0.55018358517321064</v>
      </c>
      <c r="Y14" s="59">
        <f>'SER_se-appl'!Y52</f>
        <v>0.54020185505221141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0.69730363367018156</v>
      </c>
      <c r="D15" s="63">
        <f>'SER_se-appl'!D60</f>
        <v>0.68661610773318338</v>
      </c>
      <c r="E15" s="63">
        <f>'SER_se-appl'!E60</f>
        <v>0.67528462130085776</v>
      </c>
      <c r="F15" s="63">
        <f>'SER_se-appl'!F60</f>
        <v>0.66575673322493378</v>
      </c>
      <c r="G15" s="63">
        <f>'SER_se-appl'!G60</f>
        <v>0.65616228810770016</v>
      </c>
      <c r="H15" s="63">
        <f>'SER_se-appl'!H60</f>
        <v>0.64690556174831382</v>
      </c>
      <c r="I15" s="63">
        <f>'SER_se-appl'!I60</f>
        <v>0.63859071321438587</v>
      </c>
      <c r="J15" s="63">
        <f>'SER_se-appl'!J60</f>
        <v>0.63047826053073985</v>
      </c>
      <c r="K15" s="63">
        <f>'SER_se-appl'!K60</f>
        <v>0.62300704168804011</v>
      </c>
      <c r="L15" s="63">
        <f>'SER_se-appl'!L60</f>
        <v>0.61335691225731748</v>
      </c>
      <c r="M15" s="63">
        <f>'SER_se-appl'!M60</f>
        <v>0.60446630156803871</v>
      </c>
      <c r="N15" s="63">
        <f>'SER_se-appl'!N60</f>
        <v>0.58589271520394837</v>
      </c>
      <c r="O15" s="63">
        <f>'SER_se-appl'!O60</f>
        <v>0.56556309260320903</v>
      </c>
      <c r="P15" s="63">
        <f>'SER_se-appl'!P60</f>
        <v>0.53683246490363135</v>
      </c>
      <c r="Q15" s="63">
        <f>'SER_se-appl'!Q60</f>
        <v>0.51261669577780833</v>
      </c>
      <c r="R15" s="63">
        <f>'SER_se-appl'!R60</f>
        <v>0.50942769179210046</v>
      </c>
      <c r="S15" s="63">
        <f>'SER_se-appl'!S60</f>
        <v>0.50490672876388687</v>
      </c>
      <c r="T15" s="63">
        <f>'SER_se-appl'!T60</f>
        <v>0.50064546723620273</v>
      </c>
      <c r="U15" s="63">
        <f>'SER_se-appl'!U60</f>
        <v>0.49661785184547119</v>
      </c>
      <c r="V15" s="63">
        <f>'SER_se-appl'!V60</f>
        <v>0.49264751496435111</v>
      </c>
      <c r="W15" s="63">
        <f>'SER_se-appl'!W60</f>
        <v>0.48969162987456499</v>
      </c>
      <c r="X15" s="63">
        <f>'SER_se-appl'!X60</f>
        <v>0.48673574478477888</v>
      </c>
      <c r="Y15" s="63">
        <f>'SER_se-appl'!Y60</f>
        <v>0.48377985969499276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48.390158666575388</v>
      </c>
      <c r="C3" s="198">
        <f>'SER_se-appl'!C5</f>
        <v>50.572259405050225</v>
      </c>
      <c r="D3" s="198">
        <f>'SER_se-appl'!D5</f>
        <v>53.129618960041142</v>
      </c>
      <c r="E3" s="198">
        <f>'SER_se-appl'!E5</f>
        <v>55.566701165014202</v>
      </c>
      <c r="F3" s="198">
        <f>'SER_se-appl'!F5</f>
        <v>57.714276224181226</v>
      </c>
      <c r="G3" s="198">
        <f>'SER_se-appl'!G5</f>
        <v>59.920182145774838</v>
      </c>
      <c r="H3" s="198">
        <f>'SER_se-appl'!H5</f>
        <v>61.738265592242946</v>
      </c>
      <c r="I3" s="198">
        <f>'SER_se-appl'!I5</f>
        <v>62.917712123962431</v>
      </c>
      <c r="J3" s="198">
        <f>'SER_se-appl'!J5</f>
        <v>63.815841482140073</v>
      </c>
      <c r="K3" s="198">
        <f>'SER_se-appl'!K5</f>
        <v>64.827935696063591</v>
      </c>
      <c r="L3" s="198">
        <f>'SER_se-appl'!L5</f>
        <v>65.486181054263241</v>
      </c>
      <c r="M3" s="198">
        <f>'SER_se-appl'!M5</f>
        <v>65.039413627274428</v>
      </c>
      <c r="N3" s="198">
        <f>'SER_se-appl'!N5</f>
        <v>64.202747031347812</v>
      </c>
      <c r="O3" s="198">
        <f>'SER_se-appl'!O5</f>
        <v>63.64340829493738</v>
      </c>
      <c r="P3" s="198">
        <f>'SER_se-appl'!P5</f>
        <v>62.798938325300433</v>
      </c>
      <c r="Q3" s="198">
        <f>'SER_se-appl'!Q5</f>
        <v>61.339794061978317</v>
      </c>
      <c r="R3" s="198">
        <f>'SER_se-appl'!R5</f>
        <v>60.003340840705562</v>
      </c>
      <c r="S3" s="198">
        <f>'SER_se-appl'!S5</f>
        <v>59.341545435146323</v>
      </c>
      <c r="T3" s="198">
        <f>'SER_se-appl'!T5</f>
        <v>57.805205097763789</v>
      </c>
      <c r="U3" s="198">
        <f>'SER_se-appl'!U5</f>
        <v>56.219391060324426</v>
      </c>
      <c r="V3" s="198">
        <f>'SER_se-appl'!V5</f>
        <v>54.675423999773415</v>
      </c>
      <c r="W3" s="198">
        <f>'SER_se-appl'!W5</f>
        <v>53.932395369282183</v>
      </c>
      <c r="X3" s="198">
        <f>'SER_se-appl'!X5</f>
        <v>52.625904292366684</v>
      </c>
      <c r="Y3" s="198">
        <f>'SER_se-appl'!Y5</f>
        <v>51.085948122909478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149.53575690543471</v>
      </c>
      <c r="C5" s="59">
        <f>'SER_se-appl'!C13</f>
        <v>155.81673284977799</v>
      </c>
      <c r="D5" s="59">
        <f>'SER_se-appl'!D13</f>
        <v>163.29342433483612</v>
      </c>
      <c r="E5" s="59">
        <f>'SER_se-appl'!E13</f>
        <v>170.44903501017757</v>
      </c>
      <c r="F5" s="59">
        <f>'SER_se-appl'!F13</f>
        <v>176.95502979488697</v>
      </c>
      <c r="G5" s="59">
        <f>'SER_se-appl'!G13</f>
        <v>183.25962614949682</v>
      </c>
      <c r="H5" s="59">
        <f>'SER_se-appl'!H13</f>
        <v>188.43139916510358</v>
      </c>
      <c r="I5" s="59">
        <f>'SER_se-appl'!I13</f>
        <v>191.79016641248737</v>
      </c>
      <c r="J5" s="59">
        <f>'SER_se-appl'!J13</f>
        <v>194.42604412000702</v>
      </c>
      <c r="K5" s="59">
        <f>'SER_se-appl'!K13</f>
        <v>197.38264259770327</v>
      </c>
      <c r="L5" s="59">
        <f>'SER_se-appl'!L13</f>
        <v>199.32146423757987</v>
      </c>
      <c r="M5" s="59">
        <f>'SER_se-appl'!M13</f>
        <v>198.24295585488144</v>
      </c>
      <c r="N5" s="59">
        <f>'SER_se-appl'!N13</f>
        <v>196.05615112072735</v>
      </c>
      <c r="O5" s="59">
        <f>'SER_se-appl'!O13</f>
        <v>195.06188651204064</v>
      </c>
      <c r="P5" s="59">
        <f>'SER_se-appl'!P13</f>
        <v>193.30385807698306</v>
      </c>
      <c r="Q5" s="59">
        <f>'SER_se-appl'!Q13</f>
        <v>189.80989348971892</v>
      </c>
      <c r="R5" s="59">
        <f>'SER_se-appl'!R13</f>
        <v>187.07752186148753</v>
      </c>
      <c r="S5" s="59">
        <f>'SER_se-appl'!S13</f>
        <v>183.9109723049622</v>
      </c>
      <c r="T5" s="59">
        <f>'SER_se-appl'!T13</f>
        <v>180.92208288930604</v>
      </c>
      <c r="U5" s="59">
        <f>'SER_se-appl'!U13</f>
        <v>177.49642450975779</v>
      </c>
      <c r="V5" s="59">
        <f>'SER_se-appl'!V13</f>
        <v>173.38978785489405</v>
      </c>
      <c r="W5" s="59">
        <f>'SER_se-appl'!W13</f>
        <v>170.21197171533959</v>
      </c>
      <c r="X5" s="59">
        <f>'SER_se-appl'!X13</f>
        <v>166.47271617770031</v>
      </c>
      <c r="Y5" s="59">
        <f>'SER_se-appl'!Y13</f>
        <v>161.97589014616148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7.1409155898656443E-2</v>
      </c>
      <c r="C6" s="201">
        <f>'SER_se-appl'!C69</f>
        <v>7.5453131514312433E-2</v>
      </c>
      <c r="D6" s="201">
        <f>'SER_se-appl'!D69</f>
        <v>8.0446333039142448E-2</v>
      </c>
      <c r="E6" s="201">
        <f>'SER_se-appl'!E69</f>
        <v>8.56639361197859E-2</v>
      </c>
      <c r="F6" s="201">
        <f>'SER_se-appl'!F69</f>
        <v>9.0912296733874035E-2</v>
      </c>
      <c r="G6" s="201">
        <f>'SER_se-appl'!G69</f>
        <v>9.6345589378276142E-2</v>
      </c>
      <c r="H6" s="201">
        <f>'SER_se-appl'!H69</f>
        <v>0.1016145329995508</v>
      </c>
      <c r="I6" s="201">
        <f>'SER_se-appl'!I69</f>
        <v>0.10601648742116489</v>
      </c>
      <c r="J6" s="201">
        <f>'SER_se-appl'!J69</f>
        <v>0.10947071583950907</v>
      </c>
      <c r="K6" s="201">
        <f>'SER_se-appl'!K69</f>
        <v>0.11311962427809934</v>
      </c>
      <c r="L6" s="201">
        <f>'SER_se-appl'!L69</f>
        <v>0.11640351690866613</v>
      </c>
      <c r="M6" s="201">
        <f>'SER_se-appl'!M69</f>
        <v>0.1181264018052549</v>
      </c>
      <c r="N6" s="201">
        <f>'SER_se-appl'!N69</f>
        <v>0.11979449134151468</v>
      </c>
      <c r="O6" s="201">
        <f>'SER_se-appl'!O69</f>
        <v>0.12247712458179781</v>
      </c>
      <c r="P6" s="201">
        <f>'SER_se-appl'!P69</f>
        <v>0.12534967744767891</v>
      </c>
      <c r="Q6" s="201">
        <f>'SER_se-appl'!Q69</f>
        <v>0.12768136268321228</v>
      </c>
      <c r="R6" s="201">
        <f>'SER_se-appl'!R69</f>
        <v>0.13211405958553324</v>
      </c>
      <c r="S6" s="201">
        <f>'SER_se-appl'!S69</f>
        <v>0.13675953374575728</v>
      </c>
      <c r="T6" s="201">
        <f>'SER_se-appl'!T69</f>
        <v>0.14130255358349747</v>
      </c>
      <c r="U6" s="201">
        <f>'SER_se-appl'!U69</f>
        <v>0.14574119331978241</v>
      </c>
      <c r="V6" s="201">
        <f>'SER_se-appl'!V69</f>
        <v>0.1502474283242573</v>
      </c>
      <c r="W6" s="201">
        <f>'SER_se-appl'!W69</f>
        <v>0.15535503880957785</v>
      </c>
      <c r="X6" s="201">
        <f>'SER_se-appl'!X69</f>
        <v>0.15903332950518329</v>
      </c>
      <c r="Y6" s="201">
        <f>'SER_se-appl'!Y69</f>
        <v>0.16165982960396583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729.91896993656621</v>
      </c>
      <c r="C8" s="34">
        <f>'SER_se-appl'!C21</f>
        <v>769.64442647917815</v>
      </c>
      <c r="D8" s="34">
        <f>'SER_se-appl'!D21</f>
        <v>818.52961306231759</v>
      </c>
      <c r="E8" s="34">
        <f>'SER_se-appl'!E21</f>
        <v>868.834650471744</v>
      </c>
      <c r="F8" s="34">
        <f>'SER_se-appl'!F21</f>
        <v>919.73625068404635</v>
      </c>
      <c r="G8" s="34">
        <f>'SER_se-appl'!G21</f>
        <v>972.85430968102287</v>
      </c>
      <c r="H8" s="34">
        <f>'SER_se-appl'!H21</f>
        <v>1023.9270725471466</v>
      </c>
      <c r="I8" s="34">
        <f>'SER_se-appl'!I21</f>
        <v>1067.1787129864583</v>
      </c>
      <c r="J8" s="34">
        <f>'SER_se-appl'!J21</f>
        <v>1099.6772383649202</v>
      </c>
      <c r="K8" s="34">
        <f>'SER_se-appl'!K21</f>
        <v>1134.7001231430074</v>
      </c>
      <c r="L8" s="34">
        <f>'SER_se-appl'!L21</f>
        <v>1165.702533062861</v>
      </c>
      <c r="M8" s="34">
        <f>'SER_se-appl'!M21</f>
        <v>1179.5774092875736</v>
      </c>
      <c r="N8" s="34">
        <f>'SER_se-appl'!N21</f>
        <v>1189.7899034170732</v>
      </c>
      <c r="O8" s="34">
        <f>'SER_se-appl'!O21</f>
        <v>1211.9417670180349</v>
      </c>
      <c r="P8" s="34">
        <f>'SER_se-appl'!P21</f>
        <v>1234.7215237396433</v>
      </c>
      <c r="Q8" s="34">
        <f>'SER_se-appl'!Q21</f>
        <v>1253.3021253449106</v>
      </c>
      <c r="R8" s="34">
        <f>'SER_se-appl'!R21</f>
        <v>1292.0295270537792</v>
      </c>
      <c r="S8" s="34">
        <f>'SER_se-appl'!S21</f>
        <v>1332.01830207035</v>
      </c>
      <c r="T8" s="34">
        <f>'SER_se-appl'!T21</f>
        <v>1372.5642561291081</v>
      </c>
      <c r="U8" s="34">
        <f>'SER_se-appl'!U21</f>
        <v>1413.7292168064726</v>
      </c>
      <c r="V8" s="34">
        <f>'SER_se-appl'!V21</f>
        <v>1455.803826066779</v>
      </c>
      <c r="W8" s="34">
        <f>'SER_se-appl'!W21</f>
        <v>1499.403098224127</v>
      </c>
      <c r="X8" s="34">
        <f>'SER_se-appl'!X21</f>
        <v>1528.374386976602</v>
      </c>
      <c r="Y8" s="34">
        <f>'SER_se-appl'!Y21</f>
        <v>1551.8929792816932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131.28972534989839</v>
      </c>
      <c r="D9" s="36">
        <f>'SER_se-appl'!D29</f>
        <v>144.39082849184331</v>
      </c>
      <c r="E9" s="36">
        <f>'SER_se-appl'!E29</f>
        <v>149.92170835768729</v>
      </c>
      <c r="F9" s="36">
        <f>'SER_se-appl'!F29</f>
        <v>154.80625895801484</v>
      </c>
      <c r="G9" s="36">
        <f>'SER_se-appl'!G29</f>
        <v>161.49528146680086</v>
      </c>
      <c r="H9" s="36">
        <f>'SER_se-appl'!H29</f>
        <v>164.11507003561314</v>
      </c>
      <c r="I9" s="36">
        <f>'SER_se-appl'!I29</f>
        <v>161.15984032660037</v>
      </c>
      <c r="J9" s="36">
        <f>'SER_se-appl'!J29</f>
        <v>163.78825072836025</v>
      </c>
      <c r="K9" s="36">
        <f>'SER_se-appl'!K29</f>
        <v>179.41371326993055</v>
      </c>
      <c r="L9" s="36">
        <f>'SER_se-appl'!L29</f>
        <v>180.92411827754086</v>
      </c>
      <c r="M9" s="36">
        <f>'SER_se-appl'!M29</f>
        <v>168.68113518272742</v>
      </c>
      <c r="N9" s="36">
        <f>'SER_se-appl'!N29</f>
        <v>171.70777559630051</v>
      </c>
      <c r="O9" s="36">
        <f>'SER_se-appl'!O29</f>
        <v>186.26693363657478</v>
      </c>
      <c r="P9" s="36">
        <f>'SER_se-appl'!P29</f>
        <v>183.93959704820895</v>
      </c>
      <c r="Q9" s="36">
        <f>'SER_se-appl'!Q29</f>
        <v>182.3688523336275</v>
      </c>
      <c r="R9" s="36">
        <f>'SER_se-appl'!R29</f>
        <v>218.14111497879935</v>
      </c>
      <c r="S9" s="36">
        <f>'SER_se-appl'!S29</f>
        <v>220.91289329411165</v>
      </c>
      <c r="T9" s="36">
        <f>'SER_se-appl'!T29</f>
        <v>209.2270892414856</v>
      </c>
      <c r="U9" s="36">
        <f>'SER_se-appl'!U29</f>
        <v>212.87273627366494</v>
      </c>
      <c r="V9" s="36">
        <f>'SER_se-appl'!V29</f>
        <v>228.34154289688126</v>
      </c>
      <c r="W9" s="36">
        <f>'SER_se-appl'!W29</f>
        <v>227.53886920555692</v>
      </c>
      <c r="X9" s="36">
        <f>'SER_se-appl'!X29</f>
        <v>211.34014108610245</v>
      </c>
      <c r="Y9" s="36">
        <f>'SER_se-appl'!Y29</f>
        <v>241.65970728389061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91.564268807286453</v>
      </c>
      <c r="D10" s="38">
        <f>'SER_se-appl'!D37</f>
        <v>95.505641908703865</v>
      </c>
      <c r="E10" s="38">
        <f>'SER_se-appl'!E37</f>
        <v>99.616670948260889</v>
      </c>
      <c r="F10" s="38">
        <f>'SER_se-appl'!F37</f>
        <v>103.90465874571248</v>
      </c>
      <c r="G10" s="38">
        <f>'SER_se-appl'!G37</f>
        <v>108.37722246982435</v>
      </c>
      <c r="H10" s="38">
        <f>'SER_se-appl'!H37</f>
        <v>113.04230716948939</v>
      </c>
      <c r="I10" s="38">
        <f>'SER_se-appl'!I37</f>
        <v>117.90819988728867</v>
      </c>
      <c r="J10" s="38">
        <f>'SER_se-appl'!J37</f>
        <v>131.28972534989839</v>
      </c>
      <c r="K10" s="38">
        <f>'SER_se-appl'!K37</f>
        <v>144.39082849184319</v>
      </c>
      <c r="L10" s="38">
        <f>'SER_se-appl'!L37</f>
        <v>149.92170835768729</v>
      </c>
      <c r="M10" s="38">
        <f>'SER_se-appl'!M37</f>
        <v>154.80625895801495</v>
      </c>
      <c r="N10" s="38">
        <f>'SER_se-appl'!N37</f>
        <v>161.49528146680086</v>
      </c>
      <c r="O10" s="38">
        <f>'SER_se-appl'!O37</f>
        <v>164.11507003561314</v>
      </c>
      <c r="P10" s="38">
        <f>'SER_se-appl'!P37</f>
        <v>161.15984032660049</v>
      </c>
      <c r="Q10" s="38">
        <f>'SER_se-appl'!Q37</f>
        <v>163.78825072836025</v>
      </c>
      <c r="R10" s="38">
        <f>'SER_se-appl'!R37</f>
        <v>179.41371326993067</v>
      </c>
      <c r="S10" s="38">
        <f>'SER_se-appl'!S37</f>
        <v>180.92411827754086</v>
      </c>
      <c r="T10" s="38">
        <f>'SER_se-appl'!T37</f>
        <v>168.68113518272753</v>
      </c>
      <c r="U10" s="38">
        <f>'SER_se-appl'!U37</f>
        <v>171.70777559630051</v>
      </c>
      <c r="V10" s="38">
        <f>'SER_se-appl'!V37</f>
        <v>186.26693363657478</v>
      </c>
      <c r="W10" s="38">
        <f>'SER_se-appl'!W37</f>
        <v>183.93959704820895</v>
      </c>
      <c r="X10" s="38">
        <f>'SER_se-appl'!X37</f>
        <v>182.3688523336275</v>
      </c>
      <c r="Y10" s="38">
        <f>'SER_se-appl'!Y37</f>
        <v>218.14111497879935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3763.4981554824249</v>
      </c>
      <c r="C12" s="204">
        <f>'SER_se-appl'!C45</f>
        <v>3774.6612069434887</v>
      </c>
      <c r="D12" s="204">
        <f>'SER_se-appl'!D45</f>
        <v>3783.9703039007163</v>
      </c>
      <c r="E12" s="204">
        <f>'SER_se-appl'!E45</f>
        <v>3791.4015442242189</v>
      </c>
      <c r="F12" s="204">
        <f>'SER_se-appl'!F45</f>
        <v>3793.1503459678556</v>
      </c>
      <c r="G12" s="204">
        <f>'SER_se-appl'!G45</f>
        <v>3802.6472769669281</v>
      </c>
      <c r="H12" s="204">
        <f>'SER_se-appl'!H45</f>
        <v>3810.4903536202046</v>
      </c>
      <c r="I12" s="204">
        <f>'SER_se-appl'!I45</f>
        <v>3815.2789879118654</v>
      </c>
      <c r="J12" s="204">
        <f>'SER_se-appl'!J45</f>
        <v>3817.2778744558982</v>
      </c>
      <c r="K12" s="204">
        <f>'SER_se-appl'!K45</f>
        <v>3819.7324862140254</v>
      </c>
      <c r="L12" s="204">
        <f>'SER_se-appl'!L45</f>
        <v>3820.9848024861608</v>
      </c>
      <c r="M12" s="204">
        <f>'SER_se-appl'!M45</f>
        <v>3815.5624608367448</v>
      </c>
      <c r="N12" s="204">
        <f>'SER_se-appl'!N45</f>
        <v>3808.4902906962925</v>
      </c>
      <c r="O12" s="204">
        <f>'SER_se-appl'!O45</f>
        <v>3794.5538808496699</v>
      </c>
      <c r="P12" s="204">
        <f>'SER_se-appl'!P45</f>
        <v>3778.2569887062587</v>
      </c>
      <c r="Q12" s="204">
        <f>'SER_se-appl'!Q45</f>
        <v>3758.4015871093056</v>
      </c>
      <c r="R12" s="204">
        <f>'SER_se-appl'!R45</f>
        <v>3730.2121977758857</v>
      </c>
      <c r="S12" s="204">
        <f>'SER_se-appl'!S45</f>
        <v>3752.5883570793926</v>
      </c>
      <c r="T12" s="204">
        <f>'SER_se-appl'!T45</f>
        <v>3715.823544317208</v>
      </c>
      <c r="U12" s="204">
        <f>'SER_se-appl'!U45</f>
        <v>3683.6320497015358</v>
      </c>
      <c r="V12" s="204">
        <f>'SER_se-appl'!V45</f>
        <v>3667.316218470226</v>
      </c>
      <c r="W12" s="204">
        <f>'SER_se-appl'!W45</f>
        <v>3685.0155240180743</v>
      </c>
      <c r="X12" s="204">
        <f>'SER_se-appl'!X45</f>
        <v>3676.5139716162666</v>
      </c>
      <c r="Y12" s="204">
        <f>'SER_se-appl'!Y45</f>
        <v>3668.0124192144594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204.86624278093518</v>
      </c>
      <c r="C14" s="59">
        <f>'SER_se-appl'!C53</f>
        <v>202.45288277156573</v>
      </c>
      <c r="D14" s="59">
        <f>'SER_se-appl'!D53</f>
        <v>199.4960496589926</v>
      </c>
      <c r="E14" s="59">
        <f>'SER_se-appl'!E53</f>
        <v>196.18121229123429</v>
      </c>
      <c r="F14" s="59">
        <f>'SER_se-appl'!F53</f>
        <v>192.39758100572649</v>
      </c>
      <c r="G14" s="59">
        <f>'SER_se-appl'!G53</f>
        <v>188.37314521388464</v>
      </c>
      <c r="H14" s="59">
        <f>'SER_se-appl'!H53</f>
        <v>184.02814440325025</v>
      </c>
      <c r="I14" s="59">
        <f>'SER_se-appl'!I53</f>
        <v>179.71700904319016</v>
      </c>
      <c r="J14" s="59">
        <f>'SER_se-appl'!J53</f>
        <v>176.80282662674165</v>
      </c>
      <c r="K14" s="59">
        <f>'SER_se-appl'!K53</f>
        <v>173.95137144338437</v>
      </c>
      <c r="L14" s="59">
        <f>'SER_se-appl'!L53</f>
        <v>170.98827409585064</v>
      </c>
      <c r="M14" s="59">
        <f>'SER_se-appl'!M53</f>
        <v>168.0626928711815</v>
      </c>
      <c r="N14" s="59">
        <f>'SER_se-appl'!N53</f>
        <v>164.78216074758632</v>
      </c>
      <c r="O14" s="59">
        <f>'SER_se-appl'!O53</f>
        <v>160.94988374894248</v>
      </c>
      <c r="P14" s="59">
        <f>'SER_se-appl'!P53</f>
        <v>156.55664403704333</v>
      </c>
      <c r="Q14" s="59">
        <f>'SER_se-appl'!Q53</f>
        <v>151.44783500425561</v>
      </c>
      <c r="R14" s="59">
        <f>'SER_se-appl'!R53</f>
        <v>144.79353446982071</v>
      </c>
      <c r="S14" s="59">
        <f>'SER_se-appl'!S53</f>
        <v>138.06940341518597</v>
      </c>
      <c r="T14" s="59">
        <f>'SER_se-appl'!T53</f>
        <v>131.81319714644229</v>
      </c>
      <c r="U14" s="59">
        <f>'SER_se-appl'!U53</f>
        <v>125.55192493701962</v>
      </c>
      <c r="V14" s="59">
        <f>'SER_se-appl'!V53</f>
        <v>119.10244000618563</v>
      </c>
      <c r="W14" s="59">
        <f>'SER_se-appl'!W53</f>
        <v>113.51982126549983</v>
      </c>
      <c r="X14" s="59">
        <f>'SER_se-appl'!X53</f>
        <v>108.92142500962289</v>
      </c>
      <c r="Y14" s="59">
        <f>'SER_se-appl'!Y53</f>
        <v>104.37310581889055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190.71868420124662</v>
      </c>
      <c r="D15" s="63">
        <f>'SER_se-appl'!D61</f>
        <v>187.28733528115538</v>
      </c>
      <c r="E15" s="63">
        <f>'SER_se-appl'!E61</f>
        <v>183.85398667612688</v>
      </c>
      <c r="F15" s="63">
        <f>'SER_se-appl'!F61</f>
        <v>179.5311896072395</v>
      </c>
      <c r="G15" s="63">
        <f>'SER_se-appl'!G61</f>
        <v>176.52175633934351</v>
      </c>
      <c r="H15" s="63">
        <f>'SER_se-appl'!H61</f>
        <v>172.62476721096181</v>
      </c>
      <c r="I15" s="63">
        <f>'SER_se-appl'!I61</f>
        <v>170.72601397219614</v>
      </c>
      <c r="J15" s="63">
        <f>'SER_se-appl'!J61</f>
        <v>168.96988185858518</v>
      </c>
      <c r="K15" s="63">
        <f>'SER_se-appl'!K61</f>
        <v>167.20668358186046</v>
      </c>
      <c r="L15" s="63">
        <f>'SER_se-appl'!L61</f>
        <v>163.06574099466175</v>
      </c>
      <c r="M15" s="63">
        <f>'SER_se-appl'!M61</f>
        <v>158.37007154203576</v>
      </c>
      <c r="N15" s="63">
        <f>'SER_se-appl'!N61</f>
        <v>153.28732725979904</v>
      </c>
      <c r="O15" s="63">
        <f>'SER_se-appl'!O61</f>
        <v>146.75745511201185</v>
      </c>
      <c r="P15" s="63">
        <f>'SER_se-appl'!P61</f>
        <v>140.02503609675759</v>
      </c>
      <c r="Q15" s="63">
        <f>'SER_se-appl'!Q61</f>
        <v>132.59565149806201</v>
      </c>
      <c r="R15" s="63">
        <f>'SER_se-appl'!R61</f>
        <v>124.9961537942562</v>
      </c>
      <c r="S15" s="63">
        <f>'SER_se-appl'!S61</f>
        <v>119.21429963413404</v>
      </c>
      <c r="T15" s="63">
        <f>'SER_se-appl'!T61</f>
        <v>113.39427469471251</v>
      </c>
      <c r="U15" s="63">
        <f>'SER_se-appl'!U61</f>
        <v>107.55237148782021</v>
      </c>
      <c r="V15" s="63">
        <f>'SER_se-appl'!V61</f>
        <v>101.73104815906557</v>
      </c>
      <c r="W15" s="63">
        <f>'SER_se-appl'!W61</f>
        <v>99.228464374352555</v>
      </c>
      <c r="X15" s="63">
        <f>'SER_se-appl'!X61</f>
        <v>96.725880589639544</v>
      </c>
      <c r="Y15" s="63">
        <f>'SER_se-appl'!Y61</f>
        <v>94.223296804926534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129.65580435124596</v>
      </c>
      <c r="C3" s="198">
        <f>'SER_se-appl'!C6</f>
        <v>133.51311436286059</v>
      </c>
      <c r="D3" s="198">
        <f>'SER_se-appl'!D6</f>
        <v>137.26925113331924</v>
      </c>
      <c r="E3" s="198">
        <f>'SER_se-appl'!E6</f>
        <v>142.52684708525382</v>
      </c>
      <c r="F3" s="198">
        <f>'SER_se-appl'!F6</f>
        <v>145.41885815481191</v>
      </c>
      <c r="G3" s="198">
        <f>'SER_se-appl'!G6</f>
        <v>148.99227735471152</v>
      </c>
      <c r="H3" s="198">
        <f>'SER_se-appl'!H6</f>
        <v>150.43843333335886</v>
      </c>
      <c r="I3" s="198">
        <f>'SER_se-appl'!I6</f>
        <v>152.96296086379124</v>
      </c>
      <c r="J3" s="198">
        <f>'SER_se-appl'!J6</f>
        <v>152.23913638079722</v>
      </c>
      <c r="K3" s="198">
        <f>'SER_se-appl'!K6</f>
        <v>150.9842482376225</v>
      </c>
      <c r="L3" s="198">
        <f>'SER_se-appl'!L6</f>
        <v>150.6391199051163</v>
      </c>
      <c r="M3" s="198">
        <f>'SER_se-appl'!M6</f>
        <v>149.96091249709556</v>
      </c>
      <c r="N3" s="198">
        <f>'SER_se-appl'!N6</f>
        <v>147.86310893742279</v>
      </c>
      <c r="O3" s="198">
        <f>'SER_se-appl'!O6</f>
        <v>145.60568137414097</v>
      </c>
      <c r="P3" s="198">
        <f>'SER_se-appl'!P6</f>
        <v>145.23431132849552</v>
      </c>
      <c r="Q3" s="198">
        <f>'SER_se-appl'!Q6</f>
        <v>140.70173990689915</v>
      </c>
      <c r="R3" s="198">
        <f>'SER_se-appl'!R6</f>
        <v>133.52875844679326</v>
      </c>
      <c r="S3" s="198">
        <f>'SER_se-appl'!S6</f>
        <v>128.3121043218421</v>
      </c>
      <c r="T3" s="198">
        <f>'SER_se-appl'!T6</f>
        <v>120.25339830567542</v>
      </c>
      <c r="U3" s="198">
        <f>'SER_se-appl'!U6</f>
        <v>111.37003989485282</v>
      </c>
      <c r="V3" s="198">
        <f>'SER_se-appl'!V6</f>
        <v>97.256843000832546</v>
      </c>
      <c r="W3" s="198">
        <f>'SER_se-appl'!W6</f>
        <v>93.965351610442042</v>
      </c>
      <c r="X3" s="198">
        <f>'SER_se-appl'!X6</f>
        <v>91.264643302162682</v>
      </c>
      <c r="Y3" s="198">
        <f>'SER_se-appl'!Y6</f>
        <v>86.750912408391798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694.09615453562583</v>
      </c>
      <c r="C5" s="59">
        <f>'SER_se-appl'!C14</f>
        <v>708.02136696003083</v>
      </c>
      <c r="D5" s="59">
        <f>'SER_se-appl'!D14</f>
        <v>721.34882978750147</v>
      </c>
      <c r="E5" s="59">
        <f>'SER_se-appl'!E14</f>
        <v>743.64005980610409</v>
      </c>
      <c r="F5" s="59">
        <f>'SER_se-appl'!F14</f>
        <v>752.8570651766081</v>
      </c>
      <c r="G5" s="59">
        <f>'SER_se-appl'!G14</f>
        <v>766.07369113445714</v>
      </c>
      <c r="H5" s="59">
        <f>'SER_se-appl'!H14</f>
        <v>769.11742131460494</v>
      </c>
      <c r="I5" s="59">
        <f>'SER_se-appl'!I14</f>
        <v>779.10685157403861</v>
      </c>
      <c r="J5" s="59">
        <f>'SER_se-appl'!J14</f>
        <v>772.42713468300599</v>
      </c>
      <c r="K5" s="59">
        <f>'SER_se-appl'!K14</f>
        <v>765.06032871628474</v>
      </c>
      <c r="L5" s="59">
        <f>'SER_se-appl'!L14</f>
        <v>760.03269077633774</v>
      </c>
      <c r="M5" s="59">
        <f>'SER_se-appl'!M14</f>
        <v>753.77636865623936</v>
      </c>
      <c r="N5" s="59">
        <f>'SER_se-appl'!N14</f>
        <v>741.99414341240447</v>
      </c>
      <c r="O5" s="59">
        <f>'SER_se-appl'!O14</f>
        <v>726.96047352903213</v>
      </c>
      <c r="P5" s="59">
        <f>'SER_se-appl'!P14</f>
        <v>720.52869787405484</v>
      </c>
      <c r="Q5" s="59">
        <f>'SER_se-appl'!Q14</f>
        <v>691.57793027922617</v>
      </c>
      <c r="R5" s="59">
        <f>'SER_se-appl'!R14</f>
        <v>658.37651455996672</v>
      </c>
      <c r="S5" s="59">
        <f>'SER_se-appl'!S14</f>
        <v>624.31128786734587</v>
      </c>
      <c r="T5" s="59">
        <f>'SER_se-appl'!T14</f>
        <v>591.71373727631533</v>
      </c>
      <c r="U5" s="59">
        <f>'SER_se-appl'!U14</f>
        <v>555.23904548084283</v>
      </c>
      <c r="V5" s="59">
        <f>'SER_se-appl'!V14</f>
        <v>519.61452564831586</v>
      </c>
      <c r="W5" s="59">
        <f>'SER_se-appl'!W14</f>
        <v>490.28035168547797</v>
      </c>
      <c r="X5" s="59">
        <f>'SER_se-appl'!X14</f>
        <v>465.66110535674312</v>
      </c>
      <c r="Y5" s="59">
        <f>'SER_se-appl'!Y14</f>
        <v>437.79116190491544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168.67463110122841</v>
      </c>
      <c r="C6" s="201">
        <f>'SER_se-appl'!C70</f>
        <v>170.73753535512191</v>
      </c>
      <c r="D6" s="201">
        <f>'SER_se-appl'!D70</f>
        <v>173.04674135744776</v>
      </c>
      <c r="E6" s="201">
        <f>'SER_se-appl'!E70</f>
        <v>175.56289928975696</v>
      </c>
      <c r="F6" s="201">
        <f>'SER_se-appl'!F70</f>
        <v>178.79662987807404</v>
      </c>
      <c r="G6" s="201">
        <f>'SER_se-appl'!G70</f>
        <v>182.43799759408822</v>
      </c>
      <c r="H6" s="201">
        <f>'SER_se-appl'!H70</f>
        <v>186.11863087163275</v>
      </c>
      <c r="I6" s="201">
        <f>'SER_se-appl'!I70</f>
        <v>189.58940006663755</v>
      </c>
      <c r="J6" s="201">
        <f>'SER_se-appl'!J70</f>
        <v>193.58766833632009</v>
      </c>
      <c r="K6" s="201">
        <f>'SER_se-appl'!K70</f>
        <v>198.17427040357632</v>
      </c>
      <c r="L6" s="201">
        <f>'SER_se-appl'!L70</f>
        <v>202.65177779731562</v>
      </c>
      <c r="M6" s="201">
        <f>'SER_se-appl'!M70</f>
        <v>207.21286665419899</v>
      </c>
      <c r="N6" s="201">
        <f>'SER_se-appl'!N70</f>
        <v>210.67735629398291</v>
      </c>
      <c r="O6" s="201">
        <f>'SER_se-appl'!O70</f>
        <v>214.79360709482791</v>
      </c>
      <c r="P6" s="201">
        <f>'SER_se-appl'!P70</f>
        <v>218.02469957183013</v>
      </c>
      <c r="Q6" s="201">
        <f>'SER_se-appl'!Q70</f>
        <v>223.44731599004595</v>
      </c>
      <c r="R6" s="201">
        <f>'SER_se-appl'!R70</f>
        <v>226.91679406999856</v>
      </c>
      <c r="S6" s="201">
        <f>'SER_se-appl'!S70</f>
        <v>230.41817743339226</v>
      </c>
      <c r="T6" s="201">
        <f>'SER_se-appl'!T70</f>
        <v>233.83506256816008</v>
      </c>
      <c r="U6" s="201">
        <f>'SER_se-appl'!U70</f>
        <v>237.09626667910786</v>
      </c>
      <c r="V6" s="201">
        <f>'SER_se-appl'!V70</f>
        <v>240.06912293868672</v>
      </c>
      <c r="W6" s="201">
        <f>'SER_se-appl'!W70</f>
        <v>242.58114592272338</v>
      </c>
      <c r="X6" s="201">
        <f>'SER_se-appl'!X70</f>
        <v>243.84699723325568</v>
      </c>
      <c r="Y6" s="201">
        <f>'SER_se-appl'!Y70</f>
        <v>244.48239781600785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14.376218475552813</v>
      </c>
      <c r="C8" s="34">
        <f>'SER_se-appl'!C22</f>
        <v>14.835212253539481</v>
      </c>
      <c r="D8" s="34">
        <f>'SER_se-appl'!D22</f>
        <v>15.372232953457235</v>
      </c>
      <c r="E8" s="34">
        <f>'SER_se-appl'!E22</f>
        <v>16.173122096916799</v>
      </c>
      <c r="F8" s="34">
        <f>'SER_se-appl'!F22</f>
        <v>16.728135266780725</v>
      </c>
      <c r="G8" s="34">
        <f>'SER_se-appl'!G22</f>
        <v>17.471116839849486</v>
      </c>
      <c r="H8" s="34">
        <f>'SER_se-appl'!H22</f>
        <v>18.069022111043367</v>
      </c>
      <c r="I8" s="34">
        <f>'SER_se-appl'!I22</f>
        <v>18.765265455947866</v>
      </c>
      <c r="J8" s="34">
        <f>'SER_se-appl'!J22</f>
        <v>19.050513485966242</v>
      </c>
      <c r="K8" s="34">
        <f>'SER_se-appl'!K22</f>
        <v>19.418495357099289</v>
      </c>
      <c r="L8" s="34">
        <f>'SER_se-appl'!L22</f>
        <v>19.86196524397905</v>
      </c>
      <c r="M8" s="34">
        <f>'SER_se-appl'!M22</f>
        <v>20.398801955024759</v>
      </c>
      <c r="N8" s="34">
        <f>'SER_se-appl'!N22</f>
        <v>20.890301765462866</v>
      </c>
      <c r="O8" s="34">
        <f>'SER_se-appl'!O22</f>
        <v>21.522626487990856</v>
      </c>
      <c r="P8" s="34">
        <f>'SER_se-appl'!P22</f>
        <v>22.532486726723274</v>
      </c>
      <c r="Q8" s="34">
        <f>'SER_se-appl'!Q22</f>
        <v>23.10929130247586</v>
      </c>
      <c r="R8" s="34">
        <f>'SER_se-appl'!R22</f>
        <v>23.693369828181197</v>
      </c>
      <c r="S8" s="34">
        <f>'SER_se-appl'!S22</f>
        <v>24.394903475588436</v>
      </c>
      <c r="T8" s="34">
        <f>'SER_se-appl'!T22</f>
        <v>25.096573253911586</v>
      </c>
      <c r="U8" s="34">
        <f>'SER_se-appl'!U22</f>
        <v>25.74159390499905</v>
      </c>
      <c r="V8" s="34">
        <f>'SER_se-appl'!V22</f>
        <v>26.341522629962377</v>
      </c>
      <c r="W8" s="34">
        <f>'SER_se-appl'!W22</f>
        <v>26.884365349365442</v>
      </c>
      <c r="X8" s="34">
        <f>'SER_se-appl'!X22</f>
        <v>27.280182194689793</v>
      </c>
      <c r="Y8" s="34">
        <f>'SER_se-appl'!Y22</f>
        <v>27.597984144892646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2.7040717103988552</v>
      </c>
      <c r="D9" s="36">
        <f>'SER_se-appl'!D30</f>
        <v>2.8404220573167542</v>
      </c>
      <c r="E9" s="36">
        <f>'SER_se-appl'!E30</f>
        <v>3.1641290723144984</v>
      </c>
      <c r="F9" s="36">
        <f>'SER_se-appl'!F30</f>
        <v>2.9796461776523486</v>
      </c>
      <c r="G9" s="36">
        <f>'SER_se-appl'!G30</f>
        <v>3.2306025508107972</v>
      </c>
      <c r="H9" s="36">
        <f>'SER_se-appl'!H30</f>
        <v>3.1501505425501151</v>
      </c>
      <c r="I9" s="36">
        <f>'SER_se-appl'!I30</f>
        <v>3.4003150553033539</v>
      </c>
      <c r="J9" s="36">
        <f>'SER_se-appl'!J30</f>
        <v>3.1256700873351306</v>
      </c>
      <c r="K9" s="36">
        <f>'SER_se-appl'!K30</f>
        <v>3.5321109434475453</v>
      </c>
      <c r="L9" s="36">
        <f>'SER_se-appl'!L30</f>
        <v>3.4231160645321097</v>
      </c>
      <c r="M9" s="36">
        <f>'SER_se-appl'!M30</f>
        <v>3.7674392618565058</v>
      </c>
      <c r="N9" s="36">
        <f>'SER_se-appl'!N30</f>
        <v>3.641650352988222</v>
      </c>
      <c r="O9" s="36">
        <f>'SER_se-appl'!O30</f>
        <v>4.0326397778313421</v>
      </c>
      <c r="P9" s="36">
        <f>'SER_se-appl'!P30</f>
        <v>4.1355303260675491</v>
      </c>
      <c r="Q9" s="36">
        <f>'SER_se-appl'!Q30</f>
        <v>4.1089155192001314</v>
      </c>
      <c r="R9" s="36">
        <f>'SER_se-appl'!R30</f>
        <v>4.0071945902374466</v>
      </c>
      <c r="S9" s="36">
        <f>'SER_se-appl'!S30</f>
        <v>4.4689729092637442</v>
      </c>
      <c r="T9" s="36">
        <f>'SER_se-appl'!T30</f>
        <v>4.3433201313113727</v>
      </c>
      <c r="U9" s="36">
        <f>'SER_se-appl'!U30</f>
        <v>4.6776604289188057</v>
      </c>
      <c r="V9" s="36">
        <f>'SER_se-appl'!V30</f>
        <v>4.7354590510308761</v>
      </c>
      <c r="W9" s="36">
        <f>'SER_se-appl'!W30</f>
        <v>4.6517582386031968</v>
      </c>
      <c r="X9" s="36">
        <f>'SER_se-appl'!X30</f>
        <v>4.4030114355617975</v>
      </c>
      <c r="Y9" s="36">
        <f>'SER_se-appl'!Y30</f>
        <v>4.7867748594665969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2.2450779324121868</v>
      </c>
      <c r="D10" s="38">
        <f>'SER_se-appl'!D38</f>
        <v>2.3034013573990002</v>
      </c>
      <c r="E10" s="38">
        <f>'SER_se-appl'!E38</f>
        <v>2.3632399288549344</v>
      </c>
      <c r="F10" s="38">
        <f>'SER_se-appl'!F38</f>
        <v>2.4246330077884224</v>
      </c>
      <c r="G10" s="38">
        <f>'SER_se-appl'!G38</f>
        <v>2.4876209777420364</v>
      </c>
      <c r="H10" s="38">
        <f>'SER_se-appl'!H38</f>
        <v>2.5522452713562345</v>
      </c>
      <c r="I10" s="38">
        <f>'SER_se-appl'!I38</f>
        <v>2.7040717103988534</v>
      </c>
      <c r="J10" s="38">
        <f>'SER_se-appl'!J38</f>
        <v>2.8404220573167542</v>
      </c>
      <c r="K10" s="38">
        <f>'SER_se-appl'!K38</f>
        <v>3.1641290723144984</v>
      </c>
      <c r="L10" s="38">
        <f>'SER_se-appl'!L38</f>
        <v>2.9796461776523486</v>
      </c>
      <c r="M10" s="38">
        <f>'SER_se-appl'!M38</f>
        <v>3.2306025508107972</v>
      </c>
      <c r="N10" s="38">
        <f>'SER_se-appl'!N38</f>
        <v>3.1501505425501151</v>
      </c>
      <c r="O10" s="38">
        <f>'SER_se-appl'!O38</f>
        <v>3.4003150553033521</v>
      </c>
      <c r="P10" s="38">
        <f>'SER_se-appl'!P38</f>
        <v>3.1256700873351306</v>
      </c>
      <c r="Q10" s="38">
        <f>'SER_se-appl'!Q38</f>
        <v>3.5321109434475453</v>
      </c>
      <c r="R10" s="38">
        <f>'SER_se-appl'!R38</f>
        <v>3.4231160645321097</v>
      </c>
      <c r="S10" s="38">
        <f>'SER_se-appl'!S38</f>
        <v>3.7674392618565058</v>
      </c>
      <c r="T10" s="38">
        <f>'SER_se-appl'!T38</f>
        <v>3.641650352988222</v>
      </c>
      <c r="U10" s="38">
        <f>'SER_se-appl'!U38</f>
        <v>4.0326397778313421</v>
      </c>
      <c r="V10" s="38">
        <f>'SER_se-appl'!V38</f>
        <v>4.1355303260675491</v>
      </c>
      <c r="W10" s="38">
        <f>'SER_se-appl'!W38</f>
        <v>4.1089155192001314</v>
      </c>
      <c r="X10" s="38">
        <f>'SER_se-appl'!X38</f>
        <v>4.0071945902374466</v>
      </c>
      <c r="Y10" s="38">
        <f>'SER_se-appl'!Y38</f>
        <v>4.4689729092637442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2172.4612573510444</v>
      </c>
      <c r="C12" s="204">
        <f>'SER_se-appl'!C46</f>
        <v>2193.0941529448573</v>
      </c>
      <c r="D12" s="204">
        <f>'SER_se-appl'!D46</f>
        <v>2213.1336806227168</v>
      </c>
      <c r="E12" s="204">
        <f>'SER_se-appl'!E46</f>
        <v>2229.0182054389315</v>
      </c>
      <c r="F12" s="204">
        <f>'SER_se-appl'!F46</f>
        <v>2246.4042625989428</v>
      </c>
      <c r="G12" s="204">
        <f>'SER_se-appl'!G46</f>
        <v>2261.8975245961901</v>
      </c>
      <c r="H12" s="204">
        <f>'SER_se-appl'!H46</f>
        <v>2274.8138726028101</v>
      </c>
      <c r="I12" s="204">
        <f>'SER_se-appl'!I46</f>
        <v>2283.3315241058913</v>
      </c>
      <c r="J12" s="204">
        <f>'SER_se-appl'!J46</f>
        <v>2292.1788691891034</v>
      </c>
      <c r="K12" s="204">
        <f>'SER_se-appl'!K46</f>
        <v>2295.1743033780094</v>
      </c>
      <c r="L12" s="204">
        <f>'SER_se-appl'!L46</f>
        <v>2305.0758023407984</v>
      </c>
      <c r="M12" s="204">
        <f>'SER_se-appl'!M46</f>
        <v>2313.7438169497664</v>
      </c>
      <c r="N12" s="204">
        <f>'SER_se-appl'!N46</f>
        <v>2317.6031404151354</v>
      </c>
      <c r="O12" s="204">
        <f>'SER_se-appl'!O46</f>
        <v>2329.4169848887</v>
      </c>
      <c r="P12" s="204">
        <f>'SER_se-appl'!P46</f>
        <v>2344.2161925459432</v>
      </c>
      <c r="Q12" s="204">
        <f>'SER_se-appl'!Q46</f>
        <v>2366.1270313477939</v>
      </c>
      <c r="R12" s="204">
        <f>'SER_se-appl'!R46</f>
        <v>2358.740669499929</v>
      </c>
      <c r="S12" s="204">
        <f>'SER_se-appl'!S46</f>
        <v>2390.2655650527049</v>
      </c>
      <c r="T12" s="204">
        <f>'SER_se-appl'!T46</f>
        <v>2363.5534113718222</v>
      </c>
      <c r="U12" s="204">
        <f>'SER_se-appl'!U46</f>
        <v>2332.7494248093676</v>
      </c>
      <c r="V12" s="204">
        <f>'SER_se-appl'!V46</f>
        <v>2176.8003553950466</v>
      </c>
      <c r="W12" s="204">
        <f>'SER_se-appl'!W46</f>
        <v>2228.9635623221939</v>
      </c>
      <c r="X12" s="204">
        <f>'SER_se-appl'!X46</f>
        <v>2279.3567884330969</v>
      </c>
      <c r="Y12" s="204">
        <f>'SER_se-appl'!Y46</f>
        <v>2304.5534014885484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48.28085742547367</v>
      </c>
      <c r="C14" s="59">
        <f>'SER_se-appl'!C54</f>
        <v>47.725732187694618</v>
      </c>
      <c r="D14" s="59">
        <f>'SER_se-appl'!D54</f>
        <v>46.925442254976311</v>
      </c>
      <c r="E14" s="59">
        <f>'SER_se-appl'!E54</f>
        <v>45.979994174895253</v>
      </c>
      <c r="F14" s="59">
        <f>'SER_se-appl'!F54</f>
        <v>45.005438631982855</v>
      </c>
      <c r="G14" s="59">
        <f>'SER_se-appl'!G54</f>
        <v>43.848009154580005</v>
      </c>
      <c r="H14" s="59">
        <f>'SER_se-appl'!H54</f>
        <v>42.565525493742037</v>
      </c>
      <c r="I14" s="59">
        <f>'SER_se-appl'!I54</f>
        <v>41.518562761769608</v>
      </c>
      <c r="J14" s="59">
        <f>'SER_se-appl'!J54</f>
        <v>40.546263241251864</v>
      </c>
      <c r="K14" s="59">
        <f>'SER_se-appl'!K54</f>
        <v>39.398538076565401</v>
      </c>
      <c r="L14" s="59">
        <f>'SER_se-appl'!L54</f>
        <v>38.265734605830801</v>
      </c>
      <c r="M14" s="59">
        <f>'SER_se-appl'!M54</f>
        <v>36.9519920982695</v>
      </c>
      <c r="N14" s="59">
        <f>'SER_se-appl'!N54</f>
        <v>35.518593830899796</v>
      </c>
      <c r="O14" s="59">
        <f>'SER_se-appl'!O54</f>
        <v>33.776568762862645</v>
      </c>
      <c r="P14" s="59">
        <f>'SER_se-appl'!P54</f>
        <v>31.977327075023457</v>
      </c>
      <c r="Q14" s="59">
        <f>'SER_se-appl'!Q54</f>
        <v>29.926401516481494</v>
      </c>
      <c r="R14" s="59">
        <f>'SER_se-appl'!R54</f>
        <v>27.787373401688317</v>
      </c>
      <c r="S14" s="59">
        <f>'SER_se-appl'!S54</f>
        <v>25.591873667058515</v>
      </c>
      <c r="T14" s="59">
        <f>'SER_se-appl'!T54</f>
        <v>23.577471365900124</v>
      </c>
      <c r="U14" s="59">
        <f>'SER_se-appl'!U54</f>
        <v>21.569722820194702</v>
      </c>
      <c r="V14" s="59">
        <f>'SER_se-appl'!V54</f>
        <v>19.726062648226574</v>
      </c>
      <c r="W14" s="59">
        <f>'SER_se-appl'!W54</f>
        <v>18.236634762034662</v>
      </c>
      <c r="X14" s="59">
        <f>'SER_se-appl'!X54</f>
        <v>17.069574610369944</v>
      </c>
      <c r="Y14" s="59">
        <f>'SER_se-appl'!Y54</f>
        <v>15.863157236646728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45.23530182941515</v>
      </c>
      <c r="D15" s="63">
        <f>'SER_se-appl'!D62</f>
        <v>43.844771250417807</v>
      </c>
      <c r="E15" s="63">
        <f>'SER_se-appl'!E62</f>
        <v>43.10522009965522</v>
      </c>
      <c r="F15" s="63">
        <f>'SER_se-appl'!F62</f>
        <v>42.380993715210138</v>
      </c>
      <c r="G15" s="63">
        <f>'SER_se-appl'!G62</f>
        <v>41.268183757042358</v>
      </c>
      <c r="H15" s="63">
        <f>'SER_se-appl'!H62</f>
        <v>40.083265398205583</v>
      </c>
      <c r="I15" s="63">
        <f>'SER_se-appl'!I62</f>
        <v>38.910785646568542</v>
      </c>
      <c r="J15" s="63">
        <f>'SER_se-appl'!J62</f>
        <v>37.706454991590078</v>
      </c>
      <c r="K15" s="63">
        <f>'SER_se-appl'!K62</f>
        <v>36.528771656639584</v>
      </c>
      <c r="L15" s="63">
        <f>'SER_se-appl'!L62</f>
        <v>35.421740222314298</v>
      </c>
      <c r="M15" s="63">
        <f>'SER_se-appl'!M62</f>
        <v>33.727093859004015</v>
      </c>
      <c r="N15" s="63">
        <f>'SER_se-appl'!N62</f>
        <v>31.437970123507053</v>
      </c>
      <c r="O15" s="63">
        <f>'SER_se-appl'!O62</f>
        <v>29.081511571907438</v>
      </c>
      <c r="P15" s="63">
        <f>'SER_se-appl'!P62</f>
        <v>26.943621259244573</v>
      </c>
      <c r="Q15" s="63">
        <f>'SER_se-appl'!Q62</f>
        <v>24.355065480578549</v>
      </c>
      <c r="R15" s="63">
        <f>'SER_se-appl'!R62</f>
        <v>21.97330583444672</v>
      </c>
      <c r="S15" s="63">
        <f>'SER_se-appl'!S62</f>
        <v>20.810050270685561</v>
      </c>
      <c r="T15" s="63">
        <f>'SER_se-appl'!T62</f>
        <v>18.853904831037074</v>
      </c>
      <c r="U15" s="63">
        <f>'SER_se-appl'!U62</f>
        <v>17.273714027920601</v>
      </c>
      <c r="V15" s="63">
        <f>'SER_se-appl'!V62</f>
        <v>16.007242837979092</v>
      </c>
      <c r="W15" s="63">
        <f>'SER_se-appl'!W62</f>
        <v>15.206880696080137</v>
      </c>
      <c r="X15" s="63">
        <f>'SER_se-appl'!X62</f>
        <v>14.406518554181181</v>
      </c>
      <c r="Y15" s="63">
        <f>'SER_se-appl'!Y62</f>
        <v>13.606156412282226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77.674751746456892</v>
      </c>
      <c r="C3" s="198">
        <f>'SER_se-appl'!C7</f>
        <v>78.795194264859973</v>
      </c>
      <c r="D3" s="198">
        <f>'SER_se-appl'!D7</f>
        <v>79.313394229906194</v>
      </c>
      <c r="E3" s="198">
        <f>'SER_se-appl'!E7</f>
        <v>80.194082250918655</v>
      </c>
      <c r="F3" s="198">
        <f>'SER_se-appl'!F7</f>
        <v>81.553946135901285</v>
      </c>
      <c r="G3" s="198">
        <f>'SER_se-appl'!G7</f>
        <v>83.780444548184505</v>
      </c>
      <c r="H3" s="198">
        <f>'SER_se-appl'!H7</f>
        <v>86.450284869403021</v>
      </c>
      <c r="I3" s="198">
        <f>'SER_se-appl'!I7</f>
        <v>89.38878669128944</v>
      </c>
      <c r="J3" s="198">
        <f>'SER_se-appl'!J7</f>
        <v>90.679689672334433</v>
      </c>
      <c r="K3" s="198">
        <f>'SER_se-appl'!K7</f>
        <v>90.818512474523317</v>
      </c>
      <c r="L3" s="198">
        <f>'SER_se-appl'!L7</f>
        <v>90.397135959402505</v>
      </c>
      <c r="M3" s="198">
        <f>'SER_se-appl'!M7</f>
        <v>89.081497712583143</v>
      </c>
      <c r="N3" s="198">
        <f>'SER_se-appl'!N7</f>
        <v>87.742224715377034</v>
      </c>
      <c r="O3" s="198">
        <f>'SER_se-appl'!O7</f>
        <v>86.911312873878245</v>
      </c>
      <c r="P3" s="198">
        <f>'SER_se-appl'!P7</f>
        <v>86.266919495055774</v>
      </c>
      <c r="Q3" s="198">
        <f>'SER_se-appl'!Q7</f>
        <v>86.256484730494051</v>
      </c>
      <c r="R3" s="198">
        <f>'SER_se-appl'!R7</f>
        <v>85.781585732600561</v>
      </c>
      <c r="S3" s="198">
        <f>'SER_se-appl'!S7</f>
        <v>85.299081034430486</v>
      </c>
      <c r="T3" s="198">
        <f>'SER_se-appl'!T7</f>
        <v>85.21211313918343</v>
      </c>
      <c r="U3" s="198">
        <f>'SER_se-appl'!U7</f>
        <v>85.358441319843152</v>
      </c>
      <c r="V3" s="198">
        <f>'SER_se-appl'!V7</f>
        <v>85.549429278496902</v>
      </c>
      <c r="W3" s="198">
        <f>'SER_se-appl'!W7</f>
        <v>85.884731270110848</v>
      </c>
      <c r="X3" s="198">
        <f>'SER_se-appl'!X7</f>
        <v>85.708547533249515</v>
      </c>
      <c r="Y3" s="198">
        <f>'SER_se-appl'!Y7</f>
        <v>85.124331609580636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103.12298662229382</v>
      </c>
      <c r="C5" s="59">
        <f>'SER_se-appl'!C15</f>
        <v>104.61051476031066</v>
      </c>
      <c r="D5" s="59">
        <f>'SER_se-appl'!D15</f>
        <v>105.29849028468142</v>
      </c>
      <c r="E5" s="59">
        <f>'SER_se-appl'!E15</f>
        <v>106.46771422125387</v>
      </c>
      <c r="F5" s="59">
        <f>'SER_se-appl'!F15</f>
        <v>108.27310428773197</v>
      </c>
      <c r="G5" s="59">
        <f>'SER_se-appl'!G15</f>
        <v>111.22906051317192</v>
      </c>
      <c r="H5" s="59">
        <f>'SER_se-appl'!H15</f>
        <v>114.77360879351109</v>
      </c>
      <c r="I5" s="59">
        <f>'SER_se-appl'!I15</f>
        <v>118.67483895202012</v>
      </c>
      <c r="J5" s="59">
        <f>'SER_se-appl'!J15</f>
        <v>120.38867475904675</v>
      </c>
      <c r="K5" s="59">
        <f>'SER_se-appl'!K15</f>
        <v>120.57297946103951</v>
      </c>
      <c r="L5" s="59">
        <f>'SER_se-appl'!L15</f>
        <v>120.01354922464053</v>
      </c>
      <c r="M5" s="59">
        <f>'SER_se-appl'!M15</f>
        <v>118.26687424627197</v>
      </c>
      <c r="N5" s="59">
        <f>'SER_se-appl'!N15</f>
        <v>116.48882116893094</v>
      </c>
      <c r="O5" s="59">
        <f>'SER_se-appl'!O15</f>
        <v>115.38568136109629</v>
      </c>
      <c r="P5" s="59">
        <f>'SER_se-appl'!P15</f>
        <v>114.53016823373272</v>
      </c>
      <c r="Q5" s="59">
        <f>'SER_se-appl'!Q15</f>
        <v>114.51631477347557</v>
      </c>
      <c r="R5" s="59">
        <f>'SER_se-appl'!R15</f>
        <v>113.88582672033617</v>
      </c>
      <c r="S5" s="59">
        <f>'SER_se-appl'!S15</f>
        <v>113.24524114502591</v>
      </c>
      <c r="T5" s="59">
        <f>'SER_se-appl'!T15</f>
        <v>113.12978034345929</v>
      </c>
      <c r="U5" s="59">
        <f>'SER_se-appl'!U15</f>
        <v>113.32404937782829</v>
      </c>
      <c r="V5" s="59">
        <f>'SER_se-appl'!V15</f>
        <v>113.57760987544739</v>
      </c>
      <c r="W5" s="59">
        <f>'SER_se-appl'!W15</f>
        <v>114.02276537344628</v>
      </c>
      <c r="X5" s="59">
        <f>'SER_se-appl'!X15</f>
        <v>113.78885933923425</v>
      </c>
      <c r="Y5" s="59">
        <f>'SER_se-appl'!Y15</f>
        <v>113.01323934011678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1.4046856213697037E-2</v>
      </c>
      <c r="C6" s="201">
        <f>'SER_se-appl'!C71</f>
        <v>1.444185582903411E-2</v>
      </c>
      <c r="D6" s="201">
        <f>'SER_se-appl'!D71</f>
        <v>1.4772149278601314E-2</v>
      </c>
      <c r="E6" s="201">
        <f>'SER_se-appl'!E71</f>
        <v>1.5214345070237528E-2</v>
      </c>
      <c r="F6" s="201">
        <f>'SER_se-appl'!F71</f>
        <v>1.5781927924368239E-2</v>
      </c>
      <c r="G6" s="201">
        <f>'SER_se-appl'!G71</f>
        <v>1.6548366379645813E-2</v>
      </c>
      <c r="H6" s="201">
        <f>'SER_se-appl'!H71</f>
        <v>1.7457587627226032E-2</v>
      </c>
      <c r="I6" s="201">
        <f>'SER_se-appl'!I71</f>
        <v>1.8474249333690022E-2</v>
      </c>
      <c r="J6" s="201">
        <f>'SER_se-appl'!J71</f>
        <v>1.9210374281345446E-2</v>
      </c>
      <c r="K6" s="201">
        <f>'SER_se-appl'!K71</f>
        <v>1.9733188171874954E-2</v>
      </c>
      <c r="L6" s="201">
        <f>'SER_se-appl'!L71</f>
        <v>2.01889652292251E-2</v>
      </c>
      <c r="M6" s="201">
        <f>'SER_se-appl'!M71</f>
        <v>2.0306142204572594E-2</v>
      </c>
      <c r="N6" s="201">
        <f>'SER_se-appl'!N71</f>
        <v>2.0447974880588353E-2</v>
      </c>
      <c r="O6" s="201">
        <f>'SER_se-appl'!O71</f>
        <v>2.0734606245406011E-2</v>
      </c>
      <c r="P6" s="201">
        <f>'SER_se-appl'!P71</f>
        <v>2.1200527492302369E-2</v>
      </c>
      <c r="Q6" s="201">
        <f>'SER_se-appl'!Q71</f>
        <v>2.1980699918413837E-2</v>
      </c>
      <c r="R6" s="201">
        <f>'SER_se-appl'!R71</f>
        <v>2.2683653314413039E-2</v>
      </c>
      <c r="S6" s="201">
        <f>'SER_se-appl'!S71</f>
        <v>2.3425682696119752E-2</v>
      </c>
      <c r="T6" s="201">
        <f>'SER_se-appl'!T71</f>
        <v>2.4138064931459542E-2</v>
      </c>
      <c r="U6" s="201">
        <f>'SER_se-appl'!U71</f>
        <v>2.4811751209935787E-2</v>
      </c>
      <c r="V6" s="201">
        <f>'SER_se-appl'!V71</f>
        <v>2.5459664064269166E-2</v>
      </c>
      <c r="W6" s="201">
        <f>'SER_se-appl'!W71</f>
        <v>2.6146971981247803E-2</v>
      </c>
      <c r="X6" s="201">
        <f>'SER_se-appl'!X71</f>
        <v>2.6639097925062891E-2</v>
      </c>
      <c r="Y6" s="201">
        <f>'SER_se-appl'!Y71</f>
        <v>2.698908699996265E-2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143.58196353559904</v>
      </c>
      <c r="C8" s="34">
        <f>'SER_se-appl'!C23</f>
        <v>147.31123312918498</v>
      </c>
      <c r="D8" s="34">
        <f>'SER_se-appl'!D23</f>
        <v>150.30444740382441</v>
      </c>
      <c r="E8" s="34">
        <f>'SER_se-appl'!E23</f>
        <v>154.30939529526444</v>
      </c>
      <c r="F8" s="34">
        <f>'SER_se-appl'!F23</f>
        <v>159.66169307342901</v>
      </c>
      <c r="G8" s="34">
        <f>'SER_se-appl'!G23</f>
        <v>167.09794038842622</v>
      </c>
      <c r="H8" s="34">
        <f>'SER_se-appl'!H23</f>
        <v>175.91279579034094</v>
      </c>
      <c r="I8" s="34">
        <f>'SER_se-appl'!I23</f>
        <v>185.9647127243185</v>
      </c>
      <c r="J8" s="34">
        <f>'SER_se-appl'!J23</f>
        <v>192.97591301620182</v>
      </c>
      <c r="K8" s="34">
        <f>'SER_se-appl'!K23</f>
        <v>197.94311722237336</v>
      </c>
      <c r="L8" s="34">
        <f>'SER_se-appl'!L23</f>
        <v>202.17883903019441</v>
      </c>
      <c r="M8" s="34">
        <f>'SER_se-appl'!M23</f>
        <v>202.77149094732906</v>
      </c>
      <c r="N8" s="34">
        <f>'SER_se-appl'!N23</f>
        <v>203.08775291588748</v>
      </c>
      <c r="O8" s="34">
        <f>'SER_se-appl'!O23</f>
        <v>205.17411244985382</v>
      </c>
      <c r="P8" s="34">
        <f>'SER_se-appl'!P23</f>
        <v>208.82979631364418</v>
      </c>
      <c r="Q8" s="34">
        <f>'SER_se-appl'!Q23</f>
        <v>215.75942913976181</v>
      </c>
      <c r="R8" s="34">
        <f>'SER_se-appl'!R23</f>
        <v>221.83823550360609</v>
      </c>
      <c r="S8" s="34">
        <f>'SER_se-appl'!S23</f>
        <v>228.16279958758085</v>
      </c>
      <c r="T8" s="34">
        <f>'SER_se-appl'!T23</f>
        <v>234.46883511179666</v>
      </c>
      <c r="U8" s="34">
        <f>'SER_se-appl'!U23</f>
        <v>240.68073553270625</v>
      </c>
      <c r="V8" s="34">
        <f>'SER_se-appl'!V23</f>
        <v>246.68825795239209</v>
      </c>
      <c r="W8" s="34">
        <f>'SER_se-appl'!W23</f>
        <v>252.35648034510589</v>
      </c>
      <c r="X8" s="34">
        <f>'SER_se-appl'!X23</f>
        <v>256.01246661631819</v>
      </c>
      <c r="Y8" s="34">
        <f>'SER_se-appl'!Y23</f>
        <v>259.08832599336944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16.778443885620561</v>
      </c>
      <c r="D9" s="36">
        <f>'SER_se-appl'!D31</f>
        <v>16.317258790586976</v>
      </c>
      <c r="E9" s="36">
        <f>'SER_se-appl'!E31</f>
        <v>17.609652548601247</v>
      </c>
      <c r="F9" s="36">
        <f>'SER_se-appl'!F31</f>
        <v>19.243574453730474</v>
      </c>
      <c r="G9" s="36">
        <f>'SER_se-appl'!G31</f>
        <v>21.620132415034846</v>
      </c>
      <c r="H9" s="36">
        <f>'SER_se-appl'!H31</f>
        <v>23.297512484466381</v>
      </c>
      <c r="I9" s="36">
        <f>'SER_se-appl'!I31</f>
        <v>24.839639387413655</v>
      </c>
      <c r="J9" s="36">
        <f>'SER_se-appl'!J31</f>
        <v>22.110414069672345</v>
      </c>
      <c r="K9" s="36">
        <f>'SER_se-appl'!K31</f>
        <v>20.384470619255922</v>
      </c>
      <c r="L9" s="36">
        <f>'SER_se-appl'!L31</f>
        <v>19.977740375812004</v>
      </c>
      <c r="M9" s="36">
        <f>'SER_se-appl'!M31</f>
        <v>17.371095802755207</v>
      </c>
      <c r="N9" s="36">
        <f>'SER_se-appl'!N31</f>
        <v>16.633520759145398</v>
      </c>
      <c r="O9" s="36">
        <f>'SER_se-appl'!O31</f>
        <v>19.696012082567592</v>
      </c>
      <c r="P9" s="36">
        <f>'SER_se-appl'!P31</f>
        <v>22.899258317520832</v>
      </c>
      <c r="Q9" s="36">
        <f>'SER_se-appl'!Q31</f>
        <v>28.549765241152471</v>
      </c>
      <c r="R9" s="36">
        <f>'SER_se-appl'!R31</f>
        <v>29.37631884831066</v>
      </c>
      <c r="S9" s="36">
        <f>'SER_se-appl'!S31</f>
        <v>31.164203471388419</v>
      </c>
      <c r="T9" s="36">
        <f>'SER_se-appl'!T31</f>
        <v>28.41644959388816</v>
      </c>
      <c r="U9" s="36">
        <f>'SER_se-appl'!U31</f>
        <v>26.596371040165508</v>
      </c>
      <c r="V9" s="36">
        <f>'SER_se-appl'!V31</f>
        <v>25.985262795497846</v>
      </c>
      <c r="W9" s="36">
        <f>'SER_se-appl'!W31</f>
        <v>23.039318195469008</v>
      </c>
      <c r="X9" s="36">
        <f>'SER_se-appl'!X31</f>
        <v>20.289507030357697</v>
      </c>
      <c r="Y9" s="36">
        <f>'SER_se-appl'!Y31</f>
        <v>22.771871459618836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13.049174292034621</v>
      </c>
      <c r="D10" s="38">
        <f>'SER_se-appl'!D39</f>
        <v>13.324044515947548</v>
      </c>
      <c r="E10" s="38">
        <f>'SER_se-appl'!E39</f>
        <v>13.604704657161221</v>
      </c>
      <c r="F10" s="38">
        <f>'SER_se-appl'!F39</f>
        <v>13.891276675565905</v>
      </c>
      <c r="G10" s="38">
        <f>'SER_se-appl'!G39</f>
        <v>14.183885100037628</v>
      </c>
      <c r="H10" s="38">
        <f>'SER_se-appl'!H39</f>
        <v>14.482657082551668</v>
      </c>
      <c r="I10" s="38">
        <f>'SER_se-appl'!I39</f>
        <v>14.787722453436089</v>
      </c>
      <c r="J10" s="38">
        <f>'SER_se-appl'!J39</f>
        <v>15.099213777789032</v>
      </c>
      <c r="K10" s="38">
        <f>'SER_se-appl'!K39</f>
        <v>15.417266413084377</v>
      </c>
      <c r="L10" s="38">
        <f>'SER_se-appl'!L39</f>
        <v>15.742018567990954</v>
      </c>
      <c r="M10" s="38">
        <f>'SER_se-appl'!M39</f>
        <v>16.778443885620561</v>
      </c>
      <c r="N10" s="38">
        <f>'SER_se-appl'!N39</f>
        <v>16.317258790586976</v>
      </c>
      <c r="O10" s="38">
        <f>'SER_se-appl'!O39</f>
        <v>17.609652548601247</v>
      </c>
      <c r="P10" s="38">
        <f>'SER_se-appl'!P39</f>
        <v>19.243574453730474</v>
      </c>
      <c r="Q10" s="38">
        <f>'SER_se-appl'!Q39</f>
        <v>21.620132415034846</v>
      </c>
      <c r="R10" s="38">
        <f>'SER_se-appl'!R39</f>
        <v>23.297512484466381</v>
      </c>
      <c r="S10" s="38">
        <f>'SER_se-appl'!S39</f>
        <v>24.839639387413655</v>
      </c>
      <c r="T10" s="38">
        <f>'SER_se-appl'!T39</f>
        <v>22.110414069672316</v>
      </c>
      <c r="U10" s="38">
        <f>'SER_se-appl'!U39</f>
        <v>20.384470619255922</v>
      </c>
      <c r="V10" s="38">
        <f>'SER_se-appl'!V39</f>
        <v>19.977740375811976</v>
      </c>
      <c r="W10" s="38">
        <f>'SER_se-appl'!W39</f>
        <v>17.371095802755207</v>
      </c>
      <c r="X10" s="38">
        <f>'SER_se-appl'!X39</f>
        <v>16.633520759145426</v>
      </c>
      <c r="Y10" s="38">
        <f>'SER_se-appl'!Y39</f>
        <v>19.69601208256762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8759.9999999999982</v>
      </c>
      <c r="C12" s="204">
        <f>'SER_se-appl'!C47</f>
        <v>8760</v>
      </c>
      <c r="D12" s="204">
        <f>'SER_se-appl'!D47</f>
        <v>8759.9999999999982</v>
      </c>
      <c r="E12" s="204">
        <f>'SER_se-appl'!E47</f>
        <v>8760</v>
      </c>
      <c r="F12" s="204">
        <f>'SER_se-appl'!F47</f>
        <v>8759.9999999999982</v>
      </c>
      <c r="G12" s="204">
        <f>'SER_se-appl'!G47</f>
        <v>8759.9999999999982</v>
      </c>
      <c r="H12" s="204">
        <f>'SER_se-appl'!H47</f>
        <v>8760</v>
      </c>
      <c r="I12" s="204">
        <f>'SER_se-appl'!I47</f>
        <v>8759.9999999999982</v>
      </c>
      <c r="J12" s="204">
        <f>'SER_se-appl'!J47</f>
        <v>8759.9999999999982</v>
      </c>
      <c r="K12" s="204">
        <f>'SER_se-appl'!K47</f>
        <v>8760</v>
      </c>
      <c r="L12" s="204">
        <f>'SER_se-appl'!L47</f>
        <v>8760</v>
      </c>
      <c r="M12" s="204">
        <f>'SER_se-appl'!M47</f>
        <v>8759.9999999999964</v>
      </c>
      <c r="N12" s="204">
        <f>'SER_se-appl'!N47</f>
        <v>8759.9999999999982</v>
      </c>
      <c r="O12" s="204">
        <f>'SER_se-appl'!O47</f>
        <v>8760.0000000000036</v>
      </c>
      <c r="P12" s="204">
        <f>'SER_se-appl'!P47</f>
        <v>8760</v>
      </c>
      <c r="Q12" s="204">
        <f>'SER_se-appl'!Q47</f>
        <v>8759.9999999999982</v>
      </c>
      <c r="R12" s="204">
        <f>'SER_se-appl'!R47</f>
        <v>8759.9999999999982</v>
      </c>
      <c r="S12" s="204">
        <f>'SER_se-appl'!S47</f>
        <v>8759.9999999999964</v>
      </c>
      <c r="T12" s="204">
        <f>'SER_se-appl'!T47</f>
        <v>8760</v>
      </c>
      <c r="U12" s="204">
        <f>'SER_se-appl'!U47</f>
        <v>8760</v>
      </c>
      <c r="V12" s="204">
        <f>'SER_se-appl'!V47</f>
        <v>8759.9999999999982</v>
      </c>
      <c r="W12" s="204">
        <f>'SER_se-appl'!W47</f>
        <v>8759.9999999999982</v>
      </c>
      <c r="X12" s="204">
        <f>'SER_se-appl'!X47</f>
        <v>8759.9999999999982</v>
      </c>
      <c r="Y12" s="204">
        <f>'SER_se-appl'!Y47</f>
        <v>8759.9999999999982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718.21685734730875</v>
      </c>
      <c r="C14" s="59">
        <f>'SER_se-appl'!C55</f>
        <v>710.1326391625015</v>
      </c>
      <c r="D14" s="59">
        <f>'SER_se-appl'!D55</f>
        <v>700.56802778280371</v>
      </c>
      <c r="E14" s="59">
        <f>'SER_se-appl'!E55</f>
        <v>689.96261710139197</v>
      </c>
      <c r="F14" s="59">
        <f>'SER_se-appl'!F55</f>
        <v>678.14077505702494</v>
      </c>
      <c r="G14" s="59">
        <f>'SER_se-appl'!G55</f>
        <v>665.65189406054481</v>
      </c>
      <c r="H14" s="59">
        <f>'SER_se-appl'!H55</f>
        <v>652.44605020263737</v>
      </c>
      <c r="I14" s="59">
        <f>'SER_se-appl'!I55</f>
        <v>638.15783765357912</v>
      </c>
      <c r="J14" s="59">
        <f>'SER_se-appl'!J55</f>
        <v>623.85337567460658</v>
      </c>
      <c r="K14" s="59">
        <f>'SER_se-appl'!K55</f>
        <v>609.12943654204128</v>
      </c>
      <c r="L14" s="59">
        <f>'SER_se-appl'!L55</f>
        <v>593.60094162335702</v>
      </c>
      <c r="M14" s="59">
        <f>'SER_se-appl'!M55</f>
        <v>583.25198327309431</v>
      </c>
      <c r="N14" s="59">
        <f>'SER_se-appl'!N55</f>
        <v>573.5886063852256</v>
      </c>
      <c r="O14" s="59">
        <f>'SER_se-appl'!O55</f>
        <v>562.37933715588736</v>
      </c>
      <c r="P14" s="59">
        <f>'SER_se-appl'!P55</f>
        <v>548.43786784965482</v>
      </c>
      <c r="Q14" s="59">
        <f>'SER_se-appl'!Q55</f>
        <v>530.75925918999212</v>
      </c>
      <c r="R14" s="59">
        <f>'SER_se-appl'!R55</f>
        <v>513.37329861914134</v>
      </c>
      <c r="S14" s="59">
        <f>'SER_se-appl'!S55</f>
        <v>496.33525425583872</v>
      </c>
      <c r="T14" s="59">
        <f>'SER_se-appl'!T55</f>
        <v>482.49389002814848</v>
      </c>
      <c r="U14" s="59">
        <f>'SER_se-appl'!U55</f>
        <v>470.84802664826748</v>
      </c>
      <c r="V14" s="59">
        <f>'SER_se-appl'!V55</f>
        <v>460.40946909344393</v>
      </c>
      <c r="W14" s="59">
        <f>'SER_se-appl'!W55</f>
        <v>451.83212738391484</v>
      </c>
      <c r="X14" s="59">
        <f>'SER_se-appl'!X55</f>
        <v>444.46608730881763</v>
      </c>
      <c r="Y14" s="59">
        <f>'SER_se-appl'!Y55</f>
        <v>436.19579889141357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647.23911007779338</v>
      </c>
      <c r="D15" s="63">
        <f>'SER_se-appl'!D63</f>
        <v>628.63064411821244</v>
      </c>
      <c r="E15" s="63">
        <f>'SER_se-appl'!E63</f>
        <v>621.2701886299327</v>
      </c>
      <c r="F15" s="63">
        <f>'SER_se-appl'!F63</f>
        <v>612.27393971294987</v>
      </c>
      <c r="G15" s="63">
        <f>'SER_se-appl'!G63</f>
        <v>607.9084695070818</v>
      </c>
      <c r="H15" s="63">
        <f>'SER_se-appl'!H63</f>
        <v>598.61484119846739</v>
      </c>
      <c r="I15" s="63">
        <f>'SER_se-appl'!I63</f>
        <v>584.63093927597572</v>
      </c>
      <c r="J15" s="63">
        <f>'SER_se-appl'!J63</f>
        <v>567.98328766493034</v>
      </c>
      <c r="K15" s="63">
        <f>'SER_se-appl'!K63</f>
        <v>552.2461458209483</v>
      </c>
      <c r="L15" s="63">
        <f>'SER_se-appl'!L63</f>
        <v>537.93635644690187</v>
      </c>
      <c r="M15" s="63">
        <f>'SER_se-appl'!M63</f>
        <v>524.60651959591769</v>
      </c>
      <c r="N15" s="63">
        <f>'SER_se-appl'!N63</f>
        <v>509.78238156627634</v>
      </c>
      <c r="O15" s="63">
        <f>'SER_se-appl'!O63</f>
        <v>499.45198609261018</v>
      </c>
      <c r="P15" s="63">
        <f>'SER_se-appl'!P63</f>
        <v>477.1694290736512</v>
      </c>
      <c r="Q15" s="63">
        <f>'SER_se-appl'!Q63</f>
        <v>459.87096691717437</v>
      </c>
      <c r="R15" s="63">
        <f>'SER_se-appl'!R63</f>
        <v>453.28173185438089</v>
      </c>
      <c r="S15" s="63">
        <f>'SER_se-appl'!S63</f>
        <v>445.42887623533596</v>
      </c>
      <c r="T15" s="63">
        <f>'SER_se-appl'!T63</f>
        <v>437.87612636995442</v>
      </c>
      <c r="U15" s="63">
        <f>'SER_se-appl'!U63</f>
        <v>430.56679992768545</v>
      </c>
      <c r="V15" s="63">
        <f>'SER_se-appl'!V63</f>
        <v>423.32892501404569</v>
      </c>
      <c r="W15" s="63">
        <f>'SER_se-appl'!W63</f>
        <v>414.86234651376475</v>
      </c>
      <c r="X15" s="63">
        <f>'SER_se-appl'!X63</f>
        <v>406.39576801348386</v>
      </c>
      <c r="Y15" s="63">
        <f>'SER_se-appl'!Y63</f>
        <v>397.92918951320291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24.717606557096559</v>
      </c>
      <c r="C3" s="198">
        <f>'SER_se-appl'!C8</f>
        <v>27.172205019632408</v>
      </c>
      <c r="D3" s="198">
        <f>'SER_se-appl'!D8</f>
        <v>29.671735112742702</v>
      </c>
      <c r="E3" s="198">
        <f>'SER_se-appl'!E8</f>
        <v>33.192244370857836</v>
      </c>
      <c r="F3" s="198">
        <f>'SER_se-appl'!F8</f>
        <v>36.117894354751932</v>
      </c>
      <c r="G3" s="198">
        <f>'SER_se-appl'!G8</f>
        <v>38.89062441336295</v>
      </c>
      <c r="H3" s="198">
        <f>'SER_se-appl'!H8</f>
        <v>41.271691698372116</v>
      </c>
      <c r="I3" s="198">
        <f>'SER_se-appl'!I8</f>
        <v>43.710214105986104</v>
      </c>
      <c r="J3" s="198">
        <f>'SER_se-appl'!J8</f>
        <v>44.92413074661301</v>
      </c>
      <c r="K3" s="198">
        <f>'SER_se-appl'!K8</f>
        <v>46.067911010321794</v>
      </c>
      <c r="L3" s="198">
        <f>'SER_se-appl'!L8</f>
        <v>47.189377290161211</v>
      </c>
      <c r="M3" s="198">
        <f>'SER_se-appl'!M8</f>
        <v>47.983597101820159</v>
      </c>
      <c r="N3" s="198">
        <f>'SER_se-appl'!N8</f>
        <v>47.218965807112518</v>
      </c>
      <c r="O3" s="198">
        <f>'SER_se-appl'!O8</f>
        <v>46.341654412573789</v>
      </c>
      <c r="P3" s="198">
        <f>'SER_se-appl'!P8</f>
        <v>45.892470155206574</v>
      </c>
      <c r="Q3" s="198">
        <f>'SER_se-appl'!Q8</f>
        <v>43.905148569157134</v>
      </c>
      <c r="R3" s="198">
        <f>'SER_se-appl'!R8</f>
        <v>47.377168191795704</v>
      </c>
      <c r="S3" s="198">
        <f>'SER_se-appl'!S8</f>
        <v>48.288854047095874</v>
      </c>
      <c r="T3" s="198">
        <f>'SER_se-appl'!T8</f>
        <v>48.663514024744863</v>
      </c>
      <c r="U3" s="198">
        <f>'SER_se-appl'!U8</f>
        <v>49.353327316063918</v>
      </c>
      <c r="V3" s="198">
        <f>'SER_se-appl'!V8</f>
        <v>47.001246642120371</v>
      </c>
      <c r="W3" s="198">
        <f>'SER_se-appl'!W8</f>
        <v>49.060410670520398</v>
      </c>
      <c r="X3" s="198">
        <f>'SER_se-appl'!X8</f>
        <v>50.431964396486464</v>
      </c>
      <c r="Y3" s="198">
        <f>'SER_se-appl'!Y8</f>
        <v>51.529333429996846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313.38925414058826</v>
      </c>
      <c r="C5" s="59">
        <f>'SER_se-appl'!C16</f>
        <v>342.87272121289027</v>
      </c>
      <c r="D5" s="59">
        <f>'SER_se-appl'!D16</f>
        <v>372.7876932820563</v>
      </c>
      <c r="E5" s="59">
        <f>'SER_se-appl'!E16</f>
        <v>415.35279506256808</v>
      </c>
      <c r="F5" s="59">
        <f>'SER_se-appl'!F16</f>
        <v>450.29145673726237</v>
      </c>
      <c r="G5" s="59">
        <f>'SER_se-appl'!G16</f>
        <v>483.1901125984628</v>
      </c>
      <c r="H5" s="59">
        <f>'SER_se-appl'!H16</f>
        <v>511.12127356880342</v>
      </c>
      <c r="I5" s="59">
        <f>'SER_se-appl'!I16</f>
        <v>539.68229843820222</v>
      </c>
      <c r="J5" s="59">
        <f>'SER_se-appl'!J16</f>
        <v>553.0873722084508</v>
      </c>
      <c r="K5" s="59">
        <f>'SER_se-appl'!K16</f>
        <v>565.63793084138149</v>
      </c>
      <c r="L5" s="59">
        <f>'SER_se-appl'!L16</f>
        <v>577.92360368299558</v>
      </c>
      <c r="M5" s="59">
        <f>'SER_se-appl'!M16</f>
        <v>589.79575052268945</v>
      </c>
      <c r="N5" s="59">
        <f>'SER_se-appl'!N16</f>
        <v>588.81325737274551</v>
      </c>
      <c r="O5" s="59">
        <f>'SER_se-appl'!O16</f>
        <v>589.62432792649065</v>
      </c>
      <c r="P5" s="59">
        <f>'SER_se-appl'!P16</f>
        <v>596.06809758661007</v>
      </c>
      <c r="Q5" s="59">
        <f>'SER_se-appl'!Q16</f>
        <v>582.41872943072985</v>
      </c>
      <c r="R5" s="59">
        <f>'SER_se-appl'!R16</f>
        <v>588.77882788959096</v>
      </c>
      <c r="S5" s="59">
        <f>'SER_se-appl'!S16</f>
        <v>595.83753614364252</v>
      </c>
      <c r="T5" s="59">
        <f>'SER_se-appl'!T16</f>
        <v>603.13651187512585</v>
      </c>
      <c r="U5" s="59">
        <f>'SER_se-appl'!U16</f>
        <v>616.88350499019589</v>
      </c>
      <c r="V5" s="59">
        <f>'SER_se-appl'!V16</f>
        <v>629.57226688826086</v>
      </c>
      <c r="W5" s="59">
        <f>'SER_se-appl'!W16</f>
        <v>641.77533428575794</v>
      </c>
      <c r="X5" s="59">
        <f>'SER_se-appl'!X16</f>
        <v>649.98087566828269</v>
      </c>
      <c r="Y5" s="59">
        <f>'SER_se-appl'!Y16</f>
        <v>659.25934241461198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66.187904659623953</v>
      </c>
      <c r="C6" s="201">
        <f>'SER_se-appl'!C72</f>
        <v>71.573677965974952</v>
      </c>
      <c r="D6" s="201">
        <f>'SER_se-appl'!D72</f>
        <v>76.766210903281106</v>
      </c>
      <c r="E6" s="201">
        <f>'SER_se-appl'!E72</f>
        <v>83.470489479538131</v>
      </c>
      <c r="F6" s="201">
        <f>'SER_se-appl'!F72</f>
        <v>90.099487314159944</v>
      </c>
      <c r="G6" s="201">
        <f>'SER_se-appl'!G72</f>
        <v>95.544746717990421</v>
      </c>
      <c r="H6" s="201">
        <f>'SER_se-appl'!H72</f>
        <v>100.80123858650725</v>
      </c>
      <c r="I6" s="201">
        <f>'SER_se-appl'!I72</f>
        <v>105.69879145568062</v>
      </c>
      <c r="J6" s="201">
        <f>'SER_se-appl'!J72</f>
        <v>110.05411479100511</v>
      </c>
      <c r="K6" s="201">
        <f>'SER_se-appl'!K72</f>
        <v>114.29471788357792</v>
      </c>
      <c r="L6" s="201">
        <f>'SER_se-appl'!L72</f>
        <v>118.27061863111598</v>
      </c>
      <c r="M6" s="201">
        <f>'SER_se-appl'!M72</f>
        <v>122.0973907300085</v>
      </c>
      <c r="N6" s="201">
        <f>'SER_se-appl'!N72</f>
        <v>122.94465843602539</v>
      </c>
      <c r="O6" s="201">
        <f>'SER_se-appl'!O72</f>
        <v>124.45222570650091</v>
      </c>
      <c r="P6" s="201">
        <f>'SER_se-appl'!P72</f>
        <v>125.54512895423193</v>
      </c>
      <c r="Q6" s="201">
        <f>'SER_se-appl'!Q72</f>
        <v>125.66262522137146</v>
      </c>
      <c r="R6" s="201">
        <f>'SER_se-appl'!R72</f>
        <v>129.65505787739195</v>
      </c>
      <c r="S6" s="201">
        <f>'SER_se-appl'!S72</f>
        <v>133.36198957395658</v>
      </c>
      <c r="T6" s="201">
        <f>'SER_se-appl'!T72</f>
        <v>138.29044657767682</v>
      </c>
      <c r="U6" s="201">
        <f>'SER_se-appl'!U72</f>
        <v>144.5999141832838</v>
      </c>
      <c r="V6" s="201">
        <f>'SER_se-appl'!V72</f>
        <v>150.60450282639636</v>
      </c>
      <c r="W6" s="201">
        <f>'SER_se-appl'!W72</f>
        <v>156.14982379923902</v>
      </c>
      <c r="X6" s="201">
        <f>'SER_se-appl'!X72</f>
        <v>160.73273398685009</v>
      </c>
      <c r="Y6" s="201">
        <f>'SER_se-appl'!Y72</f>
        <v>164.49571851254774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5.6412263753804304</v>
      </c>
      <c r="C8" s="34">
        <f>'SER_se-appl'!C24</f>
        <v>6.2189646944547361</v>
      </c>
      <c r="D8" s="34">
        <f>'SER_se-appl'!D24</f>
        <v>6.8193602936555777</v>
      </c>
      <c r="E8" s="34">
        <f>'SER_se-appl'!E24</f>
        <v>7.689428821825925</v>
      </c>
      <c r="F8" s="34">
        <f>'SER_se-appl'!F24</f>
        <v>8.4296690171769839</v>
      </c>
      <c r="G8" s="34">
        <f>'SER_se-appl'!G24</f>
        <v>9.1498122943546711</v>
      </c>
      <c r="H8" s="34">
        <f>'SER_se-appl'!H24</f>
        <v>9.7861229706572228</v>
      </c>
      <c r="I8" s="34">
        <f>'SER_se-appl'!I24</f>
        <v>10.461902824427765</v>
      </c>
      <c r="J8" s="34">
        <f>'SER_se-appl'!J24</f>
        <v>10.830170206759842</v>
      </c>
      <c r="K8" s="34">
        <f>'SER_se-appl'!K24</f>
        <v>11.199392555064899</v>
      </c>
      <c r="L8" s="34">
        <f>'SER_se-appl'!L24</f>
        <v>11.59174097640827</v>
      </c>
      <c r="M8" s="34">
        <f>'SER_se-appl'!M24</f>
        <v>12.019719300940663</v>
      </c>
      <c r="N8" s="34">
        <f>'SER_se-appl'!N24</f>
        <v>12.190921038502152</v>
      </c>
      <c r="O8" s="34">
        <f>'SER_se-appl'!O24</f>
        <v>12.470290925826399</v>
      </c>
      <c r="P8" s="34">
        <f>'SER_se-appl'!P24</f>
        <v>12.974878338653575</v>
      </c>
      <c r="Q8" s="34">
        <f>'SER_se-appl'!Q24</f>
        <v>12.996236715610799</v>
      </c>
      <c r="R8" s="34">
        <f>'SER_se-appl'!R24</f>
        <v>13.537848747482547</v>
      </c>
      <c r="S8" s="34">
        <f>'SER_se-appl'!S24</f>
        <v>14.119341187435438</v>
      </c>
      <c r="T8" s="34">
        <f>'SER_se-appl'!T24</f>
        <v>14.842155341186997</v>
      </c>
      <c r="U8" s="34">
        <f>'SER_se-appl'!U24</f>
        <v>15.699244537838164</v>
      </c>
      <c r="V8" s="34">
        <f>'SER_se-appl'!V24</f>
        <v>16.525040250132278</v>
      </c>
      <c r="W8" s="34">
        <f>'SER_se-appl'!W24</f>
        <v>17.305503675026301</v>
      </c>
      <c r="X8" s="34">
        <f>'SER_se-appl'!X24</f>
        <v>17.981842374780246</v>
      </c>
      <c r="Y8" s="34">
        <f>'SER_se-appl'!Y24</f>
        <v>18.568822426343075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0.73841429288918103</v>
      </c>
      <c r="D9" s="36">
        <f>'SER_se-appl'!D32</f>
        <v>0.77915267752234474</v>
      </c>
      <c r="E9" s="36">
        <f>'SER_se-appl'!E32</f>
        <v>1.068941404378065</v>
      </c>
      <c r="F9" s="36">
        <f>'SER_se-appl'!F32</f>
        <v>0.96149252987398448</v>
      </c>
      <c r="G9" s="36">
        <f>'SER_se-appl'!G32</f>
        <v>0.96629346349427081</v>
      </c>
      <c r="H9" s="36">
        <f>'SER_se-appl'!H32</f>
        <v>0.9101605064267666</v>
      </c>
      <c r="I9" s="36">
        <f>'SER_se-appl'!I32</f>
        <v>0.98044640950740813</v>
      </c>
      <c r="J9" s="36">
        <f>'SER_se-appl'!J32</f>
        <v>0.70721851530324287</v>
      </c>
      <c r="K9" s="36">
        <f>'SER_se-appl'!K32</f>
        <v>0.74631615259404605</v>
      </c>
      <c r="L9" s="36">
        <f>'SER_se-appl'!L32</f>
        <v>0.81187714805583866</v>
      </c>
      <c r="M9" s="36">
        <f>'SER_se-appl'!M32</f>
        <v>0.89471723812669524</v>
      </c>
      <c r="N9" s="36">
        <f>'SER_se-appl'!N32</f>
        <v>0.69046347005422781</v>
      </c>
      <c r="O9" s="36">
        <f>'SER_se-appl'!O32</f>
        <v>0.85706490905481303</v>
      </c>
      <c r="P9" s="36">
        <f>'SER_se-appl'!P32</f>
        <v>1.1472913080866753</v>
      </c>
      <c r="Q9" s="36">
        <f>'SER_se-appl'!Q32</f>
        <v>0.73638669024323633</v>
      </c>
      <c r="R9" s="36">
        <f>'SER_se-appl'!R32</f>
        <v>1.2800263247609305</v>
      </c>
      <c r="S9" s="36">
        <f>'SER_se-appl'!S32</f>
        <v>1.3606451174752365</v>
      </c>
      <c r="T9" s="36">
        <f>'SER_se-appl'!T32</f>
        <v>1.7917555581296245</v>
      </c>
      <c r="U9" s="36">
        <f>'SER_se-appl'!U32</f>
        <v>1.8185817265251512</v>
      </c>
      <c r="V9" s="36">
        <f>'SER_se-appl'!V32</f>
        <v>1.7920891757883854</v>
      </c>
      <c r="W9" s="36">
        <f>'SER_se-appl'!W32</f>
        <v>1.6906239313207898</v>
      </c>
      <c r="X9" s="36">
        <f>'SER_se-appl'!X32</f>
        <v>1.656785109261353</v>
      </c>
      <c r="Y9" s="36">
        <f>'SER_se-appl'!Y32</f>
        <v>1.294198566866072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0.16067597381487531</v>
      </c>
      <c r="D10" s="38">
        <f>'SER_se-appl'!D40</f>
        <v>0.17875707832150312</v>
      </c>
      <c r="E10" s="38">
        <f>'SER_se-appl'!E40</f>
        <v>0.19887287620771765</v>
      </c>
      <c r="F10" s="38">
        <f>'SER_se-appl'!F40</f>
        <v>0.22125233452292647</v>
      </c>
      <c r="G10" s="38">
        <f>'SER_se-appl'!G40</f>
        <v>0.24615018631658359</v>
      </c>
      <c r="H10" s="38">
        <f>'SER_se-appl'!H40</f>
        <v>0.27384983012421493</v>
      </c>
      <c r="I10" s="38">
        <f>'SER_se-appl'!I40</f>
        <v>0.30466655573686552</v>
      </c>
      <c r="J10" s="38">
        <f>'SER_se-appl'!J40</f>
        <v>0.3389511329711663</v>
      </c>
      <c r="K10" s="38">
        <f>'SER_se-appl'!K40</f>
        <v>0.37709380428898953</v>
      </c>
      <c r="L10" s="38">
        <f>'SER_se-appl'!L40</f>
        <v>0.41952872671246766</v>
      </c>
      <c r="M10" s="38">
        <f>'SER_se-appl'!M40</f>
        <v>0.46673891359430186</v>
      </c>
      <c r="N10" s="38">
        <f>'SER_se-appl'!N40</f>
        <v>0.51926173249273866</v>
      </c>
      <c r="O10" s="38">
        <f>'SER_se-appl'!O40</f>
        <v>0.57769502173056608</v>
      </c>
      <c r="P10" s="38">
        <f>'SER_se-appl'!P40</f>
        <v>0.64270389525949945</v>
      </c>
      <c r="Q10" s="38">
        <f>'SER_se-appl'!Q40</f>
        <v>0.71502831328601246</v>
      </c>
      <c r="R10" s="38">
        <f>'SER_se-appl'!R40</f>
        <v>0.73841429288918192</v>
      </c>
      <c r="S10" s="38">
        <f>'SER_se-appl'!S40</f>
        <v>0.77915267752234563</v>
      </c>
      <c r="T10" s="38">
        <f>'SER_se-appl'!T40</f>
        <v>1.0689414043780658</v>
      </c>
      <c r="U10" s="38">
        <f>'SER_se-appl'!U40</f>
        <v>0.96149252987398448</v>
      </c>
      <c r="V10" s="38">
        <f>'SER_se-appl'!V40</f>
        <v>0.96629346349427081</v>
      </c>
      <c r="W10" s="38">
        <f>'SER_se-appl'!W40</f>
        <v>0.9101605064267666</v>
      </c>
      <c r="X10" s="38">
        <f>'SER_se-appl'!X40</f>
        <v>0.98044640950740813</v>
      </c>
      <c r="Y10" s="38">
        <f>'SER_se-appl'!Y40</f>
        <v>0.70721851530324287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917.28022087851855</v>
      </c>
      <c r="C12" s="204">
        <f>'SER_se-appl'!C48</f>
        <v>921.66196033458141</v>
      </c>
      <c r="D12" s="204">
        <f>'SER_se-appl'!D48</f>
        <v>925.68044916682277</v>
      </c>
      <c r="E12" s="204">
        <f>'SER_se-appl'!E48</f>
        <v>929.39257089849684</v>
      </c>
      <c r="F12" s="204">
        <f>'SER_se-appl'!F48</f>
        <v>932.84272899465168</v>
      </c>
      <c r="G12" s="204">
        <f>'SER_se-appl'!G48</f>
        <v>936.0662607417147</v>
      </c>
      <c r="H12" s="204">
        <f>'SER_se-appl'!H48</f>
        <v>939.09175624922409</v>
      </c>
      <c r="I12" s="204">
        <f>'SER_se-appl'!I48</f>
        <v>941.94267909794769</v>
      </c>
      <c r="J12" s="204">
        <f>'SER_se-appl'!J48</f>
        <v>944.63852699605411</v>
      </c>
      <c r="K12" s="204">
        <f>'SER_se-appl'!K48</f>
        <v>947.19568090684709</v>
      </c>
      <c r="L12" s="204">
        <f>'SER_se-appl'!L48</f>
        <v>949.62803800900167</v>
      </c>
      <c r="M12" s="204">
        <f>'SER_se-appl'!M48</f>
        <v>946.17371149183998</v>
      </c>
      <c r="N12" s="204">
        <f>'SER_se-appl'!N48</f>
        <v>932.64980952879171</v>
      </c>
      <c r="O12" s="204">
        <f>'SER_se-appl'!O48</f>
        <v>914.0624212599065</v>
      </c>
      <c r="P12" s="204">
        <f>'SER_se-appl'!P48</f>
        <v>895.41686606956898</v>
      </c>
      <c r="Q12" s="204">
        <f>'SER_se-appl'!Q48</f>
        <v>876.71781839568723</v>
      </c>
      <c r="R12" s="204">
        <f>'SER_se-appl'!R48</f>
        <v>935.82927912942546</v>
      </c>
      <c r="S12" s="204">
        <f>'SER_se-appl'!S48</f>
        <v>942.5377531642057</v>
      </c>
      <c r="T12" s="204">
        <f>'SER_se-appl'!T48</f>
        <v>938.35583978865327</v>
      </c>
      <c r="U12" s="204">
        <f>'SER_se-appl'!U48</f>
        <v>930.44990187401049</v>
      </c>
      <c r="V12" s="204">
        <f>'SER_se-appl'!V48</f>
        <v>868.24742320626581</v>
      </c>
      <c r="W12" s="204">
        <f>'SER_se-appl'!W48</f>
        <v>889.05345159946285</v>
      </c>
      <c r="X12" s="204">
        <f>'SER_se-appl'!X48</f>
        <v>902.37077410639017</v>
      </c>
      <c r="Y12" s="204">
        <f>'SER_se-appl'!Y48</f>
        <v>909.02943535985389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55.553390927243917</v>
      </c>
      <c r="C14" s="59">
        <f>'SER_se-appl'!C56</f>
        <v>55.133408542843085</v>
      </c>
      <c r="D14" s="59">
        <f>'SER_se-appl'!D56</f>
        <v>54.66607969502374</v>
      </c>
      <c r="E14" s="59">
        <f>'SER_se-appl'!E56</f>
        <v>54.016079046549883</v>
      </c>
      <c r="F14" s="59">
        <f>'SER_se-appl'!F56</f>
        <v>53.417453973544113</v>
      </c>
      <c r="G14" s="59">
        <f>'SER_se-appl'!G56</f>
        <v>52.808745912370853</v>
      </c>
      <c r="H14" s="59">
        <f>'SER_se-appl'!H56</f>
        <v>52.22918975178964</v>
      </c>
      <c r="I14" s="59">
        <f>'SER_se-appl'!I56</f>
        <v>51.585481866461627</v>
      </c>
      <c r="J14" s="59">
        <f>'SER_se-appl'!J56</f>
        <v>51.069130184420509</v>
      </c>
      <c r="K14" s="59">
        <f>'SER_se-appl'!K56</f>
        <v>50.5061259403371</v>
      </c>
      <c r="L14" s="59">
        <f>'SER_se-appl'!L56</f>
        <v>49.856497385439916</v>
      </c>
      <c r="M14" s="59">
        <f>'SER_se-appl'!M56</f>
        <v>49.06901199236259</v>
      </c>
      <c r="N14" s="59">
        <f>'SER_se-appl'!N56</f>
        <v>48.299325006955385</v>
      </c>
      <c r="O14" s="59">
        <f>'SER_se-appl'!O56</f>
        <v>47.282323358259312</v>
      </c>
      <c r="P14" s="59">
        <f>'SER_se-appl'!P56</f>
        <v>45.94016853405541</v>
      </c>
      <c r="Q14" s="59">
        <f>'SER_se-appl'!Q56</f>
        <v>44.814413754955773</v>
      </c>
      <c r="R14" s="59">
        <f>'SER_se-appl'!R56</f>
        <v>43.491313787877729</v>
      </c>
      <c r="S14" s="59">
        <f>'SER_se-appl'!S56</f>
        <v>42.200094766026915</v>
      </c>
      <c r="T14" s="59">
        <f>'SER_se-appl'!T56</f>
        <v>40.636720072685222</v>
      </c>
      <c r="U14" s="59">
        <f>'SER_se-appl'!U56</f>
        <v>39.293833757630146</v>
      </c>
      <c r="V14" s="59">
        <f>'SER_se-appl'!V56</f>
        <v>38.098077666299261</v>
      </c>
      <c r="W14" s="59">
        <f>'SER_se-appl'!W56</f>
        <v>37.085042211854756</v>
      </c>
      <c r="X14" s="59">
        <f>'SER_se-appl'!X56</f>
        <v>36.146511693367351</v>
      </c>
      <c r="Y14" s="59">
        <f>'SER_se-appl'!Y56</f>
        <v>35.50356222262856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52.016276808471538</v>
      </c>
      <c r="D15" s="63">
        <f>'SER_se-appl'!D64</f>
        <v>51.139571321090258</v>
      </c>
      <c r="E15" s="63">
        <f>'SER_se-appl'!E64</f>
        <v>50.155381948646642</v>
      </c>
      <c r="F15" s="63">
        <f>'SER_se-appl'!F64</f>
        <v>49.121524755061529</v>
      </c>
      <c r="G15" s="63">
        <f>'SER_se-appl'!G64</f>
        <v>48.197711304021141</v>
      </c>
      <c r="H15" s="63">
        <f>'SER_se-appl'!H64</f>
        <v>47.403119926586115</v>
      </c>
      <c r="I15" s="63">
        <f>'SER_se-appl'!I64</f>
        <v>46.393443539212704</v>
      </c>
      <c r="J15" s="63">
        <f>'SER_se-appl'!J64</f>
        <v>45.579913234605201</v>
      </c>
      <c r="K15" s="63">
        <f>'SER_se-appl'!K64</f>
        <v>44.886336765459582</v>
      </c>
      <c r="L15" s="63">
        <f>'SER_se-appl'!L64</f>
        <v>43.839041765260994</v>
      </c>
      <c r="M15" s="63">
        <f>'SER_se-appl'!M64</f>
        <v>42.249187292625379</v>
      </c>
      <c r="N15" s="63">
        <f>'SER_se-appl'!N64</f>
        <v>40.355874100905979</v>
      </c>
      <c r="O15" s="63">
        <f>'SER_se-appl'!O64</f>
        <v>38.391477220731176</v>
      </c>
      <c r="P15" s="63">
        <f>'SER_se-appl'!P64</f>
        <v>36.737095545701344</v>
      </c>
      <c r="Q15" s="63">
        <f>'SER_se-appl'!Q64</f>
        <v>35.406505307059959</v>
      </c>
      <c r="R15" s="63">
        <f>'SER_se-appl'!R64</f>
        <v>34.975578119831354</v>
      </c>
      <c r="S15" s="63">
        <f>'SER_se-appl'!S64</f>
        <v>34.472061505102587</v>
      </c>
      <c r="T15" s="63">
        <f>'SER_se-appl'!T64</f>
        <v>33.995786909891216</v>
      </c>
      <c r="U15" s="63">
        <f>'SER_se-appl'!U64</f>
        <v>33.529959821818593</v>
      </c>
      <c r="V15" s="63">
        <f>'SER_se-appl'!V64</f>
        <v>33.068608463891799</v>
      </c>
      <c r="W15" s="63">
        <f>'SER_se-appl'!W64</f>
        <v>32.737922379252879</v>
      </c>
      <c r="X15" s="63">
        <f>'SER_se-appl'!X64</f>
        <v>32.407236294613959</v>
      </c>
      <c r="Y15" s="63">
        <f>'SER_se-appl'!Y64</f>
        <v>32.076550209975046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33.111828526941146</v>
      </c>
      <c r="C3" s="198">
        <f>'SER_se-appl'!C9</f>
        <v>37.064646922520886</v>
      </c>
      <c r="D3" s="198">
        <f>'SER_se-appl'!D9</f>
        <v>40.00657606202337</v>
      </c>
      <c r="E3" s="198">
        <f>'SER_se-appl'!E9</f>
        <v>43.980123064540791</v>
      </c>
      <c r="F3" s="198">
        <f>'SER_se-appl'!F9</f>
        <v>49.891546270164177</v>
      </c>
      <c r="G3" s="198">
        <f>'SER_se-appl'!G9</f>
        <v>57.307337225988213</v>
      </c>
      <c r="H3" s="198">
        <f>'SER_se-appl'!H9</f>
        <v>65.328081356343787</v>
      </c>
      <c r="I3" s="198">
        <f>'SER_se-appl'!I9</f>
        <v>71.518709823475646</v>
      </c>
      <c r="J3" s="198">
        <f>'SER_se-appl'!J9</f>
        <v>75.651664274066846</v>
      </c>
      <c r="K3" s="198">
        <f>'SER_se-appl'!K9</f>
        <v>78.451740185594929</v>
      </c>
      <c r="L3" s="198">
        <f>'SER_se-appl'!L9</f>
        <v>80.207213221932335</v>
      </c>
      <c r="M3" s="198">
        <f>'SER_se-appl'!M9</f>
        <v>81.239481175713976</v>
      </c>
      <c r="N3" s="198">
        <f>'SER_se-appl'!N9</f>
        <v>80.629333080258789</v>
      </c>
      <c r="O3" s="198">
        <f>'SER_se-appl'!O9</f>
        <v>80.617356811833005</v>
      </c>
      <c r="P3" s="198">
        <f>'SER_se-appl'!P9</f>
        <v>82.054337145752569</v>
      </c>
      <c r="Q3" s="198">
        <f>'SER_se-appl'!Q9</f>
        <v>86.01823817560269</v>
      </c>
      <c r="R3" s="198">
        <f>'SER_se-appl'!R9</f>
        <v>85.979379473739698</v>
      </c>
      <c r="S3" s="198">
        <f>'SER_se-appl'!S9</f>
        <v>87.861729879792776</v>
      </c>
      <c r="T3" s="198">
        <f>'SER_se-appl'!T9</f>
        <v>89.291185980409296</v>
      </c>
      <c r="U3" s="198">
        <f>'SER_se-appl'!U9</f>
        <v>90.146842145583392</v>
      </c>
      <c r="V3" s="198">
        <f>'SER_se-appl'!V9</f>
        <v>88.726213331346472</v>
      </c>
      <c r="W3" s="198">
        <f>'SER_se-appl'!W9</f>
        <v>90.539555806744517</v>
      </c>
      <c r="X3" s="198">
        <f>'SER_se-appl'!X9</f>
        <v>92.163215502843457</v>
      </c>
      <c r="Y3" s="198">
        <f>'SER_se-appl'!Y9</f>
        <v>92.920623224076877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187.64991627023875</v>
      </c>
      <c r="C5" s="59">
        <f>'SER_se-appl'!C17</f>
        <v>203.12707675686084</v>
      </c>
      <c r="D5" s="59">
        <f>'SER_se-appl'!D17</f>
        <v>209.36586952076473</v>
      </c>
      <c r="E5" s="59">
        <f>'SER_se-appl'!E17</f>
        <v>223.36376960196785</v>
      </c>
      <c r="F5" s="59">
        <f>'SER_se-appl'!F17</f>
        <v>250.88707239252264</v>
      </c>
      <c r="G5" s="59">
        <f>'SER_se-appl'!G17</f>
        <v>289.09405121987976</v>
      </c>
      <c r="H5" s="59">
        <f>'SER_se-appl'!H17</f>
        <v>331.48352625143457</v>
      </c>
      <c r="I5" s="59">
        <f>'SER_se-appl'!I17</f>
        <v>362.35081179969399</v>
      </c>
      <c r="J5" s="59">
        <f>'SER_se-appl'!J17</f>
        <v>379.49218590993326</v>
      </c>
      <c r="K5" s="59">
        <f>'SER_se-appl'!K17</f>
        <v>388.89727043208887</v>
      </c>
      <c r="L5" s="59">
        <f>'SER_se-appl'!L17</f>
        <v>390.28880397195866</v>
      </c>
      <c r="M5" s="59">
        <f>'SER_se-appl'!M17</f>
        <v>391.01276616146515</v>
      </c>
      <c r="N5" s="59">
        <f>'SER_se-appl'!N17</f>
        <v>383.37468804569124</v>
      </c>
      <c r="O5" s="59">
        <f>'SER_se-appl'!O17</f>
        <v>380.29784583346964</v>
      </c>
      <c r="P5" s="59">
        <f>'SER_se-appl'!P17</f>
        <v>386.39435335494642</v>
      </c>
      <c r="Q5" s="59">
        <f>'SER_se-appl'!Q17</f>
        <v>409.01889192398227</v>
      </c>
      <c r="R5" s="59">
        <f>'SER_se-appl'!R17</f>
        <v>407.59420080564854</v>
      </c>
      <c r="S5" s="59">
        <f>'SER_se-appl'!S17</f>
        <v>414.23392086068384</v>
      </c>
      <c r="T5" s="59">
        <f>'SER_se-appl'!T17</f>
        <v>422.1041858463181</v>
      </c>
      <c r="U5" s="59">
        <f>'SER_se-appl'!U17</f>
        <v>426.7610284501701</v>
      </c>
      <c r="V5" s="59">
        <f>'SER_se-appl'!V17</f>
        <v>431.28568230448502</v>
      </c>
      <c r="W5" s="59">
        <f>'SER_se-appl'!W17</f>
        <v>436.23796487461459</v>
      </c>
      <c r="X5" s="59">
        <f>'SER_se-appl'!X17</f>
        <v>440.1389861225544</v>
      </c>
      <c r="Y5" s="59">
        <f>'SER_se-appl'!Y17</f>
        <v>442.19836993503742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4.7279268741854986E-2</v>
      </c>
      <c r="C6" s="201">
        <f>'SER_se-appl'!C73</f>
        <v>5.2636384012032453E-2</v>
      </c>
      <c r="D6" s="201">
        <f>'SER_se-appl'!D73</f>
        <v>5.6009171789745606E-2</v>
      </c>
      <c r="E6" s="201">
        <f>'SER_se-appl'!E73</f>
        <v>6.2273007500041944E-2</v>
      </c>
      <c r="F6" s="201">
        <f>'SER_se-appl'!F73</f>
        <v>7.3455685839590334E-2</v>
      </c>
      <c r="G6" s="201">
        <f>'SER_se-appl'!G73</f>
        <v>8.9270779775885517E-2</v>
      </c>
      <c r="H6" s="201">
        <f>'SER_se-appl'!H73</f>
        <v>0.10845009202593371</v>
      </c>
      <c r="I6" s="201">
        <f>'SER_se-appl'!I73</f>
        <v>0.12394018681914362</v>
      </c>
      <c r="J6" s="201">
        <f>'SER_se-appl'!J73</f>
        <v>0.13616514314602818</v>
      </c>
      <c r="K6" s="201">
        <f>'SER_se-appl'!K73</f>
        <v>0.14762438080190132</v>
      </c>
      <c r="L6" s="201">
        <f>'SER_se-appl'!L73</f>
        <v>0.15875451550435607</v>
      </c>
      <c r="M6" s="201">
        <f>'SER_se-appl'!M73</f>
        <v>0.17325358743367142</v>
      </c>
      <c r="N6" s="201">
        <f>'SER_se-appl'!N73</f>
        <v>0.18178817312777501</v>
      </c>
      <c r="O6" s="201">
        <f>'SER_se-appl'!O73</f>
        <v>0.19203569913684129</v>
      </c>
      <c r="P6" s="201">
        <f>'SER_se-appl'!P73</f>
        <v>0.20781948963103744</v>
      </c>
      <c r="Q6" s="201">
        <f>'SER_se-appl'!Q73</f>
        <v>0.23508697936284076</v>
      </c>
      <c r="R6" s="201">
        <f>'SER_se-appl'!R73</f>
        <v>0.24863960568480672</v>
      </c>
      <c r="S6" s="201">
        <f>'SER_se-appl'!S73</f>
        <v>0.26232787635793342</v>
      </c>
      <c r="T6" s="201">
        <f>'SER_se-appl'!T73</f>
        <v>0.2755121182636569</v>
      </c>
      <c r="U6" s="201">
        <f>'SER_se-appl'!U73</f>
        <v>0.28829147231384505</v>
      </c>
      <c r="V6" s="201">
        <f>'SER_se-appl'!V73</f>
        <v>0.30039875373854841</v>
      </c>
      <c r="W6" s="201">
        <f>'SER_se-appl'!W73</f>
        <v>0.3132682762626694</v>
      </c>
      <c r="X6" s="201">
        <f>'SER_se-appl'!X73</f>
        <v>0.32360076448093489</v>
      </c>
      <c r="Y6" s="201">
        <f>'SER_se-appl'!Y73</f>
        <v>0.33135115101630358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483.27185365956956</v>
      </c>
      <c r="C8" s="34">
        <f>'SER_se-appl'!C25</f>
        <v>536.90680256516657</v>
      </c>
      <c r="D8" s="34">
        <f>'SER_se-appl'!D25</f>
        <v>569.88508961240848</v>
      </c>
      <c r="E8" s="34">
        <f>'SER_se-appl'!E25</f>
        <v>631.59538489414047</v>
      </c>
      <c r="F8" s="34">
        <f>'SER_se-appl'!F25</f>
        <v>743.13222207218871</v>
      </c>
      <c r="G8" s="34">
        <f>'SER_se-appl'!G25</f>
        <v>901.41607305521313</v>
      </c>
      <c r="H8" s="34">
        <f>'SER_se-appl'!H25</f>
        <v>1092.8061367567752</v>
      </c>
      <c r="I8" s="34">
        <f>'SER_se-appl'!I25</f>
        <v>1247.6015030710171</v>
      </c>
      <c r="J8" s="34">
        <f>'SER_se-appl'!J25</f>
        <v>1367.8334651242546</v>
      </c>
      <c r="K8" s="34">
        <f>'SER_se-appl'!K25</f>
        <v>1480.8164732143521</v>
      </c>
      <c r="L8" s="34">
        <f>'SER_se-appl'!L25</f>
        <v>1589.8191547236449</v>
      </c>
      <c r="M8" s="34">
        <f>'SER_se-appl'!M25</f>
        <v>1730.0621596153362</v>
      </c>
      <c r="N8" s="34">
        <f>'SER_se-appl'!N25</f>
        <v>1805.5065013920766</v>
      </c>
      <c r="O8" s="34">
        <f>'SER_se-appl'!O25</f>
        <v>1900.2412518838287</v>
      </c>
      <c r="P8" s="34">
        <f>'SER_se-appl'!P25</f>
        <v>2047.0670696949687</v>
      </c>
      <c r="Q8" s="34">
        <f>'SER_se-appl'!Q25</f>
        <v>2307.5804070745753</v>
      </c>
      <c r="R8" s="34">
        <f>'SER_se-appl'!R25</f>
        <v>2431.6088170146313</v>
      </c>
      <c r="S8" s="34">
        <f>'SER_se-appl'!S25</f>
        <v>2555.0360028399523</v>
      </c>
      <c r="T8" s="34">
        <f>'SER_se-appl'!T25</f>
        <v>2676.2296651323618</v>
      </c>
      <c r="U8" s="34">
        <f>'SER_se-appl'!U25</f>
        <v>2796.5056967247665</v>
      </c>
      <c r="V8" s="34">
        <f>'SER_se-appl'!V25</f>
        <v>2910.6764749042009</v>
      </c>
      <c r="W8" s="34">
        <f>'SER_se-appl'!W25</f>
        <v>3023.4965508863797</v>
      </c>
      <c r="X8" s="34">
        <f>'SER_se-appl'!X25</f>
        <v>3109.9337577698702</v>
      </c>
      <c r="Y8" s="34">
        <f>'SER_se-appl'!Y25</f>
        <v>3180.886223861854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150.28931963751091</v>
      </c>
      <c r="D9" s="36">
        <f>'SER_se-appl'!D33</f>
        <v>129.63265777915581</v>
      </c>
      <c r="E9" s="36">
        <f>'SER_se-appl'!E33</f>
        <v>158.36466601364589</v>
      </c>
      <c r="F9" s="36">
        <f>'SER_se-appl'!F33</f>
        <v>208.19120790996215</v>
      </c>
      <c r="G9" s="36">
        <f>'SER_se-appl'!G33</f>
        <v>254.93822171493832</v>
      </c>
      <c r="H9" s="36">
        <f>'SER_se-appl'!H33</f>
        <v>341.67938333907296</v>
      </c>
      <c r="I9" s="36">
        <f>'SER_se-appl'!I33</f>
        <v>284.42802409339765</v>
      </c>
      <c r="J9" s="36">
        <f>'SER_se-appl'!J33</f>
        <v>278.59662806688334</v>
      </c>
      <c r="K9" s="36">
        <f>'SER_se-appl'!K33</f>
        <v>321.17421600005969</v>
      </c>
      <c r="L9" s="36">
        <f>'SER_se-appl'!L33</f>
        <v>363.94090322423131</v>
      </c>
      <c r="M9" s="36">
        <f>'SER_se-appl'!M33</f>
        <v>481.92238823076423</v>
      </c>
      <c r="N9" s="36">
        <f>'SER_se-appl'!N33</f>
        <v>359.87236587013808</v>
      </c>
      <c r="O9" s="36">
        <f>'SER_se-appl'!O33</f>
        <v>373.33137855863538</v>
      </c>
      <c r="P9" s="36">
        <f>'SER_se-appl'!P33</f>
        <v>468.00003381119973</v>
      </c>
      <c r="Q9" s="36">
        <f>'SER_se-appl'!Q33</f>
        <v>624.45424060383789</v>
      </c>
      <c r="R9" s="36">
        <f>'SER_se-appl'!R33</f>
        <v>605.95079817082024</v>
      </c>
      <c r="S9" s="36">
        <f>'SER_se-appl'!S33</f>
        <v>483.29955169545929</v>
      </c>
      <c r="T9" s="36">
        <f>'SER_se-appl'!T33</f>
        <v>494.52504085104511</v>
      </c>
      <c r="U9" s="36">
        <f>'SER_se-appl'!U33</f>
        <v>588.27606540360466</v>
      </c>
      <c r="V9" s="36">
        <f>'SER_se-appl'!V33</f>
        <v>738.62501878327248</v>
      </c>
      <c r="W9" s="36">
        <f>'SER_se-appl'!W33</f>
        <v>718.77087415299911</v>
      </c>
      <c r="X9" s="36">
        <f>'SER_se-appl'!X33</f>
        <v>569.73675857894978</v>
      </c>
      <c r="Y9" s="36">
        <f>'SER_se-appl'!Y33</f>
        <v>565.47750694302886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96.6543707319139</v>
      </c>
      <c r="D10" s="38">
        <f>'SER_se-appl'!D41</f>
        <v>96.6543707319139</v>
      </c>
      <c r="E10" s="38">
        <f>'SER_se-appl'!E41</f>
        <v>96.6543707319139</v>
      </c>
      <c r="F10" s="38">
        <f>'SER_se-appl'!F41</f>
        <v>96.6543707319139</v>
      </c>
      <c r="G10" s="38">
        <f>'SER_se-appl'!G41</f>
        <v>96.6543707319139</v>
      </c>
      <c r="H10" s="38">
        <f>'SER_se-appl'!H41</f>
        <v>150.28931963751074</v>
      </c>
      <c r="I10" s="38">
        <f>'SER_se-appl'!I41</f>
        <v>129.63265777915581</v>
      </c>
      <c r="J10" s="38">
        <f>'SER_se-appl'!J41</f>
        <v>158.36466601364577</v>
      </c>
      <c r="K10" s="38">
        <f>'SER_se-appl'!K41</f>
        <v>208.19120790996226</v>
      </c>
      <c r="L10" s="38">
        <f>'SER_se-appl'!L41</f>
        <v>254.93822171493844</v>
      </c>
      <c r="M10" s="38">
        <f>'SER_se-appl'!M41</f>
        <v>341.67938333907273</v>
      </c>
      <c r="N10" s="38">
        <f>'SER_se-appl'!N41</f>
        <v>284.42802409339765</v>
      </c>
      <c r="O10" s="38">
        <f>'SER_se-appl'!O41</f>
        <v>278.59662806688311</v>
      </c>
      <c r="P10" s="38">
        <f>'SER_se-appl'!P41</f>
        <v>321.17421600005991</v>
      </c>
      <c r="Q10" s="38">
        <f>'SER_se-appl'!Q41</f>
        <v>363.94090322423108</v>
      </c>
      <c r="R10" s="38">
        <f>'SER_se-appl'!R41</f>
        <v>481.92238823076423</v>
      </c>
      <c r="S10" s="38">
        <f>'SER_se-appl'!S41</f>
        <v>359.87236587013831</v>
      </c>
      <c r="T10" s="38">
        <f>'SER_se-appl'!T41</f>
        <v>373.33137855863561</v>
      </c>
      <c r="U10" s="38">
        <f>'SER_se-appl'!U41</f>
        <v>468.00003381119996</v>
      </c>
      <c r="V10" s="38">
        <f>'SER_se-appl'!V41</f>
        <v>624.45424060383812</v>
      </c>
      <c r="W10" s="38">
        <f>'SER_se-appl'!W41</f>
        <v>605.95079817082024</v>
      </c>
      <c r="X10" s="38">
        <f>'SER_se-appl'!X41</f>
        <v>483.29955169545929</v>
      </c>
      <c r="Y10" s="38">
        <f>'SER_se-appl'!Y41</f>
        <v>494.52504085104511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2052.1755267598851</v>
      </c>
      <c r="C12" s="204">
        <f>'SER_se-appl'!C49</f>
        <v>2122.1289184646248</v>
      </c>
      <c r="D12" s="204">
        <f>'SER_se-appl'!D49</f>
        <v>2222.3129331745549</v>
      </c>
      <c r="E12" s="204">
        <f>'SER_se-appl'!E49</f>
        <v>2289.9364214352117</v>
      </c>
      <c r="F12" s="204">
        <f>'SER_se-appl'!F49</f>
        <v>2312.7484313508321</v>
      </c>
      <c r="G12" s="204">
        <f>'SER_se-appl'!G49</f>
        <v>2305.4238893048923</v>
      </c>
      <c r="H12" s="204">
        <f>'SER_se-appl'!H49</f>
        <v>2292.0161214828699</v>
      </c>
      <c r="I12" s="204">
        <f>'SER_se-appl'!I49</f>
        <v>2295.4622099944863</v>
      </c>
      <c r="J12" s="204">
        <f>'SER_se-appl'!J49</f>
        <v>2318.437343835616</v>
      </c>
      <c r="K12" s="204">
        <f>'SER_se-appl'!K49</f>
        <v>2346.1047626915542</v>
      </c>
      <c r="L12" s="204">
        <f>'SER_se-appl'!L49</f>
        <v>2390.0503429201449</v>
      </c>
      <c r="M12" s="204">
        <f>'SER_se-appl'!M49</f>
        <v>2416.3281811709462</v>
      </c>
      <c r="N12" s="204">
        <f>'SER_se-appl'!N49</f>
        <v>2445.9599784836364</v>
      </c>
      <c r="O12" s="204">
        <f>'SER_se-appl'!O49</f>
        <v>2465.3830411970803</v>
      </c>
      <c r="P12" s="204">
        <f>'SER_se-appl'!P49</f>
        <v>2469.7357316929488</v>
      </c>
      <c r="Q12" s="204">
        <f>'SER_se-appl'!Q49</f>
        <v>2445.8335048450181</v>
      </c>
      <c r="R12" s="204">
        <f>'SER_se-appl'!R49</f>
        <v>2453.2738230895243</v>
      </c>
      <c r="S12" s="204">
        <f>'SER_se-appl'!S49</f>
        <v>2466.7992335800404</v>
      </c>
      <c r="T12" s="204">
        <f>'SER_se-appl'!T49</f>
        <v>2460.1899904642187</v>
      </c>
      <c r="U12" s="204">
        <f>'SER_se-appl'!U49</f>
        <v>2456.6624041575296</v>
      </c>
      <c r="V12" s="204">
        <f>'SER_se-appl'!V49</f>
        <v>2392.5808423082649</v>
      </c>
      <c r="W12" s="204">
        <f>'SER_se-appl'!W49</f>
        <v>2413.762943202546</v>
      </c>
      <c r="X12" s="204">
        <f>'SER_se-appl'!X49</f>
        <v>2435.272107432937</v>
      </c>
      <c r="Y12" s="204">
        <f>'SER_se-appl'!Y49</f>
        <v>2443.850818027151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388.29059637813026</v>
      </c>
      <c r="C14" s="59">
        <f>'SER_se-appl'!C57</f>
        <v>378.3283724221514</v>
      </c>
      <c r="D14" s="59">
        <f>'SER_se-appl'!D57</f>
        <v>367.38260631307116</v>
      </c>
      <c r="E14" s="59">
        <f>'SER_se-appl'!E57</f>
        <v>353.65009774320168</v>
      </c>
      <c r="F14" s="59">
        <f>'SER_se-appl'!F57</f>
        <v>337.60758172070109</v>
      </c>
      <c r="G14" s="59">
        <f>'SER_se-appl'!G57</f>
        <v>320.71100112519548</v>
      </c>
      <c r="H14" s="59">
        <f>'SER_se-appl'!H57</f>
        <v>303.33241652102157</v>
      </c>
      <c r="I14" s="59">
        <f>'SER_se-appl'!I57</f>
        <v>290.4379410474852</v>
      </c>
      <c r="J14" s="59">
        <f>'SER_se-appl'!J57</f>
        <v>277.44034313085035</v>
      </c>
      <c r="K14" s="59">
        <f>'SER_se-appl'!K57</f>
        <v>262.623544150562</v>
      </c>
      <c r="L14" s="59">
        <f>'SER_se-appl'!L57</f>
        <v>245.49257870767178</v>
      </c>
      <c r="M14" s="59">
        <f>'SER_se-appl'!M57</f>
        <v>226.01081931553449</v>
      </c>
      <c r="N14" s="59">
        <f>'SER_se-appl'!N57</f>
        <v>212.33636530807436</v>
      </c>
      <c r="O14" s="59">
        <f>'SER_se-appl'!O57</f>
        <v>200.13134935180281</v>
      </c>
      <c r="P14" s="59">
        <f>'SER_se-appl'!P57</f>
        <v>188.75510190905598</v>
      </c>
      <c r="Q14" s="59">
        <f>'SER_se-appl'!Q57</f>
        <v>177.25011473923638</v>
      </c>
      <c r="R14" s="59">
        <f>'SER_se-appl'!R57</f>
        <v>167.62326158451168</v>
      </c>
      <c r="S14" s="59">
        <f>'SER_se-appl'!S57</f>
        <v>162.12449468432462</v>
      </c>
      <c r="T14" s="59">
        <f>'SER_se-appl'!T57</f>
        <v>157.7234537624937</v>
      </c>
      <c r="U14" s="59">
        <f>'SER_se-appl'!U57</f>
        <v>152.60509890968126</v>
      </c>
      <c r="V14" s="59">
        <f>'SER_se-appl'!V57</f>
        <v>148.17369296210768</v>
      </c>
      <c r="W14" s="59">
        <f>'SER_se-appl'!W57</f>
        <v>144.28260708507355</v>
      </c>
      <c r="X14" s="59">
        <f>'SER_se-appl'!X57</f>
        <v>141.52680423591323</v>
      </c>
      <c r="Y14" s="59">
        <f>'SER_se-appl'!Y57</f>
        <v>139.01734888152419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352.70067007103353</v>
      </c>
      <c r="D15" s="63">
        <f>'SER_se-appl'!D65</f>
        <v>337.63695636416566</v>
      </c>
      <c r="E15" s="63">
        <f>'SER_se-appl'!E65</f>
        <v>325.37487453679137</v>
      </c>
      <c r="F15" s="63">
        <f>'SER_se-appl'!F65</f>
        <v>312.46893995992633</v>
      </c>
      <c r="G15" s="63">
        <f>'SER_se-appl'!G65</f>
        <v>297.07966726970773</v>
      </c>
      <c r="H15" s="63">
        <f>'SER_se-appl'!H65</f>
        <v>279.19922425508429</v>
      </c>
      <c r="I15" s="63">
        <f>'SER_se-appl'!I65</f>
        <v>262.40755215352056</v>
      </c>
      <c r="J15" s="63">
        <f>'SER_se-appl'!J65</f>
        <v>246.48272996687015</v>
      </c>
      <c r="K15" s="63">
        <f>'SER_se-appl'!K65</f>
        <v>231.83171891589305</v>
      </c>
      <c r="L15" s="63">
        <f>'SER_se-appl'!L65</f>
        <v>211.92587845437694</v>
      </c>
      <c r="M15" s="63">
        <f>'SER_se-appl'!M65</f>
        <v>199.45240833199219</v>
      </c>
      <c r="N15" s="63">
        <f>'SER_se-appl'!N65</f>
        <v>186.17151469366704</v>
      </c>
      <c r="O15" s="63">
        <f>'SER_se-appl'!O65</f>
        <v>175.69488931390919</v>
      </c>
      <c r="P15" s="63">
        <f>'SER_se-appl'!P65</f>
        <v>172.12579544541737</v>
      </c>
      <c r="Q15" s="63">
        <f>'SER_se-appl'!Q65</f>
        <v>159.74434586888344</v>
      </c>
      <c r="R15" s="63">
        <f>'SER_se-appl'!R65</f>
        <v>156.27653289550133</v>
      </c>
      <c r="S15" s="63">
        <f>'SER_se-appl'!S65</f>
        <v>152.36451854164716</v>
      </c>
      <c r="T15" s="63">
        <f>'SER_se-appl'!T65</f>
        <v>148.55199261998595</v>
      </c>
      <c r="U15" s="63">
        <f>'SER_se-appl'!U65</f>
        <v>144.84988545917619</v>
      </c>
      <c r="V15" s="63">
        <f>'SER_se-appl'!V65</f>
        <v>141.17811527207758</v>
      </c>
      <c r="W15" s="63">
        <f>'SER_se-appl'!W65</f>
        <v>138.63690919718019</v>
      </c>
      <c r="X15" s="63">
        <f>'SER_se-appl'!X65</f>
        <v>136.09570312228277</v>
      </c>
      <c r="Y15" s="63">
        <f>'SER_se-appl'!Y65</f>
        <v>133.55449704738538</v>
      </c>
      <c r="DA15" s="105" t="s">
        <v>957</v>
      </c>
    </row>
    <row r="17" spans="1:105" ht="12" customHeight="1" x14ac:dyDescent="0.25">
      <c r="A17" s="197" t="s">
        <v>184</v>
      </c>
      <c r="B17" s="198">
        <v>10.461431040793856</v>
      </c>
      <c r="C17" s="198">
        <v>12.646045338858016</v>
      </c>
      <c r="D17" s="198">
        <v>14.843027412719758</v>
      </c>
      <c r="E17" s="198">
        <v>16.986967479503814</v>
      </c>
      <c r="F17" s="198">
        <v>19.0381936005558</v>
      </c>
      <c r="G17" s="198">
        <v>20.922862081587702</v>
      </c>
      <c r="H17" s="198">
        <v>22.534027590703353</v>
      </c>
      <c r="I17" s="198">
        <v>23.979909780703505</v>
      </c>
      <c r="J17" s="198">
        <v>25.328418559947448</v>
      </c>
      <c r="K17" s="198">
        <v>26.61757846441245</v>
      </c>
      <c r="L17" s="198">
        <v>27.897149442116937</v>
      </c>
      <c r="M17" s="198">
        <v>28.524819441738575</v>
      </c>
      <c r="N17" s="198">
        <v>28.870065486491477</v>
      </c>
      <c r="O17" s="198">
        <v>29.215311531244438</v>
      </c>
      <c r="P17" s="198">
        <v>29.560557575997382</v>
      </c>
      <c r="Q17" s="198">
        <v>29.905803620750294</v>
      </c>
      <c r="R17" s="198">
        <v>30.251049665503245</v>
      </c>
      <c r="S17" s="198">
        <v>30.596295710256147</v>
      </c>
      <c r="T17" s="198">
        <v>30.941541755009091</v>
      </c>
      <c r="U17" s="198">
        <v>31.286787799762021</v>
      </c>
      <c r="V17" s="198">
        <v>31.632033844514929</v>
      </c>
      <c r="W17" s="198">
        <v>31.977279889267884</v>
      </c>
      <c r="X17" s="198">
        <v>32.322525934020781</v>
      </c>
      <c r="Y17" s="198">
        <v>32.38534802390506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5806.626668135119</v>
      </c>
      <c r="C3" s="219">
        <v>5927.7055776617208</v>
      </c>
      <c r="D3" s="219">
        <v>5375.4610029804644</v>
      </c>
      <c r="E3" s="219">
        <v>5053.4719090799181</v>
      </c>
      <c r="F3" s="219">
        <v>5938.6929226751572</v>
      </c>
      <c r="G3" s="219">
        <v>5256.7140063332608</v>
      </c>
      <c r="H3" s="219">
        <v>5148.6173959504431</v>
      </c>
      <c r="I3" s="219">
        <v>5136.6832787981321</v>
      </c>
      <c r="J3" s="219">
        <v>5185.3249757620424</v>
      </c>
      <c r="K3" s="219">
        <v>4194.0825631546522</v>
      </c>
      <c r="L3" s="219">
        <v>4271.3894698773393</v>
      </c>
      <c r="M3" s="219">
        <v>5742.5371335049804</v>
      </c>
      <c r="N3" s="219">
        <v>5606.5960568271821</v>
      </c>
      <c r="O3" s="219">
        <v>5787.5432856605576</v>
      </c>
      <c r="P3" s="219">
        <v>6083.7854096887513</v>
      </c>
      <c r="Q3" s="219">
        <v>6028.167824000001</v>
      </c>
      <c r="R3" s="219">
        <v>6312.7932446819004</v>
      </c>
      <c r="S3" s="219">
        <v>6368.167235478837</v>
      </c>
      <c r="T3" s="219">
        <v>6265.6875087236094</v>
      </c>
      <c r="U3" s="219">
        <v>6293.2238112463592</v>
      </c>
      <c r="V3" s="219">
        <v>6073.3844179618136</v>
      </c>
      <c r="W3" s="219">
        <v>6705.5402999409635</v>
      </c>
      <c r="X3" s="219">
        <v>6330.4365322315998</v>
      </c>
      <c r="Y3" s="219">
        <v>5740.7</v>
      </c>
      <c r="DA3" s="210" t="s">
        <v>974</v>
      </c>
    </row>
    <row r="5" spans="1:105" x14ac:dyDescent="0.25">
      <c r="A5" s="218" t="s">
        <v>120</v>
      </c>
      <c r="B5" s="219">
        <v>5969.0583785555846</v>
      </c>
      <c r="C5" s="219">
        <v>5773.2810431710304</v>
      </c>
      <c r="D5" s="219">
        <v>5744.5989890851979</v>
      </c>
      <c r="E5" s="219">
        <v>5154.6143404611284</v>
      </c>
      <c r="F5" s="219">
        <v>5000.9343897926783</v>
      </c>
      <c r="G5" s="219">
        <v>4173.8280484087354</v>
      </c>
      <c r="H5" s="219">
        <v>4231.823837760594</v>
      </c>
      <c r="I5" s="219">
        <v>4230.0517500498527</v>
      </c>
      <c r="J5" s="219">
        <v>4265.3781345194884</v>
      </c>
      <c r="K5" s="219">
        <v>3205.9785185247661</v>
      </c>
      <c r="L5" s="219">
        <v>3798.8984175557021</v>
      </c>
      <c r="M5" s="219">
        <v>4165.0203499390454</v>
      </c>
      <c r="N5" s="219">
        <v>3373.9327519467188</v>
      </c>
      <c r="O5" s="219">
        <v>4435.2230417272058</v>
      </c>
      <c r="P5" s="219">
        <v>5210.94907741928</v>
      </c>
      <c r="Q5" s="219">
        <v>5118.1833820930942</v>
      </c>
      <c r="R5" s="219">
        <v>5632.4178365234247</v>
      </c>
      <c r="S5" s="219">
        <v>5752.5741799270791</v>
      </c>
      <c r="T5" s="219">
        <v>5819.9691797678624</v>
      </c>
      <c r="U5" s="219">
        <v>6062.9515099800255</v>
      </c>
      <c r="V5" s="219">
        <v>5971.1901265199458</v>
      </c>
      <c r="W5" s="219">
        <v>5948.7442191329555</v>
      </c>
      <c r="X5" s="219">
        <v>6215.6806932125328</v>
      </c>
      <c r="Y5" s="219">
        <v>5748.7273495665404</v>
      </c>
      <c r="DA5" s="210" t="s">
        <v>975</v>
      </c>
    </row>
    <row r="6" spans="1:105" x14ac:dyDescent="0.25">
      <c r="A6" s="220" t="s">
        <v>119</v>
      </c>
      <c r="B6" s="221">
        <v>7461.3229731944812</v>
      </c>
      <c r="C6" s="221">
        <v>7088.2568245347566</v>
      </c>
      <c r="D6" s="221">
        <v>7088.2568245347566</v>
      </c>
      <c r="E6" s="221">
        <v>6715.1906758750338</v>
      </c>
      <c r="F6" s="221">
        <v>6342.1245272153101</v>
      </c>
      <c r="G6" s="221">
        <v>6342.1245272153101</v>
      </c>
      <c r="H6" s="221">
        <v>5969.0583785555864</v>
      </c>
      <c r="I6" s="221">
        <v>5595.9922298958627</v>
      </c>
      <c r="J6" s="221">
        <v>5222.926081236139</v>
      </c>
      <c r="K6" s="221">
        <v>5222.926081236139</v>
      </c>
      <c r="L6" s="221">
        <v>4849.8599325764153</v>
      </c>
      <c r="M6" s="221">
        <v>4849.8599325764153</v>
      </c>
      <c r="N6" s="221">
        <v>4476.7937839166916</v>
      </c>
      <c r="O6" s="221">
        <v>4849.8599325764153</v>
      </c>
      <c r="P6" s="221">
        <v>5595.9922298958636</v>
      </c>
      <c r="Q6" s="221">
        <v>5595.9922298958636</v>
      </c>
      <c r="R6" s="221">
        <v>5969.0583785555873</v>
      </c>
      <c r="S6" s="221">
        <v>6342.124527215311</v>
      </c>
      <c r="T6" s="221">
        <v>6342.124527215311</v>
      </c>
      <c r="U6" s="221">
        <v>6715.1906758750347</v>
      </c>
      <c r="V6" s="221">
        <v>6715.1906758750347</v>
      </c>
      <c r="W6" s="221">
        <v>6342.124527215311</v>
      </c>
      <c r="X6" s="221">
        <v>6715.1906758750347</v>
      </c>
      <c r="Y6" s="221">
        <v>6342.124527215311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0</v>
      </c>
      <c r="J7" s="225">
        <v>0</v>
      </c>
      <c r="K7" s="225">
        <v>0</v>
      </c>
      <c r="L7" s="225">
        <v>0</v>
      </c>
      <c r="M7" s="225">
        <v>0</v>
      </c>
      <c r="N7" s="225">
        <v>0</v>
      </c>
      <c r="O7" s="225">
        <v>746.13229731944818</v>
      </c>
      <c r="P7" s="225">
        <v>1119.198445979172</v>
      </c>
      <c r="Q7" s="225">
        <v>0</v>
      </c>
      <c r="R7" s="225">
        <v>746.13229731944818</v>
      </c>
      <c r="S7" s="225">
        <v>373.06614865972409</v>
      </c>
      <c r="T7" s="225">
        <v>373.06614865972409</v>
      </c>
      <c r="U7" s="225">
        <v>746.13229731944818</v>
      </c>
      <c r="V7" s="225">
        <v>0</v>
      </c>
      <c r="W7" s="225">
        <v>0</v>
      </c>
      <c r="X7" s="225">
        <v>746.13229731944818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373.0661486597246</v>
      </c>
      <c r="D8" s="227">
        <f t="shared" ref="D8" si="1">IF(C6=0,0,C6+D7-D6)</f>
        <v>0</v>
      </c>
      <c r="E8" s="227">
        <f t="shared" ref="E8" si="2">IF(D6=0,0,D6+E7-E6)</f>
        <v>373.06614865972278</v>
      </c>
      <c r="F8" s="227">
        <f t="shared" ref="F8" si="3">IF(E6=0,0,E6+F7-F6)</f>
        <v>373.06614865972369</v>
      </c>
      <c r="G8" s="227">
        <f t="shared" ref="G8" si="4">IF(F6=0,0,F6+G7-G6)</f>
        <v>0</v>
      </c>
      <c r="H8" s="227">
        <f t="shared" ref="H8" si="5">IF(G6=0,0,G6+H7-H6)</f>
        <v>373.06614865972369</v>
      </c>
      <c r="I8" s="227">
        <f t="shared" ref="I8" si="6">IF(H6=0,0,H6+I7-I6)</f>
        <v>373.06614865972369</v>
      </c>
      <c r="J8" s="227">
        <f t="shared" ref="J8" si="7">IF(I6=0,0,I6+J7-J6)</f>
        <v>373.06614865972369</v>
      </c>
      <c r="K8" s="227">
        <f t="shared" ref="K8" si="8">IF(J6=0,0,J6+K7-K6)</f>
        <v>0</v>
      </c>
      <c r="L8" s="227">
        <f t="shared" ref="L8" si="9">IF(K6=0,0,K6+L7-L6)</f>
        <v>373.06614865972369</v>
      </c>
      <c r="M8" s="227">
        <f t="shared" ref="M8" si="10">IF(L6=0,0,L6+M7-M6)</f>
        <v>0</v>
      </c>
      <c r="N8" s="227">
        <f t="shared" ref="N8" si="11">IF(M6=0,0,M6+N7-N6)</f>
        <v>373.06614865972369</v>
      </c>
      <c r="O8" s="227">
        <f t="shared" ref="O8" si="12">IF(N6=0,0,N6+O7-O6)</f>
        <v>373.0661486597246</v>
      </c>
      <c r="P8" s="227">
        <f t="shared" ref="P8" si="13">IF(O6=0,0,O6+P7-P6)</f>
        <v>373.06614865972369</v>
      </c>
      <c r="Q8" s="227">
        <f t="shared" ref="Q8" si="14">IF(P6=0,0,P6+Q7-Q6)</f>
        <v>0</v>
      </c>
      <c r="R8" s="227">
        <f t="shared" ref="R8" si="15">IF(Q6=0,0,Q6+R7-R6)</f>
        <v>373.0661486597246</v>
      </c>
      <c r="S8" s="227">
        <f t="shared" ref="S8" si="16">IF(R6=0,0,R6+S7-S6)</f>
        <v>0</v>
      </c>
      <c r="T8" s="227">
        <f t="shared" ref="T8" si="17">IF(S6=0,0,S6+T7-T6)</f>
        <v>373.06614865972369</v>
      </c>
      <c r="U8" s="227">
        <f t="shared" ref="U8" si="18">IF(T6=0,0,T6+U7-U6)</f>
        <v>373.0661486597246</v>
      </c>
      <c r="V8" s="227">
        <f t="shared" ref="V8" si="19">IF(U6=0,0,U6+V7-V6)</f>
        <v>0</v>
      </c>
      <c r="W8" s="227">
        <f t="shared" ref="W8" si="20">IF(V6=0,0,V6+W7-W6)</f>
        <v>373.06614865972369</v>
      </c>
      <c r="X8" s="227">
        <f t="shared" ref="X8" si="21">IF(W6=0,0,W6+X7-X6)</f>
        <v>373.0661486597246</v>
      </c>
      <c r="Y8" s="227">
        <f t="shared" ref="Y8" si="22">IF(X6=0,0,X6+Y7-Y6)</f>
        <v>373.06614865972369</v>
      </c>
      <c r="DA8" s="213" t="s">
        <v>978</v>
      </c>
    </row>
    <row r="9" spans="1:105" x14ac:dyDescent="0.25">
      <c r="A9" s="222" t="s">
        <v>116</v>
      </c>
      <c r="B9" s="223">
        <f>B6-B5</f>
        <v>1492.2645946388966</v>
      </c>
      <c r="C9" s="223">
        <f t="shared" ref="C9:W9" si="23">C6-C5</f>
        <v>1314.9757813637261</v>
      </c>
      <c r="D9" s="223">
        <f t="shared" si="23"/>
        <v>1343.6578354495587</v>
      </c>
      <c r="E9" s="223">
        <f t="shared" si="23"/>
        <v>1560.5763354139053</v>
      </c>
      <c r="F9" s="223">
        <f t="shared" si="23"/>
        <v>1341.1901374226318</v>
      </c>
      <c r="G9" s="223">
        <f t="shared" si="23"/>
        <v>2168.2964788065747</v>
      </c>
      <c r="H9" s="223">
        <f t="shared" si="23"/>
        <v>1737.2345407949924</v>
      </c>
      <c r="I9" s="223">
        <f t="shared" si="23"/>
        <v>1365.94047984601</v>
      </c>
      <c r="J9" s="223">
        <f t="shared" si="23"/>
        <v>957.54794671665059</v>
      </c>
      <c r="K9" s="223">
        <f t="shared" si="23"/>
        <v>2016.9475627113729</v>
      </c>
      <c r="L9" s="223">
        <f t="shared" si="23"/>
        <v>1050.9615150207133</v>
      </c>
      <c r="M9" s="223">
        <f t="shared" si="23"/>
        <v>684.83958263736986</v>
      </c>
      <c r="N9" s="223">
        <f t="shared" si="23"/>
        <v>1102.8610319699728</v>
      </c>
      <c r="O9" s="223">
        <f t="shared" si="23"/>
        <v>414.63689084920952</v>
      </c>
      <c r="P9" s="223">
        <f t="shared" si="23"/>
        <v>385.0431524765836</v>
      </c>
      <c r="Q9" s="223">
        <f t="shared" si="23"/>
        <v>477.80884780276938</v>
      </c>
      <c r="R9" s="223">
        <f t="shared" si="23"/>
        <v>336.64054203216256</v>
      </c>
      <c r="S9" s="223">
        <f t="shared" si="23"/>
        <v>589.55034728823193</v>
      </c>
      <c r="T9" s="223">
        <f t="shared" si="23"/>
        <v>522.15534744744855</v>
      </c>
      <c r="U9" s="223">
        <f t="shared" si="23"/>
        <v>652.23916589500914</v>
      </c>
      <c r="V9" s="223">
        <f t="shared" si="23"/>
        <v>744.00054935508888</v>
      </c>
      <c r="W9" s="223">
        <f t="shared" si="23"/>
        <v>393.38030808235544</v>
      </c>
      <c r="X9" s="223">
        <f t="shared" ref="X9:Y9" si="24">X6-X5</f>
        <v>499.5099826625019</v>
      </c>
      <c r="Y9" s="223">
        <f t="shared" si="24"/>
        <v>593.39717764877059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671.35021496130685</v>
      </c>
      <c r="C12" s="229">
        <f t="shared" ref="C12:W12" si="25">SUM(C13,C14,C18,C19,C26,C27)</f>
        <v>634.01840068787601</v>
      </c>
      <c r="D12" s="229">
        <f t="shared" si="25"/>
        <v>653.78744625967329</v>
      </c>
      <c r="E12" s="229">
        <f t="shared" si="25"/>
        <v>616.17162510748074</v>
      </c>
      <c r="F12" s="229">
        <f t="shared" si="25"/>
        <v>586.64041272570933</v>
      </c>
      <c r="G12" s="229">
        <f t="shared" si="25"/>
        <v>560.52020636285465</v>
      </c>
      <c r="H12" s="229">
        <f t="shared" si="25"/>
        <v>550.37927773000843</v>
      </c>
      <c r="I12" s="229">
        <f t="shared" si="25"/>
        <v>498.36225279449701</v>
      </c>
      <c r="J12" s="229">
        <f t="shared" si="25"/>
        <v>526.75795356835761</v>
      </c>
      <c r="K12" s="229">
        <f t="shared" si="25"/>
        <v>441.89157351676693</v>
      </c>
      <c r="L12" s="229">
        <f t="shared" si="25"/>
        <v>488.06792777300086</v>
      </c>
      <c r="M12" s="229">
        <f t="shared" si="25"/>
        <v>483.23112639724843</v>
      </c>
      <c r="N12" s="229">
        <f t="shared" si="25"/>
        <v>399.17730008598454</v>
      </c>
      <c r="O12" s="229">
        <f t="shared" si="25"/>
        <v>522.8898538263112</v>
      </c>
      <c r="P12" s="229">
        <f t="shared" si="25"/>
        <v>595.15631986242477</v>
      </c>
      <c r="Q12" s="229">
        <f t="shared" si="25"/>
        <v>597.17575236457435</v>
      </c>
      <c r="R12" s="229">
        <f t="shared" si="25"/>
        <v>666.94866723989674</v>
      </c>
      <c r="S12" s="229">
        <f t="shared" si="25"/>
        <v>628.52545141874464</v>
      </c>
      <c r="T12" s="229">
        <f t="shared" si="25"/>
        <v>669.52648323301798</v>
      </c>
      <c r="U12" s="229">
        <f t="shared" si="25"/>
        <v>693.05924333619942</v>
      </c>
      <c r="V12" s="229">
        <f t="shared" si="25"/>
        <v>722.65004299226132</v>
      </c>
      <c r="W12" s="229">
        <f t="shared" si="25"/>
        <v>687.75176268271719</v>
      </c>
      <c r="X12" s="229">
        <f t="shared" ref="X12:Y12" si="26">SUM(X13,X14,X18,X19,X26,X27)</f>
        <v>614.89561478933797</v>
      </c>
      <c r="Y12" s="229">
        <f t="shared" si="26"/>
        <v>582.79974204643167</v>
      </c>
      <c r="DA12" s="210" t="s">
        <v>980</v>
      </c>
    </row>
    <row r="13" spans="1:105" x14ac:dyDescent="0.25">
      <c r="A13" s="58" t="s">
        <v>29</v>
      </c>
      <c r="B13" s="59">
        <v>26.905760963026651</v>
      </c>
      <c r="C13" s="59">
        <v>20.714617368873601</v>
      </c>
      <c r="D13" s="59">
        <v>18.046517626827168</v>
      </c>
      <c r="E13" s="59">
        <v>17.107910576096302</v>
      </c>
      <c r="F13" s="59">
        <v>4.9025795356835769</v>
      </c>
      <c r="G13" s="59">
        <v>4.2361134995700773</v>
      </c>
      <c r="H13" s="59">
        <v>3.0638865004299216</v>
      </c>
      <c r="I13" s="59">
        <v>3.1343938091143588</v>
      </c>
      <c r="J13" s="59">
        <v>2.2929492691315558</v>
      </c>
      <c r="K13" s="59">
        <v>0.8316423043852107</v>
      </c>
      <c r="L13" s="59">
        <v>0.41152192605331028</v>
      </c>
      <c r="M13" s="59">
        <v>0.57609630266552014</v>
      </c>
      <c r="N13" s="59">
        <v>0.42631126397248492</v>
      </c>
      <c r="O13" s="59">
        <v>0.94221840068787621</v>
      </c>
      <c r="P13" s="59">
        <v>0</v>
      </c>
      <c r="Q13" s="59">
        <v>0.44780739466895958</v>
      </c>
      <c r="R13" s="59">
        <v>0.43387790197764398</v>
      </c>
      <c r="S13" s="59">
        <v>0.29776440240756658</v>
      </c>
      <c r="T13" s="59">
        <v>0.88976784178847801</v>
      </c>
      <c r="U13" s="59">
        <v>1.4633705932932068</v>
      </c>
      <c r="V13" s="59">
        <v>1.4801375752364572</v>
      </c>
      <c r="W13" s="59">
        <v>1.4783319002579529</v>
      </c>
      <c r="X13" s="59">
        <v>1.1514187446259669</v>
      </c>
      <c r="Y13" s="59">
        <v>0</v>
      </c>
      <c r="DA13" s="9" t="s">
        <v>981</v>
      </c>
    </row>
    <row r="14" spans="1:105" x14ac:dyDescent="0.25">
      <c r="A14" s="60" t="s">
        <v>28</v>
      </c>
      <c r="B14" s="55">
        <f>SUM(B15:B17)</f>
        <v>339.71530524505584</v>
      </c>
      <c r="C14" s="55">
        <f t="shared" ref="C14:W14" si="27">SUM(C15:C17)</f>
        <v>285.23938091143583</v>
      </c>
      <c r="D14" s="55">
        <f t="shared" si="27"/>
        <v>296.68245915735167</v>
      </c>
      <c r="E14" s="55">
        <f t="shared" si="27"/>
        <v>278.11453138435081</v>
      </c>
      <c r="F14" s="55">
        <f t="shared" si="27"/>
        <v>252.61771281169388</v>
      </c>
      <c r="G14" s="55">
        <f t="shared" si="27"/>
        <v>232.13912295786761</v>
      </c>
      <c r="H14" s="55">
        <f t="shared" si="27"/>
        <v>251.27067927772993</v>
      </c>
      <c r="I14" s="55">
        <f t="shared" si="27"/>
        <v>236.52433361994844</v>
      </c>
      <c r="J14" s="55">
        <f t="shared" si="27"/>
        <v>252.85666380051586</v>
      </c>
      <c r="K14" s="55">
        <f t="shared" si="27"/>
        <v>222.61392949269128</v>
      </c>
      <c r="L14" s="55">
        <f t="shared" si="27"/>
        <v>271.84006878761829</v>
      </c>
      <c r="M14" s="55">
        <f t="shared" si="27"/>
        <v>265.05683576956147</v>
      </c>
      <c r="N14" s="55">
        <f t="shared" si="27"/>
        <v>208.73224419604475</v>
      </c>
      <c r="O14" s="55">
        <f t="shared" si="27"/>
        <v>332.4544282029234</v>
      </c>
      <c r="P14" s="55">
        <f t="shared" si="27"/>
        <v>334.34135855546003</v>
      </c>
      <c r="Q14" s="55">
        <f t="shared" si="27"/>
        <v>349.79466895958723</v>
      </c>
      <c r="R14" s="55">
        <f t="shared" si="27"/>
        <v>374.205588993981</v>
      </c>
      <c r="S14" s="55">
        <f t="shared" si="27"/>
        <v>359.22751504729155</v>
      </c>
      <c r="T14" s="55">
        <f t="shared" si="27"/>
        <v>398.8792777300086</v>
      </c>
      <c r="U14" s="55">
        <f t="shared" si="27"/>
        <v>401.23817712811694</v>
      </c>
      <c r="V14" s="55">
        <f t="shared" si="27"/>
        <v>416.99475494411007</v>
      </c>
      <c r="W14" s="55">
        <f t="shared" si="27"/>
        <v>393.9882201203784</v>
      </c>
      <c r="X14" s="55">
        <f t="shared" ref="X14:Y14" si="28">SUM(X15:X17)</f>
        <v>363.96388650042991</v>
      </c>
      <c r="Y14" s="55">
        <f t="shared" si="28"/>
        <v>351.7187446259673</v>
      </c>
      <c r="DA14" s="10"/>
    </row>
    <row r="15" spans="1:105" x14ac:dyDescent="0.25">
      <c r="A15" s="61" t="s">
        <v>52</v>
      </c>
      <c r="B15" s="55">
        <v>9.0379191745485805</v>
      </c>
      <c r="C15" s="55">
        <v>11.297420464316421</v>
      </c>
      <c r="D15" s="55">
        <v>10.167669819432501</v>
      </c>
      <c r="E15" s="55">
        <v>7.9081685296646604</v>
      </c>
      <c r="F15" s="55">
        <v>14.593465176268269</v>
      </c>
      <c r="G15" s="55">
        <v>14.593465176268269</v>
      </c>
      <c r="H15" s="55">
        <v>10.103181427343079</v>
      </c>
      <c r="I15" s="55">
        <v>8.9805674978503873</v>
      </c>
      <c r="J15" s="55">
        <v>11.22579535683577</v>
      </c>
      <c r="K15" s="55">
        <v>0</v>
      </c>
      <c r="L15" s="55">
        <v>10.103181427343079</v>
      </c>
      <c r="M15" s="55">
        <v>12.348323301805671</v>
      </c>
      <c r="N15" s="55">
        <v>1.1226139294926909</v>
      </c>
      <c r="O15" s="55">
        <v>32.554686156491833</v>
      </c>
      <c r="P15" s="55">
        <v>31.432158211521919</v>
      </c>
      <c r="Q15" s="55">
        <v>25.819260533104039</v>
      </c>
      <c r="R15" s="55">
        <v>31.972828890799651</v>
      </c>
      <c r="S15" s="55">
        <v>23.14273430782459</v>
      </c>
      <c r="T15" s="55">
        <v>18.734565778159929</v>
      </c>
      <c r="U15" s="55">
        <v>23.14273430782459</v>
      </c>
      <c r="V15" s="55">
        <v>28.652880481513321</v>
      </c>
      <c r="W15" s="55">
        <v>22.040670679277731</v>
      </c>
      <c r="X15" s="55">
        <v>17.632588134135851</v>
      </c>
      <c r="Y15" s="55">
        <v>18.70782459157352</v>
      </c>
      <c r="DA15" s="10" t="s">
        <v>982</v>
      </c>
    </row>
    <row r="16" spans="1:105" x14ac:dyDescent="0.25">
      <c r="A16" s="61" t="s">
        <v>165</v>
      </c>
      <c r="B16" s="55">
        <v>314.27343078245912</v>
      </c>
      <c r="C16" s="55">
        <v>253.67824591573509</v>
      </c>
      <c r="D16" s="55">
        <v>270.11083404987102</v>
      </c>
      <c r="E16" s="55">
        <v>255.73233018056749</v>
      </c>
      <c r="F16" s="55">
        <v>234.1644883920894</v>
      </c>
      <c r="G16" s="55">
        <v>214.6508168529665</v>
      </c>
      <c r="H16" s="55">
        <v>238.27265692175399</v>
      </c>
      <c r="I16" s="55">
        <v>223.70309544282031</v>
      </c>
      <c r="J16" s="55">
        <v>238.75038693035251</v>
      </c>
      <c r="K16" s="55">
        <v>220.6936371453138</v>
      </c>
      <c r="L16" s="55">
        <v>259.81659501289772</v>
      </c>
      <c r="M16" s="55">
        <v>250.7882201203783</v>
      </c>
      <c r="N16" s="55">
        <v>206.6494411006019</v>
      </c>
      <c r="O16" s="55">
        <v>298.93955288048147</v>
      </c>
      <c r="P16" s="55">
        <v>301.94901117798798</v>
      </c>
      <c r="Q16" s="55">
        <v>323.01521926053306</v>
      </c>
      <c r="R16" s="55">
        <v>342.23276010318136</v>
      </c>
      <c r="S16" s="55">
        <v>336.08478073946696</v>
      </c>
      <c r="T16" s="55">
        <v>380.14471195184865</v>
      </c>
      <c r="U16" s="55">
        <v>378.09544282029236</v>
      </c>
      <c r="V16" s="55">
        <v>388.34187446259676</v>
      </c>
      <c r="W16" s="55">
        <v>371.94754944110065</v>
      </c>
      <c r="X16" s="55">
        <v>346.33129836629405</v>
      </c>
      <c r="Y16" s="55">
        <v>333.01092003439379</v>
      </c>
      <c r="DA16" s="10" t="s">
        <v>983</v>
      </c>
    </row>
    <row r="17" spans="1:105" x14ac:dyDescent="0.25">
      <c r="A17" s="61" t="s">
        <v>113</v>
      </c>
      <c r="B17" s="55">
        <v>16.403955288048149</v>
      </c>
      <c r="C17" s="55">
        <v>20.263714531384348</v>
      </c>
      <c r="D17" s="55">
        <v>16.403955288048149</v>
      </c>
      <c r="E17" s="55">
        <v>14.474032674118661</v>
      </c>
      <c r="F17" s="55">
        <v>3.8597592433362</v>
      </c>
      <c r="G17" s="55">
        <v>2.894840928632846</v>
      </c>
      <c r="H17" s="55">
        <v>2.894840928632846</v>
      </c>
      <c r="I17" s="55">
        <v>3.8406706792777299</v>
      </c>
      <c r="J17" s="55">
        <v>2.8804815133276009</v>
      </c>
      <c r="K17" s="55">
        <v>1.920292347377472</v>
      </c>
      <c r="L17" s="55">
        <v>1.920292347377472</v>
      </c>
      <c r="M17" s="55">
        <v>1.920292347377472</v>
      </c>
      <c r="N17" s="55">
        <v>0.96018916595012893</v>
      </c>
      <c r="O17" s="55">
        <v>0.96018916595012893</v>
      </c>
      <c r="P17" s="55">
        <v>0.96018916595012893</v>
      </c>
      <c r="Q17" s="55">
        <v>0.96018916595012893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DA17" s="10" t="s">
        <v>984</v>
      </c>
    </row>
    <row r="18" spans="1:105" x14ac:dyDescent="0.25">
      <c r="A18" s="60" t="s">
        <v>149</v>
      </c>
      <c r="B18" s="55">
        <v>195.3138435081685</v>
      </c>
      <c r="C18" s="55">
        <v>217.49785038693031</v>
      </c>
      <c r="D18" s="55">
        <v>219.66895958727429</v>
      </c>
      <c r="E18" s="55">
        <v>201.8701633705933</v>
      </c>
      <c r="F18" s="55">
        <v>213.58555460017189</v>
      </c>
      <c r="G18" s="55">
        <v>219.8409286328461</v>
      </c>
      <c r="H18" s="55">
        <v>193.8521066208082</v>
      </c>
      <c r="I18" s="55">
        <v>151.8486672398968</v>
      </c>
      <c r="J18" s="55">
        <v>166.14359415305239</v>
      </c>
      <c r="K18" s="55">
        <v>124.26913155631981</v>
      </c>
      <c r="L18" s="55">
        <v>123.4307824591573</v>
      </c>
      <c r="M18" s="55">
        <v>124.2046431642304</v>
      </c>
      <c r="N18" s="55">
        <v>94.582975064488394</v>
      </c>
      <c r="O18" s="55">
        <v>105.9114359415305</v>
      </c>
      <c r="P18" s="55">
        <v>146.43164230438524</v>
      </c>
      <c r="Q18" s="55">
        <v>128.76182287188311</v>
      </c>
      <c r="R18" s="55">
        <v>165.43422184006883</v>
      </c>
      <c r="S18" s="55">
        <v>139.196798377802</v>
      </c>
      <c r="T18" s="55">
        <v>127.44295251813536</v>
      </c>
      <c r="U18" s="55">
        <v>146.62149011503848</v>
      </c>
      <c r="V18" s="55">
        <v>165.33782861463797</v>
      </c>
      <c r="W18" s="55">
        <v>158.98938015774402</v>
      </c>
      <c r="X18" s="55">
        <v>108.49086634118582</v>
      </c>
      <c r="Y18" s="55">
        <v>97.920797888377393</v>
      </c>
      <c r="DA18" s="10" t="s">
        <v>985</v>
      </c>
    </row>
    <row r="19" spans="1:105" x14ac:dyDescent="0.25">
      <c r="A19" s="60" t="s">
        <v>51</v>
      </c>
      <c r="B19" s="55">
        <f>SUM(B20:B25)</f>
        <v>27.180653482373167</v>
      </c>
      <c r="C19" s="55">
        <f t="shared" ref="C19:W19" si="29">SUM(C20:C25)</f>
        <v>27.371711092003437</v>
      </c>
      <c r="D19" s="55">
        <f t="shared" si="29"/>
        <v>28.661478933791916</v>
      </c>
      <c r="E19" s="55">
        <f t="shared" si="29"/>
        <v>27.897248495270848</v>
      </c>
      <c r="F19" s="55">
        <f t="shared" si="29"/>
        <v>23.024763542562329</v>
      </c>
      <c r="G19" s="55">
        <f t="shared" si="29"/>
        <v>24.529492691315561</v>
      </c>
      <c r="H19" s="55">
        <f t="shared" si="29"/>
        <v>24.959415305245056</v>
      </c>
      <c r="I19" s="55">
        <f t="shared" si="29"/>
        <v>25.198194325021497</v>
      </c>
      <c r="J19" s="55">
        <f t="shared" si="29"/>
        <v>24.386156491831464</v>
      </c>
      <c r="K19" s="55">
        <f t="shared" si="29"/>
        <v>26.081943250214962</v>
      </c>
      <c r="L19" s="55">
        <f t="shared" si="29"/>
        <v>26.822355975924332</v>
      </c>
      <c r="M19" s="55">
        <f t="shared" si="29"/>
        <v>27.252364574376614</v>
      </c>
      <c r="N19" s="55">
        <f t="shared" si="29"/>
        <v>27.861478933791915</v>
      </c>
      <c r="O19" s="55">
        <f t="shared" si="29"/>
        <v>21.543938091143598</v>
      </c>
      <c r="P19" s="55">
        <f t="shared" si="29"/>
        <v>43.947635425623389</v>
      </c>
      <c r="Q19" s="55">
        <f t="shared" si="29"/>
        <v>43.25503009458297</v>
      </c>
      <c r="R19" s="55">
        <f t="shared" si="29"/>
        <v>49.130610490111778</v>
      </c>
      <c r="S19" s="55">
        <f t="shared" si="29"/>
        <v>51.667346076196218</v>
      </c>
      <c r="T19" s="55">
        <f t="shared" si="29"/>
        <v>56.48757198745362</v>
      </c>
      <c r="U19" s="55">
        <f t="shared" si="29"/>
        <v>55.477907993301955</v>
      </c>
      <c r="V19" s="55">
        <f t="shared" si="29"/>
        <v>50.516857541853867</v>
      </c>
      <c r="W19" s="55">
        <f t="shared" si="29"/>
        <v>48.925925087311825</v>
      </c>
      <c r="X19" s="55">
        <f t="shared" ref="X19:Y19" si="30">SUM(X20:X25)</f>
        <v>57.220483615821912</v>
      </c>
      <c r="Y19" s="55">
        <f t="shared" si="30"/>
        <v>58.377568405689672</v>
      </c>
      <c r="DA19" s="10"/>
    </row>
    <row r="20" spans="1:105" x14ac:dyDescent="0.25">
      <c r="A20" s="61" t="s">
        <v>164</v>
      </c>
      <c r="B20" s="55">
        <v>25.98641444539982</v>
      </c>
      <c r="C20" s="55">
        <v>26.177472055030091</v>
      </c>
      <c r="D20" s="55">
        <v>27.467239896818569</v>
      </c>
      <c r="E20" s="55">
        <v>26.703009458297501</v>
      </c>
      <c r="F20" s="55">
        <v>11.70343938091143</v>
      </c>
      <c r="G20" s="55">
        <v>10.963026655202061</v>
      </c>
      <c r="H20" s="55">
        <v>10.22261392949269</v>
      </c>
      <c r="I20" s="55">
        <v>10.50920034393809</v>
      </c>
      <c r="J20" s="55">
        <v>7.5714531384350812</v>
      </c>
      <c r="K20" s="55">
        <v>9.7687876182287177</v>
      </c>
      <c r="L20" s="55">
        <v>10.05537403267412</v>
      </c>
      <c r="M20" s="55">
        <v>10.24651762682717</v>
      </c>
      <c r="N20" s="55">
        <v>10.24651762682717</v>
      </c>
      <c r="O20" s="55">
        <v>8.16852966466036</v>
      </c>
      <c r="P20" s="55">
        <v>8.3834909716251076</v>
      </c>
      <c r="Q20" s="55">
        <v>9.7210662080825454</v>
      </c>
      <c r="R20" s="55">
        <v>15.166723989681859</v>
      </c>
      <c r="S20" s="55">
        <v>13.66199484092863</v>
      </c>
      <c r="T20" s="55">
        <v>13.06491831470335</v>
      </c>
      <c r="U20" s="55">
        <v>12.921582115219261</v>
      </c>
      <c r="V20" s="55">
        <v>10.91530524505589</v>
      </c>
      <c r="W20" s="55">
        <v>10.93912295786758</v>
      </c>
      <c r="X20" s="55">
        <v>11.51238177128117</v>
      </c>
      <c r="Y20" s="55">
        <v>11.488478073946695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0.50154772141014614</v>
      </c>
      <c r="I21" s="55">
        <v>1.4808254514187451</v>
      </c>
      <c r="J21" s="55">
        <v>3.176612209802236</v>
      </c>
      <c r="K21" s="55">
        <v>4.1558899398108338</v>
      </c>
      <c r="L21" s="55">
        <v>3.5349097162510739</v>
      </c>
      <c r="M21" s="55">
        <v>3.1049871023215818</v>
      </c>
      <c r="N21" s="55">
        <v>2.8184006878761818</v>
      </c>
      <c r="O21" s="55">
        <v>1.337575236457438</v>
      </c>
      <c r="P21" s="55">
        <v>0.78822012037833178</v>
      </c>
      <c r="Q21" s="55">
        <v>0.88374892519346515</v>
      </c>
      <c r="R21" s="55">
        <v>1.1942390369733451</v>
      </c>
      <c r="S21" s="55">
        <v>1.0798138320001751</v>
      </c>
      <c r="T21" s="55">
        <v>0.86031489373049108</v>
      </c>
      <c r="U21" s="55">
        <v>0.4717171076613576</v>
      </c>
      <c r="V21" s="55">
        <v>0.76518084365953953</v>
      </c>
      <c r="W21" s="55">
        <v>0.60743841491286898</v>
      </c>
      <c r="X21" s="55">
        <v>1.0677751033541654</v>
      </c>
      <c r="Y21" s="55">
        <v>0.52907313483841711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0.89570077386070501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1.1942390369733451</v>
      </c>
      <c r="C24" s="55">
        <v>1.1942390369733451</v>
      </c>
      <c r="D24" s="55">
        <v>1.1942390369733451</v>
      </c>
      <c r="E24" s="55">
        <v>1.1942390369733451</v>
      </c>
      <c r="F24" s="55">
        <v>11.321324161650899</v>
      </c>
      <c r="G24" s="55">
        <v>13.5664660361135</v>
      </c>
      <c r="H24" s="55">
        <v>14.23525365434222</v>
      </c>
      <c r="I24" s="55">
        <v>13.208168529664659</v>
      </c>
      <c r="J24" s="55">
        <v>13.638091143594149</v>
      </c>
      <c r="K24" s="55">
        <v>12.157265692175409</v>
      </c>
      <c r="L24" s="55">
        <v>13.23207222699914</v>
      </c>
      <c r="M24" s="55">
        <v>13.90085984522786</v>
      </c>
      <c r="N24" s="55">
        <v>13.90085984522786</v>
      </c>
      <c r="O24" s="55">
        <v>12.0378331900258</v>
      </c>
      <c r="P24" s="55">
        <v>34.775924333619948</v>
      </c>
      <c r="Q24" s="55">
        <v>32.650214961306958</v>
      </c>
      <c r="R24" s="55">
        <v>32.769647463456572</v>
      </c>
      <c r="S24" s="55">
        <v>36.925537403267413</v>
      </c>
      <c r="T24" s="55">
        <v>42.562338779019782</v>
      </c>
      <c r="U24" s="55">
        <v>42.084608770421333</v>
      </c>
      <c r="V24" s="55">
        <v>38.836371453138433</v>
      </c>
      <c r="W24" s="55">
        <v>37.37936371453138</v>
      </c>
      <c r="X24" s="55">
        <v>44.640326741186577</v>
      </c>
      <c r="Y24" s="55">
        <v>46.360017196904558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0.1194325021496131</v>
      </c>
      <c r="C26" s="55">
        <v>0.47773000859845233</v>
      </c>
      <c r="D26" s="55">
        <v>0.35829750644883918</v>
      </c>
      <c r="E26" s="55">
        <v>0.3821152192605331</v>
      </c>
      <c r="F26" s="55">
        <v>0.3343938091143594</v>
      </c>
      <c r="G26" s="55">
        <v>0.23886500429922611</v>
      </c>
      <c r="H26" s="55">
        <v>0.19105760963026661</v>
      </c>
      <c r="I26" s="55">
        <v>0.14333619948409279</v>
      </c>
      <c r="J26" s="55">
        <v>0.16715391229578669</v>
      </c>
      <c r="K26" s="55">
        <v>0.16715391229578669</v>
      </c>
      <c r="L26" s="55">
        <v>0.2149613069647463</v>
      </c>
      <c r="M26" s="55">
        <v>0.19105760963026661</v>
      </c>
      <c r="N26" s="55">
        <v>0.3343938091143594</v>
      </c>
      <c r="O26" s="55">
        <v>0.2149613069647463</v>
      </c>
      <c r="P26" s="55">
        <v>0.35829750644883918</v>
      </c>
      <c r="Q26" s="55">
        <v>0.45382631126397238</v>
      </c>
      <c r="R26" s="55">
        <v>0.35829750644883918</v>
      </c>
      <c r="S26" s="55">
        <v>0.40601891659501288</v>
      </c>
      <c r="T26" s="55">
        <v>0.35829750644883918</v>
      </c>
      <c r="U26" s="55">
        <v>0.3821152192605331</v>
      </c>
      <c r="V26" s="55">
        <v>0.35829750644883918</v>
      </c>
      <c r="W26" s="55">
        <v>0.62098022355975924</v>
      </c>
      <c r="X26" s="55">
        <v>0.40601891659501288</v>
      </c>
      <c r="Y26" s="55">
        <v>0.40601891659501288</v>
      </c>
      <c r="DA26" s="10" t="s">
        <v>992</v>
      </c>
    </row>
    <row r="27" spans="1:105" x14ac:dyDescent="0.25">
      <c r="A27" s="62" t="s">
        <v>24</v>
      </c>
      <c r="B27" s="63">
        <v>82.115219260533095</v>
      </c>
      <c r="C27" s="63">
        <v>82.717110920034386</v>
      </c>
      <c r="D27" s="63">
        <v>90.369733447979357</v>
      </c>
      <c r="E27" s="63">
        <v>90.799656061908848</v>
      </c>
      <c r="F27" s="63">
        <v>92.17540842648323</v>
      </c>
      <c r="G27" s="63">
        <v>79.535683576956146</v>
      </c>
      <c r="H27" s="63">
        <v>77.042132416165089</v>
      </c>
      <c r="I27" s="63">
        <v>81.513327601031804</v>
      </c>
      <c r="J27" s="63">
        <v>80.911435941530513</v>
      </c>
      <c r="K27" s="63">
        <v>67.927773000859844</v>
      </c>
      <c r="L27" s="63">
        <v>65.34823731728288</v>
      </c>
      <c r="M27" s="63">
        <v>65.950128976784171</v>
      </c>
      <c r="N27" s="63">
        <v>67.23989681857266</v>
      </c>
      <c r="O27" s="63">
        <v>61.82287188306104</v>
      </c>
      <c r="P27" s="63">
        <v>70.077386070507302</v>
      </c>
      <c r="Q27" s="63">
        <v>74.462596732588125</v>
      </c>
      <c r="R27" s="63">
        <v>77.386070507308688</v>
      </c>
      <c r="S27" s="63">
        <v>77.730008598452272</v>
      </c>
      <c r="T27" s="63">
        <v>85.468615649183135</v>
      </c>
      <c r="U27" s="63">
        <v>87.8761822871883</v>
      </c>
      <c r="V27" s="63">
        <v>87.962166809974192</v>
      </c>
      <c r="W27" s="63">
        <v>83.748925193465169</v>
      </c>
      <c r="X27" s="63">
        <v>83.662940670679276</v>
      </c>
      <c r="Y27" s="63">
        <v>74.376612209802232</v>
      </c>
      <c r="DA27" s="11" t="s">
        <v>993</v>
      </c>
    </row>
    <row r="29" spans="1:105" x14ac:dyDescent="0.25">
      <c r="A29" s="218" t="s">
        <v>84</v>
      </c>
      <c r="B29" s="219">
        <v>1623.5532825390937</v>
      </c>
      <c r="C29" s="219">
        <v>1481.2086233876232</v>
      </c>
      <c r="D29" s="219">
        <v>1510.7295936508212</v>
      </c>
      <c r="E29" s="219">
        <v>1408.5398410466078</v>
      </c>
      <c r="F29" s="219">
        <v>1299.9213501005565</v>
      </c>
      <c r="G29" s="219">
        <v>1248.2256145151027</v>
      </c>
      <c r="H29" s="219">
        <v>1243.5598470236162</v>
      </c>
      <c r="I29" s="219">
        <v>1099.5546721200001</v>
      </c>
      <c r="J29" s="219">
        <v>1179.0141533999999</v>
      </c>
      <c r="K29" s="219">
        <v>986.13461051999991</v>
      </c>
      <c r="L29" s="219">
        <v>1130.5428262800001</v>
      </c>
      <c r="M29" s="219">
        <v>1110.9086027999999</v>
      </c>
      <c r="N29" s="219">
        <v>871.06115964000014</v>
      </c>
      <c r="O29" s="219">
        <v>1269.0737030400001</v>
      </c>
      <c r="P29" s="219">
        <v>1366.8614427600005</v>
      </c>
      <c r="Q29" s="219">
        <v>1377.687447</v>
      </c>
      <c r="R29" s="219">
        <v>1536.5335805999996</v>
      </c>
      <c r="S29" s="219">
        <v>1432.1054539941404</v>
      </c>
      <c r="T29" s="219">
        <v>1531.8893093834868</v>
      </c>
      <c r="U29" s="219">
        <v>1584.482525275062</v>
      </c>
      <c r="V29" s="219">
        <v>1674.8479986601817</v>
      </c>
      <c r="W29" s="219">
        <v>1591.5947085845858</v>
      </c>
      <c r="X29" s="219">
        <v>1380.430972469672</v>
      </c>
      <c r="Y29" s="219">
        <v>1312.558855332072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115.6179402139729</v>
      </c>
      <c r="C31" s="59">
        <f t="shared" si="31"/>
        <v>106.9584837474291</v>
      </c>
      <c r="D31" s="59">
        <f t="shared" si="31"/>
        <v>121.62444223801009</v>
      </c>
      <c r="E31" s="59">
        <f t="shared" si="31"/>
        <v>121.93035524752064</v>
      </c>
      <c r="F31" s="59">
        <f t="shared" si="31"/>
        <v>98.782749060116402</v>
      </c>
      <c r="G31" s="59">
        <f t="shared" si="31"/>
        <v>106.62938970762779</v>
      </c>
      <c r="H31" s="59">
        <f t="shared" si="31"/>
        <v>106.89846135447932</v>
      </c>
      <c r="I31" s="59">
        <f t="shared" si="31"/>
        <v>97.020241612230095</v>
      </c>
      <c r="J31" s="59">
        <f t="shared" si="31"/>
        <v>101.5862951754426</v>
      </c>
      <c r="K31" s="59">
        <f t="shared" si="31"/>
        <v>105.36072355819111</v>
      </c>
      <c r="L31" s="59">
        <f t="shared" si="31"/>
        <v>114.26444046251221</v>
      </c>
      <c r="M31" s="59">
        <f t="shared" si="31"/>
        <v>84.149412561535556</v>
      </c>
      <c r="N31" s="59">
        <f t="shared" si="31"/>
        <v>71.197799170836319</v>
      </c>
      <c r="O31" s="59">
        <f t="shared" si="31"/>
        <v>90.347463166598416</v>
      </c>
      <c r="P31" s="59">
        <f t="shared" si="31"/>
        <v>97.826645712159191</v>
      </c>
      <c r="Q31" s="59">
        <f t="shared" si="31"/>
        <v>99.064221468259888</v>
      </c>
      <c r="R31" s="59">
        <f t="shared" si="31"/>
        <v>105.65032647026032</v>
      </c>
      <c r="S31" s="59">
        <f t="shared" si="31"/>
        <v>98.698012815532536</v>
      </c>
      <c r="T31" s="59">
        <f t="shared" si="31"/>
        <v>106.856028536509</v>
      </c>
      <c r="U31" s="59">
        <f t="shared" si="31"/>
        <v>110.12785563063274</v>
      </c>
      <c r="V31" s="59">
        <f t="shared" si="31"/>
        <v>118.98638275803027</v>
      </c>
      <c r="W31" s="59">
        <f t="shared" si="31"/>
        <v>102.56470499308941</v>
      </c>
      <c r="X31" s="59">
        <f t="shared" si="31"/>
        <v>97.133209006768993</v>
      </c>
      <c r="Y31" s="59">
        <f t="shared" si="31"/>
        <v>101.52067553546287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112.47171201628669</v>
      </c>
      <c r="C32" s="55">
        <f t="shared" si="32"/>
        <v>109.81942433546165</v>
      </c>
      <c r="D32" s="55">
        <f t="shared" si="32"/>
        <v>113.80906613357637</v>
      </c>
      <c r="E32" s="55">
        <f t="shared" si="32"/>
        <v>119.53787119840248</v>
      </c>
      <c r="F32" s="55">
        <f t="shared" si="32"/>
        <v>117.30616060932354</v>
      </c>
      <c r="G32" s="55">
        <f t="shared" si="32"/>
        <v>134.29403412451359</v>
      </c>
      <c r="H32" s="55">
        <f t="shared" si="32"/>
        <v>130.05722800154635</v>
      </c>
      <c r="I32" s="55">
        <f t="shared" si="32"/>
        <v>117.81469406104161</v>
      </c>
      <c r="J32" s="55">
        <f t="shared" si="32"/>
        <v>123.49619118298851</v>
      </c>
      <c r="K32" s="55">
        <f t="shared" si="32"/>
        <v>137.83360398812147</v>
      </c>
      <c r="L32" s="55">
        <f t="shared" si="32"/>
        <v>128.47617233393541</v>
      </c>
      <c r="M32" s="55">
        <f t="shared" si="32"/>
        <v>116.0213122138336</v>
      </c>
      <c r="N32" s="55">
        <f t="shared" si="32"/>
        <v>118.31216844961241</v>
      </c>
      <c r="O32" s="55">
        <f t="shared" si="32"/>
        <v>117.89482713876832</v>
      </c>
      <c r="P32" s="55">
        <f t="shared" si="32"/>
        <v>114.21265320772922</v>
      </c>
      <c r="Q32" s="55">
        <f t="shared" si="32"/>
        <v>116.6772871901979</v>
      </c>
      <c r="R32" s="55">
        <f t="shared" si="32"/>
        <v>118.41249825520165</v>
      </c>
      <c r="S32" s="55">
        <f t="shared" si="32"/>
        <v>109.25986032686187</v>
      </c>
      <c r="T32" s="55">
        <f t="shared" si="32"/>
        <v>115.03952384499104</v>
      </c>
      <c r="U32" s="55">
        <f t="shared" si="32"/>
        <v>114.31053707016744</v>
      </c>
      <c r="V32" s="55">
        <f t="shared" si="32"/>
        <v>121.02278233994656</v>
      </c>
      <c r="W32" s="55">
        <f t="shared" si="32"/>
        <v>115.61293230102247</v>
      </c>
      <c r="X32" s="55">
        <f t="shared" si="32"/>
        <v>98.926512660278448</v>
      </c>
      <c r="Y32" s="55">
        <f t="shared" si="32"/>
        <v>101.37891512464499</v>
      </c>
      <c r="DA32" s="216"/>
    </row>
    <row r="33" spans="1:105" x14ac:dyDescent="0.25">
      <c r="A33" s="35" t="s">
        <v>111</v>
      </c>
      <c r="B33" s="55">
        <f>IF(AGR_ued!B$5=0,"",AGR_ued!B$5/B$5*1000)</f>
        <v>43.8578789802554</v>
      </c>
      <c r="C33" s="55">
        <f>IF(AGR_ued!C$5=0,"",AGR_ued!C$5/C$5*1000)</f>
        <v>43.307744369523945</v>
      </c>
      <c r="D33" s="55">
        <f>IF(AGR_ued!D$5=0,"",AGR_ued!D$5/D$5*1000)</f>
        <v>45.044820756661196</v>
      </c>
      <c r="E33" s="55">
        <f>IF(AGR_ued!E$5=0,"",AGR_ued!E$5/E$5*1000)</f>
        <v>47.47119074839641</v>
      </c>
      <c r="F33" s="55">
        <f>IF(AGR_ued!F$5=0,"",AGR_ued!F$5/F$5*1000)</f>
        <v>47.354516175129319</v>
      </c>
      <c r="G33" s="55">
        <f>IF(AGR_ued!G$5=0,"",AGR_ued!G$5/G$5*1000)</f>
        <v>54.040216786880414</v>
      </c>
      <c r="H33" s="55">
        <f>IF(AGR_ued!H$5=0,"",AGR_ued!H$5/H$5*1000)</f>
        <v>52.021101130694149</v>
      </c>
      <c r="I33" s="55">
        <f>IF(AGR_ued!I$5=0,"",AGR_ued!I$5/I$5*1000)</f>
        <v>47.368381477945604</v>
      </c>
      <c r="J33" s="55">
        <f>IF(AGR_ued!J$5=0,"",AGR_ued!J$5/J$5*1000)</f>
        <v>49.546209128481181</v>
      </c>
      <c r="K33" s="55">
        <f>IF(AGR_ued!K$5=0,"",AGR_ued!K$5/K$5*1000)</f>
        <v>55.056920957525712</v>
      </c>
      <c r="L33" s="55">
        <f>IF(AGR_ued!L$5=0,"",AGR_ued!L$5/L$5*1000)</f>
        <v>50.660032703037707</v>
      </c>
      <c r="M33" s="55">
        <f>IF(AGR_ued!M$5=0,"",AGR_ued!M$5/M$5*1000)</f>
        <v>45.818749120238273</v>
      </c>
      <c r="N33" s="55">
        <f>IF(AGR_ued!N$5=0,"",AGR_ued!N$5/N$5*1000)</f>
        <v>47.353772077414234</v>
      </c>
      <c r="O33" s="55">
        <f>IF(AGR_ued!O$5=0,"",AGR_ued!O$5/O$5*1000)</f>
        <v>45.84364058293923</v>
      </c>
      <c r="P33" s="55">
        <f>IF(AGR_ued!P$5=0,"",AGR_ued!P$5/P$5*1000)</f>
        <v>44.735764328161459</v>
      </c>
      <c r="Q33" s="55">
        <f>IF(AGR_ued!Q$5=0,"",AGR_ued!Q$5/Q$5*1000)</f>
        <v>45.64715680394346</v>
      </c>
      <c r="R33" s="55">
        <f>IF(AGR_ued!R$5=0,"",AGR_ued!R$5/R$5*1000)</f>
        <v>46.294763442794967</v>
      </c>
      <c r="S33" s="55">
        <f>IF(AGR_ued!S$5=0,"",AGR_ued!S$5/S$5*1000)</f>
        <v>42.741208602839215</v>
      </c>
      <c r="T33" s="55">
        <f>IF(AGR_ued!T$5=0,"",AGR_ued!T$5/T$5*1000)</f>
        <v>44.921209850050587</v>
      </c>
      <c r="U33" s="55">
        <f>IF(AGR_ued!U$5=0,"",AGR_ued!U$5/U$5*1000)</f>
        <v>44.729698435379774</v>
      </c>
      <c r="V33" s="55">
        <f>IF(AGR_ued!V$5=0,"",AGR_ued!V$5/V$5*1000)</f>
        <v>47.359874610945361</v>
      </c>
      <c r="W33" s="55">
        <f>IF(AGR_ued!W$5=0,"",AGR_ued!W$5/W$5*1000)</f>
        <v>45.260488151722313</v>
      </c>
      <c r="X33" s="55">
        <f>IF(AGR_ued!X$5=0,"",AGR_ued!X$5/X$5*1000)</f>
        <v>38.730162854827981</v>
      </c>
      <c r="Y33" s="55">
        <f>IF(AGR_ued!Y$5=0,"",AGR_ued!Y$5/Y$5*1000)</f>
        <v>39.502723419480439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2.4183403034028474</v>
      </c>
      <c r="C34" s="217">
        <f t="shared" si="33"/>
        <v>2.3362233994795596</v>
      </c>
      <c r="D34" s="217">
        <f t="shared" si="33"/>
        <v>2.3107350902708905</v>
      </c>
      <c r="E34" s="217">
        <f t="shared" si="33"/>
        <v>2.2859537564731447</v>
      </c>
      <c r="F34" s="217">
        <f t="shared" si="33"/>
        <v>2.2158741912455837</v>
      </c>
      <c r="G34" s="217">
        <f t="shared" si="33"/>
        <v>2.2269056500472701</v>
      </c>
      <c r="H34" s="217">
        <f t="shared" si="33"/>
        <v>2.2594597895338118</v>
      </c>
      <c r="I34" s="217">
        <f t="shared" si="33"/>
        <v>2.2063361860863262</v>
      </c>
      <c r="J34" s="217">
        <f t="shared" si="33"/>
        <v>2.2382465141971486</v>
      </c>
      <c r="K34" s="217">
        <f t="shared" si="33"/>
        <v>2.2316212157473569</v>
      </c>
      <c r="L34" s="217">
        <f t="shared" si="33"/>
        <v>2.3163636902726634</v>
      </c>
      <c r="M34" s="217">
        <f t="shared" si="33"/>
        <v>2.2989177271804269</v>
      </c>
      <c r="N34" s="217">
        <f t="shared" si="33"/>
        <v>2.1821410171679845</v>
      </c>
      <c r="O34" s="217">
        <f t="shared" si="33"/>
        <v>2.4270383021460376</v>
      </c>
      <c r="P34" s="217">
        <f t="shared" si="33"/>
        <v>2.2966427426595448</v>
      </c>
      <c r="Q34" s="217">
        <f t="shared" si="33"/>
        <v>2.307005000696889</v>
      </c>
      <c r="R34" s="217">
        <f t="shared" si="33"/>
        <v>2.303825850584269</v>
      </c>
      <c r="S34" s="217">
        <f t="shared" si="33"/>
        <v>2.2785162490421156</v>
      </c>
      <c r="T34" s="217">
        <f t="shared" si="33"/>
        <v>2.2880189921484213</v>
      </c>
      <c r="U34" s="217">
        <f t="shared" si="33"/>
        <v>2.2862151259216925</v>
      </c>
      <c r="V34" s="217">
        <f t="shared" si="33"/>
        <v>2.317647407485337</v>
      </c>
      <c r="W34" s="217">
        <f t="shared" si="33"/>
        <v>2.3141993884192216</v>
      </c>
      <c r="X34" s="217">
        <f t="shared" si="33"/>
        <v>2.2449842530469257</v>
      </c>
      <c r="Y34" s="217">
        <f t="shared" si="33"/>
        <v>2.2521610094115321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671.35021496130662</v>
      </c>
      <c r="C5" s="80">
        <f t="shared" ref="C5:W5" si="1">SUM(C6:C9,C16:C17,C25:C27)</f>
        <v>634.01840068787578</v>
      </c>
      <c r="D5" s="80">
        <f t="shared" si="1"/>
        <v>653.78744625967329</v>
      </c>
      <c r="E5" s="80">
        <f t="shared" si="1"/>
        <v>616.17162510748062</v>
      </c>
      <c r="F5" s="80">
        <f t="shared" si="1"/>
        <v>586.6404127257091</v>
      </c>
      <c r="G5" s="80">
        <f t="shared" si="1"/>
        <v>560.52020636285454</v>
      </c>
      <c r="H5" s="80">
        <f t="shared" si="1"/>
        <v>550.37927773000843</v>
      </c>
      <c r="I5" s="80">
        <f t="shared" si="1"/>
        <v>498.3622527944969</v>
      </c>
      <c r="J5" s="80">
        <f t="shared" si="1"/>
        <v>526.75795356835761</v>
      </c>
      <c r="K5" s="80">
        <f t="shared" si="1"/>
        <v>441.89157351676675</v>
      </c>
      <c r="L5" s="80">
        <f t="shared" si="1"/>
        <v>488.0679277730008</v>
      </c>
      <c r="M5" s="80">
        <f t="shared" si="1"/>
        <v>483.23112639724837</v>
      </c>
      <c r="N5" s="80">
        <f t="shared" si="1"/>
        <v>399.1773000859846</v>
      </c>
      <c r="O5" s="80">
        <f t="shared" si="1"/>
        <v>522.88985382631097</v>
      </c>
      <c r="P5" s="80">
        <f t="shared" si="1"/>
        <v>595.15631986242454</v>
      </c>
      <c r="Q5" s="80">
        <f t="shared" si="1"/>
        <v>597.17575236457424</v>
      </c>
      <c r="R5" s="80">
        <f t="shared" si="1"/>
        <v>666.94866723989662</v>
      </c>
      <c r="S5" s="80">
        <f t="shared" si="1"/>
        <v>628.52545141874441</v>
      </c>
      <c r="T5" s="80">
        <f t="shared" si="1"/>
        <v>669.5264832330181</v>
      </c>
      <c r="U5" s="80">
        <f t="shared" si="1"/>
        <v>693.0592433361993</v>
      </c>
      <c r="V5" s="80">
        <f t="shared" si="1"/>
        <v>722.65004299226121</v>
      </c>
      <c r="W5" s="80">
        <f t="shared" si="1"/>
        <v>687.75176268271719</v>
      </c>
      <c r="X5" s="80">
        <f t="shared" ref="X5:Y5" si="2">SUM(X6:X9,X16:X17,X25:X27)</f>
        <v>614.89561478933774</v>
      </c>
      <c r="Y5" s="80">
        <f t="shared" si="2"/>
        <v>582.79974204643156</v>
      </c>
      <c r="DA5" s="103"/>
    </row>
    <row r="6" spans="1:105" x14ac:dyDescent="0.25">
      <c r="A6" s="238" t="s">
        <v>125</v>
      </c>
      <c r="B6" s="239">
        <v>14.52117205467697</v>
      </c>
      <c r="C6" s="239">
        <v>14.439489412648109</v>
      </c>
      <c r="D6" s="239">
        <v>15.583354451836909</v>
      </c>
      <c r="E6" s="239">
        <v>15.402348749600449</v>
      </c>
      <c r="F6" s="239">
        <v>15.52618099469988</v>
      </c>
      <c r="G6" s="239">
        <v>13.78060557703305</v>
      </c>
      <c r="H6" s="239">
        <v>13.38564161800789</v>
      </c>
      <c r="I6" s="239">
        <v>13.553174126702199</v>
      </c>
      <c r="J6" s="239">
        <v>13.71663725966398</v>
      </c>
      <c r="K6" s="239">
        <v>11.52937027021691</v>
      </c>
      <c r="L6" s="239">
        <v>11.436363894333921</v>
      </c>
      <c r="M6" s="239">
        <v>11.48297424800327</v>
      </c>
      <c r="N6" s="239">
        <v>11.09784346133746</v>
      </c>
      <c r="O6" s="239">
        <v>11.04071871325583</v>
      </c>
      <c r="P6" s="239">
        <v>12.57188735983801</v>
      </c>
      <c r="Q6" s="239">
        <v>13.20340333602719</v>
      </c>
      <c r="R6" s="239">
        <v>13.91472448371079</v>
      </c>
      <c r="S6" s="239">
        <v>13.81517101745251</v>
      </c>
      <c r="T6" s="239">
        <v>15.09781211654971</v>
      </c>
      <c r="U6" s="239">
        <v>15.542300025833461</v>
      </c>
      <c r="V6" s="239">
        <v>15.68932595202266</v>
      </c>
      <c r="W6" s="239">
        <v>14.95090609977041</v>
      </c>
      <c r="X6" s="239">
        <v>14.56519168038316</v>
      </c>
      <c r="Y6" s="239">
        <v>13.132009923914589</v>
      </c>
      <c r="DA6" s="267" t="s">
        <v>995</v>
      </c>
    </row>
    <row r="7" spans="1:105" x14ac:dyDescent="0.25">
      <c r="A7" s="240" t="s">
        <v>124</v>
      </c>
      <c r="B7" s="241">
        <v>9.4387618355400296</v>
      </c>
      <c r="C7" s="241">
        <v>9.38566811822127</v>
      </c>
      <c r="D7" s="241">
        <v>10.129180393693989</v>
      </c>
      <c r="E7" s="241">
        <v>10.011526687240289</v>
      </c>
      <c r="F7" s="241">
        <v>10.09201764655492</v>
      </c>
      <c r="G7" s="241">
        <v>8.9573936250714787</v>
      </c>
      <c r="H7" s="241">
        <v>8.7006670517051212</v>
      </c>
      <c r="I7" s="241">
        <v>8.8095631823564258</v>
      </c>
      <c r="J7" s="241">
        <v>8.9158142187815876</v>
      </c>
      <c r="K7" s="241">
        <v>7.4940906756409884</v>
      </c>
      <c r="L7" s="241">
        <v>7.4336365313170489</v>
      </c>
      <c r="M7" s="241">
        <v>7.4639332612021247</v>
      </c>
      <c r="N7" s="241">
        <v>7.2135982498693494</v>
      </c>
      <c r="O7" s="241">
        <v>7.1764671636162856</v>
      </c>
      <c r="P7" s="241">
        <v>8.1717267838947052</v>
      </c>
      <c r="Q7" s="241">
        <v>8.5822121684176693</v>
      </c>
      <c r="R7" s="241">
        <v>9.0445709144120094</v>
      </c>
      <c r="S7" s="241">
        <v>8.9798611613441253</v>
      </c>
      <c r="T7" s="241">
        <v>9.8135778757573107</v>
      </c>
      <c r="U7" s="241">
        <v>10.10249501679175</v>
      </c>
      <c r="V7" s="241">
        <v>10.198061868814721</v>
      </c>
      <c r="W7" s="241">
        <v>9.718088964850768</v>
      </c>
      <c r="X7" s="241">
        <v>9.4673745922490564</v>
      </c>
      <c r="Y7" s="241">
        <v>8.5358064505444773</v>
      </c>
      <c r="DA7" s="268" t="s">
        <v>996</v>
      </c>
    </row>
    <row r="8" spans="1:105" x14ac:dyDescent="0.25">
      <c r="A8" s="240" t="s">
        <v>123</v>
      </c>
      <c r="B8" s="241">
        <v>13.06905484920927</v>
      </c>
      <c r="C8" s="241">
        <v>12.9955404713833</v>
      </c>
      <c r="D8" s="241">
        <v>14.025019006653221</v>
      </c>
      <c r="E8" s="241">
        <v>13.8621138746404</v>
      </c>
      <c r="F8" s="241">
        <v>13.97356289522989</v>
      </c>
      <c r="G8" s="241">
        <v>12.40254501932974</v>
      </c>
      <c r="H8" s="241">
        <v>12.0470774562071</v>
      </c>
      <c r="I8" s="241">
        <v>12.19785671403198</v>
      </c>
      <c r="J8" s="241">
        <v>12.344973533697591</v>
      </c>
      <c r="K8" s="241">
        <v>10.376433243195221</v>
      </c>
      <c r="L8" s="241">
        <v>10.29272750490053</v>
      </c>
      <c r="M8" s="241">
        <v>10.33467682320294</v>
      </c>
      <c r="N8" s="241">
        <v>9.9880591152037184</v>
      </c>
      <c r="O8" s="241">
        <v>9.9366468419302461</v>
      </c>
      <c r="P8" s="241">
        <v>11.314698623854211</v>
      </c>
      <c r="Q8" s="241">
        <v>11.883063002424469</v>
      </c>
      <c r="R8" s="241">
        <v>12.523252035339709</v>
      </c>
      <c r="S8" s="241">
        <v>12.43365391570725</v>
      </c>
      <c r="T8" s="241">
        <v>13.58803090489473</v>
      </c>
      <c r="U8" s="241">
        <v>13.98807002325011</v>
      </c>
      <c r="V8" s="241">
        <v>14.12039335682039</v>
      </c>
      <c r="W8" s="241">
        <v>13.45581548979337</v>
      </c>
      <c r="X8" s="241">
        <v>13.10867251234485</v>
      </c>
      <c r="Y8" s="241">
        <v>11.81880893152313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137.59328894404865</v>
      </c>
      <c r="C9" s="243">
        <f t="shared" ref="C9:W9" si="4">SUM(C10:C15)</f>
        <v>132.23614488365789</v>
      </c>
      <c r="D9" s="243">
        <f t="shared" si="4"/>
        <v>135.75620459473595</v>
      </c>
      <c r="E9" s="243">
        <f t="shared" si="4"/>
        <v>127.29223392913669</v>
      </c>
      <c r="F9" s="243">
        <f t="shared" si="4"/>
        <v>124.11493862334848</v>
      </c>
      <c r="G9" s="243">
        <f t="shared" si="4"/>
        <v>120.60034736437817</v>
      </c>
      <c r="H9" s="243">
        <f t="shared" si="4"/>
        <v>116.69847894008061</v>
      </c>
      <c r="I9" s="243">
        <f t="shared" si="4"/>
        <v>103.42575829922944</v>
      </c>
      <c r="J9" s="243">
        <f t="shared" si="4"/>
        <v>110.05443446090747</v>
      </c>
      <c r="K9" s="243">
        <f t="shared" si="4"/>
        <v>91.660446884487655</v>
      </c>
      <c r="L9" s="243">
        <f t="shared" si="4"/>
        <v>100.73356425733367</v>
      </c>
      <c r="M9" s="243">
        <f t="shared" si="4"/>
        <v>99.654681326445683</v>
      </c>
      <c r="N9" s="243">
        <f t="shared" si="4"/>
        <v>81.727422527015023</v>
      </c>
      <c r="O9" s="243">
        <f t="shared" si="4"/>
        <v>106.22849038196344</v>
      </c>
      <c r="P9" s="243">
        <f t="shared" si="4"/>
        <v>124.03525019239999</v>
      </c>
      <c r="Q9" s="243">
        <f t="shared" si="4"/>
        <v>122.94309275975323</v>
      </c>
      <c r="R9" s="243">
        <f t="shared" si="4"/>
        <v>138.75832956477583</v>
      </c>
      <c r="S9" s="243">
        <f t="shared" si="4"/>
        <v>129.88724352635748</v>
      </c>
      <c r="T9" s="243">
        <f t="shared" si="4"/>
        <v>137.36721886422427</v>
      </c>
      <c r="U9" s="243">
        <f t="shared" si="4"/>
        <v>142.75863244091155</v>
      </c>
      <c r="V9" s="243">
        <f t="shared" si="4"/>
        <v>149.59894670468941</v>
      </c>
      <c r="W9" s="243">
        <f t="shared" si="4"/>
        <v>142.76505844195418</v>
      </c>
      <c r="X9" s="243">
        <f t="shared" ref="X9:Y9" si="5">SUM(X10:X15)</f>
        <v>125.54139863944869</v>
      </c>
      <c r="Y9" s="243">
        <f t="shared" si="5"/>
        <v>119.32405070455057</v>
      </c>
      <c r="DA9" s="269"/>
    </row>
    <row r="10" spans="1:105" x14ac:dyDescent="0.25">
      <c r="A10" s="253" t="s">
        <v>166</v>
      </c>
      <c r="B10" s="254">
        <v>51.316058750991147</v>
      </c>
      <c r="C10" s="254">
        <v>35.947115970597551</v>
      </c>
      <c r="D10" s="254">
        <v>38.746245477128546</v>
      </c>
      <c r="E10" s="254">
        <v>36.626552221682523</v>
      </c>
      <c r="F10" s="254">
        <v>30.120076648041319</v>
      </c>
      <c r="G10" s="254">
        <v>26.50116786060082</v>
      </c>
      <c r="H10" s="254">
        <v>32.809867006421719</v>
      </c>
      <c r="I10" s="254">
        <v>31.819301321877109</v>
      </c>
      <c r="J10" s="254">
        <v>34.05608876031377</v>
      </c>
      <c r="K10" s="254">
        <v>33.44730319250786</v>
      </c>
      <c r="L10" s="254">
        <v>42.740366303198392</v>
      </c>
      <c r="M10" s="254">
        <v>40.716325057558542</v>
      </c>
      <c r="N10" s="254">
        <v>32.3409532599185</v>
      </c>
      <c r="O10" s="254">
        <v>54.700944912234647</v>
      </c>
      <c r="P10" s="254">
        <v>49.397738057358019</v>
      </c>
      <c r="Q10" s="254">
        <v>55.060097801836157</v>
      </c>
      <c r="R10" s="254">
        <v>56.751708029715793</v>
      </c>
      <c r="S10" s="254">
        <v>56.582636748146157</v>
      </c>
      <c r="T10" s="254">
        <v>66.038579928941473</v>
      </c>
      <c r="U10" s="254">
        <v>64.197457620490169</v>
      </c>
      <c r="V10" s="254">
        <v>65.485849610558333</v>
      </c>
      <c r="W10" s="254">
        <v>62.431084954562017</v>
      </c>
      <c r="X10" s="254">
        <v>59.656908340432082</v>
      </c>
      <c r="Y10" s="254">
        <v>58.337221507237217</v>
      </c>
      <c r="DA10" s="270" t="s">
        <v>998</v>
      </c>
    </row>
    <row r="11" spans="1:105" x14ac:dyDescent="0.25">
      <c r="A11" s="253" t="s">
        <v>169</v>
      </c>
      <c r="B11" s="255">
        <v>76.18262296420373</v>
      </c>
      <c r="C11" s="255">
        <v>84.825872429188479</v>
      </c>
      <c r="D11" s="255">
        <v>83.743425955211762</v>
      </c>
      <c r="E11" s="255">
        <v>76.045776719348368</v>
      </c>
      <c r="F11" s="255">
        <v>75.133438754034316</v>
      </c>
      <c r="G11" s="255">
        <v>78.390171939705013</v>
      </c>
      <c r="H11" s="255">
        <v>68.561878611344113</v>
      </c>
      <c r="I11" s="255">
        <v>53.138211425267762</v>
      </c>
      <c r="J11" s="255">
        <v>58.769301065408349</v>
      </c>
      <c r="K11" s="255">
        <v>43.63444374095166</v>
      </c>
      <c r="L11" s="255">
        <v>44.929382012342153</v>
      </c>
      <c r="M11" s="255">
        <v>45.269132340110211</v>
      </c>
      <c r="N11" s="255">
        <v>32.64271614203836</v>
      </c>
      <c r="O11" s="255">
        <v>40.183080402095577</v>
      </c>
      <c r="P11" s="255">
        <v>54.24713635241713</v>
      </c>
      <c r="Q11" s="255">
        <v>47.117434300493272</v>
      </c>
      <c r="R11" s="255">
        <v>61.701479856787913</v>
      </c>
      <c r="S11" s="255">
        <v>50.857123480517892</v>
      </c>
      <c r="T11" s="255">
        <v>45.798082754437743</v>
      </c>
      <c r="U11" s="255">
        <v>52.883858832627787</v>
      </c>
      <c r="V11" s="255">
        <v>60.170792321939679</v>
      </c>
      <c r="W11" s="255">
        <v>57.298619632229773</v>
      </c>
      <c r="X11" s="255">
        <v>38.82287530282828</v>
      </c>
      <c r="Y11" s="255">
        <v>35.260219854728923</v>
      </c>
      <c r="DA11" s="271" t="s">
        <v>999</v>
      </c>
    </row>
    <row r="12" spans="1:105" x14ac:dyDescent="0.25">
      <c r="A12" s="253" t="s">
        <v>152</v>
      </c>
      <c r="B12" s="255">
        <v>0.4658157386527958</v>
      </c>
      <c r="C12" s="255">
        <v>0.46576261797548901</v>
      </c>
      <c r="D12" s="255">
        <v>0.45527446642212988</v>
      </c>
      <c r="E12" s="255">
        <v>0.44987745409648799</v>
      </c>
      <c r="F12" s="255">
        <v>3.9825259583041221</v>
      </c>
      <c r="G12" s="255">
        <v>4.8374868674304388</v>
      </c>
      <c r="H12" s="255">
        <v>5.0217513859151257</v>
      </c>
      <c r="I12" s="255">
        <v>4.5774523840816244</v>
      </c>
      <c r="J12" s="255">
        <v>4.7336410791854346</v>
      </c>
      <c r="K12" s="255">
        <v>4.1306243885270639</v>
      </c>
      <c r="L12" s="255">
        <v>4.6824367883601878</v>
      </c>
      <c r="M12" s="255">
        <v>4.9429085816791849</v>
      </c>
      <c r="N12" s="255">
        <v>4.6586798035757404</v>
      </c>
      <c r="O12" s="255">
        <v>4.5102254429092641</v>
      </c>
      <c r="P12" s="255">
        <v>12.814129004306819</v>
      </c>
      <c r="Q12" s="255">
        <v>11.866154292907771</v>
      </c>
      <c r="R12" s="255">
        <v>12.134396082386701</v>
      </c>
      <c r="S12" s="255">
        <v>13.38731086899765</v>
      </c>
      <c r="T12" s="255">
        <v>15.19270360720127</v>
      </c>
      <c r="U12" s="255">
        <v>15.130518609685129</v>
      </c>
      <c r="V12" s="255">
        <v>14.06847021535266</v>
      </c>
      <c r="W12" s="255">
        <v>13.419978936476429</v>
      </c>
      <c r="X12" s="255">
        <v>15.81861380991929</v>
      </c>
      <c r="Y12" s="255">
        <v>16.604027835103949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0.1194325021495347</v>
      </c>
      <c r="C14" s="254">
        <v>0.47773000859829878</v>
      </c>
      <c r="D14" s="254">
        <v>0.35829750644870267</v>
      </c>
      <c r="E14" s="254">
        <v>0.38211521926040692</v>
      </c>
      <c r="F14" s="254">
        <v>0.33439380911424499</v>
      </c>
      <c r="G14" s="254">
        <v>0.2388650042991326</v>
      </c>
      <c r="H14" s="254">
        <v>0.1910576096301711</v>
      </c>
      <c r="I14" s="254">
        <v>0.14333619948404561</v>
      </c>
      <c r="J14" s="254">
        <v>0.16715391229574161</v>
      </c>
      <c r="K14" s="254">
        <v>0.16715391229573651</v>
      </c>
      <c r="L14" s="254">
        <v>0.21496130696456831</v>
      </c>
      <c r="M14" s="254">
        <v>0.19105760963014459</v>
      </c>
      <c r="N14" s="254">
        <v>0.33439380911430328</v>
      </c>
      <c r="O14" s="254">
        <v>0.21496130696452051</v>
      </c>
      <c r="P14" s="254">
        <v>0.35829750644864178</v>
      </c>
      <c r="Q14" s="254">
        <v>0.45382631126364698</v>
      </c>
      <c r="R14" s="254">
        <v>0.35829750644861791</v>
      </c>
      <c r="S14" s="254">
        <v>0.40601891659468958</v>
      </c>
      <c r="T14" s="254">
        <v>0.35829750644862712</v>
      </c>
      <c r="U14" s="254">
        <v>0.38211521926029351</v>
      </c>
      <c r="V14" s="254">
        <v>0.35829750644868991</v>
      </c>
      <c r="W14" s="254">
        <v>0.62098022355949212</v>
      </c>
      <c r="X14" s="254">
        <v>0.40601891659474709</v>
      </c>
      <c r="Y14" s="254">
        <v>0.40601891659477651</v>
      </c>
      <c r="DA14" s="270" t="s">
        <v>1002</v>
      </c>
    </row>
    <row r="15" spans="1:105" x14ac:dyDescent="0.25">
      <c r="A15" s="253" t="s">
        <v>24</v>
      </c>
      <c r="B15" s="255">
        <v>9.5093589880514457</v>
      </c>
      <c r="C15" s="255">
        <v>10.51966385729807</v>
      </c>
      <c r="D15" s="255">
        <v>12.45296118952481</v>
      </c>
      <c r="E15" s="255">
        <v>13.787912314748899</v>
      </c>
      <c r="F15" s="255">
        <v>14.54450345385448</v>
      </c>
      <c r="G15" s="255">
        <v>10.63265569234277</v>
      </c>
      <c r="H15" s="255">
        <v>10.11392432676946</v>
      </c>
      <c r="I15" s="255">
        <v>13.747456968518909</v>
      </c>
      <c r="J15" s="255">
        <v>12.328249643704179</v>
      </c>
      <c r="K15" s="255">
        <v>10.280921650205331</v>
      </c>
      <c r="L15" s="255">
        <v>8.1664178464683648</v>
      </c>
      <c r="M15" s="255">
        <v>8.5352577374675889</v>
      </c>
      <c r="N15" s="255">
        <v>11.75067951236813</v>
      </c>
      <c r="O15" s="255">
        <v>6.6192783177594361</v>
      </c>
      <c r="P15" s="255">
        <v>7.2179492718693794</v>
      </c>
      <c r="Q15" s="255">
        <v>8.4455800532523924</v>
      </c>
      <c r="R15" s="255">
        <v>7.8124480894368098</v>
      </c>
      <c r="S15" s="255">
        <v>8.6541535121010824</v>
      </c>
      <c r="T15" s="255">
        <v>9.9795550671951769</v>
      </c>
      <c r="U15" s="255">
        <v>10.16468215884816</v>
      </c>
      <c r="V15" s="255">
        <v>9.5155370503900585</v>
      </c>
      <c r="W15" s="255">
        <v>8.9943946951264451</v>
      </c>
      <c r="X15" s="255">
        <v>10.836982269674291</v>
      </c>
      <c r="Y15" s="255">
        <v>8.7165625908857134</v>
      </c>
      <c r="DA15" s="271" t="s">
        <v>1003</v>
      </c>
    </row>
    <row r="16" spans="1:105" x14ac:dyDescent="0.25">
      <c r="A16" s="256" t="s">
        <v>168</v>
      </c>
      <c r="B16" s="257">
        <v>153.26106128284471</v>
      </c>
      <c r="C16" s="257">
        <v>135.47530395252909</v>
      </c>
      <c r="D16" s="257">
        <v>141.31917063400431</v>
      </c>
      <c r="E16" s="257">
        <v>132.9554475928658</v>
      </c>
      <c r="F16" s="257">
        <v>124.5980904471952</v>
      </c>
      <c r="G16" s="257">
        <v>117.71066326172399</v>
      </c>
      <c r="H16" s="257">
        <v>121.85118546515621</v>
      </c>
      <c r="I16" s="257">
        <v>110.6304310386945</v>
      </c>
      <c r="J16" s="257">
        <v>117.96369763473319</v>
      </c>
      <c r="K16" s="257">
        <v>102.5463093514354</v>
      </c>
      <c r="L16" s="257">
        <v>116.62614460799441</v>
      </c>
      <c r="M16" s="257">
        <v>114.31566632404321</v>
      </c>
      <c r="N16" s="257">
        <v>93.145500828705536</v>
      </c>
      <c r="O16" s="257">
        <v>128.29019725782601</v>
      </c>
      <c r="P16" s="257">
        <v>140.82844302298619</v>
      </c>
      <c r="Q16" s="257">
        <v>143.86937963697579</v>
      </c>
      <c r="R16" s="257">
        <v>158.51203876261391</v>
      </c>
      <c r="S16" s="257">
        <v>150.99988981429169</v>
      </c>
      <c r="T16" s="257">
        <v>163.68439772780769</v>
      </c>
      <c r="U16" s="257">
        <v>167.37219325334399</v>
      </c>
      <c r="V16" s="257">
        <v>174.10985411667971</v>
      </c>
      <c r="W16" s="257">
        <v>166.13146364189919</v>
      </c>
      <c r="X16" s="257">
        <v>149.29120497395539</v>
      </c>
      <c r="Y16" s="257">
        <v>142.7057727745794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278.43961429995994</v>
      </c>
      <c r="C17" s="257">
        <f t="shared" ref="C17:W17" si="7">SUM(C18:C24)</f>
        <v>268.07679612001414</v>
      </c>
      <c r="D17" s="257">
        <f t="shared" si="7"/>
        <v>271.63964241928971</v>
      </c>
      <c r="E17" s="257">
        <f t="shared" si="7"/>
        <v>253.36370256834152</v>
      </c>
      <c r="F17" s="257">
        <f t="shared" si="7"/>
        <v>236.35391723599031</v>
      </c>
      <c r="G17" s="257">
        <f t="shared" si="7"/>
        <v>230.68708293752505</v>
      </c>
      <c r="H17" s="257">
        <f t="shared" si="7"/>
        <v>221.48668447330644</v>
      </c>
      <c r="I17" s="257">
        <f t="shared" si="7"/>
        <v>195.28163353536488</v>
      </c>
      <c r="J17" s="257">
        <f t="shared" si="7"/>
        <v>207.48892759684242</v>
      </c>
      <c r="K17" s="257">
        <f t="shared" si="7"/>
        <v>170.33283799511761</v>
      </c>
      <c r="L17" s="257">
        <f t="shared" si="7"/>
        <v>191.11571381933578</v>
      </c>
      <c r="M17" s="257">
        <f t="shared" si="7"/>
        <v>189.87919954722815</v>
      </c>
      <c r="N17" s="257">
        <f t="shared" si="7"/>
        <v>150.91647519033265</v>
      </c>
      <c r="O17" s="257">
        <f t="shared" si="7"/>
        <v>208.51554208190032</v>
      </c>
      <c r="P17" s="257">
        <f t="shared" si="7"/>
        <v>240.37183089543586</v>
      </c>
      <c r="Q17" s="257">
        <f t="shared" si="7"/>
        <v>236.70056302258843</v>
      </c>
      <c r="R17" s="257">
        <f t="shared" si="7"/>
        <v>269.64526724994352</v>
      </c>
      <c r="S17" s="257">
        <f t="shared" si="7"/>
        <v>249.54657577142837</v>
      </c>
      <c r="T17" s="257">
        <f t="shared" si="7"/>
        <v>261.53248493404783</v>
      </c>
      <c r="U17" s="257">
        <f t="shared" si="7"/>
        <v>273.05495574528032</v>
      </c>
      <c r="V17" s="257">
        <f t="shared" si="7"/>
        <v>287.03795295857861</v>
      </c>
      <c r="W17" s="257">
        <f t="shared" si="7"/>
        <v>272.17716486725442</v>
      </c>
      <c r="X17" s="257">
        <f t="shared" ref="X17:Y17" si="8">SUM(X18:X24)</f>
        <v>238.549503586394</v>
      </c>
      <c r="Y17" s="257">
        <f t="shared" si="8"/>
        <v>227.68776543839732</v>
      </c>
      <c r="DA17" s="272"/>
    </row>
    <row r="18" spans="1:105" x14ac:dyDescent="0.25">
      <c r="A18" s="61" t="s">
        <v>29</v>
      </c>
      <c r="B18" s="55">
        <v>26.905760962980121</v>
      </c>
      <c r="C18" s="55">
        <v>20.714617368852391</v>
      </c>
      <c r="D18" s="55">
        <v>18.046517626800771</v>
      </c>
      <c r="E18" s="55">
        <v>17.107910576064981</v>
      </c>
      <c r="F18" s="55">
        <v>4.9025795356739907</v>
      </c>
      <c r="G18" s="55">
        <v>4.2361134995648033</v>
      </c>
      <c r="H18" s="55">
        <v>3.0638865004253222</v>
      </c>
      <c r="I18" s="55">
        <v>3.134393809105767</v>
      </c>
      <c r="J18" s="55">
        <v>2.2929492691286888</v>
      </c>
      <c r="K18" s="55">
        <v>0.8316423043841219</v>
      </c>
      <c r="L18" s="55">
        <v>0.41152192605237209</v>
      </c>
      <c r="M18" s="55">
        <v>0.57609630266442746</v>
      </c>
      <c r="N18" s="55">
        <v>0.42631126397175878</v>
      </c>
      <c r="O18" s="55">
        <v>0.94221840068562834</v>
      </c>
      <c r="P18" s="55">
        <v>0</v>
      </c>
      <c r="Q18" s="55">
        <v>0.44780739466819069</v>
      </c>
      <c r="R18" s="55">
        <v>0.43387790197708959</v>
      </c>
      <c r="S18" s="55">
        <v>0.29776440240701629</v>
      </c>
      <c r="T18" s="55">
        <v>0.88976784178717405</v>
      </c>
      <c r="U18" s="55">
        <v>1.463370593290962</v>
      </c>
      <c r="V18" s="55">
        <v>1.480137575235084</v>
      </c>
      <c r="W18" s="55">
        <v>1.478331900256558</v>
      </c>
      <c r="X18" s="55">
        <v>1.151418744623715</v>
      </c>
      <c r="Y18" s="55">
        <v>0</v>
      </c>
      <c r="DA18" s="101" t="s">
        <v>1005</v>
      </c>
    </row>
    <row r="19" spans="1:105" x14ac:dyDescent="0.25">
      <c r="A19" s="61" t="s">
        <v>27</v>
      </c>
      <c r="B19" s="55">
        <v>9.0379191745329504</v>
      </c>
      <c r="C19" s="55">
        <v>11.29742046430486</v>
      </c>
      <c r="D19" s="55">
        <v>10.167669819417631</v>
      </c>
      <c r="E19" s="55">
        <v>7.9081685296501796</v>
      </c>
      <c r="F19" s="55">
        <v>14.593465176239739</v>
      </c>
      <c r="G19" s="55">
        <v>14.593465176250101</v>
      </c>
      <c r="H19" s="55">
        <v>10.103181427327909</v>
      </c>
      <c r="I19" s="55">
        <v>8.9805674978257706</v>
      </c>
      <c r="J19" s="55">
        <v>11.22579535682174</v>
      </c>
      <c r="K19" s="55">
        <v>0</v>
      </c>
      <c r="L19" s="55">
        <v>10.103181427320051</v>
      </c>
      <c r="M19" s="55">
        <v>12.34832330178225</v>
      </c>
      <c r="N19" s="55">
        <v>1.1226139294907791</v>
      </c>
      <c r="O19" s="55">
        <v>32.554686156414157</v>
      </c>
      <c r="P19" s="55">
        <v>31.43215821148539</v>
      </c>
      <c r="Q19" s="55">
        <v>25.819260533059708</v>
      </c>
      <c r="R19" s="55">
        <v>31.972828890758791</v>
      </c>
      <c r="S19" s="55">
        <v>23.142734307781829</v>
      </c>
      <c r="T19" s="55">
        <v>18.734565778132481</v>
      </c>
      <c r="U19" s="55">
        <v>23.142734307789091</v>
      </c>
      <c r="V19" s="55">
        <v>28.652880481486751</v>
      </c>
      <c r="W19" s="55">
        <v>22.040670679256941</v>
      </c>
      <c r="X19" s="55">
        <v>17.632588134101361</v>
      </c>
      <c r="Y19" s="55">
        <v>18.707824591546281</v>
      </c>
      <c r="DA19" s="101" t="s">
        <v>1006</v>
      </c>
    </row>
    <row r="20" spans="1:105" x14ac:dyDescent="0.25">
      <c r="A20" s="61" t="s">
        <v>166</v>
      </c>
      <c r="B20" s="55">
        <v>80.245920587044466</v>
      </c>
      <c r="C20" s="55">
        <v>56.223117323914252</v>
      </c>
      <c r="D20" s="55">
        <v>62.889761585887001</v>
      </c>
      <c r="E20" s="55">
        <v>60.601833096420869</v>
      </c>
      <c r="F20" s="55">
        <v>55.503759850687118</v>
      </c>
      <c r="G20" s="55">
        <v>47.819900816288012</v>
      </c>
      <c r="H20" s="55">
        <v>60.196883688385498</v>
      </c>
      <c r="I20" s="55">
        <v>59.994803793943383</v>
      </c>
      <c r="J20" s="55">
        <v>64.062892957453755</v>
      </c>
      <c r="K20" s="55">
        <v>64.994896666451226</v>
      </c>
      <c r="L20" s="55">
        <v>78.039398484481467</v>
      </c>
      <c r="M20" s="55">
        <v>73.789520778814094</v>
      </c>
      <c r="N20" s="55">
        <v>64.160003552265863</v>
      </c>
      <c r="O20" s="55">
        <v>91.296380171427842</v>
      </c>
      <c r="P20" s="55">
        <v>84.661471144897021</v>
      </c>
      <c r="Q20" s="55">
        <v>96.440041556083344</v>
      </c>
      <c r="R20" s="55">
        <v>96.509604066427073</v>
      </c>
      <c r="S20" s="55">
        <v>99.48636695704198</v>
      </c>
      <c r="T20" s="55">
        <v>118.9684131703945</v>
      </c>
      <c r="U20" s="55">
        <v>114.3638301784211</v>
      </c>
      <c r="V20" s="55">
        <v>115.2895112828196</v>
      </c>
      <c r="W20" s="55">
        <v>111.4614556115511</v>
      </c>
      <c r="X20" s="55">
        <v>108.69563586366171</v>
      </c>
      <c r="Y20" s="55">
        <v>104.5458222427991</v>
      </c>
      <c r="DA20" s="101" t="s">
        <v>1007</v>
      </c>
    </row>
    <row r="21" spans="1:105" x14ac:dyDescent="0.25">
      <c r="A21" s="61" t="s">
        <v>129</v>
      </c>
      <c r="B21" s="55">
        <v>16.40395528801978</v>
      </c>
      <c r="C21" s="55">
        <v>20.2637145313636</v>
      </c>
      <c r="D21" s="55">
        <v>16.403955288024161</v>
      </c>
      <c r="E21" s="55">
        <v>14.474032674092159</v>
      </c>
      <c r="F21" s="55">
        <v>3.8597592433286532</v>
      </c>
      <c r="G21" s="55">
        <v>2.8948409286292418</v>
      </c>
      <c r="H21" s="55">
        <v>2.8948409286285011</v>
      </c>
      <c r="I21" s="55">
        <v>3.8406706792672032</v>
      </c>
      <c r="J21" s="55">
        <v>2.8804815133239998</v>
      </c>
      <c r="K21" s="55">
        <v>1.920292347374958</v>
      </c>
      <c r="L21" s="55">
        <v>1.920292347373094</v>
      </c>
      <c r="M21" s="55">
        <v>1.92029234737383</v>
      </c>
      <c r="N21" s="55">
        <v>0.96018916594849335</v>
      </c>
      <c r="O21" s="55">
        <v>0.96018916594783799</v>
      </c>
      <c r="P21" s="55">
        <v>0.96018916594901327</v>
      </c>
      <c r="Q21" s="55">
        <v>0.96018916594848014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1" t="s">
        <v>1008</v>
      </c>
    </row>
    <row r="22" spans="1:105" x14ac:dyDescent="0.25">
      <c r="A22" s="61" t="s">
        <v>169</v>
      </c>
      <c r="B22" s="55">
        <v>119.13122054370869</v>
      </c>
      <c r="C22" s="55">
        <v>132.6719779575788</v>
      </c>
      <c r="D22" s="55">
        <v>135.9255336318318</v>
      </c>
      <c r="E22" s="55">
        <v>125.8243866509894</v>
      </c>
      <c r="F22" s="55">
        <v>138.45211584584121</v>
      </c>
      <c r="G22" s="55">
        <v>141.45075669293419</v>
      </c>
      <c r="H22" s="55">
        <v>125.7917757306511</v>
      </c>
      <c r="I22" s="55">
        <v>100.19128126575561</v>
      </c>
      <c r="J22" s="55">
        <v>110.5509052972923</v>
      </c>
      <c r="K22" s="55">
        <v>84.790577755054827</v>
      </c>
      <c r="L22" s="55">
        <v>82.036310162842</v>
      </c>
      <c r="M22" s="55">
        <v>82.040497926257274</v>
      </c>
      <c r="N22" s="55">
        <v>64.758659610210429</v>
      </c>
      <c r="O22" s="55">
        <v>67.065930775690163</v>
      </c>
      <c r="P22" s="55">
        <v>92.972726072208516</v>
      </c>
      <c r="Q22" s="55">
        <v>82.528137496407837</v>
      </c>
      <c r="R22" s="55">
        <v>104.9269810200821</v>
      </c>
      <c r="S22" s="55">
        <v>89.419488729078566</v>
      </c>
      <c r="T22" s="55">
        <v>82.505184657280054</v>
      </c>
      <c r="U22" s="55">
        <v>94.209348389894373</v>
      </c>
      <c r="V22" s="55">
        <v>105.9322171362345</v>
      </c>
      <c r="W22" s="55">
        <v>102.29819894030599</v>
      </c>
      <c r="X22" s="55">
        <v>70.735766141547998</v>
      </c>
      <c r="Y22" s="55">
        <v>63.189651168374333</v>
      </c>
      <c r="DA22" s="101" t="s">
        <v>1009</v>
      </c>
    </row>
    <row r="23" spans="1:105" x14ac:dyDescent="0.25">
      <c r="A23" s="61" t="s">
        <v>164</v>
      </c>
      <c r="B23" s="55">
        <v>25.986414445354882</v>
      </c>
      <c r="C23" s="55">
        <v>26.177472055003289</v>
      </c>
      <c r="D23" s="55">
        <v>27.467239896778398</v>
      </c>
      <c r="E23" s="55">
        <v>26.703009458248609</v>
      </c>
      <c r="F23" s="55">
        <v>11.70343938088855</v>
      </c>
      <c r="G23" s="55">
        <v>10.963026655188409</v>
      </c>
      <c r="H23" s="55">
        <v>10.22261392947734</v>
      </c>
      <c r="I23" s="55">
        <v>10.50920034390928</v>
      </c>
      <c r="J23" s="55">
        <v>7.5714531384256194</v>
      </c>
      <c r="K23" s="55">
        <v>9.7687876182159297</v>
      </c>
      <c r="L23" s="55">
        <v>10.0553740326512</v>
      </c>
      <c r="M23" s="55">
        <v>10.246517626807741</v>
      </c>
      <c r="N23" s="55">
        <v>10.24651762680972</v>
      </c>
      <c r="O23" s="55">
        <v>8.1685296646408716</v>
      </c>
      <c r="P23" s="55">
        <v>8.383490971615366</v>
      </c>
      <c r="Q23" s="55">
        <v>9.7210662080658548</v>
      </c>
      <c r="R23" s="55">
        <v>15.166723989662479</v>
      </c>
      <c r="S23" s="55">
        <v>13.661994840903381</v>
      </c>
      <c r="T23" s="55">
        <v>13.064918314684199</v>
      </c>
      <c r="U23" s="55">
        <v>12.92158211519944</v>
      </c>
      <c r="V23" s="55">
        <v>10.91530524504577</v>
      </c>
      <c r="W23" s="55">
        <v>10.93912295785726</v>
      </c>
      <c r="X23" s="55">
        <v>11.512381771258649</v>
      </c>
      <c r="Y23" s="55">
        <v>11.48847807392997</v>
      </c>
      <c r="DA23" s="101" t="s">
        <v>1010</v>
      </c>
    </row>
    <row r="24" spans="1:105" x14ac:dyDescent="0.25">
      <c r="A24" s="61" t="s">
        <v>152</v>
      </c>
      <c r="B24" s="55">
        <v>0.728423298318984</v>
      </c>
      <c r="C24" s="55">
        <v>0.7284764189969607</v>
      </c>
      <c r="D24" s="55">
        <v>0.73896457054996112</v>
      </c>
      <c r="E24" s="55">
        <v>0.74436158287534548</v>
      </c>
      <c r="F24" s="55">
        <v>7.3387982033310646</v>
      </c>
      <c r="G24" s="55">
        <v>8.728979168670298</v>
      </c>
      <c r="H24" s="55">
        <v>9.2135022684107533</v>
      </c>
      <c r="I24" s="55">
        <v>8.6307161455578658</v>
      </c>
      <c r="J24" s="55">
        <v>8.9044500643963094</v>
      </c>
      <c r="K24" s="55">
        <v>8.0266413036365929</v>
      </c>
      <c r="L24" s="55">
        <v>8.5496354386155851</v>
      </c>
      <c r="M24" s="55">
        <v>8.9579512635285283</v>
      </c>
      <c r="N24" s="55">
        <v>9.2421800416355975</v>
      </c>
      <c r="O24" s="55">
        <v>7.5276077470938381</v>
      </c>
      <c r="P24" s="55">
        <v>21.961795329280552</v>
      </c>
      <c r="Q24" s="55">
        <v>20.784060668355</v>
      </c>
      <c r="R24" s="55">
        <v>20.635251381035999</v>
      </c>
      <c r="S24" s="55">
        <v>23.53822653421561</v>
      </c>
      <c r="T24" s="55">
        <v>27.369635171769421</v>
      </c>
      <c r="U24" s="55">
        <v>26.954090160685372</v>
      </c>
      <c r="V24" s="55">
        <v>24.767901237756931</v>
      </c>
      <c r="W24" s="55">
        <v>23.959384778026571</v>
      </c>
      <c r="X24" s="55">
        <v>28.821712931200562</v>
      </c>
      <c r="Y24" s="55">
        <v>29.75598936174762</v>
      </c>
      <c r="DA24" s="101" t="s">
        <v>1011</v>
      </c>
    </row>
    <row r="25" spans="1:105" x14ac:dyDescent="0.25">
      <c r="A25" s="256" t="s">
        <v>167</v>
      </c>
      <c r="B25" s="257">
        <v>29.450390161068469</v>
      </c>
      <c r="C25" s="257">
        <v>26.0327086684341</v>
      </c>
      <c r="D25" s="257">
        <v>27.155656352458632</v>
      </c>
      <c r="E25" s="257">
        <v>25.54849726913433</v>
      </c>
      <c r="F25" s="257">
        <v>23.9425614456758</v>
      </c>
      <c r="G25" s="257">
        <v>22.619084914061961</v>
      </c>
      <c r="H25" s="257">
        <v>23.41472076142573</v>
      </c>
      <c r="I25" s="257">
        <v>21.258559287697079</v>
      </c>
      <c r="J25" s="257">
        <v>22.667707577554619</v>
      </c>
      <c r="K25" s="257">
        <v>19.70512793464157</v>
      </c>
      <c r="L25" s="257">
        <v>22.41068561666739</v>
      </c>
      <c r="M25" s="257">
        <v>21.966707959515048</v>
      </c>
      <c r="N25" s="257">
        <v>17.898684233244051</v>
      </c>
      <c r="O25" s="257">
        <v>24.652030538342121</v>
      </c>
      <c r="P25" s="257">
        <v>27.061358952412451</v>
      </c>
      <c r="Q25" s="257">
        <v>27.64570026512067</v>
      </c>
      <c r="R25" s="257">
        <v>30.459409244009478</v>
      </c>
      <c r="S25" s="257">
        <v>29.01588721940433</v>
      </c>
      <c r="T25" s="257">
        <v>31.453321124189792</v>
      </c>
      <c r="U25" s="257">
        <v>32.161961767496102</v>
      </c>
      <c r="V25" s="257">
        <v>33.456659452200228</v>
      </c>
      <c r="W25" s="257">
        <v>31.923545232757359</v>
      </c>
      <c r="X25" s="257">
        <v>28.68754918762378</v>
      </c>
      <c r="Y25" s="257">
        <v>27.42210350933135</v>
      </c>
      <c r="DA25" s="272" t="s">
        <v>1012</v>
      </c>
    </row>
    <row r="26" spans="1:105" x14ac:dyDescent="0.25">
      <c r="A26" s="256" t="s">
        <v>170</v>
      </c>
      <c r="B26" s="257">
        <v>14.52117205467697</v>
      </c>
      <c r="C26" s="257">
        <v>14.439489412648109</v>
      </c>
      <c r="D26" s="257">
        <v>15.583354451836909</v>
      </c>
      <c r="E26" s="257">
        <v>15.402348749600449</v>
      </c>
      <c r="F26" s="257">
        <v>15.52618099469988</v>
      </c>
      <c r="G26" s="257">
        <v>13.78060557703305</v>
      </c>
      <c r="H26" s="257">
        <v>13.38564161800789</v>
      </c>
      <c r="I26" s="257">
        <v>13.553174126702199</v>
      </c>
      <c r="J26" s="257">
        <v>13.71663725966398</v>
      </c>
      <c r="K26" s="257">
        <v>11.52937027021691</v>
      </c>
      <c r="L26" s="257">
        <v>11.436363894333921</v>
      </c>
      <c r="M26" s="257">
        <v>11.48297424800327</v>
      </c>
      <c r="N26" s="257">
        <v>11.09784346133746</v>
      </c>
      <c r="O26" s="257">
        <v>11.04071871325583</v>
      </c>
      <c r="P26" s="257">
        <v>12.57188735983801</v>
      </c>
      <c r="Q26" s="257">
        <v>13.20340333602719</v>
      </c>
      <c r="R26" s="257">
        <v>13.91472448371079</v>
      </c>
      <c r="S26" s="257">
        <v>13.81517101745251</v>
      </c>
      <c r="T26" s="257">
        <v>15.09781211654971</v>
      </c>
      <c r="U26" s="257">
        <v>15.542300025833461</v>
      </c>
      <c r="V26" s="257">
        <v>15.68932595202266</v>
      </c>
      <c r="W26" s="257">
        <v>14.95090609977041</v>
      </c>
      <c r="X26" s="257">
        <v>14.56519168038316</v>
      </c>
      <c r="Y26" s="257">
        <v>13.132009923914589</v>
      </c>
      <c r="DA26" s="272" t="s">
        <v>1013</v>
      </c>
    </row>
    <row r="27" spans="1:105" x14ac:dyDescent="0.25">
      <c r="A27" s="128" t="s">
        <v>33</v>
      </c>
      <c r="B27" s="258">
        <v>21.055699479281611</v>
      </c>
      <c r="C27" s="258">
        <v>20.937259648339769</v>
      </c>
      <c r="D27" s="258">
        <v>22.595863955163519</v>
      </c>
      <c r="E27" s="258">
        <v>22.333405686920649</v>
      </c>
      <c r="F27" s="258">
        <v>22.512962442314819</v>
      </c>
      <c r="G27" s="258">
        <v>19.981878086697929</v>
      </c>
      <c r="H27" s="258">
        <v>19.409180346111441</v>
      </c>
      <c r="I27" s="258">
        <v>19.652102483718188</v>
      </c>
      <c r="J27" s="258">
        <v>19.889124026512778</v>
      </c>
      <c r="K27" s="258">
        <v>16.71758689181452</v>
      </c>
      <c r="L27" s="258">
        <v>16.582727646784189</v>
      </c>
      <c r="M27" s="258">
        <v>16.65031265960474</v>
      </c>
      <c r="N27" s="258">
        <v>16.091873018939321</v>
      </c>
      <c r="O27" s="258">
        <v>16.009042134220959</v>
      </c>
      <c r="P27" s="258">
        <v>18.229236671765111</v>
      </c>
      <c r="Q27" s="258">
        <v>19.144934837239418</v>
      </c>
      <c r="R27" s="258">
        <v>20.176350501380639</v>
      </c>
      <c r="S27" s="258">
        <v>20.03199797530614</v>
      </c>
      <c r="T27" s="258">
        <v>21.89182756899708</v>
      </c>
      <c r="U27" s="258">
        <v>22.536335037458521</v>
      </c>
      <c r="V27" s="258">
        <v>22.74952263043285</v>
      </c>
      <c r="W27" s="258">
        <v>21.678813844667101</v>
      </c>
      <c r="X27" s="258">
        <v>21.119527936555599</v>
      </c>
      <c r="Y27" s="258">
        <v>19.041414389676149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0.99999999999999989</v>
      </c>
      <c r="D31" s="235">
        <f t="shared" si="9"/>
        <v>0.99999999999999978</v>
      </c>
      <c r="E31" s="235">
        <f t="shared" si="9"/>
        <v>0.99999999999999989</v>
      </c>
      <c r="F31" s="235">
        <f t="shared" si="9"/>
        <v>1.0000000000000002</v>
      </c>
      <c r="G31" s="235">
        <f t="shared" si="9"/>
        <v>0.99999999999999978</v>
      </c>
      <c r="H31" s="235">
        <f t="shared" si="9"/>
        <v>1</v>
      </c>
      <c r="I31" s="235">
        <f t="shared" si="9"/>
        <v>0.99999999999999989</v>
      </c>
      <c r="J31" s="235">
        <f t="shared" si="9"/>
        <v>1</v>
      </c>
      <c r="K31" s="235">
        <f t="shared" si="9"/>
        <v>1</v>
      </c>
      <c r="L31" s="235">
        <f t="shared" si="9"/>
        <v>1.0000000000000002</v>
      </c>
      <c r="M31" s="235">
        <f t="shared" si="9"/>
        <v>1.0000000000000002</v>
      </c>
      <c r="N31" s="235">
        <f t="shared" si="9"/>
        <v>0.99999999999999989</v>
      </c>
      <c r="O31" s="235">
        <f t="shared" si="9"/>
        <v>1.0000000000000002</v>
      </c>
      <c r="P31" s="235">
        <f t="shared" si="9"/>
        <v>0.99999999999999989</v>
      </c>
      <c r="Q31" s="235">
        <f t="shared" si="9"/>
        <v>0.99999999999999956</v>
      </c>
      <c r="R31" s="235">
        <f t="shared" ref="R31:W31" si="10">SUM(R32:R40)</f>
        <v>1.0000000000000002</v>
      </c>
      <c r="S31" s="235">
        <f t="shared" si="10"/>
        <v>1</v>
      </c>
      <c r="T31" s="235">
        <f t="shared" si="10"/>
        <v>1.0000000000000002</v>
      </c>
      <c r="U31" s="235">
        <f t="shared" si="10"/>
        <v>1</v>
      </c>
      <c r="V31" s="235">
        <f t="shared" si="10"/>
        <v>1</v>
      </c>
      <c r="W31" s="235">
        <f t="shared" si="10"/>
        <v>0.99999999999999989</v>
      </c>
      <c r="X31" s="235">
        <f t="shared" ref="X31:Y31" si="11">SUM(X32:X40)</f>
        <v>0.99999999999999989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2.1629801750363484E-2</v>
      </c>
      <c r="C32" s="244">
        <f t="shared" si="12"/>
        <v>2.2774558903940395E-2</v>
      </c>
      <c r="D32" s="244">
        <f t="shared" si="12"/>
        <v>2.3835505776364303E-2</v>
      </c>
      <c r="E32" s="244">
        <f t="shared" si="12"/>
        <v>2.4996848478561103E-2</v>
      </c>
      <c r="F32" s="244">
        <f t="shared" si="12"/>
        <v>2.646626563376454E-2</v>
      </c>
      <c r="G32" s="244">
        <f t="shared" si="12"/>
        <v>2.4585385897956606E-2</v>
      </c>
      <c r="H32" s="244">
        <f t="shared" si="12"/>
        <v>2.4320758719724708E-2</v>
      </c>
      <c r="I32" s="244">
        <f t="shared" si="12"/>
        <v>2.7195426721636048E-2</v>
      </c>
      <c r="J32" s="244">
        <f t="shared" si="12"/>
        <v>2.6039734505658423E-2</v>
      </c>
      <c r="K32" s="244">
        <f t="shared" si="12"/>
        <v>2.6090948461544833E-2</v>
      </c>
      <c r="L32" s="244">
        <f t="shared" si="12"/>
        <v>2.3431910280433229E-2</v>
      </c>
      <c r="M32" s="244">
        <f t="shared" si="12"/>
        <v>2.3762902720309238E-2</v>
      </c>
      <c r="N32" s="244">
        <f t="shared" si="12"/>
        <v>2.7801789978906453E-2</v>
      </c>
      <c r="O32" s="244">
        <f t="shared" si="12"/>
        <v>2.1114807702738939E-2</v>
      </c>
      <c r="P32" s="244">
        <f t="shared" si="12"/>
        <v>2.1123672790274845E-2</v>
      </c>
      <c r="Q32" s="244">
        <f t="shared" si="12"/>
        <v>2.2109744549652355E-2</v>
      </c>
      <c r="R32" s="244">
        <f t="shared" si="12"/>
        <v>2.0863261547992215E-2</v>
      </c>
      <c r="S32" s="244">
        <f t="shared" si="12"/>
        <v>2.1980288922696923E-2</v>
      </c>
      <c r="T32" s="244">
        <f t="shared" si="12"/>
        <v>2.2549984944053594E-2</v>
      </c>
      <c r="U32" s="244">
        <f t="shared" si="12"/>
        <v>2.2425644236439359E-2</v>
      </c>
      <c r="V32" s="244">
        <f t="shared" si="12"/>
        <v>2.1710821308552355E-2</v>
      </c>
      <c r="W32" s="244">
        <f t="shared" si="12"/>
        <v>2.1738811750116535E-2</v>
      </c>
      <c r="X32" s="244">
        <f t="shared" si="12"/>
        <v>2.3687258991712229E-2</v>
      </c>
      <c r="Y32" s="244">
        <f t="shared" si="12"/>
        <v>2.2532628236593084E-2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1.4059371137736263E-2</v>
      </c>
      <c r="C33" s="245">
        <f t="shared" si="13"/>
        <v>1.4803463287561254E-2</v>
      </c>
      <c r="D33" s="245">
        <f t="shared" si="13"/>
        <v>1.5493078754636794E-2</v>
      </c>
      <c r="E33" s="245">
        <f t="shared" si="13"/>
        <v>1.6247951511064711E-2</v>
      </c>
      <c r="F33" s="245">
        <f t="shared" si="13"/>
        <v>1.7203072661946948E-2</v>
      </c>
      <c r="G33" s="245">
        <f t="shared" si="13"/>
        <v>1.5980500833671786E-2</v>
      </c>
      <c r="H33" s="245">
        <f t="shared" si="13"/>
        <v>1.5808493167821049E-2</v>
      </c>
      <c r="I33" s="245">
        <f t="shared" si="13"/>
        <v>1.7677027369063424E-2</v>
      </c>
      <c r="J33" s="245">
        <f t="shared" si="13"/>
        <v>1.6925827428677976E-2</v>
      </c>
      <c r="K33" s="245">
        <f t="shared" si="13"/>
        <v>1.6959116500004132E-2</v>
      </c>
      <c r="L33" s="245">
        <f t="shared" si="13"/>
        <v>1.52307416822816E-2</v>
      </c>
      <c r="M33" s="245">
        <f t="shared" si="13"/>
        <v>1.5445886768201002E-2</v>
      </c>
      <c r="N33" s="245">
        <f t="shared" si="13"/>
        <v>1.8071163486289194E-2</v>
      </c>
      <c r="O33" s="245">
        <f t="shared" si="13"/>
        <v>1.3724625006780304E-2</v>
      </c>
      <c r="P33" s="245">
        <f t="shared" si="13"/>
        <v>1.3730387313678647E-2</v>
      </c>
      <c r="Q33" s="245">
        <f t="shared" si="13"/>
        <v>1.4371333957274024E-2</v>
      </c>
      <c r="R33" s="245">
        <f t="shared" si="13"/>
        <v>1.3561120006194933E-2</v>
      </c>
      <c r="S33" s="245">
        <f t="shared" si="13"/>
        <v>1.4287187799752989E-2</v>
      </c>
      <c r="T33" s="245">
        <f t="shared" si="13"/>
        <v>1.4657490213634836E-2</v>
      </c>
      <c r="U33" s="245">
        <f t="shared" si="13"/>
        <v>1.4576668753685584E-2</v>
      </c>
      <c r="V33" s="245">
        <f t="shared" si="13"/>
        <v>1.4112033850559019E-2</v>
      </c>
      <c r="W33" s="245">
        <f t="shared" si="13"/>
        <v>1.413022763757575E-2</v>
      </c>
      <c r="X33" s="245">
        <f t="shared" si="13"/>
        <v>1.5396718344612953E-2</v>
      </c>
      <c r="Y33" s="245">
        <f t="shared" si="13"/>
        <v>1.4646208353785495E-2</v>
      </c>
      <c r="DA33" s="276"/>
    </row>
    <row r="34" spans="1:105" x14ac:dyDescent="0.25">
      <c r="A34" s="240" t="s">
        <v>123</v>
      </c>
      <c r="B34" s="245">
        <f t="shared" ref="B34:Y34" si="14">IF(B$8=0,0,B$8/B$5)</f>
        <v>1.9466821575327128E-2</v>
      </c>
      <c r="C34" s="245">
        <f t="shared" si="14"/>
        <v>2.0497103013546358E-2</v>
      </c>
      <c r="D34" s="245">
        <f t="shared" si="14"/>
        <v>2.1451955198727876E-2</v>
      </c>
      <c r="E34" s="245">
        <f t="shared" si="14"/>
        <v>2.2497163630704985E-2</v>
      </c>
      <c r="F34" s="245">
        <f t="shared" si="14"/>
        <v>2.3819639070388081E-2</v>
      </c>
      <c r="G34" s="245">
        <f t="shared" si="14"/>
        <v>2.2126847308160936E-2</v>
      </c>
      <c r="H34" s="245">
        <f t="shared" si="14"/>
        <v>2.1888682847752236E-2</v>
      </c>
      <c r="I34" s="245">
        <f t="shared" si="14"/>
        <v>2.4475884049472443E-2</v>
      </c>
      <c r="J34" s="245">
        <f t="shared" si="14"/>
        <v>2.34357610550926E-2</v>
      </c>
      <c r="K34" s="245">
        <f t="shared" si="14"/>
        <v>2.348185361539035E-2</v>
      </c>
      <c r="L34" s="245">
        <f t="shared" si="14"/>
        <v>2.108871925238991E-2</v>
      </c>
      <c r="M34" s="245">
        <f t="shared" si="14"/>
        <v>2.1386612448278306E-2</v>
      </c>
      <c r="N34" s="245">
        <f t="shared" si="14"/>
        <v>2.5021610981015817E-2</v>
      </c>
      <c r="O34" s="245">
        <f t="shared" si="14"/>
        <v>1.9003326932465047E-2</v>
      </c>
      <c r="P34" s="245">
        <f t="shared" si="14"/>
        <v>1.9011305511247363E-2</v>
      </c>
      <c r="Q34" s="245">
        <f t="shared" si="14"/>
        <v>1.9898770094687119E-2</v>
      </c>
      <c r="R34" s="245">
        <f t="shared" si="14"/>
        <v>1.877693539319299E-2</v>
      </c>
      <c r="S34" s="245">
        <f t="shared" si="14"/>
        <v>1.9782260030427216E-2</v>
      </c>
      <c r="T34" s="245">
        <f t="shared" si="14"/>
        <v>2.0294986449648222E-2</v>
      </c>
      <c r="U34" s="245">
        <f t="shared" si="14"/>
        <v>2.0183079812795417E-2</v>
      </c>
      <c r="V34" s="245">
        <f t="shared" si="14"/>
        <v>1.9539739177697114E-2</v>
      </c>
      <c r="W34" s="245">
        <f t="shared" si="14"/>
        <v>1.9564930575104882E-2</v>
      </c>
      <c r="X34" s="245">
        <f t="shared" si="14"/>
        <v>2.1318533092541017E-2</v>
      </c>
      <c r="Y34" s="245">
        <f t="shared" si="14"/>
        <v>2.0279365412933775E-2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0.20495009292873895</v>
      </c>
      <c r="C35" s="246">
        <f t="shared" si="15"/>
        <v>0.20856830770240864</v>
      </c>
      <c r="D35" s="246">
        <f t="shared" si="15"/>
        <v>0.20764578055360194</v>
      </c>
      <c r="E35" s="246">
        <f t="shared" si="15"/>
        <v>0.20658567960985338</v>
      </c>
      <c r="F35" s="246">
        <f t="shared" si="15"/>
        <v>0.21156902240449627</v>
      </c>
      <c r="G35" s="246">
        <f t="shared" si="15"/>
        <v>0.21515789439053185</v>
      </c>
      <c r="H35" s="246">
        <f t="shared" si="15"/>
        <v>0.21203283564997824</v>
      </c>
      <c r="I35" s="246">
        <f t="shared" si="15"/>
        <v>0.20753128415983335</v>
      </c>
      <c r="J35" s="246">
        <f t="shared" si="15"/>
        <v>0.20892790268353426</v>
      </c>
      <c r="K35" s="246">
        <f t="shared" si="15"/>
        <v>0.20742746044015653</v>
      </c>
      <c r="L35" s="246">
        <f t="shared" si="15"/>
        <v>0.20639250916766774</v>
      </c>
      <c r="M35" s="246">
        <f t="shared" si="15"/>
        <v>0.20622570832600476</v>
      </c>
      <c r="N35" s="246">
        <f t="shared" si="15"/>
        <v>0.20473965455803866</v>
      </c>
      <c r="O35" s="246">
        <f t="shared" si="15"/>
        <v>0.20315653402838738</v>
      </c>
      <c r="P35" s="246">
        <f t="shared" si="15"/>
        <v>0.20840785194227929</v>
      </c>
      <c r="Q35" s="246">
        <f t="shared" si="15"/>
        <v>0.20587422090221907</v>
      </c>
      <c r="R35" s="246">
        <f t="shared" si="15"/>
        <v>0.20804948923432734</v>
      </c>
      <c r="S35" s="246">
        <f t="shared" si="15"/>
        <v>0.2066539123167859</v>
      </c>
      <c r="T35" s="246">
        <f t="shared" si="15"/>
        <v>0.20517070243570304</v>
      </c>
      <c r="U35" s="246">
        <f t="shared" si="15"/>
        <v>0.20598330346726235</v>
      </c>
      <c r="V35" s="246">
        <f t="shared" si="15"/>
        <v>0.20701437459997696</v>
      </c>
      <c r="W35" s="246">
        <f t="shared" si="15"/>
        <v>0.20758225014948667</v>
      </c>
      <c r="X35" s="246">
        <f t="shared" si="15"/>
        <v>0.20416700919628281</v>
      </c>
      <c r="Y35" s="246">
        <f t="shared" si="15"/>
        <v>0.20474279944867244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0.22828779654398104</v>
      </c>
      <c r="C36" s="259">
        <f t="shared" si="16"/>
        <v>0.21367724312976671</v>
      </c>
      <c r="D36" s="259">
        <f t="shared" si="16"/>
        <v>0.21615461025214414</v>
      </c>
      <c r="E36" s="259">
        <f t="shared" si="16"/>
        <v>0.21577664756905024</v>
      </c>
      <c r="F36" s="259">
        <f t="shared" si="16"/>
        <v>0.21239261350624436</v>
      </c>
      <c r="G36" s="259">
        <f t="shared" si="16"/>
        <v>0.2100025332280771</v>
      </c>
      <c r="H36" s="259">
        <f t="shared" si="16"/>
        <v>0.22139493690191397</v>
      </c>
      <c r="I36" s="259">
        <f t="shared" si="16"/>
        <v>0.2219879824732908</v>
      </c>
      <c r="J36" s="259">
        <f t="shared" si="16"/>
        <v>0.22394288844738819</v>
      </c>
      <c r="K36" s="259">
        <f t="shared" si="16"/>
        <v>0.23206215166160996</v>
      </c>
      <c r="L36" s="259">
        <f t="shared" si="16"/>
        <v>0.23895473964074307</v>
      </c>
      <c r="M36" s="259">
        <f t="shared" si="16"/>
        <v>0.23656519640265902</v>
      </c>
      <c r="N36" s="259">
        <f t="shared" si="16"/>
        <v>0.23334368163881455</v>
      </c>
      <c r="O36" s="259">
        <f t="shared" si="16"/>
        <v>0.24534841576872582</v>
      </c>
      <c r="P36" s="259">
        <f t="shared" si="16"/>
        <v>0.23662429234648788</v>
      </c>
      <c r="Q36" s="259">
        <f t="shared" si="16"/>
        <v>0.24091631160058205</v>
      </c>
      <c r="R36" s="259">
        <f t="shared" si="16"/>
        <v>0.23766752457666773</v>
      </c>
      <c r="S36" s="259">
        <f t="shared" si="16"/>
        <v>0.24024467024119056</v>
      </c>
      <c r="T36" s="259">
        <f t="shared" si="16"/>
        <v>0.24447785386681997</v>
      </c>
      <c r="U36" s="259">
        <f t="shared" si="16"/>
        <v>0.24149767117693954</v>
      </c>
      <c r="V36" s="259">
        <f t="shared" si="16"/>
        <v>0.2409324621302821</v>
      </c>
      <c r="W36" s="259">
        <f t="shared" si="16"/>
        <v>0.24155730694730501</v>
      </c>
      <c r="X36" s="259">
        <f t="shared" si="16"/>
        <v>0.24279113622415785</v>
      </c>
      <c r="Y36" s="259">
        <f t="shared" si="16"/>
        <v>0.24486245013335997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0.41474569918177184</v>
      </c>
      <c r="C37" s="259">
        <f t="shared" si="17"/>
        <v>0.42282179165331046</v>
      </c>
      <c r="D37" s="259">
        <f t="shared" si="17"/>
        <v>0.41548617057935838</v>
      </c>
      <c r="E37" s="259">
        <f t="shared" si="17"/>
        <v>0.41119014937461063</v>
      </c>
      <c r="F37" s="259">
        <f t="shared" si="17"/>
        <v>0.40289402521353479</v>
      </c>
      <c r="G37" s="259">
        <f t="shared" si="17"/>
        <v>0.41155890602842787</v>
      </c>
      <c r="H37" s="259">
        <f t="shared" si="17"/>
        <v>0.40242555167921484</v>
      </c>
      <c r="I37" s="259">
        <f t="shared" si="17"/>
        <v>0.39184675893960735</v>
      </c>
      <c r="J37" s="259">
        <f t="shared" si="17"/>
        <v>0.39389804404712514</v>
      </c>
      <c r="K37" s="259">
        <f t="shared" si="17"/>
        <v>0.38546296920652789</v>
      </c>
      <c r="L37" s="259">
        <f t="shared" si="17"/>
        <v>0.39157605518431693</v>
      </c>
      <c r="M37" s="259">
        <f t="shared" si="17"/>
        <v>0.3929366077116786</v>
      </c>
      <c r="N37" s="259">
        <f t="shared" si="17"/>
        <v>0.37806878085959433</v>
      </c>
      <c r="O37" s="259">
        <f t="shared" si="17"/>
        <v>0.39877526893295429</v>
      </c>
      <c r="P37" s="259">
        <f t="shared" si="17"/>
        <v>0.40388016202365096</v>
      </c>
      <c r="Q37" s="259">
        <f t="shared" si="17"/>
        <v>0.39636666774454593</v>
      </c>
      <c r="R37" s="259">
        <f t="shared" si="17"/>
        <v>0.40429688294579658</v>
      </c>
      <c r="S37" s="259">
        <f t="shared" si="17"/>
        <v>0.39703495730862964</v>
      </c>
      <c r="T37" s="259">
        <f t="shared" si="17"/>
        <v>0.39062306194544599</v>
      </c>
      <c r="U37" s="259">
        <f t="shared" si="17"/>
        <v>0.39398501408172237</v>
      </c>
      <c r="V37" s="259">
        <f t="shared" si="17"/>
        <v>0.39720187626371245</v>
      </c>
      <c r="W37" s="259">
        <f t="shared" si="17"/>
        <v>0.39574913455048288</v>
      </c>
      <c r="X37" s="259">
        <f t="shared" si="17"/>
        <v>0.38795121944091382</v>
      </c>
      <c r="Y37" s="259">
        <f t="shared" si="17"/>
        <v>0.39067924882550392</v>
      </c>
      <c r="DA37" s="278"/>
    </row>
    <row r="38" spans="1:105" x14ac:dyDescent="0.25">
      <c r="A38" s="127" t="s">
        <v>167</v>
      </c>
      <c r="B38" s="259">
        <f t="shared" ref="B38:Y38" si="18">IF(B$25=0,0,B$25/B$5)</f>
        <v>4.3867402593690756E-2</v>
      </c>
      <c r="C38" s="259">
        <f t="shared" si="18"/>
        <v>4.1059862994812159E-2</v>
      </c>
      <c r="D38" s="259">
        <f t="shared" si="18"/>
        <v>4.1535909733073806E-2</v>
      </c>
      <c r="E38" s="259">
        <f t="shared" si="18"/>
        <v>4.1463281053680183E-2</v>
      </c>
      <c r="F38" s="259">
        <f t="shared" si="18"/>
        <v>4.0813010706902048E-2</v>
      </c>
      <c r="G38" s="259">
        <f t="shared" si="18"/>
        <v>4.0353736863179959E-2</v>
      </c>
      <c r="H38" s="259">
        <f t="shared" si="18"/>
        <v>4.2542882170269407E-2</v>
      </c>
      <c r="I38" s="259">
        <f t="shared" si="18"/>
        <v>4.2656840819088264E-2</v>
      </c>
      <c r="J38" s="259">
        <f t="shared" si="18"/>
        <v>4.3032492293660303E-2</v>
      </c>
      <c r="K38" s="259">
        <f t="shared" si="18"/>
        <v>4.4592676383981546E-2</v>
      </c>
      <c r="L38" s="259">
        <f t="shared" si="18"/>
        <v>4.5917144605106167E-2</v>
      </c>
      <c r="M38" s="259">
        <f t="shared" si="18"/>
        <v>4.5457973958111596E-2</v>
      </c>
      <c r="N38" s="259">
        <f t="shared" si="18"/>
        <v>4.4838933049020056E-2</v>
      </c>
      <c r="O38" s="259">
        <f t="shared" si="18"/>
        <v>4.7145742756237952E-2</v>
      </c>
      <c r="P38" s="259">
        <f t="shared" si="18"/>
        <v>4.5469329736207646E-2</v>
      </c>
      <c r="Q38" s="259">
        <f t="shared" si="18"/>
        <v>4.62940770043909E-2</v>
      </c>
      <c r="R38" s="259">
        <f t="shared" si="18"/>
        <v>4.5669795503247401E-2</v>
      </c>
      <c r="S38" s="259">
        <f t="shared" si="18"/>
        <v>4.6165015519909293E-2</v>
      </c>
      <c r="T38" s="259">
        <f t="shared" si="18"/>
        <v>4.6978457031763093E-2</v>
      </c>
      <c r="U38" s="259">
        <f t="shared" si="18"/>
        <v>4.6405790091878923E-2</v>
      </c>
      <c r="V38" s="259">
        <f t="shared" si="18"/>
        <v>4.62971804632668E-2</v>
      </c>
      <c r="W38" s="259">
        <f t="shared" si="18"/>
        <v>4.6417249602142795E-2</v>
      </c>
      <c r="X38" s="259">
        <f t="shared" si="18"/>
        <v>4.6654340180084207E-2</v>
      </c>
      <c r="Y38" s="259">
        <f t="shared" si="18"/>
        <v>4.7052360409498319E-2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2.1629801750363484E-2</v>
      </c>
      <c r="C39" s="259">
        <f t="shared" si="19"/>
        <v>2.2774558903940395E-2</v>
      </c>
      <c r="D39" s="259">
        <f t="shared" si="19"/>
        <v>2.3835505776364303E-2</v>
      </c>
      <c r="E39" s="259">
        <f t="shared" si="19"/>
        <v>2.4996848478561103E-2</v>
      </c>
      <c r="F39" s="259">
        <f t="shared" si="19"/>
        <v>2.646626563376454E-2</v>
      </c>
      <c r="G39" s="259">
        <f t="shared" si="19"/>
        <v>2.4585385897956606E-2</v>
      </c>
      <c r="H39" s="259">
        <f t="shared" si="19"/>
        <v>2.4320758719724708E-2</v>
      </c>
      <c r="I39" s="259">
        <f t="shared" si="19"/>
        <v>2.7195426721636048E-2</v>
      </c>
      <c r="J39" s="259">
        <f t="shared" si="19"/>
        <v>2.6039734505658423E-2</v>
      </c>
      <c r="K39" s="259">
        <f t="shared" si="19"/>
        <v>2.6090948461544833E-2</v>
      </c>
      <c r="L39" s="259">
        <f t="shared" si="19"/>
        <v>2.3431910280433229E-2</v>
      </c>
      <c r="M39" s="259">
        <f t="shared" si="19"/>
        <v>2.3762902720309238E-2</v>
      </c>
      <c r="N39" s="259">
        <f t="shared" si="19"/>
        <v>2.7801789978906453E-2</v>
      </c>
      <c r="O39" s="259">
        <f t="shared" si="19"/>
        <v>2.1114807702738939E-2</v>
      </c>
      <c r="P39" s="259">
        <f t="shared" si="19"/>
        <v>2.1123672790274845E-2</v>
      </c>
      <c r="Q39" s="259">
        <f t="shared" si="19"/>
        <v>2.2109744549652355E-2</v>
      </c>
      <c r="R39" s="259">
        <f t="shared" si="19"/>
        <v>2.0863261547992215E-2</v>
      </c>
      <c r="S39" s="259">
        <f t="shared" si="19"/>
        <v>2.1980288922696923E-2</v>
      </c>
      <c r="T39" s="259">
        <f t="shared" si="19"/>
        <v>2.2549984944053594E-2</v>
      </c>
      <c r="U39" s="259">
        <f t="shared" si="19"/>
        <v>2.2425644236439359E-2</v>
      </c>
      <c r="V39" s="259">
        <f t="shared" si="19"/>
        <v>2.1710821308552355E-2</v>
      </c>
      <c r="W39" s="259">
        <f t="shared" si="19"/>
        <v>2.1738811750116535E-2</v>
      </c>
      <c r="X39" s="259">
        <f t="shared" si="19"/>
        <v>2.3687258991712229E-2</v>
      </c>
      <c r="Y39" s="259">
        <f t="shared" si="19"/>
        <v>2.2532628236593084E-2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3.1363212538027055E-2</v>
      </c>
      <c r="C40" s="261">
        <f t="shared" si="20"/>
        <v>3.3023110410713589E-2</v>
      </c>
      <c r="D40" s="261">
        <f t="shared" si="20"/>
        <v>3.4561483375728244E-2</v>
      </c>
      <c r="E40" s="261">
        <f t="shared" si="20"/>
        <v>3.6245430293913597E-2</v>
      </c>
      <c r="F40" s="261">
        <f t="shared" si="20"/>
        <v>3.8376085168958574E-2</v>
      </c>
      <c r="G40" s="261">
        <f t="shared" si="20"/>
        <v>3.5648809552037086E-2</v>
      </c>
      <c r="H40" s="261">
        <f t="shared" si="20"/>
        <v>3.5265100143600826E-2</v>
      </c>
      <c r="I40" s="261">
        <f t="shared" si="20"/>
        <v>3.9433368746372266E-2</v>
      </c>
      <c r="J40" s="261">
        <f t="shared" si="20"/>
        <v>3.7757615033204732E-2</v>
      </c>
      <c r="K40" s="261">
        <f t="shared" si="20"/>
        <v>3.7831875269240006E-2</v>
      </c>
      <c r="L40" s="261">
        <f t="shared" si="20"/>
        <v>3.3976269906628193E-2</v>
      </c>
      <c r="M40" s="261">
        <f t="shared" si="20"/>
        <v>3.445620894444839E-2</v>
      </c>
      <c r="N40" s="261">
        <f t="shared" si="20"/>
        <v>4.0312595469414361E-2</v>
      </c>
      <c r="O40" s="261">
        <f t="shared" si="20"/>
        <v>3.0616471168971475E-2</v>
      </c>
      <c r="P40" s="261">
        <f t="shared" si="20"/>
        <v>3.062932554589852E-2</v>
      </c>
      <c r="Q40" s="261">
        <f t="shared" si="20"/>
        <v>3.2059129596995903E-2</v>
      </c>
      <c r="R40" s="261">
        <f t="shared" si="20"/>
        <v>3.0251729244588701E-2</v>
      </c>
      <c r="S40" s="261">
        <f t="shared" si="20"/>
        <v>3.1871418937910539E-2</v>
      </c>
      <c r="T40" s="261">
        <f t="shared" si="20"/>
        <v>3.2697478168877712E-2</v>
      </c>
      <c r="U40" s="261">
        <f t="shared" si="20"/>
        <v>3.2517184142837073E-2</v>
      </c>
      <c r="V40" s="261">
        <f t="shared" si="20"/>
        <v>3.1480690897400902E-2</v>
      </c>
      <c r="W40" s="261">
        <f t="shared" si="20"/>
        <v>3.1521277037668979E-2</v>
      </c>
      <c r="X40" s="261">
        <f t="shared" si="20"/>
        <v>3.4346525537982758E-2</v>
      </c>
      <c r="Y40" s="261">
        <f t="shared" si="20"/>
        <v>3.267231094305996E-2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112.47171201628665</v>
      </c>
      <c r="C44" s="236">
        <f t="shared" si="21"/>
        <v>109.81942433546159</v>
      </c>
      <c r="D44" s="236">
        <f t="shared" si="21"/>
        <v>113.80906613357635</v>
      </c>
      <c r="E44" s="236">
        <f t="shared" si="21"/>
        <v>119.53787119840246</v>
      </c>
      <c r="F44" s="236">
        <f t="shared" si="21"/>
        <v>117.3061606093235</v>
      </c>
      <c r="G44" s="236">
        <f t="shared" si="21"/>
        <v>134.29403412451353</v>
      </c>
      <c r="H44" s="236">
        <f t="shared" si="21"/>
        <v>130.05722800154635</v>
      </c>
      <c r="I44" s="236">
        <f t="shared" si="21"/>
        <v>117.81469406104156</v>
      </c>
      <c r="J44" s="236">
        <f t="shared" si="21"/>
        <v>123.4961911829885</v>
      </c>
      <c r="K44" s="236">
        <f t="shared" si="21"/>
        <v>137.83360398812141</v>
      </c>
      <c r="L44" s="236">
        <f t="shared" si="21"/>
        <v>128.47617233393541</v>
      </c>
      <c r="M44" s="236">
        <f t="shared" si="21"/>
        <v>116.0213122138336</v>
      </c>
      <c r="N44" s="236">
        <f t="shared" si="21"/>
        <v>118.3121684496124</v>
      </c>
      <c r="O44" s="236">
        <f t="shared" si="21"/>
        <v>117.89482713876829</v>
      </c>
      <c r="P44" s="236">
        <f t="shared" si="21"/>
        <v>114.21265320772919</v>
      </c>
      <c r="Q44" s="236">
        <f t="shared" si="21"/>
        <v>116.67728719019783</v>
      </c>
      <c r="R44" s="236">
        <f t="shared" si="21"/>
        <v>118.41249825520165</v>
      </c>
      <c r="S44" s="236">
        <f t="shared" si="21"/>
        <v>109.25986032686184</v>
      </c>
      <c r="T44" s="236">
        <f t="shared" si="21"/>
        <v>115.03952384499108</v>
      </c>
      <c r="U44" s="236">
        <f t="shared" si="21"/>
        <v>114.31053707016741</v>
      </c>
      <c r="V44" s="236">
        <f t="shared" si="21"/>
        <v>121.02278233994653</v>
      </c>
      <c r="W44" s="236">
        <f t="shared" si="21"/>
        <v>115.61293230102247</v>
      </c>
      <c r="X44" s="236">
        <f t="shared" si="21"/>
        <v>98.926512660278405</v>
      </c>
      <c r="Y44" s="236">
        <f t="shared" si="21"/>
        <v>101.37891512464499</v>
      </c>
      <c r="DA44" s="280"/>
    </row>
    <row r="45" spans="1:105" x14ac:dyDescent="0.25">
      <c r="A45" s="238" t="s">
        <v>125</v>
      </c>
      <c r="B45" s="247">
        <f>IF(B$6=0,0,B$6/AGR!B$5*1000)</f>
        <v>2.4327408334362546</v>
      </c>
      <c r="C45" s="247">
        <f>IF(C$6=0,0,C$6/AGR!C$5*1000)</f>
        <v>2.5010889483247953</v>
      </c>
      <c r="D45" s="247">
        <f>IF(D$6=0,0,D$6/AGR!D$5*1000)</f>
        <v>2.7126966532294867</v>
      </c>
      <c r="E45" s="247">
        <f>IF(E$6=0,0,E$6/AGR!E$5*1000)</f>
        <v>2.9880700537962195</v>
      </c>
      <c r="F45" s="247">
        <f>IF(F$6=0,0,F$6/AGR!F$5*1000)</f>
        <v>3.1046560071634017</v>
      </c>
      <c r="G45" s="247">
        <f>IF(G$6=0,0,G$6/AGR!G$5*1000)</f>
        <v>3.3016706527445185</v>
      </c>
      <c r="H45" s="247">
        <f>IF(H$6=0,0,H$6/AGR!H$5*1000)</f>
        <v>3.1630904619818327</v>
      </c>
      <c r="I45" s="247">
        <f>IF(I$6=0,0,I$6/AGR!I$5*1000)</f>
        <v>3.2040208790690254</v>
      </c>
      <c r="J45" s="247">
        <f>IF(J$6=0,0,J$6/AGR!J$5*1000)</f>
        <v>3.2158080308650554</v>
      </c>
      <c r="K45" s="247">
        <f>IF(K$6=0,0,K$6/AGR!K$5*1000)</f>
        <v>3.5962094579230559</v>
      </c>
      <c r="L45" s="247">
        <f>IF(L$6=0,0,L$6/AGR!L$5*1000)</f>
        <v>3.0104421433022517</v>
      </c>
      <c r="M45" s="247">
        <f>IF(M$6=0,0,M$6/AGR!M$5*1000)</f>
        <v>2.757003155619953</v>
      </c>
      <c r="N45" s="247">
        <f>IF(N$6=0,0,N$6/AGR!N$5*1000)</f>
        <v>3.2892900591851268</v>
      </c>
      <c r="O45" s="247">
        <f>IF(O$6=0,0,O$6/AGR!O$5*1000)</f>
        <v>2.4893266041827404</v>
      </c>
      <c r="P45" s="247">
        <f>IF(P$6=0,0,P$6/AGR!P$5*1000)</f>
        <v>2.4125907148692058</v>
      </c>
      <c r="Q45" s="247">
        <f>IF(Q$6=0,0,Q$6/AGR!Q$5*1000)</f>
        <v>2.5797050145217</v>
      </c>
      <c r="R45" s="247">
        <f>IF(R$6=0,0,R$6/AGR!R$5*1000)</f>
        <v>2.4704709216494436</v>
      </c>
      <c r="S45" s="247">
        <f>IF(S$6=0,0,S$6/AGR!S$5*1000)</f>
        <v>2.4015632976379342</v>
      </c>
      <c r="T45" s="247">
        <f>IF(T$6=0,0,T$6/AGR!T$5*1000)</f>
        <v>2.5941395306756427</v>
      </c>
      <c r="U45" s="247">
        <f>IF(U$6=0,0,U$6/AGR!U$5*1000)</f>
        <v>2.5634874368118878</v>
      </c>
      <c r="V45" s="247">
        <f>IF(V$6=0,0,V$6/AGR!V$5*1000)</f>
        <v>2.6275040016464049</v>
      </c>
      <c r="W45" s="247">
        <f>IF(W$6=0,0,W$6/AGR!W$5*1000)</f>
        <v>2.5132877711708947</v>
      </c>
      <c r="X45" s="247">
        <f>IF(X$6=0,0,X$6/AGR!X$5*1000)</f>
        <v>2.3432979265309135</v>
      </c>
      <c r="Y45" s="247">
        <f>IF(Y$6=0,0,Y$6/AGR!Y$5*1000)</f>
        <v>2.2843334055327489</v>
      </c>
      <c r="DA45" s="281"/>
    </row>
    <row r="46" spans="1:105" x14ac:dyDescent="0.25">
      <c r="A46" s="240" t="s">
        <v>124</v>
      </c>
      <c r="B46" s="248">
        <f>IF(B$7=0,0,B$7/AGR!B$5*1000)</f>
        <v>1.5812815417335653</v>
      </c>
      <c r="C46" s="248">
        <f>IF(C$7=0,0,C$7/AGR!C$5*1000)</f>
        <v>1.6257078164111167</v>
      </c>
      <c r="D46" s="248">
        <f>IF(D$7=0,0,D$7/AGR!D$5*1000)</f>
        <v>1.7632528245991661</v>
      </c>
      <c r="E46" s="248">
        <f>IF(E$7=0,0,E$7/AGR!E$5*1000)</f>
        <v>1.9422455349675423</v>
      </c>
      <c r="F46" s="248">
        <f>IF(F$7=0,0,F$7/AGR!F$5*1000)</f>
        <v>2.0180264046562111</v>
      </c>
      <c r="G46" s="248">
        <f>IF(G$7=0,0,G$7/AGR!G$5*1000)</f>
        <v>2.1460859242839363</v>
      </c>
      <c r="H46" s="248">
        <f>IF(H$7=0,0,H$7/AGR!H$5*1000)</f>
        <v>2.0560088002881898</v>
      </c>
      <c r="I46" s="248">
        <f>IF(I$7=0,0,I$7/AGR!I$5*1000)</f>
        <v>2.0826135713948659</v>
      </c>
      <c r="J46" s="248">
        <f>IF(J$7=0,0,J$7/AGR!J$5*1000)</f>
        <v>2.0902752200622858</v>
      </c>
      <c r="K46" s="248">
        <f>IF(K$7=0,0,K$7/AGR!K$5*1000)</f>
        <v>2.3375361476499856</v>
      </c>
      <c r="L46" s="248">
        <f>IF(L$7=0,0,L$7/AGR!L$5*1000)</f>
        <v>1.9567873931464639</v>
      </c>
      <c r="M46" s="248">
        <f>IF(M$7=0,0,M$7/AGR!M$5*1000)</f>
        <v>1.7920520511529694</v>
      </c>
      <c r="N46" s="248">
        <f>IF(N$7=0,0,N$7/AGR!N$5*1000)</f>
        <v>2.1380385384703327</v>
      </c>
      <c r="O46" s="248">
        <f>IF(O$7=0,0,O$7/AGR!O$5*1000)</f>
        <v>1.6180622927187804</v>
      </c>
      <c r="P46" s="248">
        <f>IF(P$7=0,0,P$7/AGR!P$5*1000)</f>
        <v>1.5681839646649836</v>
      </c>
      <c r="Q46" s="248">
        <f>IF(Q$7=0,0,Q$7/AGR!Q$5*1000)</f>
        <v>1.6768082594391043</v>
      </c>
      <c r="R46" s="248">
        <f>IF(R$7=0,0,R$7/AGR!R$5*1000)</f>
        <v>1.6058060990721377</v>
      </c>
      <c r="S46" s="248">
        <f>IF(S$7=0,0,S$7/AGR!S$5*1000)</f>
        <v>1.5610161434646561</v>
      </c>
      <c r="T46" s="248">
        <f>IF(T$7=0,0,T$7/AGR!T$5*1000)</f>
        <v>1.6861906949391678</v>
      </c>
      <c r="U46" s="248">
        <f>IF(U$7=0,0,U$7/AGR!U$5*1000)</f>
        <v>1.6662668339277271</v>
      </c>
      <c r="V46" s="248">
        <f>IF(V$7=0,0,V$7/AGR!V$5*1000)</f>
        <v>1.7078776010701617</v>
      </c>
      <c r="W46" s="248">
        <f>IF(W$7=0,0,W$7/AGR!W$5*1000)</f>
        <v>1.6336370512610818</v>
      </c>
      <c r="X46" s="248">
        <f>IF(X$7=0,0,X$7/AGR!X$5*1000)</f>
        <v>1.5231436522450943</v>
      </c>
      <c r="Y46" s="248">
        <f>IF(Y$7=0,0,Y$7/AGR!Y$5*1000)</f>
        <v>1.484816713596286</v>
      </c>
      <c r="DA46" s="282"/>
    </row>
    <row r="47" spans="1:105" x14ac:dyDescent="0.25">
      <c r="A47" s="240" t="s">
        <v>123</v>
      </c>
      <c r="B47" s="248">
        <f>IF(B$8=0,0,B$8/AGR!B$5*1000)</f>
        <v>2.1894667500926284</v>
      </c>
      <c r="C47" s="248">
        <f>IF(C$8=0,0,C$8/AGR!C$5*1000)</f>
        <v>2.2509800534923161</v>
      </c>
      <c r="D47" s="248">
        <f>IF(D$8=0,0,D$8/AGR!D$5*1000)</f>
        <v>2.4414269879065382</v>
      </c>
      <c r="E47" s="248">
        <f>IF(E$8=0,0,E$8/AGR!E$5*1000)</f>
        <v>2.6892630484165969</v>
      </c>
      <c r="F47" s="248">
        <f>IF(F$8=0,0,F$8/AGR!F$5*1000)</f>
        <v>2.7941904064470613</v>
      </c>
      <c r="G47" s="248">
        <f>IF(G$8=0,0,G$8/AGR!G$5*1000)</f>
        <v>2.9715035874700657</v>
      </c>
      <c r="H47" s="248">
        <f>IF(H$8=0,0,H$8/AGR!H$5*1000)</f>
        <v>2.8467814157836493</v>
      </c>
      <c r="I47" s="248">
        <f>IF(I$8=0,0,I$8/AGR!I$5*1000)</f>
        <v>2.8836187911621232</v>
      </c>
      <c r="J47" s="248">
        <f>IF(J$8=0,0,J$8/AGR!J$5*1000)</f>
        <v>2.8942272277785523</v>
      </c>
      <c r="K47" s="248">
        <f>IF(K$8=0,0,K$8/AGR!K$5*1000)</f>
        <v>3.2365885121307509</v>
      </c>
      <c r="L47" s="248">
        <f>IF(L$8=0,0,L$8/AGR!L$5*1000)</f>
        <v>2.7093979289720269</v>
      </c>
      <c r="M47" s="248">
        <f>IF(M$8=0,0,M$8/AGR!M$5*1000)</f>
        <v>2.4813028400579573</v>
      </c>
      <c r="N47" s="248">
        <f>IF(N$8=0,0,N$8/AGR!N$5*1000)</f>
        <v>2.9603610532666154</v>
      </c>
      <c r="O47" s="248">
        <f>IF(O$8=0,0,O$8/AGR!O$5*1000)</f>
        <v>2.2403939437644662</v>
      </c>
      <c r="P47" s="248">
        <f>IF(P$8=0,0,P$8/AGR!P$5*1000)</f>
        <v>2.1713316433822856</v>
      </c>
      <c r="Q47" s="248">
        <f>IF(Q$8=0,0,Q$8/AGR!Q$5*1000)</f>
        <v>2.3217345130695297</v>
      </c>
      <c r="R47" s="248">
        <f>IF(R$8=0,0,R$8/AGR!R$5*1000)</f>
        <v>2.2234238294844988</v>
      </c>
      <c r="S47" s="248">
        <f>IF(S$8=0,0,S$8/AGR!S$5*1000)</f>
        <v>2.161406967874139</v>
      </c>
      <c r="T47" s="248">
        <f>IF(T$8=0,0,T$8/AGR!T$5*1000)</f>
        <v>2.3347255776080771</v>
      </c>
      <c r="U47" s="248">
        <f>IF(U$8=0,0,U$8/AGR!U$5*1000)</f>
        <v>2.3071386931306983</v>
      </c>
      <c r="V47" s="248">
        <f>IF(V$8=0,0,V$8/AGR!V$5*1000)</f>
        <v>2.3647536014817634</v>
      </c>
      <c r="W47" s="248">
        <f>IF(W$8=0,0,W$8/AGR!W$5*1000)</f>
        <v>2.2619589940538054</v>
      </c>
      <c r="X47" s="248">
        <f>IF(X$8=0,0,X$8/AGR!X$5*1000)</f>
        <v>2.108968133877823</v>
      </c>
      <c r="Y47" s="248">
        <f>IF(Y$8=0,0,Y$8/AGR!Y$5*1000)</f>
        <v>2.0559000649794741</v>
      </c>
      <c r="DA47" s="282"/>
    </row>
    <row r="48" spans="1:105" x14ac:dyDescent="0.25">
      <c r="A48" s="242" t="s">
        <v>122</v>
      </c>
      <c r="B48" s="249">
        <f>IF(B$9=0,0,B$9/AGR!B$5*1000)</f>
        <v>23.051087829592312</v>
      </c>
      <c r="C48" s="249">
        <f>IF(C$9=0,0,C$9/AGR!C$5*1000)</f>
        <v>22.904851486499936</v>
      </c>
      <c r="D48" s="249">
        <f>IF(D$9=0,0,D$9/AGR!D$5*1000)</f>
        <v>23.631972371382972</v>
      </c>
      <c r="E48" s="249">
        <f>IF(E$9=0,0,E$9/AGR!E$5*1000)</f>
        <v>24.694812360637094</v>
      </c>
      <c r="F48" s="249">
        <f>IF(F$9=0,0,F$9/AGR!F$5*1000)</f>
        <v>24.818349722139398</v>
      </c>
      <c r="G48" s="249">
        <f>IF(G$9=0,0,G$9/AGR!G$5*1000)</f>
        <v>28.894421611440563</v>
      </c>
      <c r="H48" s="249">
        <f>IF(H$9=0,0,H$9/AGR!H$5*1000)</f>
        <v>27.576402849943623</v>
      </c>
      <c r="I48" s="249">
        <f>IF(I$9=0,0,I$9/AGR!I$5*1000)</f>
        <v>24.45023475138585</v>
      </c>
      <c r="J48" s="249">
        <f>IF(J$9=0,0,J$9/AGR!J$5*1000)</f>
        <v>25.801800213266564</v>
      </c>
      <c r="K48" s="249">
        <f>IF(K$9=0,0,K$9/AGR!K$5*1000)</f>
        <v>28.590474438570254</v>
      </c>
      <c r="L48" s="249">
        <f>IF(L$9=0,0,L$9/AGR!L$5*1000)</f>
        <v>26.51651957625862</v>
      </c>
      <c r="M48" s="249">
        <f>IF(M$9=0,0,M$9/AGR!M$5*1000)</f>
        <v>23.926577292210379</v>
      </c>
      <c r="N48" s="249">
        <f>IF(N$9=0,0,N$9/AGR!N$5*1000)</f>
        <v>24.22319249838613</v>
      </c>
      <c r="O48" s="249">
        <f>IF(O$9=0,0,O$9/AGR!O$5*1000)</f>
        <v>23.951104461388024</v>
      </c>
      <c r="P48" s="249">
        <f>IF(P$9=0,0,P$9/AGR!P$5*1000)</f>
        <v>23.802813719651315</v>
      </c>
      <c r="Q48" s="249">
        <f>IF(Q$9=0,0,Q$9/AGR!Q$5*1000)</f>
        <v>24.020845597266455</v>
      </c>
      <c r="R48" s="249">
        <f>IF(R$9=0,0,R$9/AGR!R$5*1000)</f>
        <v>24.635659780955379</v>
      </c>
      <c r="S48" s="249">
        <f>IF(S$9=0,0,S$9/AGR!S$5*1000)</f>
        <v>22.57897759573158</v>
      </c>
      <c r="T48" s="249">
        <f>IF(T$9=0,0,T$9/AGR!T$5*1000)</f>
        <v>23.602739915145623</v>
      </c>
      <c r="U48" s="249">
        <f>IF(U$9=0,0,U$9/AGR!U$5*1000)</f>
        <v>23.546062046830038</v>
      </c>
      <c r="V48" s="249">
        <f>IF(V$9=0,0,V$9/AGR!V$5*1000)</f>
        <v>25.053455598453169</v>
      </c>
      <c r="W48" s="249">
        <f>IF(W$9=0,0,W$9/AGR!W$5*1000)</f>
        <v>23.99919263342651</v>
      </c>
      <c r="X48" s="249">
        <f>IF(X$9=0,0,X$9/AGR!X$5*1000)</f>
        <v>20.19753022006725</v>
      </c>
      <c r="Y48" s="249">
        <f>IF(Y$9=0,0,Y$9/AGR!Y$5*1000)</f>
        <v>20.756602887689173</v>
      </c>
      <c r="DA48" s="283"/>
    </row>
    <row r="49" spans="1:105" x14ac:dyDescent="0.25">
      <c r="A49" s="127" t="s">
        <v>168</v>
      </c>
      <c r="B49" s="262">
        <f>IF(B$16=0,0,B$16/AGR!B$5*1000)</f>
        <v>25.675919309727274</v>
      </c>
      <c r="C49" s="262">
        <f>IF(C$16=0,0,C$16/AGR!C$5*1000)</f>
        <v>23.465911834099447</v>
      </c>
      <c r="D49" s="262">
        <f>IF(D$16=0,0,D$16/AGR!D$5*1000)</f>
        <v>24.600354333263699</v>
      </c>
      <c r="E49" s="262">
        <f>IF(E$16=0,0,E$16/AGR!E$5*1000)</f>
        <v>25.793481104732209</v>
      </c>
      <c r="F49" s="262">
        <f>IF(F$16=0,0,F$16/AGR!F$5*1000)</f>
        <v>24.914962032197469</v>
      </c>
      <c r="G49" s="262">
        <f>IF(G$16=0,0,G$16/AGR!G$5*1000)</f>
        <v>28.202087363565678</v>
      </c>
      <c r="H49" s="262">
        <f>IF(H$16=0,0,H$16/AGR!H$5*1000)</f>
        <v>28.794011787040191</v>
      </c>
      <c r="I49" s="262">
        <f>IF(I$16=0,0,I$16/AGR!I$5*1000)</f>
        <v>26.153446240318615</v>
      </c>
      <c r="J49" s="262">
        <f>IF(J$16=0,0,J$16/AGR!J$5*1000)</f>
        <v>27.65609376576932</v>
      </c>
      <c r="K49" s="262">
        <f>IF(K$16=0,0,K$16/AGR!K$5*1000)</f>
        <v>31.985962712757722</v>
      </c>
      <c r="L49" s="262">
        <f>IF(L$16=0,0,L$16/AGR!L$5*1000)</f>
        <v>30.699990310094769</v>
      </c>
      <c r="M49" s="262">
        <f>IF(M$16=0,0,M$16/AGR!M$5*1000)</f>
        <v>27.446604510759759</v>
      </c>
      <c r="N49" s="262">
        <f>IF(N$16=0,0,N$16/AGR!N$5*1000)</f>
        <v>27.607396968704162</v>
      </c>
      <c r="O49" s="262">
        <f>IF(O$16=0,0,O$16/AGR!O$5*1000)</f>
        <v>28.925309065824578</v>
      </c>
      <c r="P49" s="262">
        <f>IF(P$16=0,0,P$16/AGR!P$5*1000)</f>
        <v>27.025488242293743</v>
      </c>
      <c r="Q49" s="262">
        <f>IF(Q$16=0,0,Q$16/AGR!Q$5*1000)</f>
        <v>28.109461677424314</v>
      </c>
      <c r="R49" s="262">
        <f>IF(R$16=0,0,R$16/AGR!R$5*1000)</f>
        <v>28.142805339252757</v>
      </c>
      <c r="S49" s="262">
        <f>IF(S$16=0,0,S$16/AGR!S$5*1000)</f>
        <v>26.249099114825459</v>
      </c>
      <c r="T49" s="262">
        <f>IF(T$16=0,0,T$16/AGR!T$5*1000)</f>
        <v>28.124615899484276</v>
      </c>
      <c r="U49" s="262">
        <f>IF(U$16=0,0,U$16/AGR!U$5*1000)</f>
        <v>27.605728493430654</v>
      </c>
      <c r="V49" s="262">
        <f>IF(V$16=0,0,V$16/AGR!V$5*1000)</f>
        <v>29.158316923020543</v>
      </c>
      <c r="W49" s="262">
        <f>IF(W$16=0,0,W$16/AGR!W$5*1000)</f>
        <v>27.927148574916078</v>
      </c>
      <c r="X49" s="262">
        <f>IF(X$16=0,0,X$16/AGR!X$5*1000)</f>
        <v>24.018480411482535</v>
      </c>
      <c r="Y49" s="262">
        <f>IF(Y$16=0,0,Y$16/AGR!Y$5*1000)</f>
        <v>24.823889549282512</v>
      </c>
      <c r="DA49" s="284"/>
    </row>
    <row r="50" spans="1:105" x14ac:dyDescent="0.25">
      <c r="A50" s="127" t="s">
        <v>121</v>
      </c>
      <c r="B50" s="262">
        <f>IF(B$17=0,0,B$17/AGR!B$5*1000)</f>
        <v>46.647158838365698</v>
      </c>
      <c r="C50" s="262">
        <f>IF(C$17=0,0,C$17/AGR!C$5*1000)</f>
        <v>46.434045755855038</v>
      </c>
      <c r="D50" s="262">
        <f>IF(D$17=0,0,D$17/AGR!D$5*1000)</f>
        <v>47.286093065052597</v>
      </c>
      <c r="E50" s="262">
        <f>IF(E$17=0,0,E$17/AGR!E$5*1000)</f>
        <v>49.152795113994067</v>
      </c>
      <c r="F50" s="262">
        <f>IF(F$17=0,0,F$17/AGR!F$5*1000)</f>
        <v>47.261951230235745</v>
      </c>
      <c r="G50" s="262">
        <f>IF(G$17=0,0,G$17/AGR!G$5*1000)</f>
        <v>55.269905770429162</v>
      </c>
      <c r="H50" s="262">
        <f>IF(H$17=0,0,H$17/AGR!H$5*1000)</f>
        <v>52.338351728391714</v>
      </c>
      <c r="I50" s="262">
        <f>IF(I$17=0,0,I$17/AGR!I$5*1000)</f>
        <v>46.16530602328055</v>
      </c>
      <c r="J50" s="262">
        <f>IF(J$17=0,0,J$17/AGR!J$5*1000)</f>
        <v>48.644908154248988</v>
      </c>
      <c r="K50" s="262">
        <f>IF(K$17=0,0,K$17/AGR!K$5*1000)</f>
        <v>53.129750249697999</v>
      </c>
      <c r="L50" s="262">
        <f>IF(L$17=0,0,L$17/AGR!L$5*1000)</f>
        <v>50.308192747702897</v>
      </c>
      <c r="M50" s="262">
        <f>IF(M$17=0,0,M$17/AGR!M$5*1000)</f>
        <v>45.589020843561308</v>
      </c>
      <c r="N50" s="262">
        <f>IF(N$17=0,0,N$17/AGR!N$5*1000)</f>
        <v>44.730137286599934</v>
      </c>
      <c r="O50" s="262">
        <f>IF(O$17=0,0,O$17/AGR!O$5*1000)</f>
        <v>47.013541398066479</v>
      </c>
      <c r="P50" s="262">
        <f>IF(P$17=0,0,P$17/AGR!P$5*1000)</f>
        <v>46.12822488268872</v>
      </c>
      <c r="Q50" s="262">
        <f>IF(Q$17=0,0,Q$17/AGR!Q$5*1000)</f>
        <v>46.24698752505212</v>
      </c>
      <c r="R50" s="262">
        <f>IF(R$17=0,0,R$17/AGR!R$5*1000)</f>
        <v>47.873803946402603</v>
      </c>
      <c r="S50" s="262">
        <f>IF(S$17=0,0,S$17/AGR!S$5*1000)</f>
        <v>43.379983980422431</v>
      </c>
      <c r="T50" s="262">
        <f>IF(T$17=0,0,T$17/AGR!T$5*1000)</f>
        <v>44.937091049076557</v>
      </c>
      <c r="U50" s="262">
        <f>IF(U$17=0,0,U$17/AGR!U$5*1000)</f>
        <v>45.036638557279154</v>
      </c>
      <c r="V50" s="262">
        <f>IF(V$17=0,0,V$17/AGR!V$5*1000)</f>
        <v>48.070476216081644</v>
      </c>
      <c r="W50" s="262">
        <f>IF(W$17=0,0,W$17/AGR!W$5*1000)</f>
        <v>45.753717900973214</v>
      </c>
      <c r="X50" s="262">
        <f>IF(X$17=0,0,X$17/AGR!X$5*1000)</f>
        <v>38.378661221592012</v>
      </c>
      <c r="Y50" s="262">
        <f>IF(Y$17=0,0,Y$17/AGR!Y$5*1000)</f>
        <v>39.606638407640816</v>
      </c>
      <c r="DA50" s="284"/>
    </row>
    <row r="51" spans="1:105" x14ac:dyDescent="0.25">
      <c r="A51" s="127" t="s">
        <v>167</v>
      </c>
      <c r="B51" s="262">
        <f>IF(B$25=0,0,B$25/AGR!B$5*1000)</f>
        <v>4.9338418714200927</v>
      </c>
      <c r="C51" s="262">
        <f>IF(C$25=0,0,C$25/AGR!C$5*1000)</f>
        <v>4.5091705173831942</v>
      </c>
      <c r="D51" s="262">
        <f>IF(D$25=0,0,D$25/AGR!D$5*1000)</f>
        <v>4.7271630977296555</v>
      </c>
      <c r="E51" s="262">
        <f>IF(E$25=0,0,E$25/AGR!E$5*1000)</f>
        <v>4.956432350057983</v>
      </c>
      <c r="F51" s="262">
        <f>IF(F$25=0,0,F$25/AGR!F$5*1000)</f>
        <v>4.7876175889338901</v>
      </c>
      <c r="G51" s="262">
        <f>IF(G$25=0,0,G$25/AGR!G$5*1000)</f>
        <v>5.4192661153555308</v>
      </c>
      <c r="H51" s="262">
        <f>IF(H$25=0,0,H$25/AGR!H$5*1000)</f>
        <v>5.5330093262616487</v>
      </c>
      <c r="I51" s="262">
        <f>IF(I$25=0,0,I$25/AGR!I$5*1000)</f>
        <v>5.0256026507114342</v>
      </c>
      <c r="J51" s="262">
        <f>IF(J$25=0,0,J$25/AGR!J$5*1000)</f>
        <v>5.3143488953783518</v>
      </c>
      <c r="K51" s="262">
        <f>IF(K$25=0,0,K$25/AGR!K$5*1000)</f>
        <v>6.1463692974801658</v>
      </c>
      <c r="L51" s="262">
        <f>IF(L$25=0,0,L$25/AGR!L$5*1000)</f>
        <v>5.8992589833678517</v>
      </c>
      <c r="M51" s="262">
        <f>IF(M$25=0,0,M$25/AGR!M$5*1000)</f>
        <v>5.2740937892023814</v>
      </c>
      <c r="N51" s="262">
        <f>IF(N$25=0,0,N$25/AGR!N$5*1000)</f>
        <v>5.3049913999965543</v>
      </c>
      <c r="O51" s="262">
        <f>IF(O$25=0,0,O$25/AGR!O$5*1000)</f>
        <v>5.5582391925755097</v>
      </c>
      <c r="P51" s="262">
        <f>IF(P$25=0,0,P$25/AGR!P$5*1000)</f>
        <v>5.1931727887493722</v>
      </c>
      <c r="Q51" s="262">
        <f>IF(Q$25=0,0,Q$25/AGR!Q$5*1000)</f>
        <v>5.4014673178464525</v>
      </c>
      <c r="R51" s="262">
        <f>IF(R$25=0,0,R$25/AGR!R$5*1000)</f>
        <v>5.4078745803436981</v>
      </c>
      <c r="S51" s="262">
        <f>IF(S$25=0,0,S$25/AGR!S$5*1000)</f>
        <v>5.0439831476926988</v>
      </c>
      <c r="T51" s="262">
        <f>IF(T$25=0,0,T$25/AGR!T$5*1000)</f>
        <v>5.4043793279063985</v>
      </c>
      <c r="U51" s="262">
        <f>IF(U$25=0,0,U$25/AGR!U$5*1000)</f>
        <v>5.3046707885681341</v>
      </c>
      <c r="V51" s="262">
        <f>IF(V$25=0,0,V$25/AGR!V$5*1000)</f>
        <v>5.6030135941591626</v>
      </c>
      <c r="W51" s="262">
        <f>IF(W$25=0,0,W$25/AGR!W$5*1000)</f>
        <v>5.3664343358521975</v>
      </c>
      <c r="X51" s="262">
        <f>IF(X$25=0,0,X$25/AGR!X$5*1000)</f>
        <v>4.6153511744820364</v>
      </c>
      <c r="Y51" s="262">
        <f>IF(Y$25=0,0,Y$25/AGR!Y$5*1000)</f>
        <v>4.7701172523687365</v>
      </c>
      <c r="DA51" s="284"/>
    </row>
    <row r="52" spans="1:105" x14ac:dyDescent="0.25">
      <c r="A52" s="127" t="s">
        <v>170</v>
      </c>
      <c r="B52" s="262">
        <f>IF(B$26=0,0,B$26/AGR!B$5*1000)</f>
        <v>2.4327408334362546</v>
      </c>
      <c r="C52" s="262">
        <f>IF(C$26=0,0,C$26/AGR!C$5*1000)</f>
        <v>2.5010889483247953</v>
      </c>
      <c r="D52" s="262">
        <f>IF(D$26=0,0,D$26/AGR!D$5*1000)</f>
        <v>2.7126966532294867</v>
      </c>
      <c r="E52" s="262">
        <f>IF(E$26=0,0,E$26/AGR!E$5*1000)</f>
        <v>2.9880700537962195</v>
      </c>
      <c r="F52" s="262">
        <f>IF(F$26=0,0,F$26/AGR!F$5*1000)</f>
        <v>3.1046560071634017</v>
      </c>
      <c r="G52" s="262">
        <f>IF(G$26=0,0,G$26/AGR!G$5*1000)</f>
        <v>3.3016706527445185</v>
      </c>
      <c r="H52" s="262">
        <f>IF(H$26=0,0,H$26/AGR!H$5*1000)</f>
        <v>3.1630904619818327</v>
      </c>
      <c r="I52" s="262">
        <f>IF(I$26=0,0,I$26/AGR!I$5*1000)</f>
        <v>3.2040208790690254</v>
      </c>
      <c r="J52" s="262">
        <f>IF(J$26=0,0,J$26/AGR!J$5*1000)</f>
        <v>3.2158080308650554</v>
      </c>
      <c r="K52" s="262">
        <f>IF(K$26=0,0,K$26/AGR!K$5*1000)</f>
        <v>3.5962094579230559</v>
      </c>
      <c r="L52" s="262">
        <f>IF(L$26=0,0,L$26/AGR!L$5*1000)</f>
        <v>3.0104421433022517</v>
      </c>
      <c r="M52" s="262">
        <f>IF(M$26=0,0,M$26/AGR!M$5*1000)</f>
        <v>2.757003155619953</v>
      </c>
      <c r="N52" s="262">
        <f>IF(N$26=0,0,N$26/AGR!N$5*1000)</f>
        <v>3.2892900591851268</v>
      </c>
      <c r="O52" s="262">
        <f>IF(O$26=0,0,O$26/AGR!O$5*1000)</f>
        <v>2.4893266041827404</v>
      </c>
      <c r="P52" s="262">
        <f>IF(P$26=0,0,P$26/AGR!P$5*1000)</f>
        <v>2.4125907148692058</v>
      </c>
      <c r="Q52" s="262">
        <f>IF(Q$26=0,0,Q$26/AGR!Q$5*1000)</f>
        <v>2.5797050145217</v>
      </c>
      <c r="R52" s="262">
        <f>IF(R$26=0,0,R$26/AGR!R$5*1000)</f>
        <v>2.4704709216494436</v>
      </c>
      <c r="S52" s="262">
        <f>IF(S$26=0,0,S$26/AGR!S$5*1000)</f>
        <v>2.4015632976379342</v>
      </c>
      <c r="T52" s="262">
        <f>IF(T$26=0,0,T$26/AGR!T$5*1000)</f>
        <v>2.5941395306756427</v>
      </c>
      <c r="U52" s="262">
        <f>IF(U$26=0,0,U$26/AGR!U$5*1000)</f>
        <v>2.5634874368118878</v>
      </c>
      <c r="V52" s="262">
        <f>IF(V$26=0,0,V$26/AGR!V$5*1000)</f>
        <v>2.6275040016464049</v>
      </c>
      <c r="W52" s="262">
        <f>IF(W$26=0,0,W$26/AGR!W$5*1000)</f>
        <v>2.5132877711708947</v>
      </c>
      <c r="X52" s="262">
        <f>IF(X$26=0,0,X$26/AGR!X$5*1000)</f>
        <v>2.3432979265309135</v>
      </c>
      <c r="Y52" s="262">
        <f>IF(Y$26=0,0,Y$26/AGR!Y$5*1000)</f>
        <v>2.2843334055327489</v>
      </c>
      <c r="DA52" s="284"/>
    </row>
    <row r="53" spans="1:105" x14ac:dyDescent="0.25">
      <c r="A53" s="260" t="s">
        <v>33</v>
      </c>
      <c r="B53" s="263">
        <f>IF(B$27=0,0,B$27/AGR!B$5*1000)</f>
        <v>3.5274742084825692</v>
      </c>
      <c r="C53" s="263">
        <f>IF(C$27=0,0,C$27/AGR!C$5*1000)</f>
        <v>3.6265789750709549</v>
      </c>
      <c r="D53" s="263">
        <f>IF(D$27=0,0,D$27/AGR!D$5*1000)</f>
        <v>3.9334101471827556</v>
      </c>
      <c r="E53" s="263">
        <f>IF(E$27=0,0,E$27/AGR!E$5*1000)</f>
        <v>4.3327015780045182</v>
      </c>
      <c r="F53" s="263">
        <f>IF(F$27=0,0,F$27/AGR!F$5*1000)</f>
        <v>4.5017512103869306</v>
      </c>
      <c r="G53" s="263">
        <f>IF(G$27=0,0,G$27/AGR!G$5*1000)</f>
        <v>4.7874224464795532</v>
      </c>
      <c r="H53" s="263">
        <f>IF(H$27=0,0,H$27/AGR!H$5*1000)</f>
        <v>4.5864811698736574</v>
      </c>
      <c r="I53" s="263">
        <f>IF(I$27=0,0,I$27/AGR!I$5*1000)</f>
        <v>4.6458302746500868</v>
      </c>
      <c r="J53" s="263">
        <f>IF(J$27=0,0,J$27/AGR!J$5*1000)</f>
        <v>4.6629216447543316</v>
      </c>
      <c r="K53" s="263">
        <f>IF(K$27=0,0,K$27/AGR!K$5*1000)</f>
        <v>5.2145037139884307</v>
      </c>
      <c r="L53" s="263">
        <f>IF(L$27=0,0,L$27/AGR!L$5*1000)</f>
        <v>4.3651411077882667</v>
      </c>
      <c r="M53" s="263">
        <f>IF(M$27=0,0,M$27/AGR!M$5*1000)</f>
        <v>3.9976545756489319</v>
      </c>
      <c r="N53" s="263">
        <f>IF(N$27=0,0,N$27/AGR!N$5*1000)</f>
        <v>4.7694705858184347</v>
      </c>
      <c r="O53" s="263">
        <f>IF(O$27=0,0,O$27/AGR!O$5*1000)</f>
        <v>3.6095235760649746</v>
      </c>
      <c r="P53" s="263">
        <f>IF(P$27=0,0,P$27/AGR!P$5*1000)</f>
        <v>3.4982565365603482</v>
      </c>
      <c r="Q53" s="263">
        <f>IF(Q$27=0,0,Q$27/AGR!Q$5*1000)</f>
        <v>3.7405722710564637</v>
      </c>
      <c r="R53" s="263">
        <f>IF(R$27=0,0,R$27/AGR!R$5*1000)</f>
        <v>3.5821828363916923</v>
      </c>
      <c r="S53" s="263">
        <f>IF(S$27=0,0,S$27/AGR!S$5*1000)</f>
        <v>3.4822667815750044</v>
      </c>
      <c r="T53" s="263">
        <f>IF(T$27=0,0,T$27/AGR!T$5*1000)</f>
        <v>3.7615023194796828</v>
      </c>
      <c r="U53" s="263">
        <f>IF(U$27=0,0,U$27/AGR!U$5*1000)</f>
        <v>3.7170567833772381</v>
      </c>
      <c r="V53" s="263">
        <f>IF(V$27=0,0,V$27/AGR!V$5*1000)</f>
        <v>3.8098808023872857</v>
      </c>
      <c r="W53" s="263">
        <f>IF(W$27=0,0,W$27/AGR!W$5*1000)</f>
        <v>3.6442672681977983</v>
      </c>
      <c r="X53" s="263">
        <f>IF(X$27=0,0,X$27/AGR!X$5*1000)</f>
        <v>3.3977819934698275</v>
      </c>
      <c r="Y53" s="263">
        <f>IF(Y$27=0,0,Y$27/AGR!Y$5*1000)</f>
        <v>3.3122834380224853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261.79023999277035</v>
      </c>
      <c r="C5" s="80">
        <f t="shared" ref="C5:W5" si="1">SUM(C6:C9,C16:C17,C25:C27)</f>
        <v>250.02777959106953</v>
      </c>
      <c r="D5" s="80">
        <f t="shared" si="1"/>
        <v>258.76443178223985</v>
      </c>
      <c r="E5" s="80">
        <f t="shared" si="1"/>
        <v>244.6956805904498</v>
      </c>
      <c r="F5" s="80">
        <f t="shared" si="1"/>
        <v>236.81682845219785</v>
      </c>
      <c r="G5" s="80">
        <f t="shared" si="1"/>
        <v>225.55457256717008</v>
      </c>
      <c r="H5" s="80">
        <f t="shared" si="1"/>
        <v>220.1441358314261</v>
      </c>
      <c r="I5" s="80">
        <f t="shared" si="1"/>
        <v>200.37070496781286</v>
      </c>
      <c r="J5" s="80">
        <f t="shared" si="1"/>
        <v>211.33331706495349</v>
      </c>
      <c r="K5" s="80">
        <f t="shared" si="1"/>
        <v>176.51130588594344</v>
      </c>
      <c r="L5" s="80">
        <f t="shared" si="1"/>
        <v>192.45231806889007</v>
      </c>
      <c r="M5" s="80">
        <f t="shared" si="1"/>
        <v>190.83602249454412</v>
      </c>
      <c r="N5" s="80">
        <f t="shared" si="1"/>
        <v>159.7684425402079</v>
      </c>
      <c r="O5" s="80">
        <f t="shared" si="1"/>
        <v>203.3267710301125</v>
      </c>
      <c r="P5" s="80">
        <f t="shared" si="1"/>
        <v>233.1157898534793</v>
      </c>
      <c r="Q5" s="80">
        <f t="shared" si="1"/>
        <v>233.63051939374114</v>
      </c>
      <c r="R5" s="80">
        <f t="shared" si="1"/>
        <v>260.75145135283094</v>
      </c>
      <c r="S5" s="80">
        <f t="shared" si="1"/>
        <v>245.87197302756999</v>
      </c>
      <c r="T5" s="80">
        <f t="shared" si="1"/>
        <v>261.44005684517896</v>
      </c>
      <c r="U5" s="80">
        <f t="shared" si="1"/>
        <v>271.19399266973699</v>
      </c>
      <c r="V5" s="80">
        <f t="shared" si="1"/>
        <v>282.79481567009958</v>
      </c>
      <c r="W5" s="80">
        <f t="shared" si="1"/>
        <v>269.24306724769377</v>
      </c>
      <c r="X5" s="80">
        <f t="shared" ref="X5:Y5" si="2">SUM(X6:X9,X16:X17,X25:X27)</f>
        <v>240.73432550173146</v>
      </c>
      <c r="Y5" s="80">
        <f t="shared" si="2"/>
        <v>227.09038650392989</v>
      </c>
      <c r="DA5" s="103"/>
    </row>
    <row r="6" spans="1:105" x14ac:dyDescent="0.25">
      <c r="A6" s="238" t="s">
        <v>125</v>
      </c>
      <c r="B6" s="239">
        <v>6.807280416659049</v>
      </c>
      <c r="C6" s="239">
        <v>6.7689889724581001</v>
      </c>
      <c r="D6" s="239">
        <v>7.3052136002809602</v>
      </c>
      <c r="E6" s="239">
        <v>7.2203611815162461</v>
      </c>
      <c r="F6" s="239">
        <v>7.2784116483685244</v>
      </c>
      <c r="G6" s="239">
        <v>6.4601153488864398</v>
      </c>
      <c r="H6" s="239">
        <v>6.2749629098522801</v>
      </c>
      <c r="I6" s="239">
        <v>6.3534993228425254</v>
      </c>
      <c r="J6" s="239">
        <v>6.4301280811594648</v>
      </c>
      <c r="K6" s="239">
        <v>5.4047742263050056</v>
      </c>
      <c r="L6" s="239">
        <v>5.3611744067595328</v>
      </c>
      <c r="M6" s="239">
        <v>5.3830245540170836</v>
      </c>
      <c r="N6" s="239">
        <v>5.2024817402516987</v>
      </c>
      <c r="O6" s="239">
        <v>5.1757026223224774</v>
      </c>
      <c r="P6" s="239">
        <v>5.8934886456017894</v>
      </c>
      <c r="Q6" s="239">
        <v>6.189532678503066</v>
      </c>
      <c r="R6" s="239">
        <v>6.5229880291007776</v>
      </c>
      <c r="S6" s="239">
        <v>6.4763190440685232</v>
      </c>
      <c r="T6" s="239">
        <v>7.0775995469515012</v>
      </c>
      <c r="U6" s="239">
        <v>7.2859679781577471</v>
      </c>
      <c r="V6" s="239">
        <v>7.3548912513150606</v>
      </c>
      <c r="W6" s="239">
        <v>7.0087324853020938</v>
      </c>
      <c r="X6" s="239">
        <v>6.8279160743656107</v>
      </c>
      <c r="Y6" s="239">
        <v>6.1560646516576663</v>
      </c>
      <c r="DA6" s="267" t="s">
        <v>1016</v>
      </c>
    </row>
    <row r="7" spans="1:105" x14ac:dyDescent="0.25">
      <c r="A7" s="240" t="s">
        <v>124</v>
      </c>
      <c r="B7" s="241">
        <v>4.3876880307035124</v>
      </c>
      <c r="C7" s="241">
        <v>4.3630069685002129</v>
      </c>
      <c r="D7" s="241">
        <v>4.708634919349568</v>
      </c>
      <c r="E7" s="241">
        <v>4.653942601800984</v>
      </c>
      <c r="F7" s="241">
        <v>4.6913595029706716</v>
      </c>
      <c r="G7" s="241">
        <v>4.1639199589759981</v>
      </c>
      <c r="H7" s="241">
        <v>4.0445784465244721</v>
      </c>
      <c r="I7" s="241">
        <v>4.0951997311138948</v>
      </c>
      <c r="J7" s="241">
        <v>4.1445914213477906</v>
      </c>
      <c r="K7" s="241">
        <v>3.4836912437716419</v>
      </c>
      <c r="L7" s="241">
        <v>3.4555886250088919</v>
      </c>
      <c r="M7" s="241">
        <v>3.4696723153702349</v>
      </c>
      <c r="N7" s="241">
        <v>3.3533019744262522</v>
      </c>
      <c r="O7" s="241">
        <v>3.3360412758771969</v>
      </c>
      <c r="P7" s="241">
        <v>3.7986961027947879</v>
      </c>
      <c r="Q7" s="241">
        <v>3.9895136951688719</v>
      </c>
      <c r="R7" s="241">
        <v>4.204445057040064</v>
      </c>
      <c r="S7" s="241">
        <v>4.1743641826676798</v>
      </c>
      <c r="T7" s="241">
        <v>4.5619244275987771</v>
      </c>
      <c r="U7" s="241">
        <v>4.6962299968746803</v>
      </c>
      <c r="V7" s="241">
        <v>4.7406550538958632</v>
      </c>
      <c r="W7" s="241">
        <v>4.5175356021628001</v>
      </c>
      <c r="X7" s="241">
        <v>4.4009889119340251</v>
      </c>
      <c r="Y7" s="241">
        <v>3.9679416059037589</v>
      </c>
      <c r="DA7" s="268" t="s">
        <v>1017</v>
      </c>
    </row>
    <row r="8" spans="1:105" x14ac:dyDescent="0.25">
      <c r="A8" s="240" t="s">
        <v>123</v>
      </c>
      <c r="B8" s="241">
        <v>8.7193550804826057</v>
      </c>
      <c r="C8" s="241">
        <v>8.6703080781414812</v>
      </c>
      <c r="D8" s="241">
        <v>9.3571510824997297</v>
      </c>
      <c r="E8" s="241">
        <v>9.2484647462006162</v>
      </c>
      <c r="F8" s="241">
        <v>9.3228208182428531</v>
      </c>
      <c r="G8" s="241">
        <v>8.2746759557559031</v>
      </c>
      <c r="H8" s="241">
        <v>8.0375166555447031</v>
      </c>
      <c r="I8" s="241">
        <v>8.1381129039280609</v>
      </c>
      <c r="J8" s="241">
        <v>8.236265662775299</v>
      </c>
      <c r="K8" s="241">
        <v>6.9229035274740562</v>
      </c>
      <c r="L8" s="241">
        <v>6.8670570976528893</v>
      </c>
      <c r="M8" s="241">
        <v>6.8950446610905853</v>
      </c>
      <c r="N8" s="241">
        <v>6.6637897686672707</v>
      </c>
      <c r="O8" s="241">
        <v>6.6294887521562469</v>
      </c>
      <c r="P8" s="241">
        <v>7.5488913366984507</v>
      </c>
      <c r="Q8" s="241">
        <v>7.9280902067798422</v>
      </c>
      <c r="R8" s="241">
        <v>8.3552087368513934</v>
      </c>
      <c r="S8" s="241">
        <v>8.2954310537187688</v>
      </c>
      <c r="T8" s="241">
        <v>9.0656032644561879</v>
      </c>
      <c r="U8" s="241">
        <v>9.3324996207167779</v>
      </c>
      <c r="V8" s="241">
        <v>9.4207825259570264</v>
      </c>
      <c r="W8" s="241">
        <v>8.9773923597898921</v>
      </c>
      <c r="X8" s="241">
        <v>8.7457870203836716</v>
      </c>
      <c r="Y8" s="241">
        <v>7.8852214556712523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89.949049614731734</v>
      </c>
      <c r="C9" s="243">
        <f t="shared" ref="C9:W9" si="4">SUM(C10:C15)</f>
        <v>87.560688148368257</v>
      </c>
      <c r="D9" s="243">
        <f t="shared" si="4"/>
        <v>90.036893329546359</v>
      </c>
      <c r="E9" s="243">
        <f t="shared" si="4"/>
        <v>84.753209084578373</v>
      </c>
      <c r="F9" s="243">
        <f t="shared" si="4"/>
        <v>83.527660235703138</v>
      </c>
      <c r="G9" s="243">
        <f t="shared" si="4"/>
        <v>80.862241904815875</v>
      </c>
      <c r="H9" s="243">
        <f t="shared" si="4"/>
        <v>77.778487687105141</v>
      </c>
      <c r="I9" s="243">
        <f t="shared" si="4"/>
        <v>69.548401253833532</v>
      </c>
      <c r="J9" s="243">
        <f t="shared" si="4"/>
        <v>73.602651229157516</v>
      </c>
      <c r="K9" s="243">
        <f t="shared" si="4"/>
        <v>60.98771633088748</v>
      </c>
      <c r="L9" s="243">
        <f t="shared" si="4"/>
        <v>66.13212695273107</v>
      </c>
      <c r="M9" s="243">
        <f t="shared" si="4"/>
        <v>65.631257963471882</v>
      </c>
      <c r="N9" s="243">
        <f t="shared" si="4"/>
        <v>54.734450497345989</v>
      </c>
      <c r="O9" s="243">
        <f t="shared" si="4"/>
        <v>68.738240127147591</v>
      </c>
      <c r="P9" s="243">
        <f t="shared" si="4"/>
        <v>81.859692190195815</v>
      </c>
      <c r="Q9" s="243">
        <f t="shared" si="4"/>
        <v>80.870871915548577</v>
      </c>
      <c r="R9" s="243">
        <f t="shared" si="4"/>
        <v>91.222045215632647</v>
      </c>
      <c r="S9" s="243">
        <f t="shared" si="4"/>
        <v>85.579907654453876</v>
      </c>
      <c r="T9" s="243">
        <f t="shared" si="4"/>
        <v>90.335168222036799</v>
      </c>
      <c r="U9" s="243">
        <f t="shared" si="4"/>
        <v>94.074763242499557</v>
      </c>
      <c r="V9" s="243">
        <f t="shared" si="4"/>
        <v>98.340113337075437</v>
      </c>
      <c r="W9" s="243">
        <f t="shared" si="4"/>
        <v>93.842296340450048</v>
      </c>
      <c r="X9" s="243">
        <f t="shared" ref="X9:Y9" si="5">SUM(X10:X15)</f>
        <v>83.073892485515785</v>
      </c>
      <c r="Y9" s="243">
        <f t="shared" si="5"/>
        <v>78.744517201084861</v>
      </c>
      <c r="DA9" s="269"/>
    </row>
    <row r="10" spans="1:105" x14ac:dyDescent="0.25">
      <c r="A10" s="253" t="s">
        <v>166</v>
      </c>
      <c r="B10" s="254">
        <v>30.83232946942805</v>
      </c>
      <c r="C10" s="254">
        <v>21.59817706303869</v>
      </c>
      <c r="D10" s="254">
        <v>23.27998360223037</v>
      </c>
      <c r="E10" s="254">
        <v>22.006404094825701</v>
      </c>
      <c r="F10" s="254">
        <v>18.09710545704953</v>
      </c>
      <c r="G10" s="254">
        <v>15.92274930480472</v>
      </c>
      <c r="H10" s="254">
        <v>19.71321753876067</v>
      </c>
      <c r="I10" s="254">
        <v>19.11805399170828</v>
      </c>
      <c r="J10" s="254">
        <v>20.46198742957435</v>
      </c>
      <c r="K10" s="254">
        <v>20.09620958810164</v>
      </c>
      <c r="L10" s="254">
        <v>25.679779148643231</v>
      </c>
      <c r="M10" s="254">
        <v>24.463670428211259</v>
      </c>
      <c r="N10" s="254">
        <v>19.431479161402301</v>
      </c>
      <c r="O10" s="254">
        <v>32.866077342513726</v>
      </c>
      <c r="P10" s="254">
        <v>29.67974103817064</v>
      </c>
      <c r="Q10" s="254">
        <v>33.081867886285309</v>
      </c>
      <c r="R10" s="254">
        <v>34.098241418261431</v>
      </c>
      <c r="S10" s="254">
        <v>33.99665798445821</v>
      </c>
      <c r="T10" s="254">
        <v>39.678091100925712</v>
      </c>
      <c r="U10" s="254">
        <v>38.571885928717528</v>
      </c>
      <c r="V10" s="254">
        <v>39.345993046263587</v>
      </c>
      <c r="W10" s="254">
        <v>37.510592732644938</v>
      </c>
      <c r="X10" s="254">
        <v>35.843778689339537</v>
      </c>
      <c r="Y10" s="254">
        <v>35.050868629060517</v>
      </c>
      <c r="DA10" s="270" t="s">
        <v>1019</v>
      </c>
    </row>
    <row r="11" spans="1:105" x14ac:dyDescent="0.25">
      <c r="A11" s="253" t="s">
        <v>169</v>
      </c>
      <c r="B11" s="255">
        <v>50.7813355970423</v>
      </c>
      <c r="C11" s="255">
        <v>56.542698682907456</v>
      </c>
      <c r="D11" s="255">
        <v>55.821168292877772</v>
      </c>
      <c r="E11" s="255">
        <v>50.690117484370333</v>
      </c>
      <c r="F11" s="255">
        <v>50.08197695846188</v>
      </c>
      <c r="G11" s="255">
        <v>52.252829764741293</v>
      </c>
      <c r="H11" s="255">
        <v>45.701547563704743</v>
      </c>
      <c r="I11" s="255">
        <v>35.420536106784247</v>
      </c>
      <c r="J11" s="255">
        <v>39.174072565188553</v>
      </c>
      <c r="K11" s="255">
        <v>29.085574176681781</v>
      </c>
      <c r="L11" s="255">
        <v>29.94874601795367</v>
      </c>
      <c r="M11" s="255">
        <v>30.175214663194481</v>
      </c>
      <c r="N11" s="255">
        <v>21.758777247492809</v>
      </c>
      <c r="O11" s="255">
        <v>26.784986022082109</v>
      </c>
      <c r="P11" s="255">
        <v>36.159716338265099</v>
      </c>
      <c r="Q11" s="255">
        <v>31.40724420592872</v>
      </c>
      <c r="R11" s="255">
        <v>41.128585936374783</v>
      </c>
      <c r="S11" s="255">
        <v>33.900022793621751</v>
      </c>
      <c r="T11" s="255">
        <v>30.527799116958729</v>
      </c>
      <c r="U11" s="255">
        <v>35.250991348881954</v>
      </c>
      <c r="V11" s="255">
        <v>40.108269827833062</v>
      </c>
      <c r="W11" s="255">
        <v>38.193754948011311</v>
      </c>
      <c r="X11" s="255">
        <v>25.878309027524491</v>
      </c>
      <c r="Y11" s="255">
        <v>23.503536475894538</v>
      </c>
      <c r="DA11" s="271" t="s">
        <v>1020</v>
      </c>
    </row>
    <row r="12" spans="1:105" x14ac:dyDescent="0.25">
      <c r="A12" s="253" t="s">
        <v>152</v>
      </c>
      <c r="B12" s="255">
        <v>0.35551816198277159</v>
      </c>
      <c r="C12" s="255">
        <v>0.35547761941627531</v>
      </c>
      <c r="D12" s="255">
        <v>0.34747289125137681</v>
      </c>
      <c r="E12" s="255">
        <v>0.34335380350273231</v>
      </c>
      <c r="F12" s="255">
        <v>3.0395287047187871</v>
      </c>
      <c r="G12" s="255">
        <v>3.692048801739952</v>
      </c>
      <c r="H12" s="255">
        <v>3.832682484748986</v>
      </c>
      <c r="I12" s="255">
        <v>3.4935862469115562</v>
      </c>
      <c r="J12" s="255">
        <v>3.612792004034294</v>
      </c>
      <c r="K12" s="255">
        <v>3.1525598398574801</v>
      </c>
      <c r="L12" s="255">
        <v>3.573712054927225</v>
      </c>
      <c r="M12" s="255">
        <v>3.7725083718506189</v>
      </c>
      <c r="N12" s="255">
        <v>3.5555803370311159</v>
      </c>
      <c r="O12" s="255">
        <v>3.442277549978205</v>
      </c>
      <c r="P12" s="255">
        <v>9.7799520561432196</v>
      </c>
      <c r="Q12" s="255">
        <v>9.0564423096124269</v>
      </c>
      <c r="R12" s="255">
        <v>9.2611688142134287</v>
      </c>
      <c r="S12" s="255">
        <v>10.217413794997499</v>
      </c>
      <c r="T12" s="255">
        <v>11.595318950799051</v>
      </c>
      <c r="U12" s="255">
        <v>11.54785834742016</v>
      </c>
      <c r="V12" s="255">
        <v>10.7372857072989</v>
      </c>
      <c r="W12" s="255">
        <v>10.242346596407719</v>
      </c>
      <c r="X12" s="255">
        <v>12.07302381641853</v>
      </c>
      <c r="Y12" s="255">
        <v>12.67246459838247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8.1783562343569136E-2</v>
      </c>
      <c r="C14" s="254">
        <v>0.32713424937438601</v>
      </c>
      <c r="D14" s="254">
        <v>0.24535068703077489</v>
      </c>
      <c r="E14" s="254">
        <v>0.26166029593588158</v>
      </c>
      <c r="F14" s="254">
        <v>0.22898219867115921</v>
      </c>
      <c r="G14" s="254">
        <v>0.16356712468718149</v>
      </c>
      <c r="H14" s="254">
        <v>0.1308301479679187</v>
      </c>
      <c r="I14" s="254">
        <v>9.8152050703221153E-2</v>
      </c>
      <c r="J14" s="254">
        <v>0.1144616596083223</v>
      </c>
      <c r="K14" s="254">
        <v>0.11446165960831881</v>
      </c>
      <c r="L14" s="254">
        <v>0.14719863632749289</v>
      </c>
      <c r="M14" s="254">
        <v>0.13083014796790049</v>
      </c>
      <c r="N14" s="254">
        <v>0.22898219867119909</v>
      </c>
      <c r="O14" s="254">
        <v>0.14719863632746011</v>
      </c>
      <c r="P14" s="254">
        <v>0.24535068703073309</v>
      </c>
      <c r="Q14" s="254">
        <v>0.31076576101463738</v>
      </c>
      <c r="R14" s="254">
        <v>0.2453506870307168</v>
      </c>
      <c r="S14" s="254">
        <v>0.27802878429537747</v>
      </c>
      <c r="T14" s="254">
        <v>0.2453506870307231</v>
      </c>
      <c r="U14" s="254">
        <v>0.26166029593580392</v>
      </c>
      <c r="V14" s="254">
        <v>0.24535068703076601</v>
      </c>
      <c r="W14" s="254">
        <v>0.42522742062303059</v>
      </c>
      <c r="X14" s="254">
        <v>0.27802878429541678</v>
      </c>
      <c r="Y14" s="254">
        <v>0.27802878429543693</v>
      </c>
      <c r="DA14" s="270" t="s">
        <v>1023</v>
      </c>
    </row>
    <row r="15" spans="1:105" x14ac:dyDescent="0.25">
      <c r="A15" s="253" t="s">
        <v>24</v>
      </c>
      <c r="B15" s="255">
        <v>7.8980828239350354</v>
      </c>
      <c r="C15" s="255">
        <v>8.737200533631448</v>
      </c>
      <c r="D15" s="255">
        <v>10.34291785615607</v>
      </c>
      <c r="E15" s="255">
        <v>11.451673405943721</v>
      </c>
      <c r="F15" s="255">
        <v>12.08006691680178</v>
      </c>
      <c r="G15" s="255">
        <v>8.8310469088427297</v>
      </c>
      <c r="H15" s="255">
        <v>8.4002099519228324</v>
      </c>
      <c r="I15" s="255">
        <v>11.41807285772623</v>
      </c>
      <c r="J15" s="255">
        <v>10.23933757075199</v>
      </c>
      <c r="K15" s="255">
        <v>8.538911066638267</v>
      </c>
      <c r="L15" s="255">
        <v>6.7826910948794437</v>
      </c>
      <c r="M15" s="255">
        <v>7.0890343522476211</v>
      </c>
      <c r="N15" s="255">
        <v>9.7596315527485622</v>
      </c>
      <c r="O15" s="255">
        <v>5.4977005762460927</v>
      </c>
      <c r="P15" s="255">
        <v>5.9949320705861142</v>
      </c>
      <c r="Q15" s="255">
        <v>7.0145517527074972</v>
      </c>
      <c r="R15" s="255">
        <v>6.4886983597522727</v>
      </c>
      <c r="S15" s="255">
        <v>7.1877842970810386</v>
      </c>
      <c r="T15" s="255">
        <v>8.2886083663225847</v>
      </c>
      <c r="U15" s="255">
        <v>8.4423673215441326</v>
      </c>
      <c r="V15" s="255">
        <v>7.9032140686491221</v>
      </c>
      <c r="W15" s="255">
        <v>7.4703746427630664</v>
      </c>
      <c r="X15" s="255">
        <v>9.0007521679378151</v>
      </c>
      <c r="Y15" s="255">
        <v>7.2396187134518843</v>
      </c>
      <c r="DA15" s="271" t="s">
        <v>1024</v>
      </c>
    </row>
    <row r="16" spans="1:105" x14ac:dyDescent="0.25">
      <c r="A16" s="256" t="s">
        <v>168</v>
      </c>
      <c r="B16" s="257">
        <v>51.41168245025834</v>
      </c>
      <c r="C16" s="257">
        <v>45.445420045771819</v>
      </c>
      <c r="D16" s="257">
        <v>47.405755016669453</v>
      </c>
      <c r="E16" s="257">
        <v>44.600129964267111</v>
      </c>
      <c r="F16" s="257">
        <v>41.79664036227576</v>
      </c>
      <c r="G16" s="257">
        <v>39.486241253755708</v>
      </c>
      <c r="H16" s="257">
        <v>40.875186436043371</v>
      </c>
      <c r="I16" s="257">
        <v>37.111165369003068</v>
      </c>
      <c r="J16" s="257">
        <v>39.57112206252252</v>
      </c>
      <c r="K16" s="257">
        <v>34.399333064073502</v>
      </c>
      <c r="L16" s="257">
        <v>39.122437635470533</v>
      </c>
      <c r="M16" s="257">
        <v>38.347383783902202</v>
      </c>
      <c r="N16" s="257">
        <v>31.245815931275391</v>
      </c>
      <c r="O16" s="257">
        <v>43.035163841962998</v>
      </c>
      <c r="P16" s="257">
        <v>47.241139608841387</v>
      </c>
      <c r="Q16" s="257">
        <v>48.261226943753378</v>
      </c>
      <c r="R16" s="257">
        <v>53.173131734790758</v>
      </c>
      <c r="S16" s="257">
        <v>50.653168653382743</v>
      </c>
      <c r="T16" s="257">
        <v>54.90820830552218</v>
      </c>
      <c r="U16" s="257">
        <v>56.145285557326218</v>
      </c>
      <c r="V16" s="257">
        <v>58.405445299558963</v>
      </c>
      <c r="W16" s="257">
        <v>55.7290807088389</v>
      </c>
      <c r="X16" s="257">
        <v>50.079987431201211</v>
      </c>
      <c r="Y16" s="257">
        <v>47.870893051989043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76.561588927204369</v>
      </c>
      <c r="C17" s="257">
        <f t="shared" ref="C17:W17" si="7">SUM(C18:C24)</f>
        <v>74.164139756285707</v>
      </c>
      <c r="D17" s="257">
        <f t="shared" si="7"/>
        <v>75.289735572256731</v>
      </c>
      <c r="E17" s="257">
        <f t="shared" si="7"/>
        <v>70.148291639255888</v>
      </c>
      <c r="F17" s="257">
        <f t="shared" si="7"/>
        <v>66.360457802499553</v>
      </c>
      <c r="G17" s="257">
        <f t="shared" si="7"/>
        <v>64.826814634422163</v>
      </c>
      <c r="H17" s="257">
        <f t="shared" si="7"/>
        <v>61.929436172444596</v>
      </c>
      <c r="I17" s="257">
        <f t="shared" si="7"/>
        <v>54.230089090072561</v>
      </c>
      <c r="J17" s="257">
        <f t="shared" si="7"/>
        <v>57.931633832886099</v>
      </c>
      <c r="K17" s="257">
        <f t="shared" si="7"/>
        <v>47.158016430112603</v>
      </c>
      <c r="L17" s="257">
        <f t="shared" si="7"/>
        <v>52.832880984619798</v>
      </c>
      <c r="M17" s="257">
        <f t="shared" si="7"/>
        <v>52.478150533755176</v>
      </c>
      <c r="N17" s="257">
        <f t="shared" si="7"/>
        <v>41.344238334550532</v>
      </c>
      <c r="O17" s="257">
        <f t="shared" si="7"/>
        <v>57.669001441402891</v>
      </c>
      <c r="P17" s="257">
        <f t="shared" si="7"/>
        <v>65.668429325302412</v>
      </c>
      <c r="Q17" s="257">
        <f t="shared" si="7"/>
        <v>64.407640114762032</v>
      </c>
      <c r="R17" s="257">
        <f t="shared" si="7"/>
        <v>73.794667910825467</v>
      </c>
      <c r="S17" s="257">
        <f t="shared" si="7"/>
        <v>67.669589450981732</v>
      </c>
      <c r="T17" s="257">
        <f t="shared" si="7"/>
        <v>70.391046310177614</v>
      </c>
      <c r="U17" s="257">
        <f t="shared" si="7"/>
        <v>73.870806978050098</v>
      </c>
      <c r="V17" s="257">
        <f t="shared" si="7"/>
        <v>78.267962596125315</v>
      </c>
      <c r="W17" s="257">
        <f t="shared" si="7"/>
        <v>74.129476396862756</v>
      </c>
      <c r="X17" s="257">
        <f t="shared" ref="X17:Y17" si="8">SUM(X18:X24)</f>
        <v>63.779635842819246</v>
      </c>
      <c r="Y17" s="257">
        <f t="shared" si="8"/>
        <v>60.618377066436423</v>
      </c>
      <c r="DA17" s="272"/>
    </row>
    <row r="18" spans="1:105" x14ac:dyDescent="0.25">
      <c r="A18" s="61" t="s">
        <v>29</v>
      </c>
      <c r="B18" s="55">
        <v>6.5978230268223887</v>
      </c>
      <c r="C18" s="55">
        <v>5.0796325610740647</v>
      </c>
      <c r="D18" s="55">
        <v>4.4253619035673672</v>
      </c>
      <c r="E18" s="55">
        <v>4.1951969503812023</v>
      </c>
      <c r="F18" s="55">
        <v>1.202209154976279</v>
      </c>
      <c r="G18" s="55">
        <v>1.038778543751923</v>
      </c>
      <c r="H18" s="55">
        <v>0.75132537347263384</v>
      </c>
      <c r="I18" s="55">
        <v>0.76861515559071558</v>
      </c>
      <c r="J18" s="55">
        <v>0.56227636557123339</v>
      </c>
      <c r="K18" s="55">
        <v>0.20393508860406681</v>
      </c>
      <c r="L18" s="55">
        <v>0.10091328929467699</v>
      </c>
      <c r="M18" s="55">
        <v>0.14127017097254391</v>
      </c>
      <c r="N18" s="55">
        <v>0.1045399265197027</v>
      </c>
      <c r="O18" s="55">
        <v>0.23105052739050441</v>
      </c>
      <c r="P18" s="55">
        <v>0</v>
      </c>
      <c r="Q18" s="55">
        <v>0.10981120155599119</v>
      </c>
      <c r="R18" s="55">
        <v>0.1063954153325221</v>
      </c>
      <c r="S18" s="55">
        <v>7.3017701802678123E-2</v>
      </c>
      <c r="T18" s="55">
        <v>0.2181886163021664</v>
      </c>
      <c r="U18" s="55">
        <v>0.35884731937053688</v>
      </c>
      <c r="V18" s="55">
        <v>0.36295891389906382</v>
      </c>
      <c r="W18" s="55">
        <v>0.36251612679600931</v>
      </c>
      <c r="X18" s="55">
        <v>0.28235057604376468</v>
      </c>
      <c r="Y18" s="55">
        <v>0</v>
      </c>
      <c r="DA18" s="101" t="s">
        <v>1026</v>
      </c>
    </row>
    <row r="19" spans="1:105" x14ac:dyDescent="0.25">
      <c r="A19" s="61" t="s">
        <v>27</v>
      </c>
      <c r="B19" s="55">
        <v>2.57232382090515</v>
      </c>
      <c r="C19" s="55">
        <v>3.2154108942465132</v>
      </c>
      <c r="D19" s="55">
        <v>2.893867357575469</v>
      </c>
      <c r="E19" s="55">
        <v>2.250780284235375</v>
      </c>
      <c r="F19" s="55">
        <v>4.153513367122045</v>
      </c>
      <c r="G19" s="55">
        <v>4.1535133671249946</v>
      </c>
      <c r="H19" s="55">
        <v>2.8755130191552181</v>
      </c>
      <c r="I19" s="55">
        <v>2.5560006959342569</v>
      </c>
      <c r="J19" s="55">
        <v>3.1950253423738122</v>
      </c>
      <c r="K19" s="55">
        <v>0</v>
      </c>
      <c r="L19" s="55">
        <v>2.875513019152979</v>
      </c>
      <c r="M19" s="55">
        <v>3.5145131931381841</v>
      </c>
      <c r="N19" s="55">
        <v>0.31951232321772699</v>
      </c>
      <c r="O19" s="55">
        <v>9.2655392314418137</v>
      </c>
      <c r="P19" s="55">
        <v>8.9460513806864768</v>
      </c>
      <c r="Q19" s="55">
        <v>7.3485387094953563</v>
      </c>
      <c r="R19" s="55">
        <v>9.0999341539999286</v>
      </c>
      <c r="S19" s="55">
        <v>6.5867602477051799</v>
      </c>
      <c r="T19" s="55">
        <v>5.3321310906605852</v>
      </c>
      <c r="U19" s="55">
        <v>6.5867602477072484</v>
      </c>
      <c r="V19" s="55">
        <v>8.1550283396825574</v>
      </c>
      <c r="W19" s="55">
        <v>6.2730968403363896</v>
      </c>
      <c r="X19" s="55">
        <v>5.0184921557347648</v>
      </c>
      <c r="Y19" s="55">
        <v>5.3245201583290847</v>
      </c>
      <c r="DA19" s="101" t="s">
        <v>1027</v>
      </c>
    </row>
    <row r="20" spans="1:105" x14ac:dyDescent="0.25">
      <c r="A20" s="61" t="s">
        <v>166</v>
      </c>
      <c r="B20" s="55">
        <v>21.832379378468829</v>
      </c>
      <c r="C20" s="55">
        <v>15.296533683907089</v>
      </c>
      <c r="D20" s="55">
        <v>17.11031693474289</v>
      </c>
      <c r="E20" s="55">
        <v>16.48784388679962</v>
      </c>
      <c r="F20" s="55">
        <v>15.100819245723329</v>
      </c>
      <c r="G20" s="55">
        <v>13.01028399729651</v>
      </c>
      <c r="H20" s="55">
        <v>16.377669948478051</v>
      </c>
      <c r="I20" s="55">
        <v>16.322690394527569</v>
      </c>
      <c r="J20" s="55">
        <v>17.42948891230213</v>
      </c>
      <c r="K20" s="55">
        <v>17.683057672036171</v>
      </c>
      <c r="L20" s="55">
        <v>21.232054436120169</v>
      </c>
      <c r="M20" s="55">
        <v>20.07579700018508</v>
      </c>
      <c r="N20" s="55">
        <v>17.455909636646709</v>
      </c>
      <c r="O20" s="55">
        <v>24.838860258590291</v>
      </c>
      <c r="P20" s="55">
        <v>23.03371116254721</v>
      </c>
      <c r="Q20" s="55">
        <v>26.238287991771649</v>
      </c>
      <c r="R20" s="55">
        <v>26.257213752797671</v>
      </c>
      <c r="S20" s="55">
        <v>27.067096875481219</v>
      </c>
      <c r="T20" s="55">
        <v>32.367546055790633</v>
      </c>
      <c r="U20" s="55">
        <v>31.114784519441109</v>
      </c>
      <c r="V20" s="55">
        <v>31.366633098245639</v>
      </c>
      <c r="W20" s="55">
        <v>30.325140109123812</v>
      </c>
      <c r="X20" s="55">
        <v>29.572647950187431</v>
      </c>
      <c r="Y20" s="55">
        <v>28.443614789899438</v>
      </c>
      <c r="DA20" s="101" t="s">
        <v>1028</v>
      </c>
    </row>
    <row r="21" spans="1:105" x14ac:dyDescent="0.25">
      <c r="A21" s="61" t="s">
        <v>129</v>
      </c>
      <c r="B21" s="55">
        <v>4.1603579545573144</v>
      </c>
      <c r="C21" s="55">
        <v>5.1392669913582818</v>
      </c>
      <c r="D21" s="55">
        <v>4.1603579545584246</v>
      </c>
      <c r="E21" s="55">
        <v>3.6708925324954942</v>
      </c>
      <c r="F21" s="55">
        <v>0.97890903679712105</v>
      </c>
      <c r="G21" s="55">
        <v>0.73418722942975079</v>
      </c>
      <c r="H21" s="55">
        <v>0.7341872294295626</v>
      </c>
      <c r="I21" s="55">
        <v>0.97406781052334968</v>
      </c>
      <c r="J21" s="55">
        <v>0.73054540606221285</v>
      </c>
      <c r="K21" s="55">
        <v>0.48702300159959511</v>
      </c>
      <c r="L21" s="55">
        <v>0.48702300159912237</v>
      </c>
      <c r="M21" s="55">
        <v>0.48702300159930911</v>
      </c>
      <c r="N21" s="55">
        <v>0.24352240446247861</v>
      </c>
      <c r="O21" s="55">
        <v>0.24352240446231241</v>
      </c>
      <c r="P21" s="55">
        <v>0.24352240446261039</v>
      </c>
      <c r="Q21" s="55">
        <v>0.24352240446247531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1" t="s">
        <v>1029</v>
      </c>
    </row>
    <row r="22" spans="1:105" x14ac:dyDescent="0.25">
      <c r="A22" s="61" t="s">
        <v>169</v>
      </c>
      <c r="B22" s="55">
        <v>35.097250326492777</v>
      </c>
      <c r="C22" s="55">
        <v>39.086493032107001</v>
      </c>
      <c r="D22" s="55">
        <v>40.045023108683729</v>
      </c>
      <c r="E22" s="55">
        <v>37.069124074381037</v>
      </c>
      <c r="F22" s="55">
        <v>40.789379525337878</v>
      </c>
      <c r="G22" s="55">
        <v>41.67280914159921</v>
      </c>
      <c r="H22" s="55">
        <v>37.059516570745409</v>
      </c>
      <c r="I22" s="55">
        <v>29.517354586542702</v>
      </c>
      <c r="J22" s="55">
        <v>32.569403547879332</v>
      </c>
      <c r="K22" s="55">
        <v>24.980153138826079</v>
      </c>
      <c r="L22" s="55">
        <v>24.168718330143228</v>
      </c>
      <c r="M22" s="55">
        <v>24.169952087173691</v>
      </c>
      <c r="N22" s="55">
        <v>19.078549491682519</v>
      </c>
      <c r="O22" s="55">
        <v>19.758294677674549</v>
      </c>
      <c r="P22" s="55">
        <v>27.390695953589521</v>
      </c>
      <c r="Q22" s="55">
        <v>24.31361558683875</v>
      </c>
      <c r="R22" s="55">
        <v>30.91253914849154</v>
      </c>
      <c r="S22" s="55">
        <v>26.343876656917249</v>
      </c>
      <c r="T22" s="55">
        <v>24.306853450625461</v>
      </c>
      <c r="U22" s="55">
        <v>27.755017269572541</v>
      </c>
      <c r="V22" s="55">
        <v>31.208691772839821</v>
      </c>
      <c r="W22" s="55">
        <v>30.138073628146689</v>
      </c>
      <c r="X22" s="55">
        <v>20.839464919234121</v>
      </c>
      <c r="Y22" s="55">
        <v>18.61630389563998</v>
      </c>
      <c r="DA22" s="101" t="s">
        <v>1030</v>
      </c>
    </row>
    <row r="23" spans="1:105" x14ac:dyDescent="0.25">
      <c r="A23" s="61" t="s">
        <v>164</v>
      </c>
      <c r="B23" s="55">
        <v>6.1666265362807193</v>
      </c>
      <c r="C23" s="55">
        <v>6.2119648775164347</v>
      </c>
      <c r="D23" s="55">
        <v>6.5180292872662626</v>
      </c>
      <c r="E23" s="55">
        <v>6.3366759223385474</v>
      </c>
      <c r="F23" s="55">
        <v>2.7772488583872619</v>
      </c>
      <c r="G23" s="55">
        <v>2.6015474828972498</v>
      </c>
      <c r="H23" s="55">
        <v>2.425846107404642</v>
      </c>
      <c r="I23" s="55">
        <v>2.4938536192485641</v>
      </c>
      <c r="J23" s="55">
        <v>1.7967205110117579</v>
      </c>
      <c r="K23" s="55">
        <v>2.3181522437601609</v>
      </c>
      <c r="L23" s="55">
        <v>2.386159755604873</v>
      </c>
      <c r="M23" s="55">
        <v>2.4315185011310949</v>
      </c>
      <c r="N23" s="55">
        <v>2.4315185011315652</v>
      </c>
      <c r="O23" s="55">
        <v>1.938407928431034</v>
      </c>
      <c r="P23" s="55">
        <v>1.98941866339218</v>
      </c>
      <c r="Q23" s="55">
        <v>2.3068278605983741</v>
      </c>
      <c r="R23" s="55">
        <v>3.5990930114568469</v>
      </c>
      <c r="S23" s="55">
        <v>3.2420178667436228</v>
      </c>
      <c r="T23" s="55">
        <v>3.1003304493234149</v>
      </c>
      <c r="U23" s="55">
        <v>3.066316491252707</v>
      </c>
      <c r="V23" s="55">
        <v>2.590223099737226</v>
      </c>
      <c r="W23" s="55">
        <v>2.595875089170617</v>
      </c>
      <c r="X23" s="55">
        <v>2.7319105171559399</v>
      </c>
      <c r="Y23" s="55">
        <v>2.726238123429892</v>
      </c>
      <c r="DA23" s="101" t="s">
        <v>1031</v>
      </c>
    </row>
    <row r="24" spans="1:105" x14ac:dyDescent="0.25">
      <c r="A24" s="61" t="s">
        <v>152</v>
      </c>
      <c r="B24" s="55">
        <v>0.13482788367720699</v>
      </c>
      <c r="C24" s="55">
        <v>0.13483771607631839</v>
      </c>
      <c r="D24" s="55">
        <v>0.13677902586259269</v>
      </c>
      <c r="E24" s="55">
        <v>0.13777798862461671</v>
      </c>
      <c r="F24" s="55">
        <v>1.3583786141556331</v>
      </c>
      <c r="G24" s="55">
        <v>1.6156948723225231</v>
      </c>
      <c r="H24" s="55">
        <v>1.7053779237590769</v>
      </c>
      <c r="I24" s="55">
        <v>1.597506827705405</v>
      </c>
      <c r="J24" s="55">
        <v>1.6481737476856251</v>
      </c>
      <c r="K24" s="55">
        <v>1.4856952852865319</v>
      </c>
      <c r="L24" s="55">
        <v>1.5824991527047461</v>
      </c>
      <c r="M24" s="55">
        <v>1.658076579555277</v>
      </c>
      <c r="N24" s="55">
        <v>1.7106860508898321</v>
      </c>
      <c r="O24" s="55">
        <v>1.3933264134123859</v>
      </c>
      <c r="P24" s="55">
        <v>4.065029760624415</v>
      </c>
      <c r="Q24" s="55">
        <v>3.8470363600394308</v>
      </c>
      <c r="R24" s="55">
        <v>3.81949242874696</v>
      </c>
      <c r="S24" s="55">
        <v>4.3568201023317812</v>
      </c>
      <c r="T24" s="55">
        <v>5.065996647475365</v>
      </c>
      <c r="U24" s="55">
        <v>4.9890811307059542</v>
      </c>
      <c r="V24" s="55">
        <v>4.5844273717210013</v>
      </c>
      <c r="W24" s="55">
        <v>4.434774603289239</v>
      </c>
      <c r="X24" s="55">
        <v>5.3347697244632286</v>
      </c>
      <c r="Y24" s="55">
        <v>5.5077000991380274</v>
      </c>
      <c r="DA24" s="101" t="s">
        <v>1032</v>
      </c>
    </row>
    <row r="25" spans="1:105" x14ac:dyDescent="0.25">
      <c r="A25" s="256" t="s">
        <v>167</v>
      </c>
      <c r="B25" s="257">
        <v>6.9154282635558211</v>
      </c>
      <c r="C25" s="257">
        <v>6.1129013340063798</v>
      </c>
      <c r="D25" s="257">
        <v>6.3765876250920392</v>
      </c>
      <c r="E25" s="257">
        <v>5.9992006605029067</v>
      </c>
      <c r="F25" s="257">
        <v>5.622100937128681</v>
      </c>
      <c r="G25" s="257">
        <v>5.3113272270752887</v>
      </c>
      <c r="H25" s="257">
        <v>5.4981554013801279</v>
      </c>
      <c r="I25" s="257">
        <v>4.991853789935794</v>
      </c>
      <c r="J25" s="257">
        <v>5.3227446154198059</v>
      </c>
      <c r="K25" s="257">
        <v>4.6270829659955748</v>
      </c>
      <c r="L25" s="257">
        <v>5.262391699110271</v>
      </c>
      <c r="M25" s="257">
        <v>5.1581385594450007</v>
      </c>
      <c r="N25" s="257">
        <v>4.2029007476669102</v>
      </c>
      <c r="O25" s="257">
        <v>5.788695762824057</v>
      </c>
      <c r="P25" s="257">
        <v>6.3544450693604286</v>
      </c>
      <c r="Q25" s="257">
        <v>6.4916578671320364</v>
      </c>
      <c r="R25" s="257">
        <v>7.1523622751758653</v>
      </c>
      <c r="S25" s="257">
        <v>6.8133999404351826</v>
      </c>
      <c r="T25" s="257">
        <v>7.3857488710780439</v>
      </c>
      <c r="U25" s="257">
        <v>7.5521491634552582</v>
      </c>
      <c r="V25" s="257">
        <v>7.856165134469423</v>
      </c>
      <c r="W25" s="257">
        <v>7.4961651023336886</v>
      </c>
      <c r="X25" s="257">
        <v>6.7363008564312947</v>
      </c>
      <c r="Y25" s="257">
        <v>6.4391537299654997</v>
      </c>
      <c r="DA25" s="272" t="s">
        <v>1033</v>
      </c>
    </row>
    <row r="26" spans="1:105" x14ac:dyDescent="0.25">
      <c r="A26" s="256" t="s">
        <v>170</v>
      </c>
      <c r="B26" s="257">
        <v>6.7502892780054031</v>
      </c>
      <c r="C26" s="257">
        <v>6.7123184130772522</v>
      </c>
      <c r="D26" s="257">
        <v>7.2440537220762593</v>
      </c>
      <c r="E26" s="257">
        <v>7.1599116950784376</v>
      </c>
      <c r="F26" s="257">
        <v>7.2174761584164209</v>
      </c>
      <c r="G26" s="257">
        <v>6.4060307061169226</v>
      </c>
      <c r="H26" s="257">
        <v>6.222428379268421</v>
      </c>
      <c r="I26" s="257">
        <v>6.3003072786367618</v>
      </c>
      <c r="J26" s="257">
        <v>6.3762944943812201</v>
      </c>
      <c r="K26" s="257">
        <v>5.3595249904179116</v>
      </c>
      <c r="L26" s="257">
        <v>5.3162901923213726</v>
      </c>
      <c r="M26" s="257">
        <v>5.337957408261901</v>
      </c>
      <c r="N26" s="257">
        <v>5.1589261145019272</v>
      </c>
      <c r="O26" s="257">
        <v>5.1323711936572272</v>
      </c>
      <c r="P26" s="257">
        <v>5.8441478504535223</v>
      </c>
      <c r="Q26" s="257">
        <v>6.137713377182882</v>
      </c>
      <c r="R26" s="257">
        <v>6.4683770108308689</v>
      </c>
      <c r="S26" s="257">
        <v>6.4220987425656642</v>
      </c>
      <c r="T26" s="257">
        <v>7.0183452732288876</v>
      </c>
      <c r="U26" s="257">
        <v>7.2249692259610496</v>
      </c>
      <c r="V26" s="257">
        <v>7.2933154675320999</v>
      </c>
      <c r="W26" s="257">
        <v>6.9500547725581541</v>
      </c>
      <c r="X26" s="257">
        <v>6.7707521722061914</v>
      </c>
      <c r="Y26" s="257">
        <v>6.1045255475442479</v>
      </c>
      <c r="DA26" s="272" t="s">
        <v>1034</v>
      </c>
    </row>
    <row r="27" spans="1:105" x14ac:dyDescent="0.25">
      <c r="A27" s="128" t="s">
        <v>33</v>
      </c>
      <c r="B27" s="258">
        <v>10.287877931169559</v>
      </c>
      <c r="C27" s="258">
        <v>10.23000787446035</v>
      </c>
      <c r="D27" s="258">
        <v>11.040406914468729</v>
      </c>
      <c r="E27" s="258">
        <v>10.91216901724923</v>
      </c>
      <c r="F27" s="258">
        <v>10.99990098659225</v>
      </c>
      <c r="G27" s="258">
        <v>9.7632055773657882</v>
      </c>
      <c r="H27" s="258">
        <v>9.4833837432629675</v>
      </c>
      <c r="I27" s="258">
        <v>9.6020762284466645</v>
      </c>
      <c r="J27" s="258">
        <v>9.7178856653037791</v>
      </c>
      <c r="K27" s="258">
        <v>8.1682631069056288</v>
      </c>
      <c r="L27" s="258">
        <v>8.1023704752157162</v>
      </c>
      <c r="M27" s="258">
        <v>8.1353927152300454</v>
      </c>
      <c r="N27" s="258">
        <v>7.8625374315219387</v>
      </c>
      <c r="O27" s="258">
        <v>7.8220660127618151</v>
      </c>
      <c r="P27" s="258">
        <v>8.906859724230717</v>
      </c>
      <c r="Q27" s="258">
        <v>9.3542725949104728</v>
      </c>
      <c r="R27" s="258">
        <v>9.8582253825830986</v>
      </c>
      <c r="S27" s="258">
        <v>9.7876943052958421</v>
      </c>
      <c r="T27" s="258">
        <v>10.696412624129</v>
      </c>
      <c r="U27" s="258">
        <v>11.01132090669558</v>
      </c>
      <c r="V27" s="258">
        <v>11.11548500417037</v>
      </c>
      <c r="W27" s="258">
        <v>10.592333479395441</v>
      </c>
      <c r="X27" s="258">
        <v>10.31906470687443</v>
      </c>
      <c r="Y27" s="258">
        <v>9.3036921936771186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1</v>
      </c>
      <c r="D31" s="235">
        <f t="shared" si="9"/>
        <v>1</v>
      </c>
      <c r="E31" s="235">
        <f t="shared" si="9"/>
        <v>1.0000000000000002</v>
      </c>
      <c r="F31" s="235">
        <f t="shared" si="9"/>
        <v>1</v>
      </c>
      <c r="G31" s="235">
        <f t="shared" si="9"/>
        <v>1</v>
      </c>
      <c r="H31" s="235">
        <f t="shared" si="9"/>
        <v>0.99999999999999989</v>
      </c>
      <c r="I31" s="235">
        <f t="shared" si="9"/>
        <v>1.0000000000000002</v>
      </c>
      <c r="J31" s="235">
        <f t="shared" si="9"/>
        <v>1</v>
      </c>
      <c r="K31" s="235">
        <f t="shared" si="9"/>
        <v>0.99999999999999978</v>
      </c>
      <c r="L31" s="235">
        <f t="shared" si="9"/>
        <v>1</v>
      </c>
      <c r="M31" s="235">
        <f t="shared" si="9"/>
        <v>0.99999999999999978</v>
      </c>
      <c r="N31" s="235">
        <f t="shared" si="9"/>
        <v>1</v>
      </c>
      <c r="O31" s="235">
        <f t="shared" si="9"/>
        <v>0.99999999999999989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1.0000000000000002</v>
      </c>
      <c r="T31" s="235">
        <f t="shared" si="10"/>
        <v>1.0000000000000002</v>
      </c>
      <c r="U31" s="235">
        <f t="shared" si="10"/>
        <v>0.99999999999999989</v>
      </c>
      <c r="V31" s="235">
        <f t="shared" si="10"/>
        <v>0.99999999999999989</v>
      </c>
      <c r="W31" s="235">
        <f t="shared" si="10"/>
        <v>0.99999999999999989</v>
      </c>
      <c r="X31" s="235">
        <f t="shared" ref="X31:Y31" si="11">SUM(X32:X40)</f>
        <v>1</v>
      </c>
      <c r="Y31" s="235">
        <f t="shared" si="11"/>
        <v>0.99999999999999989</v>
      </c>
      <c r="DA31" s="274"/>
    </row>
    <row r="32" spans="1:105" x14ac:dyDescent="0.25">
      <c r="A32" s="238" t="s">
        <v>125</v>
      </c>
      <c r="B32" s="244">
        <f t="shared" ref="B32:Y32" si="12">IF(B$6=0,0,B$6/B$5)</f>
        <v>2.6002804446976481E-2</v>
      </c>
      <c r="C32" s="244">
        <f t="shared" si="12"/>
        <v>2.7072947588180213E-2</v>
      </c>
      <c r="D32" s="244">
        <f t="shared" si="12"/>
        <v>2.8231134974642018E-2</v>
      </c>
      <c r="E32" s="244">
        <f t="shared" si="12"/>
        <v>2.9507513839613107E-2</v>
      </c>
      <c r="F32" s="244">
        <f t="shared" si="12"/>
        <v>3.0734351506770948E-2</v>
      </c>
      <c r="G32" s="244">
        <f t="shared" si="12"/>
        <v>2.8641030307477448E-2</v>
      </c>
      <c r="H32" s="244">
        <f t="shared" si="12"/>
        <v>2.8503883994699233E-2</v>
      </c>
      <c r="I32" s="244">
        <f t="shared" si="12"/>
        <v>3.1708723707206295E-2</v>
      </c>
      <c r="J32" s="244">
        <f t="shared" si="12"/>
        <v>3.0426475912376651E-2</v>
      </c>
      <c r="K32" s="244">
        <f t="shared" si="12"/>
        <v>3.0619988896334018E-2</v>
      </c>
      <c r="L32" s="244">
        <f t="shared" si="12"/>
        <v>2.7857156830090515E-2</v>
      </c>
      <c r="M32" s="244">
        <f t="shared" si="12"/>
        <v>2.8207591437151132E-2</v>
      </c>
      <c r="N32" s="244">
        <f t="shared" si="12"/>
        <v>3.2562636635469634E-2</v>
      </c>
      <c r="O32" s="244">
        <f t="shared" si="12"/>
        <v>2.5455096719929522E-2</v>
      </c>
      <c r="P32" s="244">
        <f t="shared" si="12"/>
        <v>2.5281379049038398E-2</v>
      </c>
      <c r="Q32" s="244">
        <f t="shared" si="12"/>
        <v>2.6492825914031164E-2</v>
      </c>
      <c r="R32" s="244">
        <f t="shared" si="12"/>
        <v>2.5016113986166537E-2</v>
      </c>
      <c r="S32" s="244">
        <f t="shared" si="12"/>
        <v>2.6340208541549889E-2</v>
      </c>
      <c r="T32" s="244">
        <f t="shared" si="12"/>
        <v>2.7071595808069893E-2</v>
      </c>
      <c r="U32" s="244">
        <f t="shared" si="12"/>
        <v>2.6866258748698312E-2</v>
      </c>
      <c r="V32" s="244">
        <f t="shared" si="12"/>
        <v>2.6007871586638521E-2</v>
      </c>
      <c r="W32" s="244">
        <f t="shared" si="12"/>
        <v>2.603124588108453E-2</v>
      </c>
      <c r="X32" s="244">
        <f t="shared" si="12"/>
        <v>2.8362868735628238E-2</v>
      </c>
      <c r="Y32" s="244">
        <f t="shared" si="12"/>
        <v>2.7108433546794517E-2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1.6760319371817236E-2</v>
      </c>
      <c r="C33" s="245">
        <f t="shared" si="13"/>
        <v>1.7450088848671479E-2</v>
      </c>
      <c r="D33" s="245">
        <f t="shared" si="13"/>
        <v>1.8196607960834679E-2</v>
      </c>
      <c r="E33" s="245">
        <f t="shared" si="13"/>
        <v>1.9019308353016438E-2</v>
      </c>
      <c r="F33" s="245">
        <f t="shared" si="13"/>
        <v>1.9810076562686657E-2</v>
      </c>
      <c r="G33" s="245">
        <f t="shared" si="13"/>
        <v>1.846080933578052E-2</v>
      </c>
      <c r="H33" s="245">
        <f t="shared" si="13"/>
        <v>1.8372410562966714E-2</v>
      </c>
      <c r="I33" s="245">
        <f t="shared" si="13"/>
        <v>2.0438116099714972E-2</v>
      </c>
      <c r="J33" s="245">
        <f t="shared" si="13"/>
        <v>1.9611632840996606E-2</v>
      </c>
      <c r="K33" s="245">
        <f t="shared" si="13"/>
        <v>1.9736363210766248E-2</v>
      </c>
      <c r="L33" s="245">
        <f t="shared" si="13"/>
        <v>1.7955557302104994E-2</v>
      </c>
      <c r="M33" s="245">
        <f t="shared" si="13"/>
        <v>1.818143278200755E-2</v>
      </c>
      <c r="N33" s="245">
        <f t="shared" si="13"/>
        <v>2.0988512631850611E-2</v>
      </c>
      <c r="O33" s="245">
        <f t="shared" si="13"/>
        <v>1.6407289895845209E-2</v>
      </c>
      <c r="P33" s="245">
        <f t="shared" si="13"/>
        <v>1.629531875632444E-2</v>
      </c>
      <c r="Q33" s="245">
        <f t="shared" si="13"/>
        <v>1.7076166699117261E-2</v>
      </c>
      <c r="R33" s="245">
        <f t="shared" si="13"/>
        <v>1.6124339999745191E-2</v>
      </c>
      <c r="S33" s="245">
        <f t="shared" si="13"/>
        <v>1.6977795928776324E-2</v>
      </c>
      <c r="T33" s="245">
        <f t="shared" si="13"/>
        <v>1.7449217547792543E-2</v>
      </c>
      <c r="U33" s="245">
        <f t="shared" si="13"/>
        <v>1.7316865873920007E-2</v>
      </c>
      <c r="V33" s="245">
        <f t="shared" si="13"/>
        <v>1.6763585437952925E-2</v>
      </c>
      <c r="W33" s="245">
        <f t="shared" si="13"/>
        <v>1.6778651529797173E-2</v>
      </c>
      <c r="X33" s="245">
        <f t="shared" si="13"/>
        <v>1.8281518029311408E-2</v>
      </c>
      <c r="Y33" s="245">
        <f t="shared" si="13"/>
        <v>1.747296161229217E-2</v>
      </c>
      <c r="DA33" s="276"/>
    </row>
    <row r="34" spans="1:105" x14ac:dyDescent="0.25">
      <c r="A34" s="240" t="s">
        <v>123</v>
      </c>
      <c r="B34" s="245">
        <f t="shared" ref="B34:Y34" si="14">IF(B$8=0,0,B$8/B$5)</f>
        <v>3.3306646881577404E-2</v>
      </c>
      <c r="C34" s="245">
        <f t="shared" si="14"/>
        <v>3.4677379018931885E-2</v>
      </c>
      <c r="D34" s="245">
        <f t="shared" si="14"/>
        <v>3.6160885860751252E-2</v>
      </c>
      <c r="E34" s="245">
        <f t="shared" si="14"/>
        <v>3.7795782597731614E-2</v>
      </c>
      <c r="F34" s="245">
        <f t="shared" si="14"/>
        <v>3.9367222672373095E-2</v>
      </c>
      <c r="G34" s="245">
        <f t="shared" si="14"/>
        <v>3.6685915348897251E-2</v>
      </c>
      <c r="H34" s="245">
        <f t="shared" si="14"/>
        <v>3.6510246458253959E-2</v>
      </c>
      <c r="I34" s="245">
        <f t="shared" si="14"/>
        <v>4.0615283083599227E-2</v>
      </c>
      <c r="J34" s="245">
        <f t="shared" si="14"/>
        <v>3.8972868912306315E-2</v>
      </c>
      <c r="K34" s="245">
        <f t="shared" si="14"/>
        <v>3.9220737123476034E-2</v>
      </c>
      <c r="L34" s="245">
        <f t="shared" si="14"/>
        <v>3.5681862222073958E-2</v>
      </c>
      <c r="M34" s="245">
        <f t="shared" si="14"/>
        <v>3.6130729256253026E-2</v>
      </c>
      <c r="N34" s="245">
        <f t="shared" si="14"/>
        <v>4.1709048812879533E-2</v>
      </c>
      <c r="O34" s="245">
        <f t="shared" si="14"/>
        <v>3.2605095327926228E-2</v>
      </c>
      <c r="P34" s="245">
        <f t="shared" si="14"/>
        <v>3.2382582670368101E-2</v>
      </c>
      <c r="Q34" s="245">
        <f t="shared" si="14"/>
        <v>3.3934308870916426E-2</v>
      </c>
      <c r="R34" s="245">
        <f t="shared" si="14"/>
        <v>3.2042808174232169E-2</v>
      </c>
      <c r="S34" s="245">
        <f t="shared" si="14"/>
        <v>3.373882330536547E-2</v>
      </c>
      <c r="T34" s="245">
        <f t="shared" si="14"/>
        <v>3.4675647541741121E-2</v>
      </c>
      <c r="U34" s="245">
        <f t="shared" si="14"/>
        <v>3.4412634029404914E-2</v>
      </c>
      <c r="V34" s="245">
        <f t="shared" si="14"/>
        <v>3.3313137313475523E-2</v>
      </c>
      <c r="W34" s="245">
        <f t="shared" si="14"/>
        <v>3.3343077136805233E-2</v>
      </c>
      <c r="X34" s="245">
        <f t="shared" si="14"/>
        <v>3.6329621885686461E-2</v>
      </c>
      <c r="Y34" s="245">
        <f t="shared" si="14"/>
        <v>3.4722832512043812E-2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0.34359206675243426</v>
      </c>
      <c r="C35" s="246">
        <f t="shared" si="15"/>
        <v>0.35020383851577325</v>
      </c>
      <c r="D35" s="246">
        <f t="shared" si="15"/>
        <v>0.34794926300116796</v>
      </c>
      <c r="E35" s="246">
        <f t="shared" si="15"/>
        <v>0.3463616884452933</v>
      </c>
      <c r="F35" s="246">
        <f t="shared" si="15"/>
        <v>0.35270998594833153</v>
      </c>
      <c r="G35" s="246">
        <f t="shared" si="15"/>
        <v>0.3585041127052972</v>
      </c>
      <c r="H35" s="246">
        <f t="shared" si="15"/>
        <v>0.35330710669787496</v>
      </c>
      <c r="I35" s="246">
        <f t="shared" si="15"/>
        <v>0.34709865029923237</v>
      </c>
      <c r="J35" s="246">
        <f t="shared" si="15"/>
        <v>0.34827755628581591</v>
      </c>
      <c r="K35" s="246">
        <f t="shared" si="15"/>
        <v>0.34551733683448016</v>
      </c>
      <c r="L35" s="246">
        <f t="shared" si="15"/>
        <v>0.34362863288068307</v>
      </c>
      <c r="M35" s="246">
        <f t="shared" si="15"/>
        <v>0.34391440937388135</v>
      </c>
      <c r="N35" s="246">
        <f t="shared" si="15"/>
        <v>0.34258611792858479</v>
      </c>
      <c r="O35" s="246">
        <f t="shared" si="15"/>
        <v>0.33806782933157153</v>
      </c>
      <c r="P35" s="246">
        <f t="shared" si="15"/>
        <v>0.35115464397176716</v>
      </c>
      <c r="Q35" s="246">
        <f t="shared" si="15"/>
        <v>0.34614857735797627</v>
      </c>
      <c r="R35" s="246">
        <f t="shared" si="15"/>
        <v>0.34984290496698806</v>
      </c>
      <c r="S35" s="246">
        <f t="shared" si="15"/>
        <v>0.34806694964316925</v>
      </c>
      <c r="T35" s="246">
        <f t="shared" si="15"/>
        <v>0.3455291790864779</v>
      </c>
      <c r="U35" s="246">
        <f t="shared" si="15"/>
        <v>0.34689102924586102</v>
      </c>
      <c r="V35" s="246">
        <f t="shared" si="15"/>
        <v>0.34774369220331192</v>
      </c>
      <c r="W35" s="246">
        <f t="shared" si="15"/>
        <v>0.34854117990759098</v>
      </c>
      <c r="X35" s="246">
        <f t="shared" si="15"/>
        <v>0.34508536459175732</v>
      </c>
      <c r="Y35" s="246">
        <f t="shared" si="15"/>
        <v>0.34675407626611332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0.19638502356573009</v>
      </c>
      <c r="C36" s="259">
        <f t="shared" si="16"/>
        <v>0.1817614831443915</v>
      </c>
      <c r="D36" s="259">
        <f t="shared" si="16"/>
        <v>0.1832004294027674</v>
      </c>
      <c r="E36" s="259">
        <f t="shared" si="16"/>
        <v>0.18226774521171424</v>
      </c>
      <c r="F36" s="259">
        <f t="shared" si="16"/>
        <v>0.17649353990361596</v>
      </c>
      <c r="G36" s="259">
        <f t="shared" si="16"/>
        <v>0.17506291627937057</v>
      </c>
      <c r="H36" s="259">
        <f t="shared" si="16"/>
        <v>0.18567465484224061</v>
      </c>
      <c r="I36" s="259">
        <f t="shared" si="16"/>
        <v>0.18521253081863703</v>
      </c>
      <c r="J36" s="259">
        <f t="shared" si="16"/>
        <v>0.18724507149225458</v>
      </c>
      <c r="K36" s="259">
        <f t="shared" si="16"/>
        <v>0.19488458765525971</v>
      </c>
      <c r="L36" s="259">
        <f t="shared" si="16"/>
        <v>0.20328379532153154</v>
      </c>
      <c r="M36" s="259">
        <f t="shared" si="16"/>
        <v>0.20094415762096765</v>
      </c>
      <c r="N36" s="259">
        <f t="shared" si="16"/>
        <v>0.19556938425691892</v>
      </c>
      <c r="O36" s="259">
        <f t="shared" si="16"/>
        <v>0.21165517764303418</v>
      </c>
      <c r="P36" s="259">
        <f t="shared" si="16"/>
        <v>0.20265096430633869</v>
      </c>
      <c r="Q36" s="259">
        <f t="shared" si="16"/>
        <v>0.2065707300098836</v>
      </c>
      <c r="R36" s="259">
        <f t="shared" si="16"/>
        <v>0.2039226683453452</v>
      </c>
      <c r="S36" s="259">
        <f t="shared" si="16"/>
        <v>0.20601440672419757</v>
      </c>
      <c r="T36" s="259">
        <f t="shared" si="16"/>
        <v>0.21002217092554426</v>
      </c>
      <c r="U36" s="259">
        <f t="shared" si="16"/>
        <v>0.20702997512817536</v>
      </c>
      <c r="V36" s="259">
        <f t="shared" si="16"/>
        <v>0.20652940599764424</v>
      </c>
      <c r="W36" s="259">
        <f t="shared" si="16"/>
        <v>0.20698427364731431</v>
      </c>
      <c r="X36" s="259">
        <f t="shared" si="16"/>
        <v>0.20803010674454489</v>
      </c>
      <c r="Y36" s="259">
        <f t="shared" si="16"/>
        <v>0.21080105498504059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0.29245394682902887</v>
      </c>
      <c r="C37" s="259">
        <f t="shared" si="17"/>
        <v>0.29662359869604943</v>
      </c>
      <c r="D37" s="259">
        <f t="shared" si="17"/>
        <v>0.29095859525089568</v>
      </c>
      <c r="E37" s="259">
        <f t="shared" si="17"/>
        <v>0.28667564327244482</v>
      </c>
      <c r="F37" s="259">
        <f t="shared" si="17"/>
        <v>0.28021850573805229</v>
      </c>
      <c r="G37" s="259">
        <f t="shared" si="17"/>
        <v>0.28741077556792494</v>
      </c>
      <c r="H37" s="259">
        <f t="shared" si="17"/>
        <v>0.28131313122901735</v>
      </c>
      <c r="I37" s="259">
        <f t="shared" si="17"/>
        <v>0.27064879119322344</v>
      </c>
      <c r="J37" s="259">
        <f t="shared" si="17"/>
        <v>0.27412447141536495</v>
      </c>
      <c r="K37" s="259">
        <f t="shared" si="17"/>
        <v>0.26716711540610755</v>
      </c>
      <c r="L37" s="259">
        <f t="shared" si="17"/>
        <v>0.27452452386521936</v>
      </c>
      <c r="M37" s="259">
        <f t="shared" si="17"/>
        <v>0.27499080020521538</v>
      </c>
      <c r="N37" s="259">
        <f t="shared" si="17"/>
        <v>0.25877599904715659</v>
      </c>
      <c r="O37" s="259">
        <f t="shared" si="17"/>
        <v>0.28362719355269833</v>
      </c>
      <c r="P37" s="259">
        <f t="shared" si="17"/>
        <v>0.28169876166079144</v>
      </c>
      <c r="Q37" s="259">
        <f t="shared" si="17"/>
        <v>0.27568162020054765</v>
      </c>
      <c r="R37" s="259">
        <f t="shared" si="17"/>
        <v>0.28300769766750633</v>
      </c>
      <c r="S37" s="259">
        <f t="shared" si="17"/>
        <v>0.27522286748556674</v>
      </c>
      <c r="T37" s="259">
        <f t="shared" si="17"/>
        <v>0.26924353964573294</v>
      </c>
      <c r="U37" s="259">
        <f t="shared" si="17"/>
        <v>0.27239101519483427</v>
      </c>
      <c r="V37" s="259">
        <f t="shared" si="17"/>
        <v>0.27676590325980555</v>
      </c>
      <c r="W37" s="259">
        <f t="shared" si="17"/>
        <v>0.27532547877515579</v>
      </c>
      <c r="X37" s="259">
        <f t="shared" si="17"/>
        <v>0.26493785508107992</v>
      </c>
      <c r="Y37" s="259">
        <f t="shared" si="17"/>
        <v>0.26693502089480742</v>
      </c>
      <c r="DA37" s="278"/>
    </row>
    <row r="38" spans="1:105" x14ac:dyDescent="0.25">
      <c r="A38" s="127" t="s">
        <v>167</v>
      </c>
      <c r="B38" s="259">
        <f t="shared" ref="B38:Y38" si="18">IF(B$25=0,0,B$25/B$5)</f>
        <v>2.641591322788351E-2</v>
      </c>
      <c r="C38" s="259">
        <f t="shared" si="18"/>
        <v>2.4448888615514145E-2</v>
      </c>
      <c r="D38" s="259">
        <f t="shared" si="18"/>
        <v>2.4642442476244884E-2</v>
      </c>
      <c r="E38" s="259">
        <f t="shared" si="18"/>
        <v>2.4516986348213653E-2</v>
      </c>
      <c r="F38" s="259">
        <f t="shared" si="18"/>
        <v>2.3740293178799655E-2</v>
      </c>
      <c r="G38" s="259">
        <f t="shared" si="18"/>
        <v>2.3547858802523622E-2</v>
      </c>
      <c r="H38" s="259">
        <f t="shared" si="18"/>
        <v>2.4975252602641679E-2</v>
      </c>
      <c r="I38" s="259">
        <f t="shared" si="18"/>
        <v>2.4913091914996632E-2</v>
      </c>
      <c r="J38" s="259">
        <f t="shared" si="18"/>
        <v>2.5186490655346387E-2</v>
      </c>
      <c r="K38" s="259">
        <f t="shared" si="18"/>
        <v>2.6214088342791275E-2</v>
      </c>
      <c r="L38" s="259">
        <f t="shared" si="18"/>
        <v>2.7343872767625226E-2</v>
      </c>
      <c r="M38" s="259">
        <f t="shared" si="18"/>
        <v>2.7029166150182513E-2</v>
      </c>
      <c r="N38" s="259">
        <f t="shared" si="18"/>
        <v>2.6306200904532152E-2</v>
      </c>
      <c r="O38" s="259">
        <f t="shared" si="18"/>
        <v>2.8469914382138872E-2</v>
      </c>
      <c r="P38" s="259">
        <f t="shared" si="18"/>
        <v>2.7258750140238892E-2</v>
      </c>
      <c r="Q38" s="259">
        <f t="shared" si="18"/>
        <v>2.7786001092569353E-2</v>
      </c>
      <c r="R38" s="259">
        <f t="shared" si="18"/>
        <v>2.7429808110627851E-2</v>
      </c>
      <c r="S38" s="259">
        <f t="shared" si="18"/>
        <v>2.7711169583656391E-2</v>
      </c>
      <c r="T38" s="259">
        <f t="shared" si="18"/>
        <v>2.8250257287282407E-2</v>
      </c>
      <c r="U38" s="259">
        <f t="shared" si="18"/>
        <v>2.7847774536261017E-2</v>
      </c>
      <c r="V38" s="259">
        <f t="shared" si="18"/>
        <v>2.7780442565235011E-2</v>
      </c>
      <c r="W38" s="259">
        <f t="shared" si="18"/>
        <v>2.7841627191973306E-2</v>
      </c>
      <c r="X38" s="259">
        <f t="shared" si="18"/>
        <v>2.7982303073696254E-2</v>
      </c>
      <c r="Y38" s="259">
        <f t="shared" si="18"/>
        <v>2.8355025631408962E-2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2.578510672587267E-2</v>
      </c>
      <c r="C39" s="259">
        <f t="shared" si="19"/>
        <v>2.6846290536417666E-2</v>
      </c>
      <c r="D39" s="259">
        <f t="shared" si="19"/>
        <v>2.7994781478207203E-2</v>
      </c>
      <c r="E39" s="259">
        <f t="shared" si="19"/>
        <v>2.926047438925606E-2</v>
      </c>
      <c r="F39" s="259">
        <f t="shared" si="19"/>
        <v>3.0477040865671795E-2</v>
      </c>
      <c r="G39" s="259">
        <f t="shared" si="19"/>
        <v>2.8401245131970041E-2</v>
      </c>
      <c r="H39" s="259">
        <f t="shared" si="19"/>
        <v>2.8265247019948803E-2</v>
      </c>
      <c r="I39" s="259">
        <f t="shared" si="19"/>
        <v>3.1443255538023039E-2</v>
      </c>
      <c r="J39" s="259">
        <f t="shared" si="19"/>
        <v>3.0171742832302492E-2</v>
      </c>
      <c r="K39" s="259">
        <f t="shared" si="19"/>
        <v>3.0363635708871156E-2</v>
      </c>
      <c r="L39" s="259">
        <f t="shared" si="19"/>
        <v>2.7623934310930763E-2</v>
      </c>
      <c r="M39" s="259">
        <f t="shared" si="19"/>
        <v>2.7971435049242391E-2</v>
      </c>
      <c r="N39" s="259">
        <f t="shared" si="19"/>
        <v>3.2290019433616333E-2</v>
      </c>
      <c r="O39" s="259">
        <f t="shared" si="19"/>
        <v>2.5241984455146478E-2</v>
      </c>
      <c r="P39" s="259">
        <f t="shared" si="19"/>
        <v>2.5069721163576072E-2</v>
      </c>
      <c r="Q39" s="259">
        <f t="shared" si="19"/>
        <v>2.6271025690949641E-2</v>
      </c>
      <c r="R39" s="259">
        <f t="shared" si="19"/>
        <v>2.4806676922684911E-2</v>
      </c>
      <c r="S39" s="259">
        <f t="shared" si="19"/>
        <v>2.6119686044271277E-2</v>
      </c>
      <c r="T39" s="259">
        <f t="shared" si="19"/>
        <v>2.6844950073526989E-2</v>
      </c>
      <c r="U39" s="259">
        <f t="shared" si="19"/>
        <v>2.6641332113723094E-2</v>
      </c>
      <c r="V39" s="259">
        <f t="shared" si="19"/>
        <v>2.5790131443004512E-2</v>
      </c>
      <c r="W39" s="259">
        <f t="shared" si="19"/>
        <v>2.5813310045841805E-2</v>
      </c>
      <c r="X39" s="259">
        <f t="shared" si="19"/>
        <v>2.8125412352786778E-2</v>
      </c>
      <c r="Y39" s="259">
        <f t="shared" si="19"/>
        <v>2.6881479403526431E-2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3.9298172198679641E-2</v>
      </c>
      <c r="C40" s="261">
        <f t="shared" si="20"/>
        <v>4.0915485036070544E-2</v>
      </c>
      <c r="D40" s="261">
        <f t="shared" si="20"/>
        <v>4.2665859594488834E-2</v>
      </c>
      <c r="E40" s="261">
        <f t="shared" si="20"/>
        <v>4.4594857542716755E-2</v>
      </c>
      <c r="F40" s="261">
        <f t="shared" si="20"/>
        <v>4.6448983623698058E-2</v>
      </c>
      <c r="G40" s="261">
        <f t="shared" si="20"/>
        <v>4.3285336520758444E-2</v>
      </c>
      <c r="H40" s="261">
        <f t="shared" si="20"/>
        <v>4.3078066592356586E-2</v>
      </c>
      <c r="I40" s="261">
        <f t="shared" si="20"/>
        <v>4.7921557345367044E-2</v>
      </c>
      <c r="J40" s="261">
        <f t="shared" si="20"/>
        <v>4.5983689653236161E-2</v>
      </c>
      <c r="K40" s="261">
        <f t="shared" si="20"/>
        <v>4.6276146821913645E-2</v>
      </c>
      <c r="L40" s="261">
        <f t="shared" si="20"/>
        <v>4.2100664499740648E-2</v>
      </c>
      <c r="M40" s="261">
        <f t="shared" si="20"/>
        <v>4.2630278125098897E-2</v>
      </c>
      <c r="N40" s="261">
        <f t="shared" si="20"/>
        <v>4.9212080348991473E-2</v>
      </c>
      <c r="O40" s="261">
        <f t="shared" si="20"/>
        <v>3.8470418691709682E-2</v>
      </c>
      <c r="P40" s="261">
        <f t="shared" si="20"/>
        <v>3.8207878281556827E-2</v>
      </c>
      <c r="Q40" s="261">
        <f t="shared" si="20"/>
        <v>4.003874416400869E-2</v>
      </c>
      <c r="R40" s="261">
        <f t="shared" si="20"/>
        <v>3.7806981826703723E-2</v>
      </c>
      <c r="S40" s="261">
        <f t="shared" si="20"/>
        <v>3.9808092743447147E-2</v>
      </c>
      <c r="T40" s="261">
        <f t="shared" si="20"/>
        <v>4.0913442083832095E-2</v>
      </c>
      <c r="U40" s="261">
        <f t="shared" si="20"/>
        <v>4.0603115129121931E-2</v>
      </c>
      <c r="V40" s="261">
        <f t="shared" si="20"/>
        <v>3.9305830192931754E-2</v>
      </c>
      <c r="W40" s="261">
        <f t="shared" si="20"/>
        <v>3.9341155884436874E-2</v>
      </c>
      <c r="X40" s="261">
        <f t="shared" si="20"/>
        <v>4.2864949505508766E-2</v>
      </c>
      <c r="Y40" s="261">
        <f t="shared" si="20"/>
        <v>4.0969115147972655E-2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0.38994586455574259</v>
      </c>
      <c r="C44" s="237">
        <f>IF(C$5=0,0,C$5/AGR_fec!C$5)</f>
        <v>0.39435413754522403</v>
      </c>
      <c r="D44" s="237">
        <f>IF(D$5=0,0,D$5/AGR_fec!D$5)</f>
        <v>0.39579290373749854</v>
      </c>
      <c r="E44" s="237">
        <f>IF(E$5=0,0,E$5/AGR_fec!E$5)</f>
        <v>0.39712260451423226</v>
      </c>
      <c r="F44" s="237">
        <f>IF(F$5=0,0,F$5/AGR_fec!F$5)</f>
        <v>0.40368311373550814</v>
      </c>
      <c r="G44" s="237">
        <f>IF(G$5=0,0,G$5/AGR_fec!G$5)</f>
        <v>0.40240221495450712</v>
      </c>
      <c r="H44" s="237">
        <f>IF(H$5=0,0,H$5/AGR_fec!H$5)</f>
        <v>0.3999862362903478</v>
      </c>
      <c r="I44" s="237">
        <f>IF(I$5=0,0,I$5/AGR_fec!I$5)</f>
        <v>0.40205834981333766</v>
      </c>
      <c r="J44" s="237">
        <f>IF(J$5=0,0,J$5/AGR_fec!J$5)</f>
        <v>0.40119625272545351</v>
      </c>
      <c r="K44" s="237">
        <f>IF(K$5=0,0,K$5/AGR_fec!K$5)</f>
        <v>0.39944483322274993</v>
      </c>
      <c r="L44" s="237">
        <f>IF(L$5=0,0,L$5/AGR_fec!L$5)</f>
        <v>0.39431461712108068</v>
      </c>
      <c r="M44" s="237">
        <f>IF(M$5=0,0,M$5/AGR_fec!M$5)</f>
        <v>0.39491666010285958</v>
      </c>
      <c r="N44" s="237">
        <f>IF(N$5=0,0,N$5/AGR_fec!N$5)</f>
        <v>0.40024430874649697</v>
      </c>
      <c r="O44" s="237">
        <f>IF(O$5=0,0,O$5/AGR_fec!O$5)</f>
        <v>0.38885201069067182</v>
      </c>
      <c r="P44" s="237">
        <f>IF(P$5=0,0,P$5/AGR_fec!P$5)</f>
        <v>0.39168833812831899</v>
      </c>
      <c r="Q44" s="237">
        <f>IF(Q$5=0,0,Q$5/AGR_fec!Q$5)</f>
        <v>0.39122572955894286</v>
      </c>
      <c r="R44" s="237">
        <f>IF(R$5=0,0,R$5/AGR_fec!R$5)</f>
        <v>0.39096179985174262</v>
      </c>
      <c r="S44" s="237">
        <f>IF(S$5=0,0,S$5/AGR_fec!S$5)</f>
        <v>0.39118857076125302</v>
      </c>
      <c r="T44" s="237">
        <f>IF(T$5=0,0,T$5/AGR_fec!T$5)</f>
        <v>0.39048501200838814</v>
      </c>
      <c r="U44" s="237">
        <f>IF(U$5=0,0,U$5/AGR_fec!U$5)</f>
        <v>0.39129987122642307</v>
      </c>
      <c r="V44" s="237">
        <f>IF(V$5=0,0,V$5/AGR_fec!V$5)</f>
        <v>0.391330241259154</v>
      </c>
      <c r="W44" s="237">
        <f>IF(W$5=0,0,W$5/AGR_fec!W$5)</f>
        <v>0.39148291848421563</v>
      </c>
      <c r="X44" s="237">
        <f>IF(X$5=0,0,X$5/AGR_fec!X$5)</f>
        <v>0.39150437848578035</v>
      </c>
      <c r="Y44" s="237">
        <f>IF(Y$5=0,0,Y$5/AGR_fec!Y$5)</f>
        <v>0.38965423304157476</v>
      </c>
      <c r="DA44" s="286"/>
    </row>
    <row r="45" spans="1:105" x14ac:dyDescent="0.25">
      <c r="A45" s="238" t="s">
        <v>125</v>
      </c>
      <c r="B45" s="250">
        <f>IF(B$6=0,0,B$6/AGR_fec!B$6)</f>
        <v>0.4687831251518409</v>
      </c>
      <c r="C45" s="250">
        <f>IF(C$6=0,0,C$6/AGR_fec!C$6)</f>
        <v>0.4687831251518409</v>
      </c>
      <c r="D45" s="250">
        <f>IF(D$6=0,0,D$6/AGR_fec!D$6)</f>
        <v>0.46878312515184101</v>
      </c>
      <c r="E45" s="250">
        <f>IF(E$6=0,0,E$6/AGR_fec!E$6)</f>
        <v>0.46878312515184078</v>
      </c>
      <c r="F45" s="250">
        <f>IF(F$6=0,0,F$6/AGR_fec!F$6)</f>
        <v>0.46878312515184073</v>
      </c>
      <c r="G45" s="250">
        <f>IF(G$6=0,0,G$6/AGR_fec!G$6)</f>
        <v>0.46878312515184078</v>
      </c>
      <c r="H45" s="250">
        <f>IF(H$6=0,0,H$6/AGR_fec!H$6)</f>
        <v>0.46878312515184073</v>
      </c>
      <c r="I45" s="250">
        <f>IF(I$6=0,0,I$6/AGR_fec!I$6)</f>
        <v>0.46878312515184062</v>
      </c>
      <c r="J45" s="250">
        <f>IF(J$6=0,0,J$6/AGR_fec!J$6)</f>
        <v>0.46878312515184101</v>
      </c>
      <c r="K45" s="250">
        <f>IF(K$6=0,0,K$6/AGR_fec!K$6)</f>
        <v>0.46878312515184073</v>
      </c>
      <c r="L45" s="250">
        <f>IF(L$6=0,0,L$6/AGR_fec!L$6)</f>
        <v>0.4687831251518409</v>
      </c>
      <c r="M45" s="250">
        <f>IF(M$6=0,0,M$6/AGR_fec!M$6)</f>
        <v>0.46878312515184095</v>
      </c>
      <c r="N45" s="250">
        <f>IF(N$6=0,0,N$6/AGR_fec!N$6)</f>
        <v>0.46878312515184101</v>
      </c>
      <c r="O45" s="250">
        <f>IF(O$6=0,0,O$6/AGR_fec!O$6)</f>
        <v>0.46878312515184073</v>
      </c>
      <c r="P45" s="250">
        <f>IF(P$6=0,0,P$6/AGR_fec!P$6)</f>
        <v>0.46878312515184095</v>
      </c>
      <c r="Q45" s="250">
        <f>IF(Q$6=0,0,Q$6/AGR_fec!Q$6)</f>
        <v>0.46878312515184078</v>
      </c>
      <c r="R45" s="250">
        <f>IF(R$6=0,0,R$6/AGR_fec!R$6)</f>
        <v>0.46878312515184073</v>
      </c>
      <c r="S45" s="250">
        <f>IF(S$6=0,0,S$6/AGR_fec!S$6)</f>
        <v>0.46878312515184078</v>
      </c>
      <c r="T45" s="250">
        <f>IF(T$6=0,0,T$6/AGR_fec!T$6)</f>
        <v>0.46878312515184078</v>
      </c>
      <c r="U45" s="250">
        <f>IF(U$6=0,0,U$6/AGR_fec!U$6)</f>
        <v>0.4687831251518409</v>
      </c>
      <c r="V45" s="250">
        <f>IF(V$6=0,0,V$6/AGR_fec!V$6)</f>
        <v>0.46878312515184067</v>
      </c>
      <c r="W45" s="250">
        <f>IF(W$6=0,0,W$6/AGR_fec!W$6)</f>
        <v>0.4687831251518409</v>
      </c>
      <c r="X45" s="250">
        <f>IF(X$6=0,0,X$6/AGR_fec!X$6)</f>
        <v>0.4687831251518409</v>
      </c>
      <c r="Y45" s="250">
        <f>IF(Y$6=0,0,Y$6/AGR_fec!Y$6)</f>
        <v>0.46878312515184062</v>
      </c>
      <c r="DA45" s="287"/>
    </row>
    <row r="46" spans="1:105" x14ac:dyDescent="0.25">
      <c r="A46" s="240" t="s">
        <v>124</v>
      </c>
      <c r="B46" s="251">
        <f>IF(B$7=0,0,B$7/AGR_fec!B$7)</f>
        <v>0.46485843240396529</v>
      </c>
      <c r="C46" s="251">
        <f>IF(C$7=0,0,C$7/AGR_fec!C$7)</f>
        <v>0.46485843240396513</v>
      </c>
      <c r="D46" s="251">
        <f>IF(D$7=0,0,D$7/AGR_fec!D$7)</f>
        <v>0.46485843240396529</v>
      </c>
      <c r="E46" s="251">
        <f>IF(E$7=0,0,E$7/AGR_fec!E$7)</f>
        <v>0.46485843240396524</v>
      </c>
      <c r="F46" s="251">
        <f>IF(F$7=0,0,F$7/AGR_fec!F$7)</f>
        <v>0.46485843240396496</v>
      </c>
      <c r="G46" s="251">
        <f>IF(G$7=0,0,G$7/AGR_fec!G$7)</f>
        <v>0.46485843240396513</v>
      </c>
      <c r="H46" s="251">
        <f>IF(H$7=0,0,H$7/AGR_fec!H$7)</f>
        <v>0.46485843240396518</v>
      </c>
      <c r="I46" s="251">
        <f>IF(I$7=0,0,I$7/AGR_fec!I$7)</f>
        <v>0.46485843240396518</v>
      </c>
      <c r="J46" s="251">
        <f>IF(J$7=0,0,J$7/AGR_fec!J$7)</f>
        <v>0.46485843240396502</v>
      </c>
      <c r="K46" s="251">
        <f>IF(K$7=0,0,K$7/AGR_fec!K$7)</f>
        <v>0.46485843240396513</v>
      </c>
      <c r="L46" s="251">
        <f>IF(L$7=0,0,L$7/AGR_fec!L$7)</f>
        <v>0.46485843240396507</v>
      </c>
      <c r="M46" s="251">
        <f>IF(M$7=0,0,M$7/AGR_fec!M$7)</f>
        <v>0.46485843240396513</v>
      </c>
      <c r="N46" s="251">
        <f>IF(N$7=0,0,N$7/AGR_fec!N$7)</f>
        <v>0.46485843240396513</v>
      </c>
      <c r="O46" s="251">
        <f>IF(O$7=0,0,O$7/AGR_fec!O$7)</f>
        <v>0.46485843240396518</v>
      </c>
      <c r="P46" s="251">
        <f>IF(P$7=0,0,P$7/AGR_fec!P$7)</f>
        <v>0.46485843240396507</v>
      </c>
      <c r="Q46" s="251">
        <f>IF(Q$7=0,0,Q$7/AGR_fec!Q$7)</f>
        <v>0.46485843240396513</v>
      </c>
      <c r="R46" s="251">
        <f>IF(R$7=0,0,R$7/AGR_fec!R$7)</f>
        <v>0.46485843240396513</v>
      </c>
      <c r="S46" s="251">
        <f>IF(S$7=0,0,S$7/AGR_fec!S$7)</f>
        <v>0.46485843240396513</v>
      </c>
      <c r="T46" s="251">
        <f>IF(T$7=0,0,T$7/AGR_fec!T$7)</f>
        <v>0.46485843240396507</v>
      </c>
      <c r="U46" s="251">
        <f>IF(U$7=0,0,U$7/AGR_fec!U$7)</f>
        <v>0.46485843240396496</v>
      </c>
      <c r="V46" s="251">
        <f>IF(V$7=0,0,V$7/AGR_fec!V$7)</f>
        <v>0.46485843240396524</v>
      </c>
      <c r="W46" s="251">
        <f>IF(W$7=0,0,W$7/AGR_fec!W$7)</f>
        <v>0.46485843240396513</v>
      </c>
      <c r="X46" s="251">
        <f>IF(X$7=0,0,X$7/AGR_fec!X$7)</f>
        <v>0.46485843240396513</v>
      </c>
      <c r="Y46" s="251">
        <f>IF(Y$7=0,0,Y$7/AGR_fec!Y$7)</f>
        <v>0.46485843240396507</v>
      </c>
      <c r="DA46" s="288"/>
    </row>
    <row r="47" spans="1:105" x14ac:dyDescent="0.25">
      <c r="A47" s="240" t="s">
        <v>123</v>
      </c>
      <c r="B47" s="251">
        <f>IF(B$8=0,0,B$8/AGR_fec!B$8)</f>
        <v>0.66717564361665849</v>
      </c>
      <c r="C47" s="251">
        <f>IF(C$8=0,0,C$8/AGR_fec!C$8)</f>
        <v>0.66717564361665804</v>
      </c>
      <c r="D47" s="251">
        <f>IF(D$8=0,0,D$8/AGR_fec!D$8)</f>
        <v>0.66717564361665838</v>
      </c>
      <c r="E47" s="251">
        <f>IF(E$8=0,0,E$8/AGR_fec!E$8)</f>
        <v>0.66717564361665815</v>
      </c>
      <c r="F47" s="251">
        <f>IF(F$8=0,0,F$8/AGR_fec!F$8)</f>
        <v>0.66717564361665804</v>
      </c>
      <c r="G47" s="251">
        <f>IF(G$8=0,0,G$8/AGR_fec!G$8)</f>
        <v>0.6671756436166586</v>
      </c>
      <c r="H47" s="251">
        <f>IF(H$8=0,0,H$8/AGR_fec!H$8)</f>
        <v>0.66717564361665804</v>
      </c>
      <c r="I47" s="251">
        <f>IF(I$8=0,0,I$8/AGR_fec!I$8)</f>
        <v>0.66717564361665815</v>
      </c>
      <c r="J47" s="251">
        <f>IF(J$8=0,0,J$8/AGR_fec!J$8)</f>
        <v>0.66717564361665804</v>
      </c>
      <c r="K47" s="251">
        <f>IF(K$8=0,0,K$8/AGR_fec!K$8)</f>
        <v>0.66717564361665793</v>
      </c>
      <c r="L47" s="251">
        <f>IF(L$8=0,0,L$8/AGR_fec!L$8)</f>
        <v>0.66717564361665804</v>
      </c>
      <c r="M47" s="251">
        <f>IF(M$8=0,0,M$8/AGR_fec!M$8)</f>
        <v>0.66717564361665849</v>
      </c>
      <c r="N47" s="251">
        <f>IF(N$8=0,0,N$8/AGR_fec!N$8)</f>
        <v>0.66717564361665826</v>
      </c>
      <c r="O47" s="251">
        <f>IF(O$8=0,0,O$8/AGR_fec!O$8)</f>
        <v>0.66717564361665826</v>
      </c>
      <c r="P47" s="251">
        <f>IF(P$8=0,0,P$8/AGR_fec!P$8)</f>
        <v>0.66717564361665826</v>
      </c>
      <c r="Q47" s="251">
        <f>IF(Q$8=0,0,Q$8/AGR_fec!Q$8)</f>
        <v>0.66717564361665804</v>
      </c>
      <c r="R47" s="251">
        <f>IF(R$8=0,0,R$8/AGR_fec!R$8)</f>
        <v>0.66717564361665804</v>
      </c>
      <c r="S47" s="251">
        <f>IF(S$8=0,0,S$8/AGR_fec!S$8)</f>
        <v>0.66717564361665838</v>
      </c>
      <c r="T47" s="251">
        <f>IF(T$8=0,0,T$8/AGR_fec!T$8)</f>
        <v>0.66717564361665849</v>
      </c>
      <c r="U47" s="251">
        <f>IF(U$8=0,0,U$8/AGR_fec!U$8)</f>
        <v>0.66717564361665838</v>
      </c>
      <c r="V47" s="251">
        <f>IF(V$8=0,0,V$8/AGR_fec!V$8)</f>
        <v>0.66717564361665804</v>
      </c>
      <c r="W47" s="251">
        <f>IF(W$8=0,0,W$8/AGR_fec!W$8)</f>
        <v>0.66717564361665838</v>
      </c>
      <c r="X47" s="251">
        <f>IF(X$8=0,0,X$8/AGR_fec!X$8)</f>
        <v>0.66717564361665826</v>
      </c>
      <c r="Y47" s="251">
        <f>IF(Y$8=0,0,Y$8/AGR_fec!Y$8)</f>
        <v>0.66717564361665815</v>
      </c>
      <c r="DA47" s="288"/>
    </row>
    <row r="48" spans="1:105" x14ac:dyDescent="0.25">
      <c r="A48" s="242" t="s">
        <v>122</v>
      </c>
      <c r="B48" s="252">
        <f>IF(B$9=0,0,B$9/AGR_fec!B$9)</f>
        <v>0.65373137240224621</v>
      </c>
      <c r="C48" s="252">
        <f>IF(C$9=0,0,C$9/AGR_fec!C$9)</f>
        <v>0.66215396876099686</v>
      </c>
      <c r="D48" s="252">
        <f>IF(D$9=0,0,D$9/AGR_fec!D$9)</f>
        <v>0.6632248860987795</v>
      </c>
      <c r="E48" s="252">
        <f>IF(E$9=0,0,E$9/AGR_fec!E$9)</f>
        <v>0.66581602402987372</v>
      </c>
      <c r="F48" s="252">
        <f>IF(F$9=0,0,F$9/AGR_fec!F$9)</f>
        <v>0.67298635572938137</v>
      </c>
      <c r="G48" s="252">
        <f>IF(G$9=0,0,G$9/AGR_fec!G$9)</f>
        <v>0.67049758704675366</v>
      </c>
      <c r="H48" s="252">
        <f>IF(H$9=0,0,H$9/AGR_fec!H$9)</f>
        <v>0.66649101508033259</v>
      </c>
      <c r="I48" s="252">
        <f>IF(I$9=0,0,I$9/AGR_fec!I$9)</f>
        <v>0.6724475836340249</v>
      </c>
      <c r="J48" s="252">
        <f>IF(J$9=0,0,J$9/AGR_fec!J$9)</f>
        <v>0.66878405754110681</v>
      </c>
      <c r="K48" s="252">
        <f>IF(K$9=0,0,K$9/AGR_fec!K$9)</f>
        <v>0.665365688296779</v>
      </c>
      <c r="L48" s="252">
        <f>IF(L$9=0,0,L$9/AGR_fec!L$9)</f>
        <v>0.65650538070697206</v>
      </c>
      <c r="M48" s="252">
        <f>IF(M$9=0,0,M$9/AGR_fec!M$9)</f>
        <v>0.65858680284651216</v>
      </c>
      <c r="N48" s="252">
        <f>IF(N$9=0,0,N$9/AGR_fec!N$9)</f>
        <v>0.66971952381409683</v>
      </c>
      <c r="O48" s="252">
        <f>IF(O$9=0,0,O$9/AGR_fec!O$9)</f>
        <v>0.64707913931551708</v>
      </c>
      <c r="P48" s="252">
        <f>IF(P$9=0,0,P$9/AGR_fec!P$9)</f>
        <v>0.65997119418243899</v>
      </c>
      <c r="Q48" s="252">
        <f>IF(Q$9=0,0,Q$9/AGR_fec!Q$9)</f>
        <v>0.65779109749240461</v>
      </c>
      <c r="R48" s="252">
        <f>IF(R$9=0,0,R$9/AGR_fec!R$9)</f>
        <v>0.65741671510284316</v>
      </c>
      <c r="S48" s="252">
        <f>IF(S$9=0,0,S$9/AGR_fec!S$9)</f>
        <v>0.65887846512877535</v>
      </c>
      <c r="T48" s="252">
        <f>IF(T$9=0,0,T$9/AGR_fec!T$9)</f>
        <v>0.65761809090220702</v>
      </c>
      <c r="U48" s="252">
        <f>IF(U$9=0,0,U$9/AGR_fec!U$9)</f>
        <v>0.65897775590864904</v>
      </c>
      <c r="V48" s="252">
        <f>IF(V$9=0,0,V$9/AGR_fec!V$9)</f>
        <v>0.65735832706897535</v>
      </c>
      <c r="W48" s="252">
        <f>IF(W$9=0,0,W$9/AGR_fec!W$9)</f>
        <v>0.65731977673377773</v>
      </c>
      <c r="X48" s="252">
        <f>IF(X$9=0,0,X$9/AGR_fec!X$9)</f>
        <v>0.6617250834053684</v>
      </c>
      <c r="Y48" s="252">
        <f>IF(Y$9=0,0,Y$9/AGR_fec!Y$9)</f>
        <v>0.6599215894544036</v>
      </c>
      <c r="DA48" s="289"/>
    </row>
    <row r="49" spans="1:105" x14ac:dyDescent="0.25">
      <c r="A49" s="127" t="s">
        <v>168</v>
      </c>
      <c r="B49" s="264">
        <f>IF(B$16=0,0,B$16/AGR_fec!B$16)</f>
        <v>0.33545169281698761</v>
      </c>
      <c r="C49" s="264">
        <f>IF(C$16=0,0,C$16/AGR_fec!C$16)</f>
        <v>0.33545169281698761</v>
      </c>
      <c r="D49" s="264">
        <f>IF(D$16=0,0,D$16/AGR_fec!D$16)</f>
        <v>0.3354516928169875</v>
      </c>
      <c r="E49" s="264">
        <f>IF(E$16=0,0,E$16/AGR_fec!E$16)</f>
        <v>0.33545169281698761</v>
      </c>
      <c r="F49" s="264">
        <f>IF(F$16=0,0,F$16/AGR_fec!F$16)</f>
        <v>0.33545169281698756</v>
      </c>
      <c r="G49" s="264">
        <f>IF(G$16=0,0,G$16/AGR_fec!G$16)</f>
        <v>0.33545169281698761</v>
      </c>
      <c r="H49" s="264">
        <f>IF(H$16=0,0,H$16/AGR_fec!H$16)</f>
        <v>0.33545169281698767</v>
      </c>
      <c r="I49" s="264">
        <f>IF(I$16=0,0,I$16/AGR_fec!I$16)</f>
        <v>0.3354516928169875</v>
      </c>
      <c r="J49" s="264">
        <f>IF(J$16=0,0,J$16/AGR_fec!J$16)</f>
        <v>0.33545169281698756</v>
      </c>
      <c r="K49" s="264">
        <f>IF(K$16=0,0,K$16/AGR_fec!K$16)</f>
        <v>0.33545169281698772</v>
      </c>
      <c r="L49" s="264">
        <f>IF(L$16=0,0,L$16/AGR_fec!L$16)</f>
        <v>0.33545169281698778</v>
      </c>
      <c r="M49" s="264">
        <f>IF(M$16=0,0,M$16/AGR_fec!M$16)</f>
        <v>0.33545169281698767</v>
      </c>
      <c r="N49" s="264">
        <f>IF(N$16=0,0,N$16/AGR_fec!N$16)</f>
        <v>0.33545169281698756</v>
      </c>
      <c r="O49" s="264">
        <f>IF(O$16=0,0,O$16/AGR_fec!O$16)</f>
        <v>0.33545169281698761</v>
      </c>
      <c r="P49" s="264">
        <f>IF(P$16=0,0,P$16/AGR_fec!P$16)</f>
        <v>0.33545169281698745</v>
      </c>
      <c r="Q49" s="264">
        <f>IF(Q$16=0,0,Q$16/AGR_fec!Q$16)</f>
        <v>0.33545169281698761</v>
      </c>
      <c r="R49" s="264">
        <f>IF(R$16=0,0,R$16/AGR_fec!R$16)</f>
        <v>0.33545169281698739</v>
      </c>
      <c r="S49" s="264">
        <f>IF(S$16=0,0,S$16/AGR_fec!S$16)</f>
        <v>0.33545169281698756</v>
      </c>
      <c r="T49" s="264">
        <f>IF(T$16=0,0,T$16/AGR_fec!T$16)</f>
        <v>0.33545169281698767</v>
      </c>
      <c r="U49" s="264">
        <f>IF(U$16=0,0,U$16/AGR_fec!U$16)</f>
        <v>0.3354516928169875</v>
      </c>
      <c r="V49" s="264">
        <f>IF(V$16=0,0,V$16/AGR_fec!V$16)</f>
        <v>0.33545169281698756</v>
      </c>
      <c r="W49" s="264">
        <f>IF(W$16=0,0,W$16/AGR_fec!W$16)</f>
        <v>0.33545169281698756</v>
      </c>
      <c r="X49" s="264">
        <f>IF(X$16=0,0,X$16/AGR_fec!X$16)</f>
        <v>0.33545169281698756</v>
      </c>
      <c r="Y49" s="264">
        <f>IF(Y$16=0,0,Y$16/AGR_fec!Y$16)</f>
        <v>0.33545169281698761</v>
      </c>
      <c r="DA49" s="290"/>
    </row>
    <row r="50" spans="1:105" x14ac:dyDescent="0.25">
      <c r="A50" s="127" t="s">
        <v>121</v>
      </c>
      <c r="B50" s="264">
        <f>IF(B$17=0,0,B$17/AGR_fec!B$17)</f>
        <v>0.27496658160402926</v>
      </c>
      <c r="C50" s="264">
        <f>IF(C$17=0,0,C$17/AGR_fec!C$17)</f>
        <v>0.27665258921955888</v>
      </c>
      <c r="D50" s="264">
        <f>IF(D$17=0,0,D$17/AGR_fec!D$17)</f>
        <v>0.27716770240789512</v>
      </c>
      <c r="E50" s="264">
        <f>IF(E$17=0,0,E$17/AGR_fec!E$17)</f>
        <v>0.27686796067536273</v>
      </c>
      <c r="F50" s="264">
        <f>IF(F$17=0,0,F$17/AGR_fec!F$17)</f>
        <v>0.28076732799076559</v>
      </c>
      <c r="G50" s="264">
        <f>IF(G$17=0,0,G$17/AGR_fec!G$17)</f>
        <v>0.28101623120345509</v>
      </c>
      <c r="H50" s="264">
        <f>IF(H$17=0,0,H$17/AGR_fec!H$17)</f>
        <v>0.27960794266125882</v>
      </c>
      <c r="I50" s="264">
        <f>IF(I$17=0,0,I$17/AGR_fec!I$17)</f>
        <v>0.27770194312846969</v>
      </c>
      <c r="J50" s="264">
        <f>IF(J$17=0,0,J$17/AGR_fec!J$17)</f>
        <v>0.279203495356866</v>
      </c>
      <c r="K50" s="264">
        <f>IF(K$17=0,0,K$17/AGR_fec!K$17)</f>
        <v>0.2768580444333601</v>
      </c>
      <c r="L50" s="264">
        <f>IF(L$17=0,0,L$17/AGR_fec!L$17)</f>
        <v>0.27644446355972291</v>
      </c>
      <c r="M50" s="264">
        <f>IF(M$17=0,0,M$17/AGR_fec!M$17)</f>
        <v>0.27637651021749976</v>
      </c>
      <c r="N50" s="264">
        <f>IF(N$17=0,0,N$17/AGR_fec!N$17)</f>
        <v>0.27395443925130147</v>
      </c>
      <c r="O50" s="264">
        <f>IF(O$17=0,0,O$17/AGR_fec!O$17)</f>
        <v>0.27656931884123909</v>
      </c>
      <c r="P50" s="264">
        <f>IF(P$17=0,0,P$17/AGR_fec!P$17)</f>
        <v>0.27319519546310245</v>
      </c>
      <c r="Q50" s="264">
        <f>IF(Q$17=0,0,Q$17/AGR_fec!Q$17)</f>
        <v>0.27210598611299286</v>
      </c>
      <c r="R50" s="264">
        <f>IF(R$17=0,0,R$17/AGR_fec!R$17)</f>
        <v>0.2736731434726894</v>
      </c>
      <c r="S50" s="264">
        <f>IF(S$17=0,0,S$17/AGR_fec!S$17)</f>
        <v>0.27117017831959173</v>
      </c>
      <c r="T50" s="264">
        <f>IF(T$17=0,0,T$17/AGR_fec!T$17)</f>
        <v>0.26914838639616234</v>
      </c>
      <c r="U50" s="264">
        <f>IF(U$17=0,0,U$17/AGR_fec!U$17)</f>
        <v>0.27053457710161677</v>
      </c>
      <c r="V50" s="264">
        <f>IF(V$17=0,0,V$17/AGR_fec!V$17)</f>
        <v>0.27267461250122516</v>
      </c>
      <c r="W50" s="264">
        <f>IF(W$17=0,0,W$17/AGR_fec!W$17)</f>
        <v>0.27235744201030604</v>
      </c>
      <c r="X50" s="264">
        <f>IF(X$17=0,0,X$17/AGR_fec!X$17)</f>
        <v>0.26736436204622227</v>
      </c>
      <c r="Y50" s="264">
        <f>IF(Y$17=0,0,Y$17/AGR_fec!Y$17)</f>
        <v>0.26623466987661748</v>
      </c>
      <c r="DA50" s="290"/>
    </row>
    <row r="51" spans="1:105" x14ac:dyDescent="0.25">
      <c r="A51" s="127" t="s">
        <v>167</v>
      </c>
      <c r="B51" s="264">
        <f>IF(B$25=0,0,B$25/AGR_fec!B$25)</f>
        <v>0.2348161849718913</v>
      </c>
      <c r="C51" s="264">
        <f>IF(C$25=0,0,C$25/AGR_fec!C$25)</f>
        <v>0.2348161849718913</v>
      </c>
      <c r="D51" s="264">
        <f>IF(D$25=0,0,D$25/AGR_fec!D$25)</f>
        <v>0.23481618497189125</v>
      </c>
      <c r="E51" s="264">
        <f>IF(E$25=0,0,E$25/AGR_fec!E$25)</f>
        <v>0.2348161849718913</v>
      </c>
      <c r="F51" s="264">
        <f>IF(F$25=0,0,F$25/AGR_fec!F$25)</f>
        <v>0.23481618497189127</v>
      </c>
      <c r="G51" s="264">
        <f>IF(G$25=0,0,G$25/AGR_fec!G$25)</f>
        <v>0.23481618497189127</v>
      </c>
      <c r="H51" s="264">
        <f>IF(H$25=0,0,H$25/AGR_fec!H$25)</f>
        <v>0.2348161849718913</v>
      </c>
      <c r="I51" s="264">
        <f>IF(I$25=0,0,I$25/AGR_fec!I$25)</f>
        <v>0.23481618497189125</v>
      </c>
      <c r="J51" s="264">
        <f>IF(J$25=0,0,J$25/AGR_fec!J$25)</f>
        <v>0.23481618497189122</v>
      </c>
      <c r="K51" s="264">
        <f>IF(K$25=0,0,K$25/AGR_fec!K$25)</f>
        <v>0.23481618497189116</v>
      </c>
      <c r="L51" s="264">
        <f>IF(L$25=0,0,L$25/AGR_fec!L$25)</f>
        <v>0.23481618497189119</v>
      </c>
      <c r="M51" s="264">
        <f>IF(M$25=0,0,M$25/AGR_fec!M$25)</f>
        <v>0.23481618497189122</v>
      </c>
      <c r="N51" s="264">
        <f>IF(N$25=0,0,N$25/AGR_fec!N$25)</f>
        <v>0.23481618497189133</v>
      </c>
      <c r="O51" s="264">
        <f>IF(O$25=0,0,O$25/AGR_fec!O$25)</f>
        <v>0.23481618497189133</v>
      </c>
      <c r="P51" s="264">
        <f>IF(P$25=0,0,P$25/AGR_fec!P$25)</f>
        <v>0.2348161849718913</v>
      </c>
      <c r="Q51" s="264">
        <f>IF(Q$25=0,0,Q$25/AGR_fec!Q$25)</f>
        <v>0.23481618497189119</v>
      </c>
      <c r="R51" s="264">
        <f>IF(R$25=0,0,R$25/AGR_fec!R$25)</f>
        <v>0.2348161849718913</v>
      </c>
      <c r="S51" s="264">
        <f>IF(S$25=0,0,S$25/AGR_fec!S$25)</f>
        <v>0.23481618497189125</v>
      </c>
      <c r="T51" s="264">
        <f>IF(T$25=0,0,T$25/AGR_fec!T$25)</f>
        <v>0.23481618497189122</v>
      </c>
      <c r="U51" s="264">
        <f>IF(U$25=0,0,U$25/AGR_fec!U$25)</f>
        <v>0.23481618497189122</v>
      </c>
      <c r="V51" s="264">
        <f>IF(V$25=0,0,V$25/AGR_fec!V$25)</f>
        <v>0.23481618497189127</v>
      </c>
      <c r="W51" s="264">
        <f>IF(W$25=0,0,W$25/AGR_fec!W$25)</f>
        <v>0.23481618497189125</v>
      </c>
      <c r="X51" s="264">
        <f>IF(X$25=0,0,X$25/AGR_fec!X$25)</f>
        <v>0.23481618497189127</v>
      </c>
      <c r="Y51" s="264">
        <f>IF(Y$25=0,0,Y$25/AGR_fec!Y$25)</f>
        <v>0.2348161849718913</v>
      </c>
      <c r="DA51" s="290"/>
    </row>
    <row r="52" spans="1:105" x14ac:dyDescent="0.25">
      <c r="A52" s="127" t="s">
        <v>170</v>
      </c>
      <c r="B52" s="264">
        <f>IF(B$26=0,0,B$26/AGR_fec!B$26)</f>
        <v>0.46485843240396524</v>
      </c>
      <c r="C52" s="264">
        <f>IF(C$26=0,0,C$26/AGR_fec!C$26)</f>
        <v>0.46485843240396518</v>
      </c>
      <c r="D52" s="264">
        <f>IF(D$26=0,0,D$26/AGR_fec!D$26)</f>
        <v>0.46485843240396529</v>
      </c>
      <c r="E52" s="264">
        <f>IF(E$26=0,0,E$26/AGR_fec!E$26)</f>
        <v>0.46485843240396513</v>
      </c>
      <c r="F52" s="264">
        <f>IF(F$26=0,0,F$26/AGR_fec!F$26)</f>
        <v>0.46485843240396507</v>
      </c>
      <c r="G52" s="264">
        <f>IF(G$26=0,0,G$26/AGR_fec!G$26)</f>
        <v>0.46485843240396507</v>
      </c>
      <c r="H52" s="264">
        <f>IF(H$26=0,0,H$26/AGR_fec!H$26)</f>
        <v>0.46485843240396496</v>
      </c>
      <c r="I52" s="264">
        <f>IF(I$26=0,0,I$26/AGR_fec!I$26)</f>
        <v>0.46485843240396502</v>
      </c>
      <c r="J52" s="264">
        <f>IF(J$26=0,0,J$26/AGR_fec!J$26)</f>
        <v>0.46485843240396529</v>
      </c>
      <c r="K52" s="264">
        <f>IF(K$26=0,0,K$26/AGR_fec!K$26)</f>
        <v>0.46485843240396502</v>
      </c>
      <c r="L52" s="264">
        <f>IF(L$26=0,0,L$26/AGR_fec!L$26)</f>
        <v>0.46485843240396513</v>
      </c>
      <c r="M52" s="264">
        <f>IF(M$26=0,0,M$26/AGR_fec!M$26)</f>
        <v>0.46485843240396518</v>
      </c>
      <c r="N52" s="264">
        <f>IF(N$26=0,0,N$26/AGR_fec!N$26)</f>
        <v>0.46485843240396524</v>
      </c>
      <c r="O52" s="264">
        <f>IF(O$26=0,0,O$26/AGR_fec!O$26)</f>
        <v>0.46485843240396507</v>
      </c>
      <c r="P52" s="264">
        <f>IF(P$26=0,0,P$26/AGR_fec!P$26)</f>
        <v>0.46485843240396518</v>
      </c>
      <c r="Q52" s="264">
        <f>IF(Q$26=0,0,Q$26/AGR_fec!Q$26)</f>
        <v>0.46485843240396507</v>
      </c>
      <c r="R52" s="264">
        <f>IF(R$26=0,0,R$26/AGR_fec!R$26)</f>
        <v>0.46485843240396496</v>
      </c>
      <c r="S52" s="264">
        <f>IF(S$26=0,0,S$26/AGR_fec!S$26)</f>
        <v>0.46485843240396502</v>
      </c>
      <c r="T52" s="264">
        <f>IF(T$26=0,0,T$26/AGR_fec!T$26)</f>
        <v>0.46485843240396502</v>
      </c>
      <c r="U52" s="264">
        <f>IF(U$26=0,0,U$26/AGR_fec!U$26)</f>
        <v>0.46485843240396513</v>
      </c>
      <c r="V52" s="264">
        <f>IF(V$26=0,0,V$26/AGR_fec!V$26)</f>
        <v>0.46485843240396502</v>
      </c>
      <c r="W52" s="264">
        <f>IF(W$26=0,0,W$26/AGR_fec!W$26)</f>
        <v>0.46485843240396518</v>
      </c>
      <c r="X52" s="264">
        <f>IF(X$26=0,0,X$26/AGR_fec!X$26)</f>
        <v>0.46485843240396518</v>
      </c>
      <c r="Y52" s="264">
        <f>IF(Y$26=0,0,Y$26/AGR_fec!Y$26)</f>
        <v>0.46485843240396502</v>
      </c>
      <c r="DA52" s="290"/>
    </row>
    <row r="53" spans="1:105" x14ac:dyDescent="0.25">
      <c r="A53" s="260" t="s">
        <v>33</v>
      </c>
      <c r="B53" s="265">
        <f>IF(B$27=0,0,B$27/AGR_fec!B$27)</f>
        <v>0.48860299992848144</v>
      </c>
      <c r="C53" s="265">
        <f>IF(C$27=0,0,C$27/AGR_fec!C$27)</f>
        <v>0.48860299992848127</v>
      </c>
      <c r="D53" s="265">
        <f>IF(D$27=0,0,D$27/AGR_fec!D$27)</f>
        <v>0.48860299992848105</v>
      </c>
      <c r="E53" s="265">
        <f>IF(E$27=0,0,E$27/AGR_fec!E$27)</f>
        <v>0.48860299992848111</v>
      </c>
      <c r="F53" s="265">
        <f>IF(F$27=0,0,F$27/AGR_fec!F$27)</f>
        <v>0.48860299992848127</v>
      </c>
      <c r="G53" s="265">
        <f>IF(G$27=0,0,G$27/AGR_fec!G$27)</f>
        <v>0.48860299992848122</v>
      </c>
      <c r="H53" s="265">
        <f>IF(H$27=0,0,H$27/AGR_fec!H$27)</f>
        <v>0.48860299992848122</v>
      </c>
      <c r="I53" s="265">
        <f>IF(I$27=0,0,I$27/AGR_fec!I$27)</f>
        <v>0.48860299992848127</v>
      </c>
      <c r="J53" s="265">
        <f>IF(J$27=0,0,J$27/AGR_fec!J$27)</f>
        <v>0.48860299992848133</v>
      </c>
      <c r="K53" s="265">
        <f>IF(K$27=0,0,K$27/AGR_fec!K$27)</f>
        <v>0.48860299992848122</v>
      </c>
      <c r="L53" s="265">
        <f>IF(L$27=0,0,L$27/AGR_fec!L$27)</f>
        <v>0.48860299992848105</v>
      </c>
      <c r="M53" s="265">
        <f>IF(M$27=0,0,M$27/AGR_fec!M$27)</f>
        <v>0.48860299992848127</v>
      </c>
      <c r="N53" s="265">
        <f>IF(N$27=0,0,N$27/AGR_fec!N$27)</f>
        <v>0.48860299992848127</v>
      </c>
      <c r="O53" s="265">
        <f>IF(O$27=0,0,O$27/AGR_fec!O$27)</f>
        <v>0.48860299992848116</v>
      </c>
      <c r="P53" s="265">
        <f>IF(P$27=0,0,P$27/AGR_fec!P$27)</f>
        <v>0.48860299992848127</v>
      </c>
      <c r="Q53" s="265">
        <f>IF(Q$27=0,0,Q$27/AGR_fec!Q$27)</f>
        <v>0.48860299992848139</v>
      </c>
      <c r="R53" s="265">
        <f>IF(R$27=0,0,R$27/AGR_fec!R$27)</f>
        <v>0.48860299992848133</v>
      </c>
      <c r="S53" s="265">
        <f>IF(S$27=0,0,S$27/AGR_fec!S$27)</f>
        <v>0.48860299992848122</v>
      </c>
      <c r="T53" s="265">
        <f>IF(T$27=0,0,T$27/AGR_fec!T$27)</f>
        <v>0.48860299992848105</v>
      </c>
      <c r="U53" s="265">
        <f>IF(U$27=0,0,U$27/AGR_fec!U$27)</f>
        <v>0.4886029999284815</v>
      </c>
      <c r="V53" s="265">
        <f>IF(V$27=0,0,V$27/AGR_fec!V$27)</f>
        <v>0.4886029999284815</v>
      </c>
      <c r="W53" s="265">
        <f>IF(W$27=0,0,W$27/AGR_fec!W$27)</f>
        <v>0.48860299992848139</v>
      </c>
      <c r="X53" s="265">
        <f>IF(X$27=0,0,X$27/AGR_fec!X$27)</f>
        <v>0.48860299992848111</v>
      </c>
      <c r="Y53" s="265">
        <f>IF(Y$27=0,0,Y$27/AGR_fec!Y$27)</f>
        <v>0.48860299992848133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1623.553282536581</v>
      </c>
      <c r="C5" s="80">
        <f t="shared" ref="C5:W5" si="0">SUM(C6:C9,C16:C17,C25:C27)</f>
        <v>1481.2086233862458</v>
      </c>
      <c r="D5" s="80">
        <f t="shared" si="0"/>
        <v>1510.7295936488324</v>
      </c>
      <c r="E5" s="80">
        <f t="shared" si="0"/>
        <v>1408.5398410443099</v>
      </c>
      <c r="F5" s="80">
        <f t="shared" si="0"/>
        <v>1299.9213500981998</v>
      </c>
      <c r="G5" s="80">
        <f t="shared" si="0"/>
        <v>1248.22561451363</v>
      </c>
      <c r="H5" s="80">
        <f t="shared" si="0"/>
        <v>1243.5598470218883</v>
      </c>
      <c r="I5" s="80">
        <f t="shared" si="0"/>
        <v>1099.5546721172996</v>
      </c>
      <c r="J5" s="80">
        <f t="shared" si="0"/>
        <v>1179.014153398663</v>
      </c>
      <c r="K5" s="80">
        <f t="shared" si="0"/>
        <v>986.13461051884349</v>
      </c>
      <c r="L5" s="80">
        <f t="shared" si="0"/>
        <v>1130.5428262776841</v>
      </c>
      <c r="M5" s="80">
        <f t="shared" si="0"/>
        <v>1110.9086027981111</v>
      </c>
      <c r="N5" s="80">
        <f t="shared" si="0"/>
        <v>871.06115963870741</v>
      </c>
      <c r="O5" s="80">
        <f t="shared" si="0"/>
        <v>1269.0737030372904</v>
      </c>
      <c r="P5" s="80">
        <f t="shared" si="0"/>
        <v>1366.8614427585408</v>
      </c>
      <c r="Q5" s="80">
        <f t="shared" si="0"/>
        <v>1377.6874469978609</v>
      </c>
      <c r="R5" s="80">
        <f t="shared" si="0"/>
        <v>1536.5335805981999</v>
      </c>
      <c r="S5" s="80">
        <f t="shared" si="0"/>
        <v>1432.1054539917375</v>
      </c>
      <c r="T5" s="80">
        <f t="shared" si="0"/>
        <v>1531.889309381465</v>
      </c>
      <c r="U5" s="80">
        <f t="shared" si="0"/>
        <v>1584.4825252728651</v>
      </c>
      <c r="V5" s="80">
        <f t="shared" si="0"/>
        <v>1674.8479986587661</v>
      </c>
      <c r="W5" s="80">
        <f t="shared" si="0"/>
        <v>1591.5947085832149</v>
      </c>
      <c r="X5" s="80">
        <f t="shared" ref="X5:Y5" si="1">SUM(X6:X9,X16:X17,X25:X27)</f>
        <v>1380.4309724672646</v>
      </c>
      <c r="Y5" s="80">
        <f t="shared" si="1"/>
        <v>1312.558855330351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338.14125407966168</v>
      </c>
      <c r="C9" s="243">
        <f t="shared" ref="C9:W9" si="2">SUM(C10:C15)</f>
        <v>310.76157646010341</v>
      </c>
      <c r="D9" s="243">
        <f t="shared" si="2"/>
        <v>316.90320381544501</v>
      </c>
      <c r="E9" s="243">
        <f t="shared" si="2"/>
        <v>292.24682911209607</v>
      </c>
      <c r="F9" s="243">
        <f t="shared" si="2"/>
        <v>269.91812230191869</v>
      </c>
      <c r="G9" s="243">
        <f t="shared" si="2"/>
        <v>266.34014961576889</v>
      </c>
      <c r="H9" s="243">
        <f t="shared" si="2"/>
        <v>262.41215917437671</v>
      </c>
      <c r="I9" s="243">
        <f t="shared" si="2"/>
        <v>222.32215609450679</v>
      </c>
      <c r="J9" s="243">
        <f t="shared" si="2"/>
        <v>241.10356947945959</v>
      </c>
      <c r="K9" s="243">
        <f t="shared" si="2"/>
        <v>202.93932875468602</v>
      </c>
      <c r="L9" s="243">
        <f t="shared" si="2"/>
        <v>235.19030875382037</v>
      </c>
      <c r="M9" s="243">
        <f t="shared" si="2"/>
        <v>230.05373658036638</v>
      </c>
      <c r="N9" s="243">
        <f t="shared" si="2"/>
        <v>174.35465873764758</v>
      </c>
      <c r="O9" s="243">
        <f t="shared" si="2"/>
        <v>262.90995053198867</v>
      </c>
      <c r="P9" s="243">
        <f t="shared" si="2"/>
        <v>279.98567669104358</v>
      </c>
      <c r="Q9" s="243">
        <f t="shared" si="2"/>
        <v>280.7342737528225</v>
      </c>
      <c r="R9" s="243">
        <f t="shared" si="2"/>
        <v>319.95299864788421</v>
      </c>
      <c r="S9" s="243">
        <f t="shared" si="2"/>
        <v>294.0764646423151</v>
      </c>
      <c r="T9" s="243">
        <f t="shared" si="2"/>
        <v>311.7283368862619</v>
      </c>
      <c r="U9" s="243">
        <f t="shared" si="2"/>
        <v>322.98238903304531</v>
      </c>
      <c r="V9" s="243">
        <f t="shared" si="2"/>
        <v>343.84232050874408</v>
      </c>
      <c r="W9" s="243">
        <f t="shared" si="2"/>
        <v>327.75783885330543</v>
      </c>
      <c r="X9" s="243">
        <f t="shared" ref="X9:Y9" si="3">SUM(X10:X15)</f>
        <v>275.37895962809517</v>
      </c>
      <c r="Y9" s="243">
        <f t="shared" si="3"/>
        <v>263.36044139855659</v>
      </c>
      <c r="DA9" s="269"/>
    </row>
    <row r="10" spans="1:105" x14ac:dyDescent="0.25">
      <c r="A10" s="253" t="s">
        <v>166</v>
      </c>
      <c r="B10" s="254">
        <v>159.20390541097939</v>
      </c>
      <c r="C10" s="254">
        <v>111.5230083929621</v>
      </c>
      <c r="D10" s="254">
        <v>120.2070803976586</v>
      </c>
      <c r="E10" s="254">
        <v>113.6309041917296</v>
      </c>
      <c r="F10" s="254">
        <v>93.445092050324362</v>
      </c>
      <c r="G10" s="254">
        <v>82.217721392683771</v>
      </c>
      <c r="H10" s="254">
        <v>101.78994822622251</v>
      </c>
      <c r="I10" s="254">
        <v>98.716798623856405</v>
      </c>
      <c r="J10" s="254">
        <v>105.6562500244662</v>
      </c>
      <c r="K10" s="254">
        <v>103.76754223373641</v>
      </c>
      <c r="L10" s="254">
        <v>132.59851593792919</v>
      </c>
      <c r="M10" s="254">
        <v>126.3190923254807</v>
      </c>
      <c r="N10" s="254">
        <v>99.902165728845034</v>
      </c>
      <c r="O10" s="254">
        <v>169.70523987348119</v>
      </c>
      <c r="P10" s="254">
        <v>153.25247122662299</v>
      </c>
      <c r="Q10" s="254">
        <v>170.8194825502552</v>
      </c>
      <c r="R10" s="254">
        <v>176.06756592350121</v>
      </c>
      <c r="S10" s="254">
        <v>175.54303600101949</v>
      </c>
      <c r="T10" s="254">
        <v>204.87933189685069</v>
      </c>
      <c r="U10" s="254">
        <v>199.167399434012</v>
      </c>
      <c r="V10" s="254">
        <v>203.16453096576879</v>
      </c>
      <c r="W10" s="254">
        <v>193.6873716674304</v>
      </c>
      <c r="X10" s="254">
        <v>185.08071398523319</v>
      </c>
      <c r="Y10" s="254">
        <v>180.98649274381711</v>
      </c>
      <c r="DA10" s="270" t="s">
        <v>1040</v>
      </c>
    </row>
    <row r="11" spans="1:105" x14ac:dyDescent="0.25">
      <c r="A11" s="253" t="s">
        <v>169</v>
      </c>
      <c r="B11" s="255">
        <v>178.93734866868229</v>
      </c>
      <c r="C11" s="255">
        <v>199.2385680671413</v>
      </c>
      <c r="D11" s="255">
        <v>196.6961234177864</v>
      </c>
      <c r="E11" s="255">
        <v>178.6159249203665</v>
      </c>
      <c r="F11" s="255">
        <v>176.47303025159431</v>
      </c>
      <c r="G11" s="255">
        <v>184.12242822308511</v>
      </c>
      <c r="H11" s="255">
        <v>160.62221094815419</v>
      </c>
      <c r="I11" s="255">
        <v>123.6053574706504</v>
      </c>
      <c r="J11" s="255">
        <v>135.44731945499339</v>
      </c>
      <c r="K11" s="255">
        <v>99.17178652094961</v>
      </c>
      <c r="L11" s="255">
        <v>102.5917928158912</v>
      </c>
      <c r="M11" s="255">
        <v>103.73464425488569</v>
      </c>
      <c r="N11" s="255">
        <v>74.452493008802563</v>
      </c>
      <c r="O11" s="255">
        <v>93.204710658507452</v>
      </c>
      <c r="P11" s="255">
        <v>126.73320546442061</v>
      </c>
      <c r="Q11" s="255">
        <v>109.9147912025673</v>
      </c>
      <c r="R11" s="255">
        <v>143.88543272438301</v>
      </c>
      <c r="S11" s="255">
        <v>118.5334286412956</v>
      </c>
      <c r="T11" s="255">
        <v>106.8490049894112</v>
      </c>
      <c r="U11" s="255">
        <v>123.8149895990333</v>
      </c>
      <c r="V11" s="255">
        <v>140.67778954297529</v>
      </c>
      <c r="W11" s="255">
        <v>134.070467185875</v>
      </c>
      <c r="X11" s="255">
        <v>90.298245642862</v>
      </c>
      <c r="Y11" s="255">
        <v>82.373948654739479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475.47999783184957</v>
      </c>
      <c r="C16" s="257">
        <v>420.30112991804071</v>
      </c>
      <c r="D16" s="257">
        <v>438.43125177534279</v>
      </c>
      <c r="E16" s="257">
        <v>412.48348017452167</v>
      </c>
      <c r="F16" s="257">
        <v>386.55545824747878</v>
      </c>
      <c r="G16" s="257">
        <v>365.18777466364202</v>
      </c>
      <c r="H16" s="257">
        <v>378.03340858938748</v>
      </c>
      <c r="I16" s="257">
        <v>343.2219291065494</v>
      </c>
      <c r="J16" s="257">
        <v>365.97279325951189</v>
      </c>
      <c r="K16" s="257">
        <v>318.14159800250911</v>
      </c>
      <c r="L16" s="257">
        <v>361.82314360336062</v>
      </c>
      <c r="M16" s="257">
        <v>354.65507233823871</v>
      </c>
      <c r="N16" s="257">
        <v>287.72922015932761</v>
      </c>
      <c r="O16" s="257">
        <v>398.00991982838798</v>
      </c>
      <c r="P16" s="257">
        <v>436.90880920924121</v>
      </c>
      <c r="Q16" s="257">
        <v>446.34306813009101</v>
      </c>
      <c r="R16" s="257">
        <v>491.7707290834619</v>
      </c>
      <c r="S16" s="257">
        <v>468.464896957787</v>
      </c>
      <c r="T16" s="257">
        <v>507.81755277742798</v>
      </c>
      <c r="U16" s="257">
        <v>519.25863894640747</v>
      </c>
      <c r="V16" s="257">
        <v>540.16168467684452</v>
      </c>
      <c r="W16" s="257">
        <v>515.40937607414457</v>
      </c>
      <c r="X16" s="257">
        <v>463.16384098585269</v>
      </c>
      <c r="Y16" s="257">
        <v>442.73307232438327</v>
      </c>
      <c r="DA16" s="272" t="s">
        <v>1046</v>
      </c>
    </row>
    <row r="17" spans="1:105" x14ac:dyDescent="0.25">
      <c r="A17" s="256" t="s">
        <v>121</v>
      </c>
      <c r="B17" s="257">
        <f>SUM(B18:B24)</f>
        <v>718.56458652203582</v>
      </c>
      <c r="C17" s="257">
        <f t="shared" ref="C17:W17" si="4">SUM(C18:C24)</f>
        <v>669.38155222022874</v>
      </c>
      <c r="D17" s="257">
        <f t="shared" si="4"/>
        <v>671.14691926383739</v>
      </c>
      <c r="E17" s="257">
        <f t="shared" si="4"/>
        <v>624.54739351818125</v>
      </c>
      <c r="F17" s="257">
        <f t="shared" si="4"/>
        <v>569.16791679958249</v>
      </c>
      <c r="G17" s="257">
        <f t="shared" si="4"/>
        <v>546.52381595803695</v>
      </c>
      <c r="H17" s="257">
        <f t="shared" si="4"/>
        <v>530.47200937112655</v>
      </c>
      <c r="I17" s="257">
        <f t="shared" si="4"/>
        <v>468.05763292117734</v>
      </c>
      <c r="J17" s="257">
        <f t="shared" si="4"/>
        <v>501.61306851818358</v>
      </c>
      <c r="K17" s="257">
        <f t="shared" si="4"/>
        <v>403.92012440081123</v>
      </c>
      <c r="L17" s="257">
        <f t="shared" si="4"/>
        <v>464.00204154246472</v>
      </c>
      <c r="M17" s="257">
        <f t="shared" si="4"/>
        <v>458.04986613179688</v>
      </c>
      <c r="N17" s="257">
        <f t="shared" si="4"/>
        <v>353.68771323186229</v>
      </c>
      <c r="O17" s="257">
        <f t="shared" si="4"/>
        <v>531.6729096765871</v>
      </c>
      <c r="P17" s="257">
        <f t="shared" si="4"/>
        <v>566.01128809074339</v>
      </c>
      <c r="Q17" s="257">
        <f t="shared" si="4"/>
        <v>564.84156487327209</v>
      </c>
      <c r="R17" s="257">
        <f t="shared" si="4"/>
        <v>630.31200899134512</v>
      </c>
      <c r="S17" s="257">
        <f t="shared" si="4"/>
        <v>579.54465838347551</v>
      </c>
      <c r="T17" s="257">
        <f t="shared" si="4"/>
        <v>614.76204493965156</v>
      </c>
      <c r="U17" s="257">
        <f t="shared" si="4"/>
        <v>642.46162246105098</v>
      </c>
      <c r="V17" s="257">
        <f t="shared" si="4"/>
        <v>687.04742420347395</v>
      </c>
      <c r="W17" s="257">
        <f t="shared" si="4"/>
        <v>649.38728676300798</v>
      </c>
      <c r="X17" s="257">
        <f t="shared" ref="X17:Y17" si="5">SUM(X18:X24)</f>
        <v>552.8873799277078</v>
      </c>
      <c r="Y17" s="257">
        <f t="shared" si="5"/>
        <v>521.39049214451552</v>
      </c>
      <c r="DA17" s="272"/>
    </row>
    <row r="18" spans="1:105" x14ac:dyDescent="0.25">
      <c r="A18" s="61" t="s">
        <v>29</v>
      </c>
      <c r="B18" s="55">
        <v>112.75794585889901</v>
      </c>
      <c r="C18" s="55">
        <v>87.822065987533577</v>
      </c>
      <c r="D18" s="55">
        <v>76.755302090709137</v>
      </c>
      <c r="E18" s="55">
        <v>73.202795486473732</v>
      </c>
      <c r="F18" s="55">
        <v>20.714478540516058</v>
      </c>
      <c r="G18" s="55">
        <v>17.992632475080139</v>
      </c>
      <c r="H18" s="55">
        <v>12.947183783597231</v>
      </c>
      <c r="I18" s="55">
        <v>12.701111279965181</v>
      </c>
      <c r="J18" s="55">
        <v>9.0817135199886447</v>
      </c>
      <c r="K18" s="55">
        <v>3.3449644799956211</v>
      </c>
      <c r="L18" s="55">
        <v>1.6551902399962259</v>
      </c>
      <c r="M18" s="55">
        <v>2.2817519999956719</v>
      </c>
      <c r="N18" s="55">
        <v>1.7146747199970791</v>
      </c>
      <c r="O18" s="55">
        <v>3.7569364799910372</v>
      </c>
      <c r="P18" s="55">
        <v>0</v>
      </c>
      <c r="Q18" s="55">
        <v>1.801134719996907</v>
      </c>
      <c r="R18" s="55">
        <v>1.74510863999777</v>
      </c>
      <c r="S18" s="55">
        <v>1.3448816277077349</v>
      </c>
      <c r="T18" s="55">
        <v>3.6895618522380031</v>
      </c>
      <c r="U18" s="55">
        <v>5.9482077245991274</v>
      </c>
      <c r="V18" s="55">
        <v>6.0070261268233223</v>
      </c>
      <c r="W18" s="55">
        <v>5.9956049348474076</v>
      </c>
      <c r="X18" s="55">
        <v>4.5604389599910808</v>
      </c>
      <c r="Y18" s="55">
        <v>0</v>
      </c>
      <c r="DA18" s="101" t="s">
        <v>1047</v>
      </c>
    </row>
    <row r="19" spans="1:105" x14ac:dyDescent="0.25">
      <c r="A19" s="61" t="s">
        <v>27</v>
      </c>
      <c r="B19" s="55">
        <v>23.877014759958708</v>
      </c>
      <c r="C19" s="55">
        <v>29.846325239969449</v>
      </c>
      <c r="D19" s="55">
        <v>26.861669999960711</v>
      </c>
      <c r="E19" s="55">
        <v>20.892359519961751</v>
      </c>
      <c r="F19" s="55">
        <v>38.554049519924618</v>
      </c>
      <c r="G19" s="55">
        <v>38.554049519952002</v>
      </c>
      <c r="H19" s="55">
        <v>26.691299999959931</v>
      </c>
      <c r="I19" s="55">
        <v>23.72549903993497</v>
      </c>
      <c r="J19" s="55">
        <v>29.657100959962928</v>
      </c>
      <c r="K19" s="55">
        <v>0</v>
      </c>
      <c r="L19" s="55">
        <v>26.691299999939151</v>
      </c>
      <c r="M19" s="55">
        <v>32.622674759938121</v>
      </c>
      <c r="N19" s="55">
        <v>2.9658009599949482</v>
      </c>
      <c r="O19" s="55">
        <v>86.005274759794801</v>
      </c>
      <c r="P19" s="55">
        <v>83.039700959903485</v>
      </c>
      <c r="Q19" s="55">
        <v>68.211150479882889</v>
      </c>
      <c r="R19" s="55">
        <v>84.468083039892065</v>
      </c>
      <c r="S19" s="55">
        <v>61.140113999887028</v>
      </c>
      <c r="T19" s="55">
        <v>49.494302279927481</v>
      </c>
      <c r="U19" s="55">
        <v>61.14011399990622</v>
      </c>
      <c r="V19" s="55">
        <v>75.697208279929782</v>
      </c>
      <c r="W19" s="55">
        <v>58.228604279945067</v>
      </c>
      <c r="X19" s="55">
        <v>46.58301971990889</v>
      </c>
      <c r="Y19" s="55">
        <v>49.423655519928047</v>
      </c>
      <c r="DA19" s="101" t="s">
        <v>1048</v>
      </c>
    </row>
    <row r="20" spans="1:105" x14ac:dyDescent="0.25">
      <c r="A20" s="61" t="s">
        <v>166</v>
      </c>
      <c r="B20" s="55">
        <v>248.95645265255379</v>
      </c>
      <c r="C20" s="55">
        <v>174.42765618031731</v>
      </c>
      <c r="D20" s="55">
        <v>195.11037867157361</v>
      </c>
      <c r="E20" s="55">
        <v>188.01226631279829</v>
      </c>
      <c r="F20" s="55">
        <v>172.1959080314569</v>
      </c>
      <c r="G20" s="55">
        <v>148.35735930658731</v>
      </c>
      <c r="H20" s="55">
        <v>186.75594365626051</v>
      </c>
      <c r="I20" s="55">
        <v>186.1290071926413</v>
      </c>
      <c r="J20" s="55">
        <v>198.74992349359221</v>
      </c>
      <c r="K20" s="55">
        <v>201.6413893220556</v>
      </c>
      <c r="L20" s="55">
        <v>242.1108969989468</v>
      </c>
      <c r="M20" s="55">
        <v>228.9259965071835</v>
      </c>
      <c r="N20" s="55">
        <v>198.19215768094219</v>
      </c>
      <c r="O20" s="55">
        <v>283.23960621578499</v>
      </c>
      <c r="P20" s="55">
        <v>262.65533971558608</v>
      </c>
      <c r="Q20" s="55">
        <v>299.19739799637421</v>
      </c>
      <c r="R20" s="55">
        <v>299.41321003623978</v>
      </c>
      <c r="S20" s="55">
        <v>308.64837519122591</v>
      </c>
      <c r="T20" s="55">
        <v>369.08984162599938</v>
      </c>
      <c r="U20" s="55">
        <v>354.80449678554112</v>
      </c>
      <c r="V20" s="55">
        <v>357.67634724663168</v>
      </c>
      <c r="W20" s="55">
        <v>345.80011536464161</v>
      </c>
      <c r="X20" s="55">
        <v>337.2193841813783</v>
      </c>
      <c r="Y20" s="55">
        <v>324.34492438751812</v>
      </c>
      <c r="DA20" s="101" t="s">
        <v>1049</v>
      </c>
    </row>
    <row r="21" spans="1:105" x14ac:dyDescent="0.25">
      <c r="A21" s="61" t="s">
        <v>129</v>
      </c>
      <c r="B21" s="55">
        <v>53.158381919908066</v>
      </c>
      <c r="C21" s="55">
        <v>65.66625287993277</v>
      </c>
      <c r="D21" s="55">
        <v>53.158381919922263</v>
      </c>
      <c r="E21" s="55">
        <v>46.904307119914129</v>
      </c>
      <c r="F21" s="55">
        <v>12.50787095997555</v>
      </c>
      <c r="G21" s="55">
        <v>9.3809728799883221</v>
      </c>
      <c r="H21" s="55">
        <v>9.3809728799859204</v>
      </c>
      <c r="I21" s="55">
        <v>12.44601287996589</v>
      </c>
      <c r="J21" s="55">
        <v>9.3344399999883336</v>
      </c>
      <c r="K21" s="55">
        <v>6.2228671199918537</v>
      </c>
      <c r="L21" s="55">
        <v>6.2228671199858141</v>
      </c>
      <c r="M21" s="55">
        <v>6.2228671199882006</v>
      </c>
      <c r="N21" s="55">
        <v>3.1115728799947</v>
      </c>
      <c r="O21" s="55">
        <v>3.1115728799925759</v>
      </c>
      <c r="P21" s="55">
        <v>3.1115728799963849</v>
      </c>
      <c r="Q21" s="55">
        <v>3.1115728799946569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1" t="s">
        <v>1050</v>
      </c>
    </row>
    <row r="22" spans="1:105" x14ac:dyDescent="0.25">
      <c r="A22" s="61" t="s">
        <v>169</v>
      </c>
      <c r="B22" s="55">
        <v>279.81479133071628</v>
      </c>
      <c r="C22" s="55">
        <v>311.61925193247572</v>
      </c>
      <c r="D22" s="55">
        <v>319.26118658167172</v>
      </c>
      <c r="E22" s="55">
        <v>295.53566507903338</v>
      </c>
      <c r="F22" s="55">
        <v>325.1956097477094</v>
      </c>
      <c r="G22" s="55">
        <v>332.23880177642923</v>
      </c>
      <c r="H22" s="55">
        <v>294.69660905132298</v>
      </c>
      <c r="I22" s="55">
        <v>233.05600252867001</v>
      </c>
      <c r="J22" s="55">
        <v>254.78989054465151</v>
      </c>
      <c r="K22" s="55">
        <v>192.71090347876819</v>
      </c>
      <c r="L22" s="55">
        <v>187.32178718359671</v>
      </c>
      <c r="M22" s="55">
        <v>187.9965757446914</v>
      </c>
      <c r="N22" s="55">
        <v>147.70350699093339</v>
      </c>
      <c r="O22" s="55">
        <v>155.55951934102359</v>
      </c>
      <c r="P22" s="55">
        <v>217.2046745352574</v>
      </c>
      <c r="Q22" s="55">
        <v>192.52030879702349</v>
      </c>
      <c r="R22" s="55">
        <v>244.68560727521549</v>
      </c>
      <c r="S22" s="55">
        <v>208.4112875646548</v>
      </c>
      <c r="T22" s="55">
        <v>192.48833918148671</v>
      </c>
      <c r="U22" s="55">
        <v>220.5688039510045</v>
      </c>
      <c r="V22" s="55">
        <v>247.6668425500892</v>
      </c>
      <c r="W22" s="55">
        <v>239.3629621835739</v>
      </c>
      <c r="X22" s="55">
        <v>164.5245370664295</v>
      </c>
      <c r="Y22" s="55">
        <v>147.62191223706941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91.367444103033861</v>
      </c>
      <c r="C25" s="257">
        <v>80.764364787872935</v>
      </c>
      <c r="D25" s="257">
        <v>84.248218794207091</v>
      </c>
      <c r="E25" s="257">
        <v>79.262138239511017</v>
      </c>
      <c r="F25" s="257">
        <v>74.279852749219799</v>
      </c>
      <c r="G25" s="257">
        <v>70.173874276182218</v>
      </c>
      <c r="H25" s="257">
        <v>72.642269886997511</v>
      </c>
      <c r="I25" s="257">
        <v>65.952953995066039</v>
      </c>
      <c r="J25" s="257">
        <v>70.32472214150792</v>
      </c>
      <c r="K25" s="257">
        <v>61.133559360837168</v>
      </c>
      <c r="L25" s="257">
        <v>69.527332378038494</v>
      </c>
      <c r="M25" s="257">
        <v>68.149927747709128</v>
      </c>
      <c r="N25" s="257">
        <v>55.289567509869947</v>
      </c>
      <c r="O25" s="257">
        <v>76.480923000326726</v>
      </c>
      <c r="P25" s="257">
        <v>83.955668767512705</v>
      </c>
      <c r="Q25" s="257">
        <v>85.768540241675339</v>
      </c>
      <c r="R25" s="257">
        <v>94.497843875508792</v>
      </c>
      <c r="S25" s="257">
        <v>90.019434008159735</v>
      </c>
      <c r="T25" s="257">
        <v>97.581374778123532</v>
      </c>
      <c r="U25" s="257">
        <v>99.779874832361145</v>
      </c>
      <c r="V25" s="257">
        <v>103.7965692697037</v>
      </c>
      <c r="W25" s="257">
        <v>99.040206892756828</v>
      </c>
      <c r="X25" s="257">
        <v>89.000791925608738</v>
      </c>
      <c r="Y25" s="257">
        <v>85.074849462895571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0.99999999999999989</v>
      </c>
      <c r="C31" s="235">
        <f t="shared" si="6"/>
        <v>0.99999999999999989</v>
      </c>
      <c r="D31" s="235">
        <f t="shared" si="6"/>
        <v>0.99999999999999989</v>
      </c>
      <c r="E31" s="235">
        <f t="shared" si="6"/>
        <v>1</v>
      </c>
      <c r="F31" s="235">
        <f t="shared" si="6"/>
        <v>1</v>
      </c>
      <c r="G31" s="235">
        <f t="shared" si="6"/>
        <v>1</v>
      </c>
      <c r="H31" s="235">
        <f t="shared" si="6"/>
        <v>1</v>
      </c>
      <c r="I31" s="235">
        <f t="shared" si="6"/>
        <v>0.99999999999999989</v>
      </c>
      <c r="J31" s="235">
        <f t="shared" si="6"/>
        <v>1</v>
      </c>
      <c r="K31" s="235">
        <f t="shared" si="6"/>
        <v>1</v>
      </c>
      <c r="L31" s="235">
        <f t="shared" si="6"/>
        <v>1</v>
      </c>
      <c r="M31" s="235">
        <f t="shared" si="6"/>
        <v>0.99999999999999989</v>
      </c>
      <c r="N31" s="235">
        <f t="shared" si="6"/>
        <v>1</v>
      </c>
      <c r="O31" s="235">
        <f t="shared" si="6"/>
        <v>1</v>
      </c>
      <c r="P31" s="235">
        <f t="shared" si="6"/>
        <v>1</v>
      </c>
      <c r="Q31" s="235">
        <f t="shared" si="6"/>
        <v>1</v>
      </c>
      <c r="R31" s="235">
        <f t="shared" ref="R31:W31" si="7">SUM(R32:R40)</f>
        <v>1</v>
      </c>
      <c r="S31" s="235">
        <f t="shared" si="7"/>
        <v>1</v>
      </c>
      <c r="T31" s="235">
        <f t="shared" si="7"/>
        <v>1</v>
      </c>
      <c r="U31" s="235">
        <f t="shared" si="7"/>
        <v>0.99999999999999989</v>
      </c>
      <c r="V31" s="235">
        <f t="shared" si="7"/>
        <v>1</v>
      </c>
      <c r="W31" s="235">
        <f t="shared" si="7"/>
        <v>1</v>
      </c>
      <c r="X31" s="235">
        <f t="shared" ref="X31:Y31" si="8">SUM(X32:X40)</f>
        <v>0.99999999999999989</v>
      </c>
      <c r="Y31" s="235">
        <f t="shared" si="8"/>
        <v>1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0.20827234789077079</v>
      </c>
      <c r="C35" s="246">
        <f t="shared" si="12"/>
        <v>0.20980270540800652</v>
      </c>
      <c r="D35" s="246">
        <f t="shared" si="12"/>
        <v>0.2097683166780599</v>
      </c>
      <c r="E35" s="246">
        <f t="shared" si="12"/>
        <v>0.20748211771945366</v>
      </c>
      <c r="F35" s="246">
        <f t="shared" si="12"/>
        <v>0.20764188716611839</v>
      </c>
      <c r="G35" s="246">
        <f t="shared" si="12"/>
        <v>0.21337500730550871</v>
      </c>
      <c r="H35" s="246">
        <f t="shared" si="12"/>
        <v>0.21101691229642758</v>
      </c>
      <c r="I35" s="246">
        <f t="shared" si="12"/>
        <v>0.20219290748535845</v>
      </c>
      <c r="J35" s="246">
        <f t="shared" si="12"/>
        <v>0.2044959076907151</v>
      </c>
      <c r="K35" s="246">
        <f t="shared" si="12"/>
        <v>0.20579272503975071</v>
      </c>
      <c r="L35" s="246">
        <f t="shared" si="12"/>
        <v>0.2080330822390738</v>
      </c>
      <c r="M35" s="246">
        <f t="shared" si="12"/>
        <v>0.20708610591448876</v>
      </c>
      <c r="N35" s="246">
        <f t="shared" si="12"/>
        <v>0.20016350954043821</v>
      </c>
      <c r="O35" s="246">
        <f t="shared" si="12"/>
        <v>0.20716680985727062</v>
      </c>
      <c r="P35" s="246">
        <f t="shared" si="12"/>
        <v>0.20483837493139653</v>
      </c>
      <c r="Q35" s="246">
        <f t="shared" si="12"/>
        <v>0.20377210692060432</v>
      </c>
      <c r="R35" s="246">
        <f t="shared" si="12"/>
        <v>0.2082303977524011</v>
      </c>
      <c r="S35" s="246">
        <f t="shared" si="12"/>
        <v>0.20534553780423756</v>
      </c>
      <c r="T35" s="246">
        <f t="shared" si="12"/>
        <v>0.20349272951851155</v>
      </c>
      <c r="U35" s="246">
        <f t="shared" si="12"/>
        <v>0.20384092843019788</v>
      </c>
      <c r="V35" s="246">
        <f t="shared" si="12"/>
        <v>0.20529762747670011</v>
      </c>
      <c r="W35" s="246">
        <f t="shared" si="12"/>
        <v>0.20593046526591222</v>
      </c>
      <c r="X35" s="246">
        <f t="shared" si="12"/>
        <v>0.19948767096692008</v>
      </c>
      <c r="Y35" s="246">
        <f t="shared" si="12"/>
        <v>0.20064657697370286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0.29286380862658035</v>
      </c>
      <c r="C36" s="259">
        <f t="shared" si="13"/>
        <v>0.28375552456424047</v>
      </c>
      <c r="D36" s="259">
        <f t="shared" si="13"/>
        <v>0.29021159949373154</v>
      </c>
      <c r="E36" s="259">
        <f t="shared" si="13"/>
        <v>0.29284473761757496</v>
      </c>
      <c r="F36" s="259">
        <f t="shared" si="13"/>
        <v>0.29736834326036515</v>
      </c>
      <c r="G36" s="259">
        <f t="shared" si="13"/>
        <v>0.2925655189394083</v>
      </c>
      <c r="H36" s="259">
        <f t="shared" si="13"/>
        <v>0.30399293567954322</v>
      </c>
      <c r="I36" s="259">
        <f t="shared" si="13"/>
        <v>0.31214630596370635</v>
      </c>
      <c r="J36" s="259">
        <f t="shared" si="13"/>
        <v>0.31040576756822408</v>
      </c>
      <c r="K36" s="259">
        <f t="shared" si="13"/>
        <v>0.3226147775455549</v>
      </c>
      <c r="L36" s="259">
        <f t="shared" si="13"/>
        <v>0.3200437304924259</v>
      </c>
      <c r="M36" s="259">
        <f t="shared" si="13"/>
        <v>0.31924775039544029</v>
      </c>
      <c r="N36" s="259">
        <f t="shared" si="13"/>
        <v>0.33032034200522714</v>
      </c>
      <c r="O36" s="259">
        <f t="shared" si="13"/>
        <v>0.31362238369278767</v>
      </c>
      <c r="P36" s="259">
        <f t="shared" si="13"/>
        <v>0.31964381724565344</v>
      </c>
      <c r="Q36" s="259">
        <f t="shared" si="13"/>
        <v>0.32397991946774563</v>
      </c>
      <c r="R36" s="259">
        <f t="shared" si="13"/>
        <v>0.3200520543729391</v>
      </c>
      <c r="S36" s="259">
        <f t="shared" si="13"/>
        <v>0.32711620198919361</v>
      </c>
      <c r="T36" s="259">
        <f t="shared" si="13"/>
        <v>0.33149754989965352</v>
      </c>
      <c r="U36" s="259">
        <f t="shared" si="13"/>
        <v>0.32771496729317701</v>
      </c>
      <c r="V36" s="259">
        <f t="shared" si="13"/>
        <v>0.32251385505395774</v>
      </c>
      <c r="W36" s="259">
        <f t="shared" si="13"/>
        <v>0.323832049261426</v>
      </c>
      <c r="X36" s="259">
        <f t="shared" si="13"/>
        <v>0.33552118883426174</v>
      </c>
      <c r="Y36" s="259">
        <f t="shared" si="13"/>
        <v>0.3373053105591628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0.44258762200854684</v>
      </c>
      <c r="C37" s="259">
        <f t="shared" si="14"/>
        <v>0.45191578124216614</v>
      </c>
      <c r="D37" s="259">
        <f t="shared" si="14"/>
        <v>0.44425350644176553</v>
      </c>
      <c r="E37" s="259">
        <f t="shared" si="14"/>
        <v>0.44340058784218245</v>
      </c>
      <c r="F37" s="259">
        <f t="shared" si="14"/>
        <v>0.4378479642299789</v>
      </c>
      <c r="G37" s="259">
        <f t="shared" si="14"/>
        <v>0.4378405711302355</v>
      </c>
      <c r="H37" s="259">
        <f t="shared" si="14"/>
        <v>0.42657537603961371</v>
      </c>
      <c r="I37" s="259">
        <f t="shared" si="14"/>
        <v>0.42567927251847043</v>
      </c>
      <c r="J37" s="259">
        <f t="shared" si="14"/>
        <v>0.42545126966645658</v>
      </c>
      <c r="K37" s="259">
        <f t="shared" si="14"/>
        <v>0.40959937932641188</v>
      </c>
      <c r="L37" s="259">
        <f t="shared" si="14"/>
        <v>0.41042411729787626</v>
      </c>
      <c r="M37" s="259">
        <f t="shared" si="14"/>
        <v>0.41232002792856193</v>
      </c>
      <c r="N37" s="259">
        <f t="shared" si="14"/>
        <v>0.40604234193906935</v>
      </c>
      <c r="O37" s="259">
        <f t="shared" si="14"/>
        <v>0.41894565178060778</v>
      </c>
      <c r="P37" s="259">
        <f t="shared" si="14"/>
        <v>0.41409558451546036</v>
      </c>
      <c r="Q37" s="259">
        <f t="shared" si="14"/>
        <v>0.40999253212630099</v>
      </c>
      <c r="R37" s="259">
        <f t="shared" si="14"/>
        <v>0.41021687840102616</v>
      </c>
      <c r="S37" s="259">
        <f t="shared" si="14"/>
        <v>0.40468015589780665</v>
      </c>
      <c r="T37" s="259">
        <f t="shared" si="14"/>
        <v>0.40130970375912844</v>
      </c>
      <c r="U37" s="259">
        <f t="shared" si="14"/>
        <v>0.40547094222475699</v>
      </c>
      <c r="V37" s="259">
        <f t="shared" si="14"/>
        <v>0.41021479247888043</v>
      </c>
      <c r="W37" s="259">
        <f t="shared" si="14"/>
        <v>0.40801045847976658</v>
      </c>
      <c r="X37" s="259">
        <f t="shared" si="14"/>
        <v>0.40051794762292536</v>
      </c>
      <c r="Y37" s="259">
        <f t="shared" si="14"/>
        <v>0.39723208603342175</v>
      </c>
      <c r="DA37" s="278"/>
    </row>
    <row r="38" spans="1:105" x14ac:dyDescent="0.25">
      <c r="A38" s="127" t="s">
        <v>167</v>
      </c>
      <c r="B38" s="259">
        <f t="shared" ref="B38:Y38" si="15">IF(B$25=0,0,B$25/B$5)</f>
        <v>5.6276221474101953E-2</v>
      </c>
      <c r="C38" s="259">
        <f t="shared" si="15"/>
        <v>5.4525988785586822E-2</v>
      </c>
      <c r="D38" s="259">
        <f t="shared" si="15"/>
        <v>5.5766577386442931E-2</v>
      </c>
      <c r="E38" s="259">
        <f t="shared" si="15"/>
        <v>5.6272556820788987E-2</v>
      </c>
      <c r="F38" s="259">
        <f t="shared" si="15"/>
        <v>5.7141805343537501E-2</v>
      </c>
      <c r="G38" s="259">
        <f t="shared" si="15"/>
        <v>5.6218902624847515E-2</v>
      </c>
      <c r="H38" s="259">
        <f t="shared" si="15"/>
        <v>5.8414775984415412E-2</v>
      </c>
      <c r="I38" s="259">
        <f t="shared" si="15"/>
        <v>5.9981514032464801E-2</v>
      </c>
      <c r="J38" s="259">
        <f t="shared" si="15"/>
        <v>5.9647055074604223E-2</v>
      </c>
      <c r="K38" s="259">
        <f t="shared" si="15"/>
        <v>6.1993118088282534E-2</v>
      </c>
      <c r="L38" s="259">
        <f t="shared" si="15"/>
        <v>6.1499069970624168E-2</v>
      </c>
      <c r="M38" s="259">
        <f t="shared" si="15"/>
        <v>6.1346115761508981E-2</v>
      </c>
      <c r="N38" s="259">
        <f t="shared" si="15"/>
        <v>6.347380651526531E-2</v>
      </c>
      <c r="O38" s="259">
        <f t="shared" si="15"/>
        <v>6.0265154669333978E-2</v>
      </c>
      <c r="P38" s="259">
        <f t="shared" si="15"/>
        <v>6.1422223307489747E-2</v>
      </c>
      <c r="Q38" s="259">
        <f t="shared" si="15"/>
        <v>6.2255441485349117E-2</v>
      </c>
      <c r="R38" s="259">
        <f t="shared" si="15"/>
        <v>6.1500669473633696E-2</v>
      </c>
      <c r="S38" s="259">
        <f t="shared" si="15"/>
        <v>6.2858104308762097E-2</v>
      </c>
      <c r="T38" s="259">
        <f t="shared" si="15"/>
        <v>6.3700016822706484E-2</v>
      </c>
      <c r="U38" s="259">
        <f t="shared" si="15"/>
        <v>6.2973162051867981E-2</v>
      </c>
      <c r="V38" s="259">
        <f t="shared" si="15"/>
        <v>6.1973724990461797E-2</v>
      </c>
      <c r="W38" s="259">
        <f t="shared" si="15"/>
        <v>6.2227026992895167E-2</v>
      </c>
      <c r="X38" s="259">
        <f t="shared" si="15"/>
        <v>6.4473192575892666E-2</v>
      </c>
      <c r="Y38" s="259">
        <f t="shared" si="15"/>
        <v>6.4816026433712592E-2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2.4183403033991056</v>
      </c>
      <c r="C44" s="237">
        <f>IF(C$5=0,0,C$5/AGR_fec!C$5)</f>
        <v>2.336223399477388</v>
      </c>
      <c r="D44" s="237">
        <f>IF(D$5=0,0,D$5/AGR_fec!D$5)</f>
        <v>2.3107350902678485</v>
      </c>
      <c r="E44" s="237">
        <f>IF(E$5=0,0,E$5/AGR_fec!E$5)</f>
        <v>2.2859537564694157</v>
      </c>
      <c r="F44" s="237">
        <f>IF(F$5=0,0,F$5/AGR_fec!F$5)</f>
        <v>2.2158741912415674</v>
      </c>
      <c r="G44" s="237">
        <f>IF(G$5=0,0,G$5/AGR_fec!G$5)</f>
        <v>2.2269056500446429</v>
      </c>
      <c r="H44" s="237">
        <f>IF(H$5=0,0,H$5/AGR_fec!H$5)</f>
        <v>2.2594597895306725</v>
      </c>
      <c r="I44" s="237">
        <f>IF(I$5=0,0,I$5/AGR_fec!I$5)</f>
        <v>2.2063361860809079</v>
      </c>
      <c r="J44" s="237">
        <f>IF(J$5=0,0,J$5/AGR_fec!J$5)</f>
        <v>2.2382465141946106</v>
      </c>
      <c r="K44" s="237">
        <f>IF(K$5=0,0,K$5/AGR_fec!K$5)</f>
        <v>2.2316212157447408</v>
      </c>
      <c r="L44" s="237">
        <f>IF(L$5=0,0,L$5/AGR_fec!L$5)</f>
        <v>2.3163636902679183</v>
      </c>
      <c r="M44" s="237">
        <f>IF(M$5=0,0,M$5/AGR_fec!M$5)</f>
        <v>2.2989177271765184</v>
      </c>
      <c r="N44" s="237">
        <f>IF(N$5=0,0,N$5/AGR_fec!N$5)</f>
        <v>2.1821410171647457</v>
      </c>
      <c r="O44" s="237">
        <f>IF(O$5=0,0,O$5/AGR_fec!O$5)</f>
        <v>2.4270383021408564</v>
      </c>
      <c r="P44" s="237">
        <f>IF(P$5=0,0,P$5/AGR_fec!P$5)</f>
        <v>2.296642742657093</v>
      </c>
      <c r="Q44" s="237">
        <f>IF(Q$5=0,0,Q$5/AGR_fec!Q$5)</f>
        <v>2.3070050006933074</v>
      </c>
      <c r="R44" s="237">
        <f>IF(R$5=0,0,R$5/AGR_fec!R$5)</f>
        <v>2.3038258505815707</v>
      </c>
      <c r="S44" s="237">
        <f>IF(S$5=0,0,S$5/AGR_fec!S$5)</f>
        <v>2.2785162490382933</v>
      </c>
      <c r="T44" s="237">
        <f>IF(T$5=0,0,T$5/AGR_fec!T$5)</f>
        <v>2.2880189921454011</v>
      </c>
      <c r="U44" s="237">
        <f>IF(U$5=0,0,U$5/AGR_fec!U$5)</f>
        <v>2.2862151259185231</v>
      </c>
      <c r="V44" s="237">
        <f>IF(V$5=0,0,V$5/AGR_fec!V$5)</f>
        <v>2.3176474074833782</v>
      </c>
      <c r="W44" s="237">
        <f>IF(W$5=0,0,W$5/AGR_fec!W$5)</f>
        <v>2.3141993884172285</v>
      </c>
      <c r="X44" s="237">
        <f>IF(X$5=0,0,X$5/AGR_fec!X$5)</f>
        <v>2.2449842530430115</v>
      </c>
      <c r="Y44" s="237">
        <f>IF(Y$5=0,0,Y$5/AGR_fec!Y$5)</f>
        <v>2.2521610094085793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2.4575417643891373</v>
      </c>
      <c r="C48" s="252">
        <f>IF(C$9=0,0,C$9/AGR_fec!C$9)</f>
        <v>2.3500501828264371</v>
      </c>
      <c r="D48" s="252">
        <f>IF(D$9=0,0,D$9/AGR_fec!D$9)</f>
        <v>2.3343552124300708</v>
      </c>
      <c r="E48" s="252">
        <f>IF(E$9=0,0,E$9/AGR_fec!E$9)</f>
        <v>2.2958732052325304</v>
      </c>
      <c r="F48" s="252">
        <f>IF(F$9=0,0,F$9/AGR_fec!F$9)</f>
        <v>2.1747432282993673</v>
      </c>
      <c r="G48" s="252">
        <f>IF(G$9=0,0,G$9/AGR_fec!G$9)</f>
        <v>2.2084525910282577</v>
      </c>
      <c r="H48" s="252">
        <f>IF(H$9=0,0,H$9/AGR_fec!H$9)</f>
        <v>2.2486339287173873</v>
      </c>
      <c r="I48" s="252">
        <f>IF(I$9=0,0,I$9/AGR_fec!I$9)</f>
        <v>2.1495820746248584</v>
      </c>
      <c r="J48" s="252">
        <f>IF(J$9=0,0,J$9/AGR_fec!J$9)</f>
        <v>2.190766511685653</v>
      </c>
      <c r="K48" s="252">
        <f>IF(K$9=0,0,K$9/AGR_fec!K$9)</f>
        <v>2.2140338134117354</v>
      </c>
      <c r="L48" s="252">
        <f>IF(L$9=0,0,L$9/AGR_fec!L$9)</f>
        <v>2.3347760052747057</v>
      </c>
      <c r="M48" s="252">
        <f>IF(M$9=0,0,M$9/AGR_fec!M$9)</f>
        <v>2.3085090787332265</v>
      </c>
      <c r="N48" s="252">
        <f>IF(N$9=0,0,N$9/AGR_fec!N$9)</f>
        <v>2.1333678873821649</v>
      </c>
      <c r="O48" s="252">
        <f>IF(O$9=0,0,O$9/AGR_fec!O$9)</f>
        <v>2.4749476302134124</v>
      </c>
      <c r="P48" s="252">
        <f>IF(P$9=0,0,P$9/AGR_fec!P$9)</f>
        <v>2.2573073078559336</v>
      </c>
      <c r="Q48" s="252">
        <f>IF(Q$9=0,0,Q$9/AGR_fec!Q$9)</f>
        <v>2.2834489311360806</v>
      </c>
      <c r="R48" s="252">
        <f>IF(R$9=0,0,R$9/AGR_fec!R$9)</f>
        <v>2.3058291322145257</v>
      </c>
      <c r="S48" s="252">
        <f>IF(S$9=0,0,S$9/AGR_fec!S$9)</f>
        <v>2.2640904268835254</v>
      </c>
      <c r="T48" s="252">
        <f>IF(T$9=0,0,T$9/AGR_fec!T$9)</f>
        <v>2.269306603596442</v>
      </c>
      <c r="U48" s="252">
        <f>IF(U$9=0,0,U$9/AGR_fec!U$9)</f>
        <v>2.2624368383938478</v>
      </c>
      <c r="V48" s="252">
        <f>IF(V$9=0,0,V$9/AGR_fec!V$9)</f>
        <v>2.2984274159863842</v>
      </c>
      <c r="W48" s="252">
        <f>IF(W$9=0,0,W$9/AGR_fec!W$9)</f>
        <v>2.2957847139226026</v>
      </c>
      <c r="X48" s="252">
        <f>IF(X$9=0,0,X$9/AGR_fec!X$9)</f>
        <v>2.1935310790902984</v>
      </c>
      <c r="Y48" s="252">
        <f>IF(Y$9=0,0,Y$9/AGR_fec!Y$9)</f>
        <v>2.207102757939754</v>
      </c>
      <c r="DA48" s="289"/>
    </row>
    <row r="49" spans="1:105" x14ac:dyDescent="0.25">
      <c r="A49" s="127" t="s">
        <v>168</v>
      </c>
      <c r="B49" s="264">
        <f>IF(B$16=0,0,B$16/AGR_fec!B$16)</f>
        <v>3.1024188000000001</v>
      </c>
      <c r="C49" s="264">
        <f>IF(C$16=0,0,C$16/AGR_fec!C$16)</f>
        <v>3.102418800000001</v>
      </c>
      <c r="D49" s="264">
        <f>IF(D$16=0,0,D$16/AGR_fec!D$16)</f>
        <v>3.1024187999999993</v>
      </c>
      <c r="E49" s="264">
        <f>IF(E$16=0,0,E$16/AGR_fec!E$16)</f>
        <v>3.1024188000000006</v>
      </c>
      <c r="F49" s="264">
        <f>IF(F$16=0,0,F$16/AGR_fec!F$16)</f>
        <v>3.1024187999999997</v>
      </c>
      <c r="G49" s="264">
        <f>IF(G$16=0,0,G$16/AGR_fec!G$16)</f>
        <v>3.1024188000000015</v>
      </c>
      <c r="H49" s="264">
        <f>IF(H$16=0,0,H$16/AGR_fec!H$16)</f>
        <v>3.102418800000001</v>
      </c>
      <c r="I49" s="264">
        <f>IF(I$16=0,0,I$16/AGR_fec!I$16)</f>
        <v>3.1024188000000006</v>
      </c>
      <c r="J49" s="264">
        <f>IF(J$16=0,0,J$16/AGR_fec!J$16)</f>
        <v>3.1024188000000006</v>
      </c>
      <c r="K49" s="264">
        <f>IF(K$16=0,0,K$16/AGR_fec!K$16)</f>
        <v>3.1024188000000015</v>
      </c>
      <c r="L49" s="264">
        <f>IF(L$16=0,0,L$16/AGR_fec!L$16)</f>
        <v>3.1024188000000015</v>
      </c>
      <c r="M49" s="264">
        <f>IF(M$16=0,0,M$16/AGR_fec!M$16)</f>
        <v>3.1024188000000015</v>
      </c>
      <c r="N49" s="264">
        <f>IF(N$16=0,0,N$16/AGR_fec!N$16)</f>
        <v>3.089029718015702</v>
      </c>
      <c r="O49" s="264">
        <f>IF(O$16=0,0,O$16/AGR_fec!O$16)</f>
        <v>3.102418800000001</v>
      </c>
      <c r="P49" s="264">
        <f>IF(P$16=0,0,P$16/AGR_fec!P$16)</f>
        <v>3.1024188000000001</v>
      </c>
      <c r="Q49" s="264">
        <f>IF(Q$16=0,0,Q$16/AGR_fec!Q$16)</f>
        <v>3.102418800000001</v>
      </c>
      <c r="R49" s="264">
        <f>IF(R$16=0,0,R$16/AGR_fec!R$16)</f>
        <v>3.1024187999999984</v>
      </c>
      <c r="S49" s="264">
        <f>IF(S$16=0,0,S$16/AGR_fec!S$16)</f>
        <v>3.1024187999999997</v>
      </c>
      <c r="T49" s="264">
        <f>IF(T$16=0,0,T$16/AGR_fec!T$16)</f>
        <v>3.1024188000000006</v>
      </c>
      <c r="U49" s="264">
        <f>IF(U$16=0,0,U$16/AGR_fec!U$16)</f>
        <v>3.1024187999999993</v>
      </c>
      <c r="V49" s="264">
        <f>IF(V$16=0,0,V$16/AGR_fec!V$16)</f>
        <v>3.1024187999999997</v>
      </c>
      <c r="W49" s="264">
        <f>IF(W$16=0,0,W$16/AGR_fec!W$16)</f>
        <v>3.1024188000000006</v>
      </c>
      <c r="X49" s="264">
        <f>IF(X$16=0,0,X$16/AGR_fec!X$16)</f>
        <v>3.1024187999999997</v>
      </c>
      <c r="Y49" s="264">
        <f>IF(Y$16=0,0,Y$16/AGR_fec!Y$16)</f>
        <v>3.1024187999999997</v>
      </c>
      <c r="DA49" s="290"/>
    </row>
    <row r="50" spans="1:105" x14ac:dyDescent="0.25">
      <c r="A50" s="127" t="s">
        <v>121</v>
      </c>
      <c r="B50" s="264">
        <f>IF(B$17=0,0,B$17/AGR_fec!B$17)</f>
        <v>2.5806837447631792</v>
      </c>
      <c r="C50" s="264">
        <f>IF(C$17=0,0,C$17/AGR_fec!C$17)</f>
        <v>2.4969768436077406</v>
      </c>
      <c r="D50" s="264">
        <f>IF(D$17=0,0,D$17/AGR_fec!D$17)</f>
        <v>2.4707252346764901</v>
      </c>
      <c r="E50" s="264">
        <f>IF(E$17=0,0,E$17/AGR_fec!E$17)</f>
        <v>2.4650231552000541</v>
      </c>
      <c r="F50" s="264">
        <f>IF(F$17=0,0,F$17/AGR_fec!F$17)</f>
        <v>2.4081171298349591</v>
      </c>
      <c r="G50" s="264">
        <f>IF(G$17=0,0,G$17/AGR_fec!G$17)</f>
        <v>2.3691132117095917</v>
      </c>
      <c r="H50" s="264">
        <f>IF(H$17=0,0,H$17/AGR_fec!H$17)</f>
        <v>2.3950514706226458</v>
      </c>
      <c r="I50" s="264">
        <f>IF(I$17=0,0,I$17/AGR_fec!I$17)</f>
        <v>2.3968338673099723</v>
      </c>
      <c r="J50" s="264">
        <f>IF(J$17=0,0,J$17/AGR_fec!J$17)</f>
        <v>2.4175413807759116</v>
      </c>
      <c r="K50" s="264">
        <f>IF(K$17=0,0,K$17/AGR_fec!K$17)</f>
        <v>2.3713579199120085</v>
      </c>
      <c r="L50" s="264">
        <f>IF(L$17=0,0,L$17/AGR_fec!L$17)</f>
        <v>2.4278591868227646</v>
      </c>
      <c r="M50" s="264">
        <f>IF(M$17=0,0,M$17/AGR_fec!M$17)</f>
        <v>2.4123225041185585</v>
      </c>
      <c r="N50" s="264">
        <f>IF(N$17=0,0,N$17/AGR_fec!N$17)</f>
        <v>2.3435990854265505</v>
      </c>
      <c r="O50" s="264">
        <f>IF(O$17=0,0,O$17/AGR_fec!O$17)</f>
        <v>2.5497999063674479</v>
      </c>
      <c r="P50" s="264">
        <f>IF(P$17=0,0,P$17/AGR_fec!P$17)</f>
        <v>2.3547321912980892</v>
      </c>
      <c r="Q50" s="264">
        <f>IF(Q$17=0,0,Q$17/AGR_fec!Q$17)</f>
        <v>2.3863127221178981</v>
      </c>
      <c r="R50" s="264">
        <f>IF(R$17=0,0,R$17/AGR_fec!R$17)</f>
        <v>2.3375600670457426</v>
      </c>
      <c r="S50" s="264">
        <f>IF(S$17=0,0,S$17/AGR_fec!S$17)</f>
        <v>2.3223907464645324</v>
      </c>
      <c r="T50" s="264">
        <f>IF(T$17=0,0,T$17/AGR_fec!T$17)</f>
        <v>2.3506144756536829</v>
      </c>
      <c r="U50" s="264">
        <f>IF(U$17=0,0,U$17/AGR_fec!U$17)</f>
        <v>2.3528656372762269</v>
      </c>
      <c r="V50" s="264">
        <f>IF(V$17=0,0,V$17/AGR_fec!V$17)</f>
        <v>2.3935769368541284</v>
      </c>
      <c r="W50" s="264">
        <f>IF(W$17=0,0,W$17/AGR_fec!W$17)</f>
        <v>2.3858992251599269</v>
      </c>
      <c r="X50" s="264">
        <f>IF(X$17=0,0,X$17/AGR_fec!X$17)</f>
        <v>2.3177050113938802</v>
      </c>
      <c r="Y50" s="264">
        <f>IF(Y$17=0,0,Y$17/AGR_fec!Y$17)</f>
        <v>2.2899363571011975</v>
      </c>
      <c r="DA50" s="290"/>
    </row>
    <row r="51" spans="1:105" x14ac:dyDescent="0.25">
      <c r="A51" s="127" t="s">
        <v>167</v>
      </c>
      <c r="B51" s="264">
        <f>IF(B$25=0,0,B$25/AGR_fec!B$25)</f>
        <v>3.1024188000000006</v>
      </c>
      <c r="C51" s="264">
        <f>IF(C$25=0,0,C$25/AGR_fec!C$25)</f>
        <v>3.1024188000000006</v>
      </c>
      <c r="D51" s="264">
        <f>IF(D$25=0,0,D$25/AGR_fec!D$25)</f>
        <v>3.1024188000000001</v>
      </c>
      <c r="E51" s="264">
        <f>IF(E$25=0,0,E$25/AGR_fec!E$25)</f>
        <v>3.1024188000000006</v>
      </c>
      <c r="F51" s="264">
        <f>IF(F$25=0,0,F$25/AGR_fec!F$25)</f>
        <v>3.1024188000000006</v>
      </c>
      <c r="G51" s="264">
        <f>IF(G$25=0,0,G$25/AGR_fec!G$25)</f>
        <v>3.1024188000000001</v>
      </c>
      <c r="H51" s="264">
        <f>IF(H$25=0,0,H$25/AGR_fec!H$25)</f>
        <v>3.1024188000000006</v>
      </c>
      <c r="I51" s="264">
        <f>IF(I$25=0,0,I$25/AGR_fec!I$25)</f>
        <v>3.1024188000000006</v>
      </c>
      <c r="J51" s="264">
        <f>IF(J$25=0,0,J$25/AGR_fec!J$25)</f>
        <v>3.1024188000000006</v>
      </c>
      <c r="K51" s="264">
        <f>IF(K$25=0,0,K$25/AGR_fec!K$25)</f>
        <v>3.1024187999999993</v>
      </c>
      <c r="L51" s="264">
        <f>IF(L$25=0,0,L$25/AGR_fec!L$25)</f>
        <v>3.1024187999999997</v>
      </c>
      <c r="M51" s="264">
        <f>IF(M$25=0,0,M$25/AGR_fec!M$25)</f>
        <v>3.1024188000000001</v>
      </c>
      <c r="N51" s="264">
        <f>IF(N$25=0,0,N$25/AGR_fec!N$25)</f>
        <v>3.0890297180157011</v>
      </c>
      <c r="O51" s="264">
        <f>IF(O$25=0,0,O$25/AGR_fec!O$25)</f>
        <v>3.1024188000000001</v>
      </c>
      <c r="P51" s="264">
        <f>IF(P$25=0,0,P$25/AGR_fec!P$25)</f>
        <v>3.1024188000000006</v>
      </c>
      <c r="Q51" s="264">
        <f>IF(Q$25=0,0,Q$25/AGR_fec!Q$25)</f>
        <v>3.1024187999999997</v>
      </c>
      <c r="R51" s="264">
        <f>IF(R$25=0,0,R$25/AGR_fec!R$25)</f>
        <v>3.1024188000000001</v>
      </c>
      <c r="S51" s="264">
        <f>IF(S$25=0,0,S$25/AGR_fec!S$25)</f>
        <v>3.1024188000000006</v>
      </c>
      <c r="T51" s="264">
        <f>IF(T$25=0,0,T$25/AGR_fec!T$25)</f>
        <v>3.1024187999999997</v>
      </c>
      <c r="U51" s="264">
        <f>IF(U$25=0,0,U$25/AGR_fec!U$25)</f>
        <v>3.1024188000000001</v>
      </c>
      <c r="V51" s="264">
        <f>IF(V$25=0,0,V$25/AGR_fec!V$25)</f>
        <v>3.1024188000000001</v>
      </c>
      <c r="W51" s="264">
        <f>IF(W$25=0,0,W$25/AGR_fec!W$25)</f>
        <v>3.1024188000000006</v>
      </c>
      <c r="X51" s="264">
        <f>IF(X$25=0,0,X$25/AGR_fec!X$25)</f>
        <v>3.1024187999999997</v>
      </c>
      <c r="Y51" s="264">
        <f>IF(Y$25=0,0,Y$25/AGR_fec!Y$25)</f>
        <v>3.1024188000000006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2025-11-06T10:25:25Z</dcterms:created>
  <dcterms:modified xsi:type="dcterms:W3CDTF">2025-11-06T10:25:25Z</dcterms:modified>
</cp:coreProperties>
</file>