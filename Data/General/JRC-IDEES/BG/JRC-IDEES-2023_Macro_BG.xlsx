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BG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121" i="59"/>
  <c r="AA117" i="59"/>
  <c r="AA114" i="59"/>
  <c r="AA113" i="59"/>
  <c r="AA110" i="59"/>
  <c r="AA109" i="59"/>
  <c r="AA106" i="59"/>
  <c r="AA105" i="59"/>
  <c r="AA102" i="59"/>
  <c r="AA101" i="59"/>
  <c r="AA66" i="59"/>
  <c r="AA98" i="59"/>
  <c r="AA97" i="59"/>
  <c r="AA94" i="59"/>
  <c r="AA93" i="59"/>
  <c r="AA5" i="59"/>
  <c r="D75" i="57"/>
  <c r="Y75" i="57"/>
  <c r="V75" i="57"/>
  <c r="O75" i="57"/>
  <c r="K75" i="57"/>
  <c r="F75" i="57"/>
  <c r="R54" i="57"/>
  <c r="X54" i="57"/>
  <c r="H54" i="57"/>
  <c r="V54" i="57"/>
  <c r="N54" i="57"/>
  <c r="F54" i="57"/>
  <c r="T54" i="57"/>
  <c r="S54" i="57"/>
  <c r="I54" i="57"/>
  <c r="D54" i="57"/>
  <c r="V39" i="57"/>
  <c r="N39" i="57"/>
  <c r="F39" i="57"/>
  <c r="T39" i="57"/>
  <c r="L39" i="57"/>
  <c r="D39" i="57"/>
  <c r="U39" i="57"/>
  <c r="R39" i="57"/>
  <c r="Q39" i="57"/>
  <c r="J39" i="57"/>
  <c r="I39" i="57"/>
  <c r="J16" i="57"/>
  <c r="X16" i="57"/>
  <c r="P16" i="57"/>
  <c r="H16" i="57"/>
  <c r="Y16" i="57"/>
  <c r="N16" i="57"/>
  <c r="M16" i="57"/>
  <c r="E16" i="57"/>
  <c r="T75" i="57"/>
  <c r="Q75" i="57"/>
  <c r="U75" i="57"/>
  <c r="J75" i="57"/>
  <c r="P54" i="57"/>
  <c r="L54" i="57"/>
  <c r="Q54" i="57"/>
  <c r="O39" i="57"/>
  <c r="E39" i="57"/>
  <c r="S16" i="57"/>
  <c r="O16" i="57"/>
  <c r="G16" i="57"/>
  <c r="I16" i="57" l="1"/>
  <c r="AA89" i="59"/>
  <c r="AA80" i="59"/>
  <c r="Z54" i="55"/>
  <c r="Z99" i="59"/>
  <c r="Z103" i="59"/>
  <c r="Z107" i="59"/>
  <c r="Z115" i="59"/>
  <c r="AA70" i="59"/>
  <c r="AA74" i="59"/>
  <c r="AA79" i="59"/>
  <c r="AA81" i="59"/>
  <c r="AA82" i="59"/>
  <c r="AA84" i="59"/>
  <c r="AA88" i="59"/>
  <c r="H39" i="57"/>
  <c r="J54" i="57"/>
  <c r="Z111" i="59"/>
  <c r="K54" i="57"/>
  <c r="E75" i="57"/>
  <c r="F16" i="57"/>
  <c r="V16" i="57"/>
  <c r="W16" i="57"/>
  <c r="Q16" i="57"/>
  <c r="K16" i="57"/>
  <c r="U16" i="57"/>
  <c r="K39" i="57"/>
  <c r="S39" i="57"/>
  <c r="M39" i="57"/>
  <c r="G39" i="57"/>
  <c r="W39" i="57"/>
  <c r="Y39" i="57"/>
  <c r="E54" i="57"/>
  <c r="M54" i="57"/>
  <c r="U54" i="57"/>
  <c r="G54" i="57"/>
  <c r="O54" i="57"/>
  <c r="W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5" i="59" l="1"/>
  <c r="AA9" i="59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4" i="4"/>
  <c r="B7" i="4"/>
  <c r="B5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<sst xmlns="http://schemas.openxmlformats.org/spreadsheetml/2006/main" count="722" uniqueCount="281">
  <si>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</si>
  <si>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</si>
  <si>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</si>
  <si>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</si>
  <si>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</si>
  <si>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</si>
  <si>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</si>
  <si>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</si>
  <si>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</si>
  <si>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</si>
  <si>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</si>
  <si>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</si>
  <si>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</si>
  <si>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</si>
  <si>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</si>
  <si>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</si>
  <si>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</si>
  <si>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</si>
  <si>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</si>
  <si>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</si>
  <si>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</si>
  <si>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</si>
  <si>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</si>
  <si>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</si>
  <si>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</si>
  <si>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</si>
  <si>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</si>
  <si>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</si>
  <si>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</si>
  <si>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</si>
  <si>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</si>
  <si>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</si>
  <si>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</si>
  <si>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</si>
  <si>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</si>
  <si>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</si>
  <si>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</si>
  <si>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</si>
  <si>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</si>
  <si>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</si>
  <si>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</si>
  <si>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</si>
  <si>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</si>
  <si>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</si>
  <si>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</si>
  <si>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</si>
  <si>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</si>
  <si>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</si>
  <si>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</si>
  <si>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</si>
  <si>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</si>
  <si>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</si>
  <si>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</si>
  <si>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</si>
  <si>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</si>
  <si>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</si>
  <si>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</si>
  <si>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</si>
  <si>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</si>
  <si>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</si>
  <si>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</si>
  <si>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</si>
  <si>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</si>
  <si>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</si>
  <si>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</si>
  <si>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</si>
  <si>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</si>
  <si>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</si>
  <si>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</si>
  <si>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</si>
  <si>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</si>
  <si>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</si>
  <si>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</si>
  <si>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</si>
  <si>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</si>
  <si>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</si>
  <si>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</si>
  <si>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</si>
  <si>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</si>
  <si>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</si>
  <si>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</si>
  <si>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</si>
  <si>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</si>
  <si>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</si>
  <si>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</si>
  <si>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</si>
  <si>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</si>
  <si>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</si>
  <si>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</si>
  <si>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</si>
  <si>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</si>
  <si>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</si>
  <si>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</si>
  <si>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</si>
  <si>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</si>
  <si>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</si>
  <si>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</si>
  <si>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</si>
  <si>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</si>
  <si>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</si>
  <si>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</si>
  <si>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</si>
  <si>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</si>
  <si>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</si>
  <si>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</si>
  <si>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</si>
  <si>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</si>
  <si>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</si>
  <si>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</si>
  <si>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</si>
  <si>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</si>
  <si>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</si>
  <si>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</si>
  <si>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</si>
  <si>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</si>
  <si>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</si>
  <si>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</si>
  <si>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</si>
  <si>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</si>
  <si>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</si>
  <si>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</si>
  <si>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</si>
  <si>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</si>
  <si>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</si>
  <si>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</si>
  <si>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</si>
  <si>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</si>
  <si>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</si>
  <si>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</si>
  <si>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</si>
  <si>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</si>
  <si>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</si>
  <si>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</si>
  <si>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</si>
  <si>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</si>
  <si>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</si>
  <si>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</si>
  <si>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</si>
  <si>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</si>
  <si>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</si>
  <si>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</si>
  <si>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</si>
  <si>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</si>
  <si>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</si>
  <si>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</si>
  <si>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</si>
  <si>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</si>
  <si>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</si>
  <si>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</si>
  <si>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</si>
  <si>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</si>
  <si>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</si>
  <si>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</si>
  <si>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</si>
  <si>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</si>
  <si>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</si>
  <si>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</si>
  <si>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</si>
  <si>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</si>
  <si>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</si>
  <si>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</si>
  <si>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</si>
  <si>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</si>
  <si>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</si>
  <si>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</si>
  <si>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</si>
  <si>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</si>
  <si>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</si>
  <si>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</si>
  <si>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</si>
  <si>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</si>
  <si>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</si>
  <si>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</si>
  <si>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</si>
  <si>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</si>
  <si>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</si>
  <si>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</si>
  <si>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</si>
  <si>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</si>
  <si>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</si>
  <si>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</si>
  <si>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</si>
  <si>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</si>
  <si>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</si>
  <si>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</si>
  <si>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</si>
  <si>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</si>
  <si>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</si>
  <si>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</si>
  <si>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</si>
  <si>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</si>
  <si>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</si>
  <si>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</si>
  <si>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</si>
  <si>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</si>
  <si>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</si>
  <si>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</si>
  <si>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</si>
  <si>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</si>
  <si>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</si>
  <si>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</si>
  <si>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</si>
  <si>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</si>
  <si>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</si>
  <si>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</si>
  <si>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</si>
  <si>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</si>
  <si>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</si>
  <si>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</si>
  <si>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</si>
  <si>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</si>
  <si>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</si>
  <si>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</si>
  <si>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</si>
  <si>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</si>
  <si>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</si>
  <si>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</si>
  <si>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</si>
  <si>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</si>
  <si>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</si>
  <si>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</si>
  <si>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</si>
  <si>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</si>
  <si>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</si>
  <si>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</si>
  <si>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</si>
  <si>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</si>
  <si>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</si>
  <si>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</si>
  <si>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</si>
  <si>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</si>
  <si>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</si>
  <si>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</si>
  <si>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</si>
  <si>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</si>
  <si>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</si>
  <si>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</si>
  <si>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</si>
  <si>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</si>
  <si>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</si>
  <si>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</si>
  <si>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</si>
  <si>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</si>
  <si>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</si>
  <si>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</si>
  <si>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</si>
  <si>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</si>
  <si>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</si>
  <si>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</si>
  <si>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</si>
  <si>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</si>
  <si>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</si>
  <si>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</si>
  <si>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</si>
  <si>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</si>
  <si>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</si>
  <si>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</si>
  <si>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</si>
  <si>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</si>
  <si>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</si>
  <si>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</si>
  <si>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</si>
  <si>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</si>
  <si>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</si>
  <si>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</si>
  <si>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</si>
  <si>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</si>
  <si>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</si>
  <si>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</si>
  <si>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</si>
  <si>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</si>
  <si>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</si>
  <si>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</si>
  <si>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</si>
  <si>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</si>
  <si>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</si>
  <si>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</si>
  <si>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</si>
  <si>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</si>
  <si>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BG</t>
  </si>
  <si>
    <t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</si>
</sst>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45967.471979166665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14440</v>
      </c>
      <c r="E2" s="19">
        <v>15905.3</v>
      </c>
      <c r="F2" s="19">
        <v>17478.3</v>
      </c>
      <c r="G2" s="19">
        <v>18798.3</v>
      </c>
      <c r="H2" s="19">
        <v>21093.200000000001</v>
      </c>
      <c r="I2" s="19">
        <v>24039.9</v>
      </c>
      <c r="J2" s="19">
        <v>27410</v>
      </c>
      <c r="K2" s="19">
        <v>32464.7</v>
      </c>
      <c r="L2" s="19">
        <v>37246.699999999997</v>
      </c>
      <c r="M2" s="19">
        <v>37417.699999999997</v>
      </c>
      <c r="N2" s="19">
        <v>38290</v>
      </c>
      <c r="O2" s="19">
        <v>41479.9</v>
      </c>
      <c r="P2" s="19">
        <v>42255.3</v>
      </c>
      <c r="Q2" s="19">
        <v>42056.2</v>
      </c>
      <c r="R2" s="19">
        <v>43024.7</v>
      </c>
      <c r="S2" s="19">
        <v>45797.8</v>
      </c>
      <c r="T2" s="19">
        <v>48752.1</v>
      </c>
      <c r="U2" s="19">
        <v>52501.8</v>
      </c>
      <c r="V2" s="19">
        <v>56131.3</v>
      </c>
      <c r="W2" s="19">
        <v>61308.2</v>
      </c>
      <c r="X2" s="19">
        <v>61912.5</v>
      </c>
      <c r="Y2" s="19">
        <v>71378.399999999994</v>
      </c>
      <c r="Z2" s="19">
        <v>86082.4</v>
      </c>
      <c r="AA2" s="19">
        <v>94709.3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9599.2999999999993</v>
      </c>
      <c r="E3" s="23">
        <v>10910.9</v>
      </c>
      <c r="F3" s="23">
        <v>11932.1</v>
      </c>
      <c r="G3" s="23">
        <v>12782</v>
      </c>
      <c r="H3" s="23">
        <v>14418.3</v>
      </c>
      <c r="I3" s="23">
        <v>16530.3</v>
      </c>
      <c r="J3" s="23">
        <v>18334.099999999999</v>
      </c>
      <c r="K3" s="23">
        <v>22247.4</v>
      </c>
      <c r="L3" s="23">
        <v>24455.8</v>
      </c>
      <c r="M3" s="23">
        <v>23564.7</v>
      </c>
      <c r="N3" s="23">
        <v>24568.400000000001</v>
      </c>
      <c r="O3" s="23">
        <v>25980.3</v>
      </c>
      <c r="P3" s="23">
        <v>27719.8</v>
      </c>
      <c r="Q3" s="23">
        <v>26272.5</v>
      </c>
      <c r="R3" s="23">
        <v>27022</v>
      </c>
      <c r="S3" s="23">
        <v>28428.9</v>
      </c>
      <c r="T3" s="23">
        <v>29510.799999999999</v>
      </c>
      <c r="U3" s="23">
        <v>31633.3</v>
      </c>
      <c r="V3" s="23">
        <v>33553.699999999997</v>
      </c>
      <c r="W3" s="23">
        <v>36292.300000000003</v>
      </c>
      <c r="X3" s="23">
        <v>35930.6</v>
      </c>
      <c r="Y3" s="23">
        <v>41352.9</v>
      </c>
      <c r="Z3" s="23">
        <v>49859.1</v>
      </c>
      <c r="AA3" s="23">
        <v>54673.2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12658.8</v>
      </c>
      <c r="E4" s="27">
        <v>14008.6</v>
      </c>
      <c r="F4" s="27">
        <v>15551.4</v>
      </c>
      <c r="G4" s="27">
        <v>16404.8</v>
      </c>
      <c r="H4" s="27">
        <v>18064.2</v>
      </c>
      <c r="I4" s="27">
        <v>20444.8</v>
      </c>
      <c r="J4" s="27">
        <v>23135.9</v>
      </c>
      <c r="K4" s="27">
        <v>27541.5</v>
      </c>
      <c r="L4" s="27">
        <v>31315.7</v>
      </c>
      <c r="M4" s="27">
        <v>32514.7</v>
      </c>
      <c r="N4" s="27">
        <v>33422.300000000003</v>
      </c>
      <c r="O4" s="27">
        <v>36204.400000000001</v>
      </c>
      <c r="P4" s="27">
        <v>36760.300000000003</v>
      </c>
      <c r="Q4" s="27">
        <v>36257.9</v>
      </c>
      <c r="R4" s="27">
        <v>37315.800000000003</v>
      </c>
      <c r="S4" s="27">
        <v>39554.300000000003</v>
      </c>
      <c r="T4" s="27">
        <v>41979.4</v>
      </c>
      <c r="U4" s="27">
        <v>45146.9</v>
      </c>
      <c r="V4" s="27">
        <v>48622.3</v>
      </c>
      <c r="W4" s="27">
        <v>52900.6</v>
      </c>
      <c r="X4" s="27">
        <v>53744.800000000003</v>
      </c>
      <c r="Y4" s="27">
        <v>62465.7</v>
      </c>
      <c r="Z4" s="27">
        <v>76535.3</v>
      </c>
      <c r="AA4" s="27">
        <v>83042.399999999994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1584.1</v>
      </c>
      <c r="E6" s="19">
        <v>1686.5</v>
      </c>
      <c r="F6" s="19">
        <v>1697.2</v>
      </c>
      <c r="G6" s="19">
        <v>1709.8</v>
      </c>
      <c r="H6" s="19">
        <v>1782.8</v>
      </c>
      <c r="I6" s="19">
        <v>1751</v>
      </c>
      <c r="J6" s="19">
        <v>1671</v>
      </c>
      <c r="K6" s="19">
        <v>1510.2</v>
      </c>
      <c r="L6" s="19">
        <v>2186.1999999999998</v>
      </c>
      <c r="M6" s="19">
        <v>1584.9</v>
      </c>
      <c r="N6" s="19">
        <v>1544</v>
      </c>
      <c r="O6" s="19">
        <v>1933.5</v>
      </c>
      <c r="P6" s="19">
        <v>1872</v>
      </c>
      <c r="Q6" s="19">
        <v>1899</v>
      </c>
      <c r="R6" s="19">
        <v>1961.4</v>
      </c>
      <c r="S6" s="19">
        <v>1860.3</v>
      </c>
      <c r="T6" s="19">
        <v>1976.8</v>
      </c>
      <c r="U6" s="19">
        <v>2122.6999999999998</v>
      </c>
      <c r="V6" s="19">
        <v>1906.6</v>
      </c>
      <c r="W6" s="19">
        <v>1959.5</v>
      </c>
      <c r="X6" s="19">
        <v>2125.4</v>
      </c>
      <c r="Y6" s="19">
        <v>3088.5</v>
      </c>
      <c r="Z6" s="19">
        <v>3194.7</v>
      </c>
      <c r="AA6" s="19">
        <v>2384.4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2627.8</v>
      </c>
      <c r="E7" s="23">
        <v>3070.2</v>
      </c>
      <c r="F7" s="23">
        <v>3419.2</v>
      </c>
      <c r="G7" s="23">
        <v>3769.7</v>
      </c>
      <c r="H7" s="23">
        <v>3977.3</v>
      </c>
      <c r="I7" s="23">
        <v>4570.5</v>
      </c>
      <c r="J7" s="23">
        <v>5337.3</v>
      </c>
      <c r="K7" s="23">
        <v>6344.9</v>
      </c>
      <c r="L7" s="23">
        <v>6498.5</v>
      </c>
      <c r="M7" s="23">
        <v>6833.3</v>
      </c>
      <c r="N7" s="23">
        <v>6710.9</v>
      </c>
      <c r="O7" s="23">
        <v>8091.8</v>
      </c>
      <c r="P7" s="23">
        <v>8583.5</v>
      </c>
      <c r="Q7" s="23">
        <v>8160.8</v>
      </c>
      <c r="R7" s="23">
        <v>8435.5</v>
      </c>
      <c r="S7" s="23">
        <v>9278.7000000000007</v>
      </c>
      <c r="T7" s="23">
        <v>10278</v>
      </c>
      <c r="U7" s="23">
        <v>10728.7</v>
      </c>
      <c r="V7" s="23">
        <v>10423.700000000001</v>
      </c>
      <c r="W7" s="23">
        <v>10900.5</v>
      </c>
      <c r="X7" s="23">
        <v>10940.4</v>
      </c>
      <c r="Y7" s="23">
        <v>12327</v>
      </c>
      <c r="Z7" s="23">
        <v>18877.599999999999</v>
      </c>
      <c r="AA7" s="23">
        <v>17793.5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646.79999999999995</v>
      </c>
      <c r="E8" s="23">
        <v>744</v>
      </c>
      <c r="F8" s="23">
        <v>776.3</v>
      </c>
      <c r="G8" s="23">
        <v>801.9</v>
      </c>
      <c r="H8" s="23">
        <v>902.2</v>
      </c>
      <c r="I8" s="23">
        <v>1255</v>
      </c>
      <c r="J8" s="23">
        <v>1616.7</v>
      </c>
      <c r="K8" s="23">
        <v>2180.4</v>
      </c>
      <c r="L8" s="23">
        <v>2809.7</v>
      </c>
      <c r="M8" s="23">
        <v>3107.5</v>
      </c>
      <c r="N8" s="23">
        <v>2384.6</v>
      </c>
      <c r="O8" s="23">
        <v>2290.6999999999998</v>
      </c>
      <c r="P8" s="23">
        <v>2142.5</v>
      </c>
      <c r="Q8" s="23">
        <v>1725.5</v>
      </c>
      <c r="R8" s="23">
        <v>1651.3</v>
      </c>
      <c r="S8" s="23">
        <v>1726.5</v>
      </c>
      <c r="T8" s="23">
        <v>1646.6</v>
      </c>
      <c r="U8" s="23">
        <v>1866.1</v>
      </c>
      <c r="V8" s="23">
        <v>2030.2</v>
      </c>
      <c r="W8" s="23">
        <v>2294.6999999999998</v>
      </c>
      <c r="X8" s="23">
        <v>2571.1</v>
      </c>
      <c r="Y8" s="23">
        <v>2477.1999999999998</v>
      </c>
      <c r="Z8" s="23">
        <v>2903.7</v>
      </c>
      <c r="AA8" s="23">
        <v>3666.8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2676.7</v>
      </c>
      <c r="E9" s="23">
        <v>3020.2</v>
      </c>
      <c r="F9" s="23">
        <v>3340.6</v>
      </c>
      <c r="G9" s="23">
        <v>3664.9</v>
      </c>
      <c r="H9" s="23">
        <v>4055.4</v>
      </c>
      <c r="I9" s="23">
        <v>4452.6000000000004</v>
      </c>
      <c r="J9" s="23">
        <v>5429.6</v>
      </c>
      <c r="K9" s="23">
        <v>5835.2</v>
      </c>
      <c r="L9" s="23">
        <v>6407.4</v>
      </c>
      <c r="M9" s="23">
        <v>6555.5</v>
      </c>
      <c r="N9" s="23">
        <v>6942</v>
      </c>
      <c r="O9" s="23">
        <v>7421.4</v>
      </c>
      <c r="P9" s="23">
        <v>7420.9</v>
      </c>
      <c r="Q9" s="23">
        <v>7887.9</v>
      </c>
      <c r="R9" s="23">
        <v>8087.3</v>
      </c>
      <c r="S9" s="23">
        <v>8828.6</v>
      </c>
      <c r="T9" s="23">
        <v>9298.7000000000007</v>
      </c>
      <c r="U9" s="23">
        <v>10125</v>
      </c>
      <c r="V9" s="23">
        <v>11364.9</v>
      </c>
      <c r="W9" s="23">
        <v>12479.1</v>
      </c>
      <c r="X9" s="23">
        <v>11479.7</v>
      </c>
      <c r="Y9" s="23">
        <v>14441.4</v>
      </c>
      <c r="Z9" s="23">
        <v>16705.099999999999</v>
      </c>
      <c r="AA9" s="23">
        <v>19204.5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406.4</v>
      </c>
      <c r="E10" s="23">
        <v>533.6</v>
      </c>
      <c r="F10" s="23">
        <v>666.8</v>
      </c>
      <c r="G10" s="23">
        <v>703.7</v>
      </c>
      <c r="H10" s="23">
        <v>823.9</v>
      </c>
      <c r="I10" s="23">
        <v>777.7</v>
      </c>
      <c r="J10" s="23">
        <v>876.4</v>
      </c>
      <c r="K10" s="23">
        <v>1020.1</v>
      </c>
      <c r="L10" s="23">
        <v>1818.8</v>
      </c>
      <c r="M10" s="23">
        <v>1741.6</v>
      </c>
      <c r="N10" s="23">
        <v>1654.4</v>
      </c>
      <c r="O10" s="23">
        <v>1934.3</v>
      </c>
      <c r="P10" s="23">
        <v>1857.3</v>
      </c>
      <c r="Q10" s="23">
        <v>2035.6</v>
      </c>
      <c r="R10" s="23">
        <v>2064.8000000000002</v>
      </c>
      <c r="S10" s="23">
        <v>2092</v>
      </c>
      <c r="T10" s="23">
        <v>2597</v>
      </c>
      <c r="U10" s="23">
        <v>2760</v>
      </c>
      <c r="V10" s="23">
        <v>3296.9</v>
      </c>
      <c r="W10" s="23">
        <v>4034</v>
      </c>
      <c r="X10" s="23">
        <v>4508.7</v>
      </c>
      <c r="Y10" s="23">
        <v>4867.5</v>
      </c>
      <c r="Z10" s="23">
        <v>5733.9</v>
      </c>
      <c r="AA10" s="23">
        <v>6846.7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300.10000000000002</v>
      </c>
      <c r="E11" s="23">
        <v>407.7</v>
      </c>
      <c r="F11" s="23">
        <v>492.4</v>
      </c>
      <c r="G11" s="23">
        <v>680.1</v>
      </c>
      <c r="H11" s="23">
        <v>791</v>
      </c>
      <c r="I11" s="23">
        <v>1189.9000000000001</v>
      </c>
      <c r="J11" s="23">
        <v>1219.7</v>
      </c>
      <c r="K11" s="23">
        <v>1962.3</v>
      </c>
      <c r="L11" s="23">
        <v>1961.9</v>
      </c>
      <c r="M11" s="23">
        <v>1931.1</v>
      </c>
      <c r="N11" s="23">
        <v>2977.3</v>
      </c>
      <c r="O11" s="23">
        <v>2917.1</v>
      </c>
      <c r="P11" s="23">
        <v>2735.7</v>
      </c>
      <c r="Q11" s="23">
        <v>2393.9</v>
      </c>
      <c r="R11" s="23">
        <v>2508.5</v>
      </c>
      <c r="S11" s="23">
        <v>2713.7</v>
      </c>
      <c r="T11" s="23">
        <v>2953.1</v>
      </c>
      <c r="U11" s="23">
        <v>2944.1</v>
      </c>
      <c r="V11" s="23">
        <v>3210.8</v>
      </c>
      <c r="W11" s="23">
        <v>3047.7</v>
      </c>
      <c r="X11" s="23">
        <v>3224.1</v>
      </c>
      <c r="Y11" s="23">
        <v>4235.2</v>
      </c>
      <c r="Z11" s="23">
        <v>5012.7</v>
      </c>
      <c r="AA11" s="23">
        <v>5325.5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1455.4</v>
      </c>
      <c r="E12" s="23">
        <v>1521.1</v>
      </c>
      <c r="F12" s="23">
        <v>1792</v>
      </c>
      <c r="G12" s="23">
        <v>1687.3</v>
      </c>
      <c r="H12" s="23">
        <v>2004.6</v>
      </c>
      <c r="I12" s="23">
        <v>2129</v>
      </c>
      <c r="J12" s="23">
        <v>2385.9</v>
      </c>
      <c r="K12" s="23">
        <v>3292.1</v>
      </c>
      <c r="L12" s="23">
        <v>3389.4</v>
      </c>
      <c r="M12" s="23">
        <v>3729.9</v>
      </c>
      <c r="N12" s="23">
        <v>4013.2</v>
      </c>
      <c r="O12" s="23">
        <v>4155.3</v>
      </c>
      <c r="P12" s="23">
        <v>4190.7</v>
      </c>
      <c r="Q12" s="23">
        <v>4124.6000000000004</v>
      </c>
      <c r="R12" s="23">
        <v>3894.7</v>
      </c>
      <c r="S12" s="23">
        <v>3857.5</v>
      </c>
      <c r="T12" s="23">
        <v>3986.8</v>
      </c>
      <c r="U12" s="23">
        <v>4515.3999999999996</v>
      </c>
      <c r="V12" s="23">
        <v>5116.6000000000004</v>
      </c>
      <c r="W12" s="23">
        <v>5494.4</v>
      </c>
      <c r="X12" s="23">
        <v>5217.1000000000004</v>
      </c>
      <c r="Y12" s="23">
        <v>5620</v>
      </c>
      <c r="Z12" s="23">
        <v>6231.4</v>
      </c>
      <c r="AA12" s="23">
        <v>7177.4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549.1</v>
      </c>
      <c r="E13" s="23">
        <v>663.5</v>
      </c>
      <c r="F13" s="23">
        <v>707.4</v>
      </c>
      <c r="G13" s="23">
        <v>670.4</v>
      </c>
      <c r="H13" s="23">
        <v>759.2</v>
      </c>
      <c r="I13" s="23">
        <v>875.7</v>
      </c>
      <c r="J13" s="23">
        <v>1055.9000000000001</v>
      </c>
      <c r="K13" s="23">
        <v>1390.3</v>
      </c>
      <c r="L13" s="23">
        <v>1504.4</v>
      </c>
      <c r="M13" s="23">
        <v>1847.6</v>
      </c>
      <c r="N13" s="23">
        <v>1892.2</v>
      </c>
      <c r="O13" s="23">
        <v>1965.8</v>
      </c>
      <c r="P13" s="23">
        <v>2155.8000000000002</v>
      </c>
      <c r="Q13" s="23">
        <v>2026.4</v>
      </c>
      <c r="R13" s="23">
        <v>2094.4</v>
      </c>
      <c r="S13" s="23">
        <v>2485</v>
      </c>
      <c r="T13" s="23">
        <v>2626</v>
      </c>
      <c r="U13" s="23">
        <v>2742.8</v>
      </c>
      <c r="V13" s="23">
        <v>3149.8</v>
      </c>
      <c r="W13" s="23">
        <v>3747.2</v>
      </c>
      <c r="X13" s="23">
        <v>3741.2</v>
      </c>
      <c r="Y13" s="23">
        <v>4319.1000000000004</v>
      </c>
      <c r="Z13" s="23">
        <v>5055.8999999999996</v>
      </c>
      <c r="AA13" s="23">
        <v>5845.7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2144.1999999999989</v>
      </c>
      <c r="E14" s="23">
        <v>2112.7999999999993</v>
      </c>
      <c r="F14" s="23">
        <v>2396.2000000000025</v>
      </c>
      <c r="G14" s="23">
        <v>2426.7000000000007</v>
      </c>
      <c r="H14" s="23">
        <v>2636.0999999999985</v>
      </c>
      <c r="I14" s="23">
        <v>3035.0999999999985</v>
      </c>
      <c r="J14" s="23">
        <v>3100.3999999999978</v>
      </c>
      <c r="K14" s="23">
        <v>3451.5000000000036</v>
      </c>
      <c r="L14" s="23">
        <v>3915.9999999999927</v>
      </c>
      <c r="M14" s="23">
        <v>4266.5000000000036</v>
      </c>
      <c r="N14" s="23">
        <v>4560.7000000000007</v>
      </c>
      <c r="O14" s="23">
        <v>4647.4000000000051</v>
      </c>
      <c r="P14" s="23">
        <v>4933.8000000000029</v>
      </c>
      <c r="Q14" s="23">
        <v>5078.0000000000036</v>
      </c>
      <c r="R14" s="23">
        <v>5673</v>
      </c>
      <c r="S14" s="23">
        <v>5720.0999999999985</v>
      </c>
      <c r="T14" s="23">
        <v>5618.9000000000015</v>
      </c>
      <c r="U14" s="23">
        <v>6284.7999999999956</v>
      </c>
      <c r="V14" s="23">
        <v>7023.7999999999956</v>
      </c>
      <c r="W14" s="23">
        <v>7668.1999999999971</v>
      </c>
      <c r="X14" s="23">
        <v>8872.5000000000073</v>
      </c>
      <c r="Y14" s="23">
        <v>10020.800000000003</v>
      </c>
      <c r="Z14" s="23">
        <v>11608.5</v>
      </c>
      <c r="AA14" s="23">
        <v>13387.299999999988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268.2</v>
      </c>
      <c r="E15" s="23">
        <v>249</v>
      </c>
      <c r="F15" s="23">
        <v>263.3</v>
      </c>
      <c r="G15" s="23">
        <v>290.3</v>
      </c>
      <c r="H15" s="23">
        <v>331.7</v>
      </c>
      <c r="I15" s="23">
        <v>408.3</v>
      </c>
      <c r="J15" s="23">
        <v>443</v>
      </c>
      <c r="K15" s="23">
        <v>554.5</v>
      </c>
      <c r="L15" s="23">
        <v>823.4</v>
      </c>
      <c r="M15" s="23">
        <v>916.8</v>
      </c>
      <c r="N15" s="23">
        <v>743</v>
      </c>
      <c r="O15" s="23">
        <v>847.1</v>
      </c>
      <c r="P15" s="23">
        <v>868.1</v>
      </c>
      <c r="Q15" s="23">
        <v>926.2</v>
      </c>
      <c r="R15" s="23">
        <v>944.9</v>
      </c>
      <c r="S15" s="23">
        <v>991.9</v>
      </c>
      <c r="T15" s="23">
        <v>997.5</v>
      </c>
      <c r="U15" s="23">
        <v>1057.3</v>
      </c>
      <c r="V15" s="23">
        <v>1099</v>
      </c>
      <c r="W15" s="23">
        <v>1275.3</v>
      </c>
      <c r="X15" s="23">
        <v>1064.5999999999999</v>
      </c>
      <c r="Y15" s="23">
        <v>1069</v>
      </c>
      <c r="Z15" s="23">
        <v>1211.8</v>
      </c>
      <c r="AA15" s="23">
        <v>1410.6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12658.8</v>
      </c>
      <c r="E16" s="30">
        <f t="shared" ref="E16:Y16" si="0">SUM(E6:E15)</f>
        <v>14008.6</v>
      </c>
      <c r="F16" s="30">
        <f t="shared" si="0"/>
        <v>15551.4</v>
      </c>
      <c r="G16" s="30">
        <f t="shared" si="0"/>
        <v>16404.8</v>
      </c>
      <c r="H16" s="30">
        <f t="shared" si="0"/>
        <v>18064.2</v>
      </c>
      <c r="I16" s="30">
        <f t="shared" si="0"/>
        <v>20444.8</v>
      </c>
      <c r="J16" s="30">
        <f t="shared" si="0"/>
        <v>23135.9</v>
      </c>
      <c r="K16" s="30">
        <f t="shared" si="0"/>
        <v>27541.5</v>
      </c>
      <c r="L16" s="30">
        <f t="shared" si="0"/>
        <v>31315.7</v>
      </c>
      <c r="M16" s="30">
        <f t="shared" si="0"/>
        <v>32514.7</v>
      </c>
      <c r="N16" s="30">
        <f t="shared" si="0"/>
        <v>33422.300000000003</v>
      </c>
      <c r="O16" s="30">
        <f t="shared" si="0"/>
        <v>36204.400000000001</v>
      </c>
      <c r="P16" s="30">
        <f t="shared" si="0"/>
        <v>36760.300000000003</v>
      </c>
      <c r="Q16" s="30">
        <f t="shared" si="0"/>
        <v>36257.899999999994</v>
      </c>
      <c r="R16" s="30">
        <f t="shared" si="0"/>
        <v>37315.800000000003</v>
      </c>
      <c r="S16" s="30">
        <f t="shared" si="0"/>
        <v>39554.300000000003</v>
      </c>
      <c r="T16" s="30">
        <f t="shared" si="0"/>
        <v>41979.4</v>
      </c>
      <c r="U16" s="30">
        <f t="shared" si="0"/>
        <v>45146.9</v>
      </c>
      <c r="V16" s="30">
        <f t="shared" si="0"/>
        <v>48622.3</v>
      </c>
      <c r="W16" s="30">
        <f t="shared" si="0"/>
        <v>52900.6</v>
      </c>
      <c r="X16" s="30">
        <f t="shared" si="0"/>
        <v>53744.800000000003</v>
      </c>
      <c r="Y16" s="30">
        <f t="shared" si="0"/>
        <v>62465.7</v>
      </c>
      <c r="Z16" s="30">
        <f t="shared" ref="Z16:AA16" si="1">SUM(Z6:Z15)</f>
        <v>76535.3</v>
      </c>
      <c r="AA16" s="30">
        <f t="shared" si="1"/>
        <v>83042.399999999994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1584.1</v>
      </c>
      <c r="E18" s="19">
        <v>1686.5</v>
      </c>
      <c r="F18" s="19">
        <v>1697.2</v>
      </c>
      <c r="G18" s="19">
        <v>1709.8</v>
      </c>
      <c r="H18" s="19">
        <v>1782.8</v>
      </c>
      <c r="I18" s="19">
        <v>1751</v>
      </c>
      <c r="J18" s="19">
        <v>1671</v>
      </c>
      <c r="K18" s="19">
        <v>1510.2</v>
      </c>
      <c r="L18" s="19">
        <v>2186.1999999999998</v>
      </c>
      <c r="M18" s="19">
        <v>1584.9</v>
      </c>
      <c r="N18" s="19">
        <v>1544</v>
      </c>
      <c r="O18" s="19">
        <v>1933.5</v>
      </c>
      <c r="P18" s="19">
        <v>1872</v>
      </c>
      <c r="Q18" s="19">
        <v>1899</v>
      </c>
      <c r="R18" s="19">
        <v>1961.4</v>
      </c>
      <c r="S18" s="19">
        <v>1860.3</v>
      </c>
      <c r="T18" s="19">
        <v>1976.8</v>
      </c>
      <c r="U18" s="19">
        <v>2122.6999999999998</v>
      </c>
      <c r="V18" s="19">
        <v>1906.6</v>
      </c>
      <c r="W18" s="19">
        <v>1959.5</v>
      </c>
      <c r="X18" s="19">
        <v>2125.4</v>
      </c>
      <c r="Y18" s="19">
        <v>3088.5</v>
      </c>
      <c r="Z18" s="19">
        <v>3194.7</v>
      </c>
      <c r="AA18" s="19">
        <v>2384.4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227.77468607623072</v>
      </c>
      <c r="E19" s="23">
        <v>233.59999999999988</v>
      </c>
      <c r="F19" s="23">
        <v>216.1</v>
      </c>
      <c r="G19" s="23">
        <v>244.1999999999999</v>
      </c>
      <c r="H19" s="23">
        <v>314.60000000000002</v>
      </c>
      <c r="I19" s="23">
        <v>399.96969926520723</v>
      </c>
      <c r="J19" s="23">
        <v>548.30000000000007</v>
      </c>
      <c r="K19" s="23">
        <v>613.29999999999984</v>
      </c>
      <c r="L19" s="23">
        <v>640.30000000000007</v>
      </c>
      <c r="M19" s="23">
        <v>627.16885954024133</v>
      </c>
      <c r="N19" s="23">
        <v>739.79999999999973</v>
      </c>
      <c r="O19" s="23">
        <v>845</v>
      </c>
      <c r="P19" s="23">
        <v>886.5</v>
      </c>
      <c r="Q19" s="23">
        <v>901.5</v>
      </c>
      <c r="R19" s="23">
        <v>973.3656103161984</v>
      </c>
      <c r="S19" s="23">
        <v>983.36761722866208</v>
      </c>
      <c r="T19" s="23">
        <v>951.47078420535479</v>
      </c>
      <c r="U19" s="23">
        <v>1013.7699017308435</v>
      </c>
      <c r="V19" s="23">
        <v>892.56970437497898</v>
      </c>
      <c r="W19" s="23">
        <v>710.87408217579957</v>
      </c>
      <c r="X19" s="23">
        <v>921.99999999999989</v>
      </c>
      <c r="Y19" s="23">
        <v>876</v>
      </c>
      <c r="Z19" s="23">
        <v>698.48145394684411</v>
      </c>
      <c r="AA19" s="23">
        <v>1248.7245845802488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1728</v>
      </c>
      <c r="E20" s="23">
        <v>2072.3000000000002</v>
      </c>
      <c r="F20" s="23">
        <v>2349.6</v>
      </c>
      <c r="G20" s="23">
        <v>2609.3000000000002</v>
      </c>
      <c r="H20" s="23">
        <v>2693.8</v>
      </c>
      <c r="I20" s="23">
        <v>3250.5</v>
      </c>
      <c r="J20" s="23">
        <v>3684.1</v>
      </c>
      <c r="K20" s="23">
        <v>4552.3</v>
      </c>
      <c r="L20" s="23">
        <v>4595.2</v>
      </c>
      <c r="M20" s="23">
        <v>4819.3</v>
      </c>
      <c r="N20" s="23">
        <v>4456.3</v>
      </c>
      <c r="O20" s="23">
        <v>5469.6</v>
      </c>
      <c r="P20" s="23">
        <v>5937.5</v>
      </c>
      <c r="Q20" s="23">
        <v>5369.1</v>
      </c>
      <c r="R20" s="23">
        <v>5605.1</v>
      </c>
      <c r="S20" s="23">
        <v>6242</v>
      </c>
      <c r="T20" s="23">
        <v>7021.3</v>
      </c>
      <c r="U20" s="23">
        <v>7360.5</v>
      </c>
      <c r="V20" s="23">
        <v>7477.5</v>
      </c>
      <c r="W20" s="23">
        <v>8157.7</v>
      </c>
      <c r="X20" s="23">
        <v>7969.7</v>
      </c>
      <c r="Y20" s="23">
        <v>8003.7</v>
      </c>
      <c r="Z20" s="23">
        <v>11345.2</v>
      </c>
      <c r="AA20" s="23">
        <v>12714.2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563.63735970663424</v>
      </c>
      <c r="E21" s="23">
        <v>642.1999999999997</v>
      </c>
      <c r="F21" s="23">
        <v>729.8</v>
      </c>
      <c r="G21" s="23">
        <v>791.69999999999982</v>
      </c>
      <c r="H21" s="23">
        <v>834.6</v>
      </c>
      <c r="I21" s="23">
        <v>774.24134535262488</v>
      </c>
      <c r="J21" s="23">
        <v>915.20000000000016</v>
      </c>
      <c r="K21" s="23">
        <v>962.79999999999973</v>
      </c>
      <c r="L21" s="23">
        <v>990.80000000000007</v>
      </c>
      <c r="M21" s="23">
        <v>1117.1445310560548</v>
      </c>
      <c r="N21" s="23">
        <v>1193.9999999999998</v>
      </c>
      <c r="O21" s="23">
        <v>1422.2</v>
      </c>
      <c r="P21" s="23">
        <v>1415.5</v>
      </c>
      <c r="Q21" s="23">
        <v>1508.2</v>
      </c>
      <c r="R21" s="23">
        <v>1444.2489736795615</v>
      </c>
      <c r="S21" s="23">
        <v>1597.2474018703904</v>
      </c>
      <c r="T21" s="23">
        <v>1822.8440278801277</v>
      </c>
      <c r="U21" s="23">
        <v>1878.6442240893036</v>
      </c>
      <c r="V21" s="23">
        <v>1595.6458405457695</v>
      </c>
      <c r="W21" s="23">
        <v>1466.7465237522333</v>
      </c>
      <c r="X21" s="23">
        <v>1478.2999999999997</v>
      </c>
      <c r="Y21" s="23">
        <v>3042.6</v>
      </c>
      <c r="Z21" s="23">
        <v>6418.3295807556469</v>
      </c>
      <c r="AA21" s="23">
        <v>3168.3623779335326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108.38795421713527</v>
      </c>
      <c r="E22" s="23">
        <v>122.09999999999994</v>
      </c>
      <c r="F22" s="23">
        <v>123.7</v>
      </c>
      <c r="G22" s="23">
        <v>124.49999999999994</v>
      </c>
      <c r="H22" s="23">
        <v>134.30000000000001</v>
      </c>
      <c r="I22" s="23">
        <v>145.78895538216804</v>
      </c>
      <c r="J22" s="23">
        <v>189.70000000000002</v>
      </c>
      <c r="K22" s="23">
        <v>216.49999999999994</v>
      </c>
      <c r="L22" s="23">
        <v>272.20000000000005</v>
      </c>
      <c r="M22" s="23">
        <v>269.68660940370387</v>
      </c>
      <c r="N22" s="23">
        <v>320.7999999999999</v>
      </c>
      <c r="O22" s="23">
        <v>355</v>
      </c>
      <c r="P22" s="23">
        <v>344</v>
      </c>
      <c r="Q22" s="23">
        <v>382</v>
      </c>
      <c r="R22" s="23">
        <v>412.78541600423944</v>
      </c>
      <c r="S22" s="23">
        <v>456.08498090094855</v>
      </c>
      <c r="T22" s="23">
        <v>482.38518791451725</v>
      </c>
      <c r="U22" s="23">
        <v>475.78587417985341</v>
      </c>
      <c r="V22" s="23">
        <v>457.98445507925203</v>
      </c>
      <c r="W22" s="23">
        <v>565.17939407196775</v>
      </c>
      <c r="X22" s="23">
        <v>570.4</v>
      </c>
      <c r="Y22" s="23">
        <v>404.70000000000005</v>
      </c>
      <c r="Z22" s="23">
        <v>415.58896529750672</v>
      </c>
      <c r="AA22" s="23">
        <v>662.21303748621835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646.79999999999995</v>
      </c>
      <c r="E23" s="23">
        <v>744</v>
      </c>
      <c r="F23" s="23">
        <v>776.3</v>
      </c>
      <c r="G23" s="23">
        <v>801.9</v>
      </c>
      <c r="H23" s="23">
        <v>902.2</v>
      </c>
      <c r="I23" s="23">
        <v>1255</v>
      </c>
      <c r="J23" s="23">
        <v>1616.7</v>
      </c>
      <c r="K23" s="23">
        <v>2180.4</v>
      </c>
      <c r="L23" s="23">
        <v>2809.7</v>
      </c>
      <c r="M23" s="23">
        <v>3107.5</v>
      </c>
      <c r="N23" s="23">
        <v>2384.6</v>
      </c>
      <c r="O23" s="23">
        <v>2290.6999999999998</v>
      </c>
      <c r="P23" s="23">
        <v>2142.5</v>
      </c>
      <c r="Q23" s="23">
        <v>1725.5</v>
      </c>
      <c r="R23" s="23">
        <v>1651.3</v>
      </c>
      <c r="S23" s="23">
        <v>1726.5</v>
      </c>
      <c r="T23" s="23">
        <v>1646.6</v>
      </c>
      <c r="U23" s="23">
        <v>1866.1</v>
      </c>
      <c r="V23" s="23">
        <v>2030.2</v>
      </c>
      <c r="W23" s="23">
        <v>2294.6999999999998</v>
      </c>
      <c r="X23" s="23">
        <v>2571.1</v>
      </c>
      <c r="Y23" s="23">
        <v>2477.1999999999998</v>
      </c>
      <c r="Z23" s="23">
        <v>2903.7</v>
      </c>
      <c r="AA23" s="23">
        <v>3666.8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1339.4999999999998</v>
      </c>
      <c r="E24" s="23">
        <v>1416.1999999999998</v>
      </c>
      <c r="F24" s="23">
        <v>1475.8999999999999</v>
      </c>
      <c r="G24" s="23">
        <v>1730.2</v>
      </c>
      <c r="H24" s="23">
        <v>2012.8000000000002</v>
      </c>
      <c r="I24" s="23">
        <v>2485.3000000000002</v>
      </c>
      <c r="J24" s="23">
        <v>3092.1000000000004</v>
      </c>
      <c r="K24" s="23">
        <v>3053.9999999999995</v>
      </c>
      <c r="L24" s="23">
        <v>3549.7999999999993</v>
      </c>
      <c r="M24" s="23">
        <v>3699</v>
      </c>
      <c r="N24" s="23">
        <v>4050.9</v>
      </c>
      <c r="O24" s="23">
        <v>4436.5999999999995</v>
      </c>
      <c r="P24" s="23">
        <v>4441.5</v>
      </c>
      <c r="Q24" s="23">
        <v>4857.2</v>
      </c>
      <c r="R24" s="23">
        <v>4885.8</v>
      </c>
      <c r="S24" s="23">
        <v>5492.9000000000005</v>
      </c>
      <c r="T24" s="23">
        <v>5760.1</v>
      </c>
      <c r="U24" s="23">
        <v>6513.6</v>
      </c>
      <c r="V24" s="23">
        <v>7398.5</v>
      </c>
      <c r="W24" s="23">
        <v>8139.3</v>
      </c>
      <c r="X24" s="23">
        <v>7851.2000000000007</v>
      </c>
      <c r="Y24" s="23">
        <v>9985.5</v>
      </c>
      <c r="Z24" s="23">
        <v>11155.599999999999</v>
      </c>
      <c r="AA24" s="23">
        <v>12932.9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1050.7</v>
      </c>
      <c r="E25" s="23">
        <v>1306.9000000000001</v>
      </c>
      <c r="F25" s="23">
        <v>1508.7</v>
      </c>
      <c r="G25" s="23">
        <v>1586.2</v>
      </c>
      <c r="H25" s="23">
        <v>1658</v>
      </c>
      <c r="I25" s="23">
        <v>1502.6</v>
      </c>
      <c r="J25" s="23">
        <v>1790.7</v>
      </c>
      <c r="K25" s="23">
        <v>2140.8000000000002</v>
      </c>
      <c r="L25" s="23">
        <v>2135.8000000000002</v>
      </c>
      <c r="M25" s="23">
        <v>2131.1999999999998</v>
      </c>
      <c r="N25" s="23">
        <v>2104.1</v>
      </c>
      <c r="O25" s="23">
        <v>2146.8000000000002</v>
      </c>
      <c r="P25" s="23">
        <v>2132.1999999999998</v>
      </c>
      <c r="Q25" s="23">
        <v>2153.6999999999998</v>
      </c>
      <c r="R25" s="23">
        <v>2328.3000000000002</v>
      </c>
      <c r="S25" s="23">
        <v>2389.6</v>
      </c>
      <c r="T25" s="23">
        <v>2554.9</v>
      </c>
      <c r="U25" s="23">
        <v>2495</v>
      </c>
      <c r="V25" s="23">
        <v>2671.2</v>
      </c>
      <c r="W25" s="23">
        <v>2957.8</v>
      </c>
      <c r="X25" s="23">
        <v>2724.9</v>
      </c>
      <c r="Y25" s="23">
        <v>3035.4</v>
      </c>
      <c r="Z25" s="23">
        <v>3595</v>
      </c>
      <c r="AA25" s="23">
        <v>3910.1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286.5</v>
      </c>
      <c r="E26" s="23">
        <v>297.10000000000002</v>
      </c>
      <c r="F26" s="23">
        <v>356</v>
      </c>
      <c r="G26" s="23">
        <v>348.5</v>
      </c>
      <c r="H26" s="23">
        <v>384.6</v>
      </c>
      <c r="I26" s="23">
        <v>464.7</v>
      </c>
      <c r="J26" s="23">
        <v>546.79999999999995</v>
      </c>
      <c r="K26" s="23">
        <v>640.4</v>
      </c>
      <c r="L26" s="23">
        <v>721.8</v>
      </c>
      <c r="M26" s="23">
        <v>725.3</v>
      </c>
      <c r="N26" s="23">
        <v>787</v>
      </c>
      <c r="O26" s="23">
        <v>838</v>
      </c>
      <c r="P26" s="23">
        <v>847.2</v>
      </c>
      <c r="Q26" s="23">
        <v>877</v>
      </c>
      <c r="R26" s="23">
        <v>873.2</v>
      </c>
      <c r="S26" s="23">
        <v>946.1</v>
      </c>
      <c r="T26" s="23">
        <v>983.7</v>
      </c>
      <c r="U26" s="23">
        <v>1116.4000000000001</v>
      </c>
      <c r="V26" s="23">
        <v>1295.2</v>
      </c>
      <c r="W26" s="23">
        <v>1382</v>
      </c>
      <c r="X26" s="23">
        <v>903.6</v>
      </c>
      <c r="Y26" s="23">
        <v>1420.5</v>
      </c>
      <c r="Z26" s="23">
        <v>1954.5</v>
      </c>
      <c r="AA26" s="23">
        <v>2361.5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406.4</v>
      </c>
      <c r="E27" s="23">
        <v>533.6</v>
      </c>
      <c r="F27" s="23">
        <v>666.8</v>
      </c>
      <c r="G27" s="23">
        <v>703.7</v>
      </c>
      <c r="H27" s="23">
        <v>823.9</v>
      </c>
      <c r="I27" s="23">
        <v>777.7</v>
      </c>
      <c r="J27" s="23">
        <v>876.4</v>
      </c>
      <c r="K27" s="23">
        <v>1020.1</v>
      </c>
      <c r="L27" s="23">
        <v>1818.8</v>
      </c>
      <c r="M27" s="23">
        <v>1741.6</v>
      </c>
      <c r="N27" s="23">
        <v>1654.4</v>
      </c>
      <c r="O27" s="23">
        <v>1934.3</v>
      </c>
      <c r="P27" s="23">
        <v>1857.3</v>
      </c>
      <c r="Q27" s="23">
        <v>2035.6</v>
      </c>
      <c r="R27" s="23">
        <v>2064.8000000000002</v>
      </c>
      <c r="S27" s="23">
        <v>2092</v>
      </c>
      <c r="T27" s="23">
        <v>2597</v>
      </c>
      <c r="U27" s="23">
        <v>2760</v>
      </c>
      <c r="V27" s="23">
        <v>3296.9</v>
      </c>
      <c r="W27" s="23">
        <v>4034</v>
      </c>
      <c r="X27" s="23">
        <v>4508.7</v>
      </c>
      <c r="Y27" s="23">
        <v>4867.5</v>
      </c>
      <c r="Z27" s="23">
        <v>5733.9</v>
      </c>
      <c r="AA27" s="23">
        <v>6846.7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300.10000000000002</v>
      </c>
      <c r="E28" s="23">
        <v>407.7</v>
      </c>
      <c r="F28" s="23">
        <v>492.4</v>
      </c>
      <c r="G28" s="23">
        <v>680.1</v>
      </c>
      <c r="H28" s="23">
        <v>791</v>
      </c>
      <c r="I28" s="23">
        <v>1189.9000000000001</v>
      </c>
      <c r="J28" s="23">
        <v>1219.7</v>
      </c>
      <c r="K28" s="23">
        <v>1962.3</v>
      </c>
      <c r="L28" s="23">
        <v>1961.9</v>
      </c>
      <c r="M28" s="23">
        <v>1931.1</v>
      </c>
      <c r="N28" s="23">
        <v>2977.3</v>
      </c>
      <c r="O28" s="23">
        <v>2917.1</v>
      </c>
      <c r="P28" s="23">
        <v>2735.7</v>
      </c>
      <c r="Q28" s="23">
        <v>2393.9</v>
      </c>
      <c r="R28" s="23">
        <v>2508.5</v>
      </c>
      <c r="S28" s="23">
        <v>2713.7</v>
      </c>
      <c r="T28" s="23">
        <v>2953.1</v>
      </c>
      <c r="U28" s="23">
        <v>2944.1</v>
      </c>
      <c r="V28" s="23">
        <v>3210.8</v>
      </c>
      <c r="W28" s="23">
        <v>3047.7</v>
      </c>
      <c r="X28" s="23">
        <v>3224.1</v>
      </c>
      <c r="Y28" s="23">
        <v>4235.2</v>
      </c>
      <c r="Z28" s="23">
        <v>5012.7</v>
      </c>
      <c r="AA28" s="23">
        <v>5325.5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1455.4</v>
      </c>
      <c r="E29" s="23">
        <v>1521.1</v>
      </c>
      <c r="F29" s="23">
        <v>1792</v>
      </c>
      <c r="G29" s="23">
        <v>1687.3</v>
      </c>
      <c r="H29" s="23">
        <v>2004.6</v>
      </c>
      <c r="I29" s="23">
        <v>2129</v>
      </c>
      <c r="J29" s="23">
        <v>2385.9</v>
      </c>
      <c r="K29" s="23">
        <v>3292.1</v>
      </c>
      <c r="L29" s="23">
        <v>3389.4</v>
      </c>
      <c r="M29" s="23">
        <v>3729.9</v>
      </c>
      <c r="N29" s="23">
        <v>4013.2</v>
      </c>
      <c r="O29" s="23">
        <v>4155.3</v>
      </c>
      <c r="P29" s="23">
        <v>4190.7</v>
      </c>
      <c r="Q29" s="23">
        <v>4124.6000000000004</v>
      </c>
      <c r="R29" s="23">
        <v>3894.7</v>
      </c>
      <c r="S29" s="23">
        <v>3857.5</v>
      </c>
      <c r="T29" s="23">
        <v>3986.8</v>
      </c>
      <c r="U29" s="23">
        <v>4515.3999999999996</v>
      </c>
      <c r="V29" s="23">
        <v>5116.6000000000004</v>
      </c>
      <c r="W29" s="23">
        <v>5494.4</v>
      </c>
      <c r="X29" s="23">
        <v>5217.1000000000004</v>
      </c>
      <c r="Y29" s="23">
        <v>5620</v>
      </c>
      <c r="Z29" s="23">
        <v>6231.4</v>
      </c>
      <c r="AA29" s="23">
        <v>7177.4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209.90000000000003</v>
      </c>
      <c r="E30" s="23">
        <v>251.7</v>
      </c>
      <c r="F30" s="23">
        <v>263.7</v>
      </c>
      <c r="G30" s="23">
        <v>248.09999999999997</v>
      </c>
      <c r="H30" s="23">
        <v>276.30000000000007</v>
      </c>
      <c r="I30" s="23">
        <v>340.1</v>
      </c>
      <c r="J30" s="23">
        <v>415.50000000000011</v>
      </c>
      <c r="K30" s="23">
        <v>593</v>
      </c>
      <c r="L30" s="23">
        <v>861.00000000000011</v>
      </c>
      <c r="M30" s="23">
        <v>1088.3</v>
      </c>
      <c r="N30" s="23">
        <v>1256.3000000000002</v>
      </c>
      <c r="O30" s="23">
        <v>1263.5</v>
      </c>
      <c r="P30" s="23">
        <v>1419.6000000000001</v>
      </c>
      <c r="Q30" s="23">
        <v>1348.4</v>
      </c>
      <c r="R30" s="23">
        <v>1294.1000000000001</v>
      </c>
      <c r="S30" s="23">
        <v>1623.3</v>
      </c>
      <c r="T30" s="23">
        <v>1645.6</v>
      </c>
      <c r="U30" s="23">
        <v>1693.7000000000003</v>
      </c>
      <c r="V30" s="23">
        <v>1882.8000000000002</v>
      </c>
      <c r="W30" s="23">
        <v>2301.6999999999998</v>
      </c>
      <c r="X30" s="23">
        <v>2356.6999999999998</v>
      </c>
      <c r="Y30" s="23">
        <v>2752.8</v>
      </c>
      <c r="Z30" s="23">
        <v>3225.0999999999995</v>
      </c>
      <c r="AA30" s="23">
        <v>3577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339.2</v>
      </c>
      <c r="E31" s="23">
        <v>411.8</v>
      </c>
      <c r="F31" s="23">
        <v>443.7</v>
      </c>
      <c r="G31" s="23">
        <v>422.3</v>
      </c>
      <c r="H31" s="23">
        <v>482.9</v>
      </c>
      <c r="I31" s="23">
        <v>535.6</v>
      </c>
      <c r="J31" s="23">
        <v>640.4</v>
      </c>
      <c r="K31" s="23">
        <v>797.3</v>
      </c>
      <c r="L31" s="23">
        <v>643.4</v>
      </c>
      <c r="M31" s="23">
        <v>759.3</v>
      </c>
      <c r="N31" s="23">
        <v>635.9</v>
      </c>
      <c r="O31" s="23">
        <v>702.3</v>
      </c>
      <c r="P31" s="23">
        <v>736.2</v>
      </c>
      <c r="Q31" s="23">
        <v>678</v>
      </c>
      <c r="R31" s="23">
        <v>800.3</v>
      </c>
      <c r="S31" s="23">
        <v>861.7</v>
      </c>
      <c r="T31" s="23">
        <v>980.4</v>
      </c>
      <c r="U31" s="23">
        <v>1049.0999999999999</v>
      </c>
      <c r="V31" s="23">
        <v>1267</v>
      </c>
      <c r="W31" s="23">
        <v>1445.5</v>
      </c>
      <c r="X31" s="23">
        <v>1384.5</v>
      </c>
      <c r="Y31" s="23">
        <v>1566.3</v>
      </c>
      <c r="Z31" s="23">
        <v>1830.8</v>
      </c>
      <c r="AA31" s="23">
        <v>2268.6999999999998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955.39999999999895</v>
      </c>
      <c r="E32" s="23">
        <v>972.89999999999918</v>
      </c>
      <c r="F32" s="23">
        <v>1010.6000000000026</v>
      </c>
      <c r="G32" s="23">
        <v>1171.0000000000009</v>
      </c>
      <c r="H32" s="23">
        <v>1265.2999999999984</v>
      </c>
      <c r="I32" s="23">
        <v>1403.0999999999985</v>
      </c>
      <c r="J32" s="23">
        <v>1522.7999999999979</v>
      </c>
      <c r="K32" s="23">
        <v>1684.9000000000035</v>
      </c>
      <c r="L32" s="23">
        <v>1985.2999999999929</v>
      </c>
      <c r="M32" s="23">
        <v>2161.5000000000036</v>
      </c>
      <c r="N32" s="23">
        <v>2125.8000000000011</v>
      </c>
      <c r="O32" s="23">
        <v>2173.4000000000051</v>
      </c>
      <c r="P32" s="23">
        <v>2256.0000000000027</v>
      </c>
      <c r="Q32" s="23">
        <v>2452.9000000000037</v>
      </c>
      <c r="R32" s="23">
        <v>2723.8</v>
      </c>
      <c r="S32" s="23">
        <v>2655.2999999999984</v>
      </c>
      <c r="T32" s="23">
        <v>2556.6000000000013</v>
      </c>
      <c r="U32" s="23">
        <v>2932.7999999999956</v>
      </c>
      <c r="V32" s="23">
        <v>3166.1999999999957</v>
      </c>
      <c r="W32" s="23">
        <v>3474.2999999999975</v>
      </c>
      <c r="X32" s="23">
        <v>3802.9000000000069</v>
      </c>
      <c r="Y32" s="23">
        <v>4294.4000000000033</v>
      </c>
      <c r="Z32" s="23">
        <v>4746</v>
      </c>
      <c r="AA32" s="23">
        <v>5424.4999999999891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750</v>
      </c>
      <c r="E33" s="23">
        <v>721.4</v>
      </c>
      <c r="F33" s="23">
        <v>810.4</v>
      </c>
      <c r="G33" s="23">
        <v>786.8</v>
      </c>
      <c r="H33" s="23">
        <v>836.2</v>
      </c>
      <c r="I33" s="23">
        <v>902.4</v>
      </c>
      <c r="J33" s="23">
        <v>920.5</v>
      </c>
      <c r="K33" s="23">
        <v>1037.4000000000001</v>
      </c>
      <c r="L33" s="23">
        <v>1114.0999999999999</v>
      </c>
      <c r="M33" s="23">
        <v>1240.9000000000001</v>
      </c>
      <c r="N33" s="23">
        <v>1287.0999999999999</v>
      </c>
      <c r="O33" s="23">
        <v>1257.7</v>
      </c>
      <c r="P33" s="23">
        <v>1340.6</v>
      </c>
      <c r="Q33" s="23">
        <v>1206.5</v>
      </c>
      <c r="R33" s="23">
        <v>1572.5</v>
      </c>
      <c r="S33" s="23">
        <v>1606.5</v>
      </c>
      <c r="T33" s="23">
        <v>1480.1</v>
      </c>
      <c r="U33" s="23">
        <v>1733.6</v>
      </c>
      <c r="V33" s="23">
        <v>1928</v>
      </c>
      <c r="W33" s="23">
        <v>2190.6</v>
      </c>
      <c r="X33" s="23">
        <v>2403.6999999999998</v>
      </c>
      <c r="Y33" s="23">
        <v>2698</v>
      </c>
      <c r="Z33" s="23">
        <v>3095.4</v>
      </c>
      <c r="AA33" s="23">
        <v>3652.9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438.8</v>
      </c>
      <c r="E34" s="23">
        <v>418.5</v>
      </c>
      <c r="F34" s="23">
        <v>575.20000000000005</v>
      </c>
      <c r="G34" s="23">
        <v>468.9</v>
      </c>
      <c r="H34" s="23">
        <v>534.6</v>
      </c>
      <c r="I34" s="23">
        <v>729.6</v>
      </c>
      <c r="J34" s="23">
        <v>657.1</v>
      </c>
      <c r="K34" s="23">
        <v>729.2</v>
      </c>
      <c r="L34" s="23">
        <v>816.6</v>
      </c>
      <c r="M34" s="23">
        <v>864.1</v>
      </c>
      <c r="N34" s="23">
        <v>1147.8</v>
      </c>
      <c r="O34" s="23">
        <v>1216.3</v>
      </c>
      <c r="P34" s="23">
        <v>1337.2</v>
      </c>
      <c r="Q34" s="23">
        <v>1418.6</v>
      </c>
      <c r="R34" s="23">
        <v>1376.7</v>
      </c>
      <c r="S34" s="23">
        <v>1458.3</v>
      </c>
      <c r="T34" s="23">
        <v>1582.2</v>
      </c>
      <c r="U34" s="23">
        <v>1618.4</v>
      </c>
      <c r="V34" s="23">
        <v>1929.6</v>
      </c>
      <c r="W34" s="23">
        <v>2003.3</v>
      </c>
      <c r="X34" s="23">
        <v>2665.9</v>
      </c>
      <c r="Y34" s="23">
        <v>3028.4</v>
      </c>
      <c r="Z34" s="23">
        <v>3767.1</v>
      </c>
      <c r="AA34" s="23">
        <v>4309.8999999999996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108.39999999999998</v>
      </c>
      <c r="E35" s="23">
        <v>99</v>
      </c>
      <c r="F35" s="23">
        <v>116.4</v>
      </c>
      <c r="G35" s="23">
        <v>113.4</v>
      </c>
      <c r="H35" s="23">
        <v>155</v>
      </c>
      <c r="I35" s="23">
        <v>223</v>
      </c>
      <c r="J35" s="23">
        <v>264.7</v>
      </c>
      <c r="K35" s="23">
        <v>352.9</v>
      </c>
      <c r="L35" s="23">
        <v>465.29999999999995</v>
      </c>
      <c r="M35" s="23">
        <v>355.19999999999993</v>
      </c>
      <c r="N35" s="23">
        <v>358</v>
      </c>
      <c r="O35" s="23">
        <v>416.90000000000003</v>
      </c>
      <c r="P35" s="23">
        <v>492.8</v>
      </c>
      <c r="Q35" s="23">
        <v>519.5</v>
      </c>
      <c r="R35" s="23">
        <v>499.59999999999997</v>
      </c>
      <c r="S35" s="23">
        <v>550.79999999999995</v>
      </c>
      <c r="T35" s="23">
        <v>579.29999999999995</v>
      </c>
      <c r="U35" s="23">
        <v>605.4</v>
      </c>
      <c r="V35" s="23">
        <v>593.20000000000005</v>
      </c>
      <c r="W35" s="23">
        <v>753.8</v>
      </c>
      <c r="X35" s="23">
        <v>536.49999999999989</v>
      </c>
      <c r="Y35" s="23">
        <v>479.20000000000005</v>
      </c>
      <c r="Z35" s="23">
        <v>621.59999999999991</v>
      </c>
      <c r="AA35" s="23">
        <v>801.8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159.80000000000001</v>
      </c>
      <c r="E36" s="23">
        <v>150</v>
      </c>
      <c r="F36" s="23">
        <v>146.9</v>
      </c>
      <c r="G36" s="23">
        <v>176.9</v>
      </c>
      <c r="H36" s="23">
        <v>176.7</v>
      </c>
      <c r="I36" s="23">
        <v>185.3</v>
      </c>
      <c r="J36" s="23">
        <v>178.3</v>
      </c>
      <c r="K36" s="23">
        <v>201.6</v>
      </c>
      <c r="L36" s="23">
        <v>358.1</v>
      </c>
      <c r="M36" s="23">
        <v>561.6</v>
      </c>
      <c r="N36" s="23">
        <v>385</v>
      </c>
      <c r="O36" s="23">
        <v>430.2</v>
      </c>
      <c r="P36" s="23">
        <v>375.3</v>
      </c>
      <c r="Q36" s="23">
        <v>406.7</v>
      </c>
      <c r="R36" s="23">
        <v>445.3</v>
      </c>
      <c r="S36" s="23">
        <v>441.1</v>
      </c>
      <c r="T36" s="23">
        <v>418.2</v>
      </c>
      <c r="U36" s="23">
        <v>451.9</v>
      </c>
      <c r="V36" s="23">
        <v>505.8</v>
      </c>
      <c r="W36" s="23">
        <v>521.5</v>
      </c>
      <c r="X36" s="23">
        <v>528.1</v>
      </c>
      <c r="Y36" s="23">
        <v>589.79999999999995</v>
      </c>
      <c r="Z36" s="23">
        <v>590.20000000000005</v>
      </c>
      <c r="AA36" s="23">
        <v>608.79999999999995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12658.799999999997</v>
      </c>
      <c r="E39" s="30">
        <f t="shared" ref="E39:Y39" si="2">SUM(E18:E38)</f>
        <v>14008.6</v>
      </c>
      <c r="F39" s="30">
        <f t="shared" si="2"/>
        <v>15551.400000000001</v>
      </c>
      <c r="G39" s="30">
        <f t="shared" si="2"/>
        <v>16404.8</v>
      </c>
      <c r="H39" s="30">
        <f t="shared" si="2"/>
        <v>18064.2</v>
      </c>
      <c r="I39" s="30">
        <f t="shared" si="2"/>
        <v>20444.799999999996</v>
      </c>
      <c r="J39" s="30">
        <f t="shared" si="2"/>
        <v>23135.9</v>
      </c>
      <c r="K39" s="30">
        <f t="shared" si="2"/>
        <v>27541.500000000004</v>
      </c>
      <c r="L39" s="30">
        <f t="shared" si="2"/>
        <v>31315.69999999999</v>
      </c>
      <c r="M39" s="30">
        <f t="shared" si="2"/>
        <v>32514.7</v>
      </c>
      <c r="N39" s="30">
        <f t="shared" si="2"/>
        <v>33422.300000000003</v>
      </c>
      <c r="O39" s="30">
        <f t="shared" si="2"/>
        <v>36204.400000000001</v>
      </c>
      <c r="P39" s="30">
        <f t="shared" si="2"/>
        <v>36760.300000000003</v>
      </c>
      <c r="Q39" s="30">
        <f t="shared" si="2"/>
        <v>36257.9</v>
      </c>
      <c r="R39" s="30">
        <f t="shared" si="2"/>
        <v>37315.799999999996</v>
      </c>
      <c r="S39" s="30">
        <f t="shared" si="2"/>
        <v>39554.299999999996</v>
      </c>
      <c r="T39" s="30">
        <f t="shared" si="2"/>
        <v>41979.399999999994</v>
      </c>
      <c r="U39" s="30">
        <f t="shared" si="2"/>
        <v>45146.899999999994</v>
      </c>
      <c r="V39" s="30">
        <f t="shared" si="2"/>
        <v>48622.3</v>
      </c>
      <c r="W39" s="30">
        <f t="shared" si="2"/>
        <v>52900.6</v>
      </c>
      <c r="X39" s="30">
        <f t="shared" si="2"/>
        <v>53744.800000000003</v>
      </c>
      <c r="Y39" s="30">
        <f t="shared" si="2"/>
        <v>62465.700000000012</v>
      </c>
      <c r="Z39" s="30">
        <f t="shared" ref="Z39:AA39" si="3">SUM(Z18:Z38)</f>
        <v>76535.3</v>
      </c>
      <c r="AA39" s="30">
        <f t="shared" si="3"/>
        <v>83042.399999999965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336.6</v>
      </c>
      <c r="E41" s="19">
        <v>423</v>
      </c>
      <c r="F41" s="19">
        <v>433.1</v>
      </c>
      <c r="G41" s="19">
        <v>555.79999999999995</v>
      </c>
      <c r="H41" s="19">
        <v>510.2</v>
      </c>
      <c r="I41" s="19">
        <v>605.29999999999995</v>
      </c>
      <c r="J41" s="19">
        <v>703.3</v>
      </c>
      <c r="K41" s="19">
        <v>840.5</v>
      </c>
      <c r="L41" s="19">
        <v>936.7</v>
      </c>
      <c r="M41" s="19">
        <v>1089.7</v>
      </c>
      <c r="N41" s="19">
        <v>927.1</v>
      </c>
      <c r="O41" s="19">
        <v>1065.5999999999999</v>
      </c>
      <c r="P41" s="19">
        <v>1404.7</v>
      </c>
      <c r="Q41" s="19">
        <v>1214.4000000000001</v>
      </c>
      <c r="R41" s="19">
        <v>1116.5999999999999</v>
      </c>
      <c r="S41" s="19">
        <v>1091.3</v>
      </c>
      <c r="T41" s="19">
        <v>1080.5</v>
      </c>
      <c r="U41" s="19">
        <v>862</v>
      </c>
      <c r="V41" s="19">
        <v>1090.3</v>
      </c>
      <c r="W41" s="19">
        <v>1208.0999999999999</v>
      </c>
      <c r="X41" s="19">
        <v>1514.8</v>
      </c>
      <c r="Y41" s="19">
        <v>1195.0999999999999</v>
      </c>
      <c r="Z41" s="19">
        <v>2137</v>
      </c>
      <c r="AA41" s="19">
        <v>2004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255.2</v>
      </c>
      <c r="E42" s="23">
        <v>348.5</v>
      </c>
      <c r="F42" s="23">
        <v>407.8</v>
      </c>
      <c r="G42" s="23">
        <v>465.7</v>
      </c>
      <c r="H42" s="23">
        <v>462.9</v>
      </c>
      <c r="I42" s="23">
        <v>528</v>
      </c>
      <c r="J42" s="23">
        <v>553.29999999999995</v>
      </c>
      <c r="K42" s="23">
        <v>671.9</v>
      </c>
      <c r="L42" s="23">
        <v>583.6</v>
      </c>
      <c r="M42" s="23">
        <v>707</v>
      </c>
      <c r="N42" s="23">
        <v>554.20000000000005</v>
      </c>
      <c r="O42" s="23">
        <v>834.3</v>
      </c>
      <c r="P42" s="23">
        <v>830.1</v>
      </c>
      <c r="Q42" s="23">
        <v>683.9</v>
      </c>
      <c r="R42" s="23">
        <v>700.9</v>
      </c>
      <c r="S42" s="23">
        <v>662.3</v>
      </c>
      <c r="T42" s="23">
        <v>716</v>
      </c>
      <c r="U42" s="23">
        <v>714.7</v>
      </c>
      <c r="V42" s="23">
        <v>731.5</v>
      </c>
      <c r="W42" s="23">
        <v>799.1</v>
      </c>
      <c r="X42" s="23">
        <v>716.8</v>
      </c>
      <c r="Y42" s="23">
        <v>578.70000000000005</v>
      </c>
      <c r="Z42" s="23">
        <v>756.8</v>
      </c>
      <c r="AA42" s="23">
        <v>818.6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67.5</v>
      </c>
      <c r="E43" s="23">
        <v>91.9</v>
      </c>
      <c r="F43" s="23">
        <v>114.3</v>
      </c>
      <c r="G43" s="23">
        <v>144.80000000000001</v>
      </c>
      <c r="H43" s="23">
        <v>155.5</v>
      </c>
      <c r="I43" s="23">
        <v>187.8</v>
      </c>
      <c r="J43" s="23">
        <v>200.9</v>
      </c>
      <c r="K43" s="23">
        <v>245.7</v>
      </c>
      <c r="L43" s="23">
        <v>276.8</v>
      </c>
      <c r="M43" s="23">
        <v>294.10000000000002</v>
      </c>
      <c r="N43" s="23">
        <v>299.39999999999998</v>
      </c>
      <c r="O43" s="23">
        <v>363.1</v>
      </c>
      <c r="P43" s="23">
        <v>355.8</v>
      </c>
      <c r="Q43" s="23">
        <v>335.8</v>
      </c>
      <c r="R43" s="23">
        <v>341.5</v>
      </c>
      <c r="S43" s="23">
        <v>393.5</v>
      </c>
      <c r="T43" s="23">
        <v>411.4</v>
      </c>
      <c r="U43" s="23">
        <v>434.1</v>
      </c>
      <c r="V43" s="23">
        <v>441.9</v>
      </c>
      <c r="W43" s="23">
        <v>460.4</v>
      </c>
      <c r="X43" s="23">
        <v>430.4</v>
      </c>
      <c r="Y43" s="23">
        <v>484.3</v>
      </c>
      <c r="Z43" s="23">
        <v>537.5</v>
      </c>
      <c r="AA43" s="23">
        <v>559.70000000000005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251.8</v>
      </c>
      <c r="E44" s="23">
        <v>187.2</v>
      </c>
      <c r="F44" s="23">
        <v>206.6</v>
      </c>
      <c r="G44" s="23">
        <v>133.4</v>
      </c>
      <c r="H44" s="23">
        <v>203.3</v>
      </c>
      <c r="I44" s="23">
        <v>277.3</v>
      </c>
      <c r="J44" s="23">
        <v>230.8</v>
      </c>
      <c r="K44" s="23">
        <v>128.6</v>
      </c>
      <c r="L44" s="23">
        <v>66.900000000000006</v>
      </c>
      <c r="M44" s="23">
        <v>81.8</v>
      </c>
      <c r="N44" s="23">
        <v>82.5</v>
      </c>
      <c r="O44" s="23">
        <v>160</v>
      </c>
      <c r="P44" s="23">
        <v>133.80000000000001</v>
      </c>
      <c r="Q44" s="23">
        <v>121.7</v>
      </c>
      <c r="R44" s="23">
        <v>-78.8</v>
      </c>
      <c r="S44" s="23">
        <v>134.69999999999999</v>
      </c>
      <c r="T44" s="23">
        <v>305.89999999999998</v>
      </c>
      <c r="U44" s="23">
        <v>308</v>
      </c>
      <c r="V44" s="23">
        <v>113.6</v>
      </c>
      <c r="W44" s="23">
        <v>190</v>
      </c>
      <c r="X44" s="23">
        <v>-63.8</v>
      </c>
      <c r="Y44" s="23">
        <v>291.60000000000002</v>
      </c>
      <c r="Z44" s="23">
        <v>591.70000000000005</v>
      </c>
      <c r="AA44" s="23">
        <v>801.7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123.4</v>
      </c>
      <c r="E45" s="23">
        <v>163.9</v>
      </c>
      <c r="F45" s="23">
        <v>158.5</v>
      </c>
      <c r="G45" s="23">
        <v>161.80000000000001</v>
      </c>
      <c r="H45" s="23">
        <v>136.6</v>
      </c>
      <c r="I45" s="23">
        <v>165.4</v>
      </c>
      <c r="J45" s="23">
        <v>177.8</v>
      </c>
      <c r="K45" s="23">
        <v>209.9</v>
      </c>
      <c r="L45" s="23">
        <v>200.9</v>
      </c>
      <c r="M45" s="23">
        <v>184.6</v>
      </c>
      <c r="N45" s="23">
        <v>170.2</v>
      </c>
      <c r="O45" s="23">
        <v>250.6</v>
      </c>
      <c r="P45" s="23">
        <v>256.2</v>
      </c>
      <c r="Q45" s="23">
        <v>227.3</v>
      </c>
      <c r="R45" s="23">
        <v>330.9</v>
      </c>
      <c r="S45" s="23">
        <v>403.3</v>
      </c>
      <c r="T45" s="23">
        <v>399.3</v>
      </c>
      <c r="U45" s="23">
        <v>435.1</v>
      </c>
      <c r="V45" s="23">
        <v>362.8</v>
      </c>
      <c r="W45" s="23">
        <v>442.2</v>
      </c>
      <c r="X45" s="23">
        <v>482.4</v>
      </c>
      <c r="Y45" s="23">
        <v>215.4</v>
      </c>
      <c r="Z45" s="23">
        <v>711.8</v>
      </c>
      <c r="AA45" s="23">
        <v>608.29999999999995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58.3</v>
      </c>
      <c r="E46" s="23">
        <v>77.400000000000006</v>
      </c>
      <c r="F46" s="23">
        <v>74.400000000000006</v>
      </c>
      <c r="G46" s="23">
        <v>76.2</v>
      </c>
      <c r="H46" s="23">
        <v>67.8</v>
      </c>
      <c r="I46" s="23">
        <v>78.7</v>
      </c>
      <c r="J46" s="23">
        <v>84.6</v>
      </c>
      <c r="K46" s="23">
        <v>105.1</v>
      </c>
      <c r="L46" s="23">
        <v>101.3</v>
      </c>
      <c r="M46" s="23">
        <v>104.5</v>
      </c>
      <c r="N46" s="23">
        <v>164.4</v>
      </c>
      <c r="O46" s="23">
        <v>181.9</v>
      </c>
      <c r="P46" s="23">
        <v>196.9</v>
      </c>
      <c r="Q46" s="23">
        <v>198.2</v>
      </c>
      <c r="R46" s="23">
        <v>226</v>
      </c>
      <c r="S46" s="23">
        <v>218.5</v>
      </c>
      <c r="T46" s="23">
        <v>233.5</v>
      </c>
      <c r="U46" s="23">
        <v>240.8</v>
      </c>
      <c r="V46" s="23">
        <v>232</v>
      </c>
      <c r="W46" s="23">
        <v>192.7</v>
      </c>
      <c r="X46" s="23">
        <v>226.8</v>
      </c>
      <c r="Y46" s="23">
        <v>113.5</v>
      </c>
      <c r="Z46" s="23">
        <v>233.3</v>
      </c>
      <c r="AA46" s="23">
        <v>290.7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118.3</v>
      </c>
      <c r="E47" s="23">
        <v>165.7</v>
      </c>
      <c r="F47" s="23">
        <v>243.3</v>
      </c>
      <c r="G47" s="23">
        <v>242</v>
      </c>
      <c r="H47" s="23">
        <v>268.10000000000002</v>
      </c>
      <c r="I47" s="23">
        <v>335.7</v>
      </c>
      <c r="J47" s="23">
        <v>440.2</v>
      </c>
      <c r="K47" s="23">
        <v>606.6</v>
      </c>
      <c r="L47" s="23">
        <v>562.70000000000005</v>
      </c>
      <c r="M47" s="23">
        <v>528.79999999999995</v>
      </c>
      <c r="N47" s="23">
        <v>439.4</v>
      </c>
      <c r="O47" s="23">
        <v>523.6</v>
      </c>
      <c r="P47" s="23">
        <v>495.8</v>
      </c>
      <c r="Q47" s="23">
        <v>445.5</v>
      </c>
      <c r="R47" s="23">
        <v>565.1</v>
      </c>
      <c r="S47" s="23">
        <v>671.5</v>
      </c>
      <c r="T47" s="23">
        <v>737.2</v>
      </c>
      <c r="U47" s="23">
        <v>728</v>
      </c>
      <c r="V47" s="23">
        <v>859.2</v>
      </c>
      <c r="W47" s="23">
        <v>953.1</v>
      </c>
      <c r="X47" s="23">
        <v>1069.5999999999999</v>
      </c>
      <c r="Y47" s="23">
        <v>958.2</v>
      </c>
      <c r="Z47" s="23">
        <v>1059.8</v>
      </c>
      <c r="AA47" s="23">
        <v>1532.7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218</v>
      </c>
      <c r="E48" s="23">
        <v>225.2</v>
      </c>
      <c r="F48" s="23">
        <v>242.5</v>
      </c>
      <c r="G48" s="23">
        <v>303.5</v>
      </c>
      <c r="H48" s="23">
        <v>382.1</v>
      </c>
      <c r="I48" s="23">
        <v>443.1</v>
      </c>
      <c r="J48" s="23">
        <v>549.29999999999995</v>
      </c>
      <c r="K48" s="23">
        <v>772.2</v>
      </c>
      <c r="L48" s="23">
        <v>757.9</v>
      </c>
      <c r="M48" s="23">
        <v>735.7</v>
      </c>
      <c r="N48" s="23">
        <v>720.8</v>
      </c>
      <c r="O48" s="23">
        <v>851.9</v>
      </c>
      <c r="P48" s="23">
        <v>855.1</v>
      </c>
      <c r="Q48" s="23">
        <v>720.2</v>
      </c>
      <c r="R48" s="23">
        <v>791.1</v>
      </c>
      <c r="S48" s="23">
        <v>898.7</v>
      </c>
      <c r="T48" s="23">
        <v>1207.5</v>
      </c>
      <c r="U48" s="23">
        <v>1455.4</v>
      </c>
      <c r="V48" s="23">
        <v>1300.0999999999999</v>
      </c>
      <c r="W48" s="23">
        <v>1337.7</v>
      </c>
      <c r="X48" s="23">
        <v>1177.5999999999999</v>
      </c>
      <c r="Y48" s="23">
        <v>1237.8</v>
      </c>
      <c r="Z48" s="23">
        <v>2180.3000000000002</v>
      </c>
      <c r="AA48" s="23">
        <v>2150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34</v>
      </c>
      <c r="E49" s="23">
        <v>57.8</v>
      </c>
      <c r="F49" s="23">
        <v>83.9</v>
      </c>
      <c r="G49" s="23">
        <v>83.6</v>
      </c>
      <c r="H49" s="23">
        <v>65.8</v>
      </c>
      <c r="I49" s="23">
        <v>72.2</v>
      </c>
      <c r="J49" s="23">
        <v>85</v>
      </c>
      <c r="K49" s="23">
        <v>110.3</v>
      </c>
      <c r="L49" s="23">
        <v>92.7</v>
      </c>
      <c r="M49" s="23">
        <v>86.6</v>
      </c>
      <c r="N49" s="23">
        <v>42.6</v>
      </c>
      <c r="O49" s="23">
        <v>46.7</v>
      </c>
      <c r="P49" s="23">
        <v>59.4</v>
      </c>
      <c r="Q49" s="23">
        <v>48.6</v>
      </c>
      <c r="R49" s="23">
        <v>83.7</v>
      </c>
      <c r="S49" s="23">
        <v>116.3</v>
      </c>
      <c r="T49" s="23">
        <v>123</v>
      </c>
      <c r="U49" s="23">
        <v>146.4</v>
      </c>
      <c r="V49" s="23">
        <v>218.3</v>
      </c>
      <c r="W49" s="23">
        <v>246.1</v>
      </c>
      <c r="X49" s="23">
        <v>289.3</v>
      </c>
      <c r="Y49" s="23">
        <v>393.2</v>
      </c>
      <c r="Z49" s="23">
        <v>430.9</v>
      </c>
      <c r="AA49" s="23">
        <v>473.6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40.5</v>
      </c>
      <c r="E50" s="23">
        <v>56.9</v>
      </c>
      <c r="F50" s="23">
        <v>64.599999999999994</v>
      </c>
      <c r="G50" s="23">
        <v>72</v>
      </c>
      <c r="H50" s="23">
        <v>66.7</v>
      </c>
      <c r="I50" s="23">
        <v>84.4</v>
      </c>
      <c r="J50" s="23">
        <v>106.8</v>
      </c>
      <c r="K50" s="23">
        <v>126.6</v>
      </c>
      <c r="L50" s="23">
        <v>180.6</v>
      </c>
      <c r="M50" s="23">
        <v>218.5</v>
      </c>
      <c r="N50" s="23">
        <v>230.7</v>
      </c>
      <c r="O50" s="23">
        <v>247.1</v>
      </c>
      <c r="P50" s="23">
        <v>272.3</v>
      </c>
      <c r="Q50" s="23">
        <v>271.8</v>
      </c>
      <c r="R50" s="23">
        <v>266.8</v>
      </c>
      <c r="S50" s="23">
        <v>313.89999999999998</v>
      </c>
      <c r="T50" s="23">
        <v>348.3</v>
      </c>
      <c r="U50" s="23">
        <v>416.1</v>
      </c>
      <c r="V50" s="23">
        <v>451.2</v>
      </c>
      <c r="W50" s="23">
        <v>488.4</v>
      </c>
      <c r="X50" s="23">
        <v>390.1</v>
      </c>
      <c r="Y50" s="23">
        <v>548.20000000000005</v>
      </c>
      <c r="Z50" s="23">
        <v>501.9</v>
      </c>
      <c r="AA50" s="23">
        <v>670.4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103.3</v>
      </c>
      <c r="E51" s="23">
        <v>140.6</v>
      </c>
      <c r="F51" s="23">
        <v>147.80000000000001</v>
      </c>
      <c r="G51" s="23">
        <v>160.5</v>
      </c>
      <c r="H51" s="23">
        <v>161</v>
      </c>
      <c r="I51" s="23">
        <v>196.1</v>
      </c>
      <c r="J51" s="23">
        <v>224.8</v>
      </c>
      <c r="K51" s="23">
        <v>299.8</v>
      </c>
      <c r="L51" s="23">
        <v>325.8</v>
      </c>
      <c r="M51" s="23">
        <v>289.60000000000002</v>
      </c>
      <c r="N51" s="23">
        <v>282.7</v>
      </c>
      <c r="O51" s="23">
        <v>341</v>
      </c>
      <c r="P51" s="23">
        <v>401.4</v>
      </c>
      <c r="Q51" s="23">
        <v>396.1</v>
      </c>
      <c r="R51" s="23">
        <v>401.4</v>
      </c>
      <c r="S51" s="23">
        <v>425.1</v>
      </c>
      <c r="T51" s="23">
        <v>450.4</v>
      </c>
      <c r="U51" s="23">
        <v>514.1</v>
      </c>
      <c r="V51" s="23">
        <v>577.79999999999995</v>
      </c>
      <c r="W51" s="23">
        <v>637</v>
      </c>
      <c r="X51" s="23">
        <v>555.4</v>
      </c>
      <c r="Y51" s="23">
        <v>595.9</v>
      </c>
      <c r="Z51" s="23">
        <v>658.2</v>
      </c>
      <c r="AA51" s="23">
        <v>850.6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35.299999999999997</v>
      </c>
      <c r="E52" s="23">
        <v>31.4</v>
      </c>
      <c r="F52" s="23">
        <v>44.9</v>
      </c>
      <c r="G52" s="23">
        <v>53.9</v>
      </c>
      <c r="H52" s="23">
        <v>57</v>
      </c>
      <c r="I52" s="23">
        <v>69.2</v>
      </c>
      <c r="J52" s="23">
        <v>83.4</v>
      </c>
      <c r="K52" s="23">
        <v>106.5</v>
      </c>
      <c r="L52" s="23">
        <v>119.2</v>
      </c>
      <c r="M52" s="23">
        <v>115.5</v>
      </c>
      <c r="N52" s="23">
        <v>178.5</v>
      </c>
      <c r="O52" s="23">
        <v>172.8</v>
      </c>
      <c r="P52" s="23">
        <v>184.8</v>
      </c>
      <c r="Q52" s="23">
        <v>190.7</v>
      </c>
      <c r="R52" s="23">
        <v>247.6</v>
      </c>
      <c r="S52" s="23">
        <v>287.7</v>
      </c>
      <c r="T52" s="23">
        <v>305.89999999999998</v>
      </c>
      <c r="U52" s="23">
        <v>347.3</v>
      </c>
      <c r="V52" s="23">
        <v>341.1</v>
      </c>
      <c r="W52" s="23">
        <v>369.3</v>
      </c>
      <c r="X52" s="23">
        <v>455.7</v>
      </c>
      <c r="Y52" s="23">
        <v>544.79999999999995</v>
      </c>
      <c r="Z52" s="23">
        <v>525.5</v>
      </c>
      <c r="AA52" s="23">
        <v>819.9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85.800000000000182</v>
      </c>
      <c r="E53" s="23">
        <v>102.79999999999995</v>
      </c>
      <c r="F53" s="23">
        <v>127.89999999999964</v>
      </c>
      <c r="G53" s="23">
        <v>156.10000000000036</v>
      </c>
      <c r="H53" s="23">
        <v>156.80000000000064</v>
      </c>
      <c r="I53" s="23">
        <v>207.30000000000064</v>
      </c>
      <c r="J53" s="23">
        <v>243.89999999999964</v>
      </c>
      <c r="K53" s="23">
        <v>328.60000000000036</v>
      </c>
      <c r="L53" s="23">
        <v>390.09999999999945</v>
      </c>
      <c r="M53" s="23">
        <v>382.90000000000055</v>
      </c>
      <c r="N53" s="23">
        <v>363.80000000000064</v>
      </c>
      <c r="O53" s="23">
        <v>431</v>
      </c>
      <c r="P53" s="23">
        <v>491.19999999999982</v>
      </c>
      <c r="Q53" s="23">
        <v>514.90000000000055</v>
      </c>
      <c r="R53" s="23">
        <v>612.30000000000109</v>
      </c>
      <c r="S53" s="23">
        <v>625.19999999999982</v>
      </c>
      <c r="T53" s="23">
        <v>702.40000000000055</v>
      </c>
      <c r="U53" s="23">
        <v>758.49999999999909</v>
      </c>
      <c r="V53" s="23">
        <v>757.69999999999982</v>
      </c>
      <c r="W53" s="23">
        <v>833.60000000000036</v>
      </c>
      <c r="X53" s="23">
        <v>724.59999999999945</v>
      </c>
      <c r="Y53" s="23">
        <v>847</v>
      </c>
      <c r="Z53" s="23">
        <v>1020.5</v>
      </c>
      <c r="AA53" s="23">
        <v>1134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1728</v>
      </c>
      <c r="E54" s="30">
        <f t="shared" ref="E54:Y54" si="4">SUM(E41:E53)</f>
        <v>2072.3000000000002</v>
      </c>
      <c r="F54" s="30">
        <f t="shared" si="4"/>
        <v>2349.6</v>
      </c>
      <c r="G54" s="30">
        <f t="shared" si="4"/>
        <v>2609.3000000000002</v>
      </c>
      <c r="H54" s="30">
        <f t="shared" si="4"/>
        <v>2693.8</v>
      </c>
      <c r="I54" s="30">
        <f t="shared" si="4"/>
        <v>3250.5</v>
      </c>
      <c r="J54" s="30">
        <f t="shared" si="4"/>
        <v>3684.1</v>
      </c>
      <c r="K54" s="30">
        <f t="shared" si="4"/>
        <v>4552.3</v>
      </c>
      <c r="L54" s="30">
        <f t="shared" si="4"/>
        <v>4595.2</v>
      </c>
      <c r="M54" s="30">
        <f t="shared" si="4"/>
        <v>4819.3</v>
      </c>
      <c r="N54" s="30">
        <f t="shared" si="4"/>
        <v>4456.3</v>
      </c>
      <c r="O54" s="30">
        <f t="shared" si="4"/>
        <v>5469.6</v>
      </c>
      <c r="P54" s="30">
        <f t="shared" si="4"/>
        <v>5937.5</v>
      </c>
      <c r="Q54" s="30">
        <f t="shared" si="4"/>
        <v>5369.1</v>
      </c>
      <c r="R54" s="30">
        <f t="shared" si="4"/>
        <v>5605.1</v>
      </c>
      <c r="S54" s="30">
        <f t="shared" si="4"/>
        <v>6242</v>
      </c>
      <c r="T54" s="30">
        <f t="shared" si="4"/>
        <v>7021.3</v>
      </c>
      <c r="U54" s="30">
        <f t="shared" si="4"/>
        <v>7360.5</v>
      </c>
      <c r="V54" s="30">
        <f t="shared" si="4"/>
        <v>7477.5</v>
      </c>
      <c r="W54" s="30">
        <f t="shared" si="4"/>
        <v>8157.7</v>
      </c>
      <c r="X54" s="30">
        <f t="shared" si="4"/>
        <v>7969.7</v>
      </c>
      <c r="Y54" s="30">
        <f t="shared" si="4"/>
        <v>8003.7</v>
      </c>
      <c r="Z54" s="30">
        <f t="shared" ref="Z54:AA54" si="5">SUM(Z41:Z53)</f>
        <v>11345.2</v>
      </c>
      <c r="AA54" s="30">
        <f t="shared" si="5"/>
        <v>12714.2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336.6</v>
      </c>
      <c r="E56" s="19">
        <v>423</v>
      </c>
      <c r="F56" s="19">
        <v>433.1</v>
      </c>
      <c r="G56" s="19">
        <v>555.79999999999995</v>
      </c>
      <c r="H56" s="19">
        <v>510.2</v>
      </c>
      <c r="I56" s="19">
        <v>605.29999999999995</v>
      </c>
      <c r="J56" s="19">
        <v>703.3</v>
      </c>
      <c r="K56" s="19">
        <v>840.5</v>
      </c>
      <c r="L56" s="19">
        <v>936.7</v>
      </c>
      <c r="M56" s="19">
        <v>1089.7</v>
      </c>
      <c r="N56" s="19">
        <v>927.1</v>
      </c>
      <c r="O56" s="19">
        <v>1065.5999999999999</v>
      </c>
      <c r="P56" s="19">
        <v>1404.7</v>
      </c>
      <c r="Q56" s="19">
        <v>1214.4000000000001</v>
      </c>
      <c r="R56" s="19">
        <v>1116.5999999999999</v>
      </c>
      <c r="S56" s="19">
        <v>1091.3</v>
      </c>
      <c r="T56" s="19">
        <v>1080.5</v>
      </c>
      <c r="U56" s="19">
        <v>862</v>
      </c>
      <c r="V56" s="19">
        <v>1090.3</v>
      </c>
      <c r="W56" s="19">
        <v>1208.0999999999999</v>
      </c>
      <c r="X56" s="19">
        <v>1514.8</v>
      </c>
      <c r="Y56" s="19">
        <v>1195.0999999999999</v>
      </c>
      <c r="Z56" s="19">
        <v>2137</v>
      </c>
      <c r="AA56" s="19">
        <v>2004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255.2</v>
      </c>
      <c r="E57" s="23">
        <v>348.5</v>
      </c>
      <c r="F57" s="23">
        <v>407.8</v>
      </c>
      <c r="G57" s="23">
        <v>465.7</v>
      </c>
      <c r="H57" s="23">
        <v>462.9</v>
      </c>
      <c r="I57" s="23">
        <v>528</v>
      </c>
      <c r="J57" s="23">
        <v>553.29999999999995</v>
      </c>
      <c r="K57" s="23">
        <v>671.9</v>
      </c>
      <c r="L57" s="23">
        <v>583.6</v>
      </c>
      <c r="M57" s="23">
        <v>707</v>
      </c>
      <c r="N57" s="23">
        <v>554.20000000000005</v>
      </c>
      <c r="O57" s="23">
        <v>834.3</v>
      </c>
      <c r="P57" s="23">
        <v>830.1</v>
      </c>
      <c r="Q57" s="23">
        <v>683.9</v>
      </c>
      <c r="R57" s="23">
        <v>700.9</v>
      </c>
      <c r="S57" s="23">
        <v>662.3</v>
      </c>
      <c r="T57" s="23">
        <v>716</v>
      </c>
      <c r="U57" s="23">
        <v>714.7</v>
      </c>
      <c r="V57" s="23">
        <v>731.5</v>
      </c>
      <c r="W57" s="23">
        <v>799.1</v>
      </c>
      <c r="X57" s="23">
        <v>716.8</v>
      </c>
      <c r="Y57" s="23">
        <v>578.70000000000005</v>
      </c>
      <c r="Z57" s="23">
        <v>756.8</v>
      </c>
      <c r="AA57" s="23">
        <v>818.6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25.3</v>
      </c>
      <c r="E58" s="23">
        <v>32.6</v>
      </c>
      <c r="F58" s="23">
        <v>32.200000000000003</v>
      </c>
      <c r="G58" s="23">
        <v>51.4</v>
      </c>
      <c r="H58" s="23">
        <v>67</v>
      </c>
      <c r="I58" s="23">
        <v>77.2</v>
      </c>
      <c r="J58" s="23">
        <v>83.8</v>
      </c>
      <c r="K58" s="23">
        <v>100.7</v>
      </c>
      <c r="L58" s="23">
        <v>89.9</v>
      </c>
      <c r="M58" s="23">
        <v>90.5</v>
      </c>
      <c r="N58" s="23">
        <v>94.6</v>
      </c>
      <c r="O58" s="23">
        <v>110.6</v>
      </c>
      <c r="P58" s="23">
        <v>108.1</v>
      </c>
      <c r="Q58" s="23">
        <v>89.2</v>
      </c>
      <c r="R58" s="23">
        <v>106.4</v>
      </c>
      <c r="S58" s="23">
        <v>134.30000000000001</v>
      </c>
      <c r="T58" s="23">
        <v>134.6</v>
      </c>
      <c r="U58" s="23">
        <v>149.4</v>
      </c>
      <c r="V58" s="23">
        <v>127.1</v>
      </c>
      <c r="W58" s="23">
        <v>129.5</v>
      </c>
      <c r="X58" s="23">
        <v>126.5</v>
      </c>
      <c r="Y58" s="23">
        <v>144.4</v>
      </c>
      <c r="Z58" s="23">
        <v>190.8</v>
      </c>
      <c r="AA58" s="23">
        <v>165.2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19.399999999999999</v>
      </c>
      <c r="E59" s="23">
        <v>31</v>
      </c>
      <c r="F59" s="23">
        <v>51.7</v>
      </c>
      <c r="G59" s="23">
        <v>59.4</v>
      </c>
      <c r="H59" s="23">
        <v>54.1</v>
      </c>
      <c r="I59" s="23">
        <v>65.3</v>
      </c>
      <c r="J59" s="23">
        <v>69.400000000000006</v>
      </c>
      <c r="K59" s="23">
        <v>81.599999999999994</v>
      </c>
      <c r="L59" s="23">
        <v>88.9</v>
      </c>
      <c r="M59" s="23">
        <v>115.1</v>
      </c>
      <c r="N59" s="23">
        <v>115.7</v>
      </c>
      <c r="O59" s="23">
        <v>142.80000000000001</v>
      </c>
      <c r="P59" s="23">
        <v>142.1</v>
      </c>
      <c r="Q59" s="23">
        <v>140.9</v>
      </c>
      <c r="R59" s="23">
        <v>127.5</v>
      </c>
      <c r="S59" s="23">
        <v>149.6</v>
      </c>
      <c r="T59" s="23">
        <v>155.30000000000001</v>
      </c>
      <c r="U59" s="23">
        <v>162.30000000000001</v>
      </c>
      <c r="V59" s="23">
        <v>175.4</v>
      </c>
      <c r="W59" s="23">
        <v>169.1</v>
      </c>
      <c r="X59" s="23">
        <v>162</v>
      </c>
      <c r="Y59" s="23">
        <v>174</v>
      </c>
      <c r="Z59" s="23">
        <v>167.6</v>
      </c>
      <c r="AA59" s="23">
        <v>182.2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22.799999999999997</v>
      </c>
      <c r="E60" s="23">
        <v>28.300000000000004</v>
      </c>
      <c r="F60" s="23">
        <v>30.399999999999991</v>
      </c>
      <c r="G60" s="23">
        <v>34.000000000000014</v>
      </c>
      <c r="H60" s="23">
        <v>34.400000000000006</v>
      </c>
      <c r="I60" s="23">
        <v>45.300000000000011</v>
      </c>
      <c r="J60" s="23">
        <v>47.700000000000017</v>
      </c>
      <c r="K60" s="23">
        <v>63.399999999999977</v>
      </c>
      <c r="L60" s="23">
        <v>98</v>
      </c>
      <c r="M60" s="23">
        <v>88.500000000000028</v>
      </c>
      <c r="N60" s="23">
        <v>89.099999999999966</v>
      </c>
      <c r="O60" s="23">
        <v>109.70000000000002</v>
      </c>
      <c r="P60" s="23">
        <v>105.60000000000002</v>
      </c>
      <c r="Q60" s="23">
        <v>105.69999999999999</v>
      </c>
      <c r="R60" s="23">
        <v>107.6</v>
      </c>
      <c r="S60" s="23">
        <v>109.60000000000002</v>
      </c>
      <c r="T60" s="23">
        <v>121.5</v>
      </c>
      <c r="U60" s="23">
        <v>122.39999999999998</v>
      </c>
      <c r="V60" s="23">
        <v>139.39999999999998</v>
      </c>
      <c r="W60" s="23">
        <v>161.79999999999995</v>
      </c>
      <c r="X60" s="23">
        <v>141.89999999999998</v>
      </c>
      <c r="Y60" s="23">
        <v>165.90000000000003</v>
      </c>
      <c r="Z60" s="23">
        <v>179.10000000000002</v>
      </c>
      <c r="AA60" s="23">
        <v>212.30000000000007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251.8</v>
      </c>
      <c r="E61" s="23">
        <v>187.2</v>
      </c>
      <c r="F61" s="23">
        <v>206.6</v>
      </c>
      <c r="G61" s="23">
        <v>133.4</v>
      </c>
      <c r="H61" s="23">
        <v>203.3</v>
      </c>
      <c r="I61" s="23">
        <v>277.3</v>
      </c>
      <c r="J61" s="23">
        <v>230.8</v>
      </c>
      <c r="K61" s="23">
        <v>128.6</v>
      </c>
      <c r="L61" s="23">
        <v>66.900000000000006</v>
      </c>
      <c r="M61" s="23">
        <v>81.8</v>
      </c>
      <c r="N61" s="23">
        <v>82.5</v>
      </c>
      <c r="O61" s="23">
        <v>160</v>
      </c>
      <c r="P61" s="23">
        <v>133.80000000000001</v>
      </c>
      <c r="Q61" s="23">
        <v>121.7</v>
      </c>
      <c r="R61" s="23">
        <v>-78.8</v>
      </c>
      <c r="S61" s="23">
        <v>134.69999999999999</v>
      </c>
      <c r="T61" s="23">
        <v>305.89999999999998</v>
      </c>
      <c r="U61" s="23">
        <v>308</v>
      </c>
      <c r="V61" s="23">
        <v>113.6</v>
      </c>
      <c r="W61" s="23">
        <v>190</v>
      </c>
      <c r="X61" s="23">
        <v>-63.8</v>
      </c>
      <c r="Y61" s="23">
        <v>291.60000000000002</v>
      </c>
      <c r="Z61" s="23">
        <v>591.70000000000005</v>
      </c>
      <c r="AA61" s="23">
        <v>801.7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123.4</v>
      </c>
      <c r="E62" s="23">
        <v>163.9</v>
      </c>
      <c r="F62" s="23">
        <v>158.5</v>
      </c>
      <c r="G62" s="23">
        <v>161.80000000000001</v>
      </c>
      <c r="H62" s="23">
        <v>136.6</v>
      </c>
      <c r="I62" s="23">
        <v>165.4</v>
      </c>
      <c r="J62" s="23">
        <v>177.8</v>
      </c>
      <c r="K62" s="23">
        <v>209.9</v>
      </c>
      <c r="L62" s="23">
        <v>200.9</v>
      </c>
      <c r="M62" s="23">
        <v>184.6</v>
      </c>
      <c r="N62" s="23">
        <v>170.2</v>
      </c>
      <c r="O62" s="23">
        <v>250.6</v>
      </c>
      <c r="P62" s="23">
        <v>256.2</v>
      </c>
      <c r="Q62" s="23">
        <v>227.3</v>
      </c>
      <c r="R62" s="23">
        <v>330.9</v>
      </c>
      <c r="S62" s="23">
        <v>403.3</v>
      </c>
      <c r="T62" s="23">
        <v>399.3</v>
      </c>
      <c r="U62" s="23">
        <v>435.1</v>
      </c>
      <c r="V62" s="23">
        <v>362.8</v>
      </c>
      <c r="W62" s="23">
        <v>442.2</v>
      </c>
      <c r="X62" s="23">
        <v>482.4</v>
      </c>
      <c r="Y62" s="23">
        <v>215.4</v>
      </c>
      <c r="Z62" s="23">
        <v>711.8</v>
      </c>
      <c r="AA62" s="23">
        <v>608.29999999999995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58.3</v>
      </c>
      <c r="E63" s="23">
        <v>77.400000000000006</v>
      </c>
      <c r="F63" s="23">
        <v>74.400000000000006</v>
      </c>
      <c r="G63" s="23">
        <v>76.2</v>
      </c>
      <c r="H63" s="23">
        <v>67.8</v>
      </c>
      <c r="I63" s="23">
        <v>78.7</v>
      </c>
      <c r="J63" s="23">
        <v>84.6</v>
      </c>
      <c r="K63" s="23">
        <v>105.1</v>
      </c>
      <c r="L63" s="23">
        <v>101.3</v>
      </c>
      <c r="M63" s="23">
        <v>104.5</v>
      </c>
      <c r="N63" s="23">
        <v>164.4</v>
      </c>
      <c r="O63" s="23">
        <v>181.9</v>
      </c>
      <c r="P63" s="23">
        <v>196.9</v>
      </c>
      <c r="Q63" s="23">
        <v>198.2</v>
      </c>
      <c r="R63" s="23">
        <v>226</v>
      </c>
      <c r="S63" s="23">
        <v>218.5</v>
      </c>
      <c r="T63" s="23">
        <v>233.5</v>
      </c>
      <c r="U63" s="23">
        <v>240.8</v>
      </c>
      <c r="V63" s="23">
        <v>232</v>
      </c>
      <c r="W63" s="23">
        <v>192.7</v>
      </c>
      <c r="X63" s="23">
        <v>226.8</v>
      </c>
      <c r="Y63" s="23">
        <v>113.5</v>
      </c>
      <c r="Z63" s="23">
        <v>233.3</v>
      </c>
      <c r="AA63" s="23">
        <v>290.7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40.200000000000003</v>
      </c>
      <c r="E64" s="23">
        <v>43</v>
      </c>
      <c r="F64" s="23">
        <v>62.6</v>
      </c>
      <c r="G64" s="23">
        <v>81.8</v>
      </c>
      <c r="H64" s="23">
        <v>72.099999999999994</v>
      </c>
      <c r="I64" s="23">
        <v>90.3</v>
      </c>
      <c r="J64" s="23">
        <v>106.6</v>
      </c>
      <c r="K64" s="23">
        <v>129.80000000000001</v>
      </c>
      <c r="L64" s="23">
        <v>146.6</v>
      </c>
      <c r="M64" s="23">
        <v>160</v>
      </c>
      <c r="N64" s="23">
        <v>153.6</v>
      </c>
      <c r="O64" s="23">
        <v>187.8</v>
      </c>
      <c r="P64" s="23">
        <v>180.9</v>
      </c>
      <c r="Q64" s="23">
        <v>178.5</v>
      </c>
      <c r="R64" s="23">
        <v>254.4</v>
      </c>
      <c r="S64" s="23">
        <v>313</v>
      </c>
      <c r="T64" s="23">
        <v>360.6</v>
      </c>
      <c r="U64" s="23">
        <v>349.1</v>
      </c>
      <c r="V64" s="23">
        <v>423.7</v>
      </c>
      <c r="W64" s="23">
        <v>456.6</v>
      </c>
      <c r="X64" s="23">
        <v>544.20000000000005</v>
      </c>
      <c r="Y64" s="23">
        <v>493.7</v>
      </c>
      <c r="Z64" s="23">
        <v>572.6</v>
      </c>
      <c r="AA64" s="23">
        <v>754.5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78.099999999999994</v>
      </c>
      <c r="E65" s="23">
        <v>122.69999999999999</v>
      </c>
      <c r="F65" s="23">
        <v>180.70000000000002</v>
      </c>
      <c r="G65" s="23">
        <v>160.19999999999999</v>
      </c>
      <c r="H65" s="23">
        <v>196.00000000000003</v>
      </c>
      <c r="I65" s="23">
        <v>245.39999999999998</v>
      </c>
      <c r="J65" s="23">
        <v>333.6</v>
      </c>
      <c r="K65" s="23">
        <v>476.8</v>
      </c>
      <c r="L65" s="23">
        <v>416.1</v>
      </c>
      <c r="M65" s="23">
        <v>368.79999999999995</v>
      </c>
      <c r="N65" s="23">
        <v>285.79999999999995</v>
      </c>
      <c r="O65" s="23">
        <v>335.8</v>
      </c>
      <c r="P65" s="23">
        <v>314.89999999999998</v>
      </c>
      <c r="Q65" s="23">
        <v>267</v>
      </c>
      <c r="R65" s="23">
        <v>310.70000000000005</v>
      </c>
      <c r="S65" s="23">
        <v>358.5</v>
      </c>
      <c r="T65" s="23">
        <v>376.6</v>
      </c>
      <c r="U65" s="23">
        <v>378.9</v>
      </c>
      <c r="V65" s="23">
        <v>435.50000000000006</v>
      </c>
      <c r="W65" s="23">
        <v>496.5</v>
      </c>
      <c r="X65" s="23">
        <v>525.39999999999986</v>
      </c>
      <c r="Y65" s="23">
        <v>464.50000000000006</v>
      </c>
      <c r="Z65" s="23">
        <v>487.19999999999993</v>
      </c>
      <c r="AA65" s="23">
        <v>778.2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137.9</v>
      </c>
      <c r="E66" s="23">
        <v>114.6</v>
      </c>
      <c r="F66" s="23">
        <v>101.1</v>
      </c>
      <c r="G66" s="23">
        <v>139.6</v>
      </c>
      <c r="H66" s="23">
        <v>211</v>
      </c>
      <c r="I66" s="23">
        <v>235.2</v>
      </c>
      <c r="J66" s="23">
        <v>282.8</v>
      </c>
      <c r="K66" s="23">
        <v>413.9</v>
      </c>
      <c r="L66" s="23">
        <v>346.9</v>
      </c>
      <c r="M66" s="23">
        <v>378.8</v>
      </c>
      <c r="N66" s="23">
        <v>358</v>
      </c>
      <c r="O66" s="23">
        <v>447.5</v>
      </c>
      <c r="P66" s="23">
        <v>458.4</v>
      </c>
      <c r="Q66" s="23">
        <v>325.7</v>
      </c>
      <c r="R66" s="23">
        <v>275.3</v>
      </c>
      <c r="S66" s="23">
        <v>327.39999999999998</v>
      </c>
      <c r="T66" s="23">
        <v>434.8</v>
      </c>
      <c r="U66" s="23">
        <v>540.9</v>
      </c>
      <c r="V66" s="23">
        <v>503.5</v>
      </c>
      <c r="W66" s="23">
        <v>516.20000000000005</v>
      </c>
      <c r="X66" s="23">
        <v>454</v>
      </c>
      <c r="Y66" s="23">
        <v>670</v>
      </c>
      <c r="Z66" s="23">
        <v>1141.5999999999999</v>
      </c>
      <c r="AA66" s="23">
        <v>540.9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80.099999999999994</v>
      </c>
      <c r="E67" s="23">
        <v>110.6</v>
      </c>
      <c r="F67" s="23">
        <v>141.4</v>
      </c>
      <c r="G67" s="23">
        <v>163.9</v>
      </c>
      <c r="H67" s="23">
        <v>171.10000000000002</v>
      </c>
      <c r="I67" s="23">
        <v>207.90000000000003</v>
      </c>
      <c r="J67" s="23">
        <v>266.49999999999994</v>
      </c>
      <c r="K67" s="23">
        <v>358.30000000000007</v>
      </c>
      <c r="L67" s="23">
        <v>411</v>
      </c>
      <c r="M67" s="23">
        <v>356.90000000000003</v>
      </c>
      <c r="N67" s="23">
        <v>362.79999999999995</v>
      </c>
      <c r="O67" s="23">
        <v>404.4</v>
      </c>
      <c r="P67" s="23">
        <v>396.70000000000005</v>
      </c>
      <c r="Q67" s="23">
        <v>394.50000000000006</v>
      </c>
      <c r="R67" s="23">
        <v>515.79999999999995</v>
      </c>
      <c r="S67" s="23">
        <v>571.30000000000007</v>
      </c>
      <c r="T67" s="23">
        <v>772.7</v>
      </c>
      <c r="U67" s="23">
        <v>914.50000000000011</v>
      </c>
      <c r="V67" s="23">
        <v>796.59999999999991</v>
      </c>
      <c r="W67" s="23">
        <v>821.5</v>
      </c>
      <c r="X67" s="23">
        <v>723.59999999999991</v>
      </c>
      <c r="Y67" s="23">
        <v>567.79999999999995</v>
      </c>
      <c r="Z67" s="23">
        <v>1038.7000000000003</v>
      </c>
      <c r="AA67" s="23">
        <v>1609.1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34</v>
      </c>
      <c r="E68" s="23">
        <v>57.8</v>
      </c>
      <c r="F68" s="23">
        <v>83.9</v>
      </c>
      <c r="G68" s="23">
        <v>83.6</v>
      </c>
      <c r="H68" s="23">
        <v>65.8</v>
      </c>
      <c r="I68" s="23">
        <v>72.2</v>
      </c>
      <c r="J68" s="23">
        <v>85</v>
      </c>
      <c r="K68" s="23">
        <v>110.3</v>
      </c>
      <c r="L68" s="23">
        <v>92.7</v>
      </c>
      <c r="M68" s="23">
        <v>86.6</v>
      </c>
      <c r="N68" s="23">
        <v>42.6</v>
      </c>
      <c r="O68" s="23">
        <v>46.7</v>
      </c>
      <c r="P68" s="23">
        <v>59.4</v>
      </c>
      <c r="Q68" s="23">
        <v>48.6</v>
      </c>
      <c r="R68" s="23">
        <v>83.7</v>
      </c>
      <c r="S68" s="23">
        <v>116.3</v>
      </c>
      <c r="T68" s="23">
        <v>123</v>
      </c>
      <c r="U68" s="23">
        <v>146.4</v>
      </c>
      <c r="V68" s="23">
        <v>218.3</v>
      </c>
      <c r="W68" s="23">
        <v>246.1</v>
      </c>
      <c r="X68" s="23">
        <v>289.3</v>
      </c>
      <c r="Y68" s="23">
        <v>393.2</v>
      </c>
      <c r="Z68" s="23">
        <v>430.9</v>
      </c>
      <c r="AA68" s="23">
        <v>473.6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40.5</v>
      </c>
      <c r="E69" s="23">
        <v>56.9</v>
      </c>
      <c r="F69" s="23">
        <v>64.599999999999994</v>
      </c>
      <c r="G69" s="23">
        <v>72</v>
      </c>
      <c r="H69" s="23">
        <v>66.7</v>
      </c>
      <c r="I69" s="23">
        <v>84.4</v>
      </c>
      <c r="J69" s="23">
        <v>106.8</v>
      </c>
      <c r="K69" s="23">
        <v>126.6</v>
      </c>
      <c r="L69" s="23">
        <v>180.6</v>
      </c>
      <c r="M69" s="23">
        <v>218.5</v>
      </c>
      <c r="N69" s="23">
        <v>230.7</v>
      </c>
      <c r="O69" s="23">
        <v>247.1</v>
      </c>
      <c r="P69" s="23">
        <v>272.3</v>
      </c>
      <c r="Q69" s="23">
        <v>271.8</v>
      </c>
      <c r="R69" s="23">
        <v>266.8</v>
      </c>
      <c r="S69" s="23">
        <v>313.89999999999998</v>
      </c>
      <c r="T69" s="23">
        <v>348.3</v>
      </c>
      <c r="U69" s="23">
        <v>416.1</v>
      </c>
      <c r="V69" s="23">
        <v>451.2</v>
      </c>
      <c r="W69" s="23">
        <v>488.4</v>
      </c>
      <c r="X69" s="23">
        <v>390.1</v>
      </c>
      <c r="Y69" s="23">
        <v>548.20000000000005</v>
      </c>
      <c r="Z69" s="23">
        <v>501.9</v>
      </c>
      <c r="AA69" s="23">
        <v>670.4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103.3</v>
      </c>
      <c r="E70" s="23">
        <v>140.6</v>
      </c>
      <c r="F70" s="23">
        <v>147.80000000000001</v>
      </c>
      <c r="G70" s="23">
        <v>160.5</v>
      </c>
      <c r="H70" s="23">
        <v>161</v>
      </c>
      <c r="I70" s="23">
        <v>196.1</v>
      </c>
      <c r="J70" s="23">
        <v>224.8</v>
      </c>
      <c r="K70" s="23">
        <v>299.8</v>
      </c>
      <c r="L70" s="23">
        <v>325.8</v>
      </c>
      <c r="M70" s="23">
        <v>289.60000000000002</v>
      </c>
      <c r="N70" s="23">
        <v>282.7</v>
      </c>
      <c r="O70" s="23">
        <v>341</v>
      </c>
      <c r="P70" s="23">
        <v>401.4</v>
      </c>
      <c r="Q70" s="23">
        <v>396.1</v>
      </c>
      <c r="R70" s="23">
        <v>401.4</v>
      </c>
      <c r="S70" s="23">
        <v>425.1</v>
      </c>
      <c r="T70" s="23">
        <v>450.4</v>
      </c>
      <c r="U70" s="23">
        <v>514.1</v>
      </c>
      <c r="V70" s="23">
        <v>577.79999999999995</v>
      </c>
      <c r="W70" s="23">
        <v>637</v>
      </c>
      <c r="X70" s="23">
        <v>555.4</v>
      </c>
      <c r="Y70" s="23">
        <v>595.9</v>
      </c>
      <c r="Z70" s="23">
        <v>658.2</v>
      </c>
      <c r="AA70" s="23">
        <v>850.6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17.100000000000001</v>
      </c>
      <c r="E71" s="23">
        <v>19.899999999999999</v>
      </c>
      <c r="F71" s="23">
        <v>26.6</v>
      </c>
      <c r="G71" s="23">
        <v>26.8</v>
      </c>
      <c r="H71" s="23">
        <v>26.8</v>
      </c>
      <c r="I71" s="23">
        <v>34.700000000000003</v>
      </c>
      <c r="J71" s="23">
        <v>43.5</v>
      </c>
      <c r="K71" s="23">
        <v>53.2</v>
      </c>
      <c r="L71" s="23">
        <v>52.3</v>
      </c>
      <c r="M71" s="23">
        <v>61.9</v>
      </c>
      <c r="N71" s="23">
        <v>110.1</v>
      </c>
      <c r="O71" s="23">
        <v>124.7</v>
      </c>
      <c r="P71" s="23">
        <v>131.5</v>
      </c>
      <c r="Q71" s="23">
        <v>137.6</v>
      </c>
      <c r="R71" s="23">
        <v>186.5</v>
      </c>
      <c r="S71" s="23">
        <v>215.9</v>
      </c>
      <c r="T71" s="23">
        <v>242.5</v>
      </c>
      <c r="U71" s="23">
        <v>277.5</v>
      </c>
      <c r="V71" s="23">
        <v>248.6</v>
      </c>
      <c r="W71" s="23">
        <v>270.3</v>
      </c>
      <c r="X71" s="23">
        <v>344.3</v>
      </c>
      <c r="Y71" s="23">
        <v>434.2</v>
      </c>
      <c r="Z71" s="23">
        <v>423.9</v>
      </c>
      <c r="AA71" s="23">
        <v>589.5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18.199999999999996</v>
      </c>
      <c r="E72" s="23">
        <v>11.5</v>
      </c>
      <c r="F72" s="23">
        <v>18.299999999999997</v>
      </c>
      <c r="G72" s="23">
        <v>27.099999999999998</v>
      </c>
      <c r="H72" s="23">
        <v>30.2</v>
      </c>
      <c r="I72" s="23">
        <v>34.5</v>
      </c>
      <c r="J72" s="23">
        <v>39.900000000000006</v>
      </c>
      <c r="K72" s="23">
        <v>53.3</v>
      </c>
      <c r="L72" s="23">
        <v>66.900000000000006</v>
      </c>
      <c r="M72" s="23">
        <v>53.6</v>
      </c>
      <c r="N72" s="23">
        <v>68.400000000000006</v>
      </c>
      <c r="O72" s="23">
        <v>48.100000000000009</v>
      </c>
      <c r="P72" s="23">
        <v>53.300000000000011</v>
      </c>
      <c r="Q72" s="23">
        <v>53.099999999999994</v>
      </c>
      <c r="R72" s="23">
        <v>61.099999999999994</v>
      </c>
      <c r="S72" s="23">
        <v>71.799999999999983</v>
      </c>
      <c r="T72" s="23">
        <v>63.399999999999977</v>
      </c>
      <c r="U72" s="23">
        <v>69.800000000000011</v>
      </c>
      <c r="V72" s="23">
        <v>92.500000000000028</v>
      </c>
      <c r="W72" s="23">
        <v>99</v>
      </c>
      <c r="X72" s="23">
        <v>111.39999999999998</v>
      </c>
      <c r="Y72" s="23">
        <v>110.59999999999997</v>
      </c>
      <c r="Z72" s="23">
        <v>101.60000000000002</v>
      </c>
      <c r="AA72" s="23">
        <v>230.39999999999998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42</v>
      </c>
      <c r="E73" s="23">
        <v>54.6</v>
      </c>
      <c r="F73" s="23">
        <v>63.3</v>
      </c>
      <c r="G73" s="23">
        <v>84.3</v>
      </c>
      <c r="H73" s="23">
        <v>80.599999999999994</v>
      </c>
      <c r="I73" s="23">
        <v>113.6</v>
      </c>
      <c r="J73" s="23">
        <v>131.6</v>
      </c>
      <c r="K73" s="23">
        <v>175.6</v>
      </c>
      <c r="L73" s="23">
        <v>179.5</v>
      </c>
      <c r="M73" s="23">
        <v>175.1</v>
      </c>
      <c r="N73" s="23">
        <v>200.2</v>
      </c>
      <c r="O73" s="23">
        <v>252.6</v>
      </c>
      <c r="P73" s="23">
        <v>322.89999999999998</v>
      </c>
      <c r="Q73" s="23">
        <v>348.2</v>
      </c>
      <c r="R73" s="23">
        <v>413.7</v>
      </c>
      <c r="S73" s="23">
        <v>429.1</v>
      </c>
      <c r="T73" s="23">
        <v>482.2</v>
      </c>
      <c r="U73" s="23">
        <v>512.29999999999995</v>
      </c>
      <c r="V73" s="23">
        <v>465.5</v>
      </c>
      <c r="W73" s="23">
        <v>513.6</v>
      </c>
      <c r="X73" s="23">
        <v>403.2</v>
      </c>
      <c r="Y73" s="23">
        <v>488.4</v>
      </c>
      <c r="Z73" s="23">
        <v>572.29999999999995</v>
      </c>
      <c r="AA73" s="23">
        <v>638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43.800000000000182</v>
      </c>
      <c r="E74" s="23">
        <v>48.199999999999953</v>
      </c>
      <c r="F74" s="23">
        <v>64.599999999999639</v>
      </c>
      <c r="G74" s="23">
        <v>71.800000000000367</v>
      </c>
      <c r="H74" s="23">
        <v>76.200000000000642</v>
      </c>
      <c r="I74" s="23">
        <v>93.700000000000642</v>
      </c>
      <c r="J74" s="23">
        <v>112.29999999999964</v>
      </c>
      <c r="K74" s="23">
        <v>153.00000000000037</v>
      </c>
      <c r="L74" s="23">
        <v>210.59999999999945</v>
      </c>
      <c r="M74" s="23">
        <v>207.80000000000055</v>
      </c>
      <c r="N74" s="23">
        <v>163.60000000000065</v>
      </c>
      <c r="O74" s="23">
        <v>178.4</v>
      </c>
      <c r="P74" s="23">
        <v>168.29999999999984</v>
      </c>
      <c r="Q74" s="23">
        <v>166.70000000000056</v>
      </c>
      <c r="R74" s="23">
        <v>198.6000000000011</v>
      </c>
      <c r="S74" s="23">
        <v>196.0999999999998</v>
      </c>
      <c r="T74" s="23">
        <v>220.20000000000056</v>
      </c>
      <c r="U74" s="23">
        <v>246.19999999999914</v>
      </c>
      <c r="V74" s="23">
        <v>292.19999999999982</v>
      </c>
      <c r="W74" s="23">
        <v>320.00000000000034</v>
      </c>
      <c r="X74" s="23">
        <v>321.39999999999947</v>
      </c>
      <c r="Y74" s="23">
        <v>358.6</v>
      </c>
      <c r="Z74" s="23">
        <v>448.20000000000005</v>
      </c>
      <c r="AA74" s="23">
        <v>496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1728</v>
      </c>
      <c r="E75" s="30">
        <f t="shared" ref="E75:Y75" si="6">SUM(E56:E74)</f>
        <v>2072.2999999999997</v>
      </c>
      <c r="F75" s="30">
        <f t="shared" si="6"/>
        <v>2349.6</v>
      </c>
      <c r="G75" s="30">
        <f t="shared" si="6"/>
        <v>2609.3000000000006</v>
      </c>
      <c r="H75" s="30">
        <f t="shared" si="6"/>
        <v>2693.8</v>
      </c>
      <c r="I75" s="30">
        <f t="shared" si="6"/>
        <v>3250.5</v>
      </c>
      <c r="J75" s="30">
        <f t="shared" si="6"/>
        <v>3684.1</v>
      </c>
      <c r="K75" s="30">
        <f t="shared" si="6"/>
        <v>4552.3000000000011</v>
      </c>
      <c r="L75" s="30">
        <f t="shared" si="6"/>
        <v>4595.2</v>
      </c>
      <c r="M75" s="30">
        <f t="shared" si="6"/>
        <v>4819.3000000000011</v>
      </c>
      <c r="N75" s="30">
        <f t="shared" si="6"/>
        <v>4456.3</v>
      </c>
      <c r="O75" s="30">
        <f t="shared" si="6"/>
        <v>5469.6</v>
      </c>
      <c r="P75" s="30">
        <f t="shared" si="6"/>
        <v>5937.4999999999991</v>
      </c>
      <c r="Q75" s="30">
        <f t="shared" si="6"/>
        <v>5369.1000000000013</v>
      </c>
      <c r="R75" s="30">
        <f t="shared" si="6"/>
        <v>5605.1000000000013</v>
      </c>
      <c r="S75" s="30">
        <f t="shared" si="6"/>
        <v>6242</v>
      </c>
      <c r="T75" s="30">
        <f t="shared" si="6"/>
        <v>7021.3</v>
      </c>
      <c r="U75" s="30">
        <f t="shared" si="6"/>
        <v>7360.5</v>
      </c>
      <c r="V75" s="30">
        <f t="shared" si="6"/>
        <v>7477.5</v>
      </c>
      <c r="W75" s="30">
        <f t="shared" si="6"/>
        <v>8157.6999999999989</v>
      </c>
      <c r="X75" s="30">
        <f t="shared" si="6"/>
        <v>7969.7</v>
      </c>
      <c r="Y75" s="30">
        <f t="shared" si="6"/>
        <v>8003.6999999999989</v>
      </c>
      <c r="Z75" s="30">
        <f t="shared" ref="Z75:AA75" si="7">SUM(Z56:Z74)</f>
        <v>11345.2</v>
      </c>
      <c r="AA75" s="30">
        <f t="shared" si="7"/>
        <v>12714.199999999999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45487.890841462024</v>
      </c>
      <c r="E2" s="19">
        <v>47226.825681525464</v>
      </c>
      <c r="F2" s="19">
        <v>50000.438636794483</v>
      </c>
      <c r="G2" s="19">
        <v>52618.566184951604</v>
      </c>
      <c r="H2" s="19">
        <v>56044.491269968305</v>
      </c>
      <c r="I2" s="19">
        <v>59999.625920190061</v>
      </c>
      <c r="J2" s="19">
        <v>64080.844624095102</v>
      </c>
      <c r="K2" s="19">
        <v>68344.721519613435</v>
      </c>
      <c r="L2" s="19">
        <v>72534.450281564554</v>
      </c>
      <c r="M2" s="19">
        <v>70106.397382470779</v>
      </c>
      <c r="N2" s="19">
        <v>71196.70187740837</v>
      </c>
      <c r="O2" s="19">
        <v>72684.95435083237</v>
      </c>
      <c r="P2" s="19">
        <v>73228.902967123606</v>
      </c>
      <c r="Q2" s="19">
        <v>72832.15414132351</v>
      </c>
      <c r="R2" s="19">
        <v>73522.952398159294</v>
      </c>
      <c r="S2" s="19">
        <v>76021.142154000001</v>
      </c>
      <c r="T2" s="19">
        <v>78321.661330378221</v>
      </c>
      <c r="U2" s="19">
        <v>80472.508817418769</v>
      </c>
      <c r="V2" s="19">
        <v>82524.271563703995</v>
      </c>
      <c r="W2" s="19">
        <v>85651.192117223269</v>
      </c>
      <c r="X2" s="19">
        <v>82896.749419233049</v>
      </c>
      <c r="Y2" s="19">
        <v>89346.39472743588</v>
      </c>
      <c r="Z2" s="19">
        <v>92955.216128024971</v>
      </c>
      <c r="AA2" s="19">
        <v>94709.3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22524.891182579238</v>
      </c>
      <c r="E3" s="23">
        <v>24253.72868947982</v>
      </c>
      <c r="F3" s="23">
        <v>25634.510689680392</v>
      </c>
      <c r="G3" s="23">
        <v>27299.480659609118</v>
      </c>
      <c r="H3" s="23">
        <v>29885.111147332766</v>
      </c>
      <c r="I3" s="23">
        <v>32071.210164856933</v>
      </c>
      <c r="J3" s="23">
        <v>34808.033366941992</v>
      </c>
      <c r="K3" s="23">
        <v>38808.299347957764</v>
      </c>
      <c r="L3" s="23">
        <v>40162.990321246063</v>
      </c>
      <c r="M3" s="23">
        <v>38450.630839221434</v>
      </c>
      <c r="N3" s="23">
        <v>39360.30425515669</v>
      </c>
      <c r="O3" s="23">
        <v>40143.123474830354</v>
      </c>
      <c r="P3" s="23">
        <v>41640.655662152756</v>
      </c>
      <c r="Q3" s="23">
        <v>40031.547146028715</v>
      </c>
      <c r="R3" s="23">
        <v>40624.830654902042</v>
      </c>
      <c r="S3" s="23">
        <v>41754.378296999996</v>
      </c>
      <c r="T3" s="23">
        <v>42625.163282686721</v>
      </c>
      <c r="U3" s="23">
        <v>43672.300332753672</v>
      </c>
      <c r="V3" s="23">
        <v>45267.875921775383</v>
      </c>
      <c r="W3" s="23">
        <v>47975.437671232881</v>
      </c>
      <c r="X3" s="23">
        <v>47780.700370313352</v>
      </c>
      <c r="Y3" s="23">
        <v>51865.660843018537</v>
      </c>
      <c r="Z3" s="23">
        <v>53906.699505318553</v>
      </c>
      <c r="AA3" s="23">
        <v>54673.2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39410.090770444382</v>
      </c>
      <c r="E4" s="27">
        <v>41014.757862012935</v>
      </c>
      <c r="F4" s="27">
        <v>44131.790077041602</v>
      </c>
      <c r="G4" s="27">
        <v>45965.718829555255</v>
      </c>
      <c r="H4" s="27">
        <v>48207.263253477584</v>
      </c>
      <c r="I4" s="27">
        <v>51319.748444740588</v>
      </c>
      <c r="J4" s="27">
        <v>54985.579267033725</v>
      </c>
      <c r="K4" s="27">
        <v>58586.392469392464</v>
      </c>
      <c r="L4" s="27">
        <v>62190.175271367989</v>
      </c>
      <c r="M4" s="27">
        <v>61656.369985814301</v>
      </c>
      <c r="N4" s="27">
        <v>62784.849425977773</v>
      </c>
      <c r="O4" s="27">
        <v>63977.574908315575</v>
      </c>
      <c r="P4" s="27">
        <v>64140.046598385255</v>
      </c>
      <c r="Q4" s="27">
        <v>63082.831841798659</v>
      </c>
      <c r="R4" s="27">
        <v>63689.341153454086</v>
      </c>
      <c r="S4" s="27">
        <v>65563.625507999997</v>
      </c>
      <c r="T4" s="27">
        <v>67253.055877833089</v>
      </c>
      <c r="U4" s="27">
        <v>69459.605858711497</v>
      </c>
      <c r="V4" s="27">
        <v>71767.673432532785</v>
      </c>
      <c r="W4" s="27">
        <v>74233.350718748421</v>
      </c>
      <c r="X4" s="27">
        <v>71908.457455584532</v>
      </c>
      <c r="Y4" s="27">
        <v>77758.903610802372</v>
      </c>
      <c r="Z4" s="27">
        <v>82006.135740604266</v>
      </c>
      <c r="AA4" s="27">
        <v>83042.399999999994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4931.7095450959769</v>
      </c>
      <c r="E6" s="19">
        <v>4937.7803016921607</v>
      </c>
      <c r="F6" s="19">
        <v>4816.3171237801753</v>
      </c>
      <c r="G6" s="19">
        <v>4790.8042801359097</v>
      </c>
      <c r="H6" s="19">
        <v>4757.6925038639874</v>
      </c>
      <c r="I6" s="19">
        <v>4395.2926674137561</v>
      </c>
      <c r="J6" s="19">
        <v>3971.3563317274602</v>
      </c>
      <c r="K6" s="19">
        <v>3212.5036729036729</v>
      </c>
      <c r="L6" s="19">
        <v>4341.5973833656817</v>
      </c>
      <c r="M6" s="19">
        <v>3005.3846657209533</v>
      </c>
      <c r="N6" s="19">
        <v>2900.4529165769463</v>
      </c>
      <c r="O6" s="19">
        <v>3416.7294882729216</v>
      </c>
      <c r="P6" s="19">
        <v>3266.2999821050748</v>
      </c>
      <c r="Q6" s="19">
        <v>3303.9502471895958</v>
      </c>
      <c r="R6" s="19">
        <v>3347.6509612117343</v>
      </c>
      <c r="S6" s="19">
        <v>3083.5588679999996</v>
      </c>
      <c r="T6" s="19">
        <v>3166.930467307785</v>
      </c>
      <c r="U6" s="19">
        <v>3265.8256792002749</v>
      </c>
      <c r="V6" s="19">
        <v>2814.1870328319928</v>
      </c>
      <c r="W6" s="19">
        <v>2749.6899984761521</v>
      </c>
      <c r="X6" s="19">
        <v>2843.7027484723985</v>
      </c>
      <c r="Y6" s="19">
        <v>3844.6439214154825</v>
      </c>
      <c r="Z6" s="19">
        <v>3423.061016949152</v>
      </c>
      <c r="AA6" s="19">
        <v>2384.4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8181.0153037075997</v>
      </c>
      <c r="E7" s="23">
        <v>8989.0145758999533</v>
      </c>
      <c r="F7" s="23">
        <v>9703.0117308680019</v>
      </c>
      <c r="G7" s="23">
        <v>10562.577432932705</v>
      </c>
      <c r="H7" s="23">
        <v>10614.073589644513</v>
      </c>
      <c r="I7" s="23">
        <v>11472.692824908381</v>
      </c>
      <c r="J7" s="23">
        <v>12684.811579490708</v>
      </c>
      <c r="K7" s="23">
        <v>13496.897466697465</v>
      </c>
      <c r="L7" s="23">
        <v>12905.438933218316</v>
      </c>
      <c r="M7" s="23">
        <v>12957.722907609937</v>
      </c>
      <c r="N7" s="23">
        <v>12606.638262860251</v>
      </c>
      <c r="O7" s="23">
        <v>14299.194038379532</v>
      </c>
      <c r="P7" s="23">
        <v>14976.648448931042</v>
      </c>
      <c r="Q7" s="23">
        <v>14198.46086217212</v>
      </c>
      <c r="R7" s="23">
        <v>14397.425146987653</v>
      </c>
      <c r="S7" s="23">
        <v>15380.001972</v>
      </c>
      <c r="T7" s="23">
        <v>16465.859643357657</v>
      </c>
      <c r="U7" s="23">
        <v>16506.366403371176</v>
      </c>
      <c r="V7" s="23">
        <v>15385.629588865439</v>
      </c>
      <c r="W7" s="23">
        <v>15296.246914207346</v>
      </c>
      <c r="X7" s="23">
        <v>14637.830784505235</v>
      </c>
      <c r="Y7" s="23">
        <v>15344.965393973986</v>
      </c>
      <c r="Z7" s="23">
        <v>20226.993662490786</v>
      </c>
      <c r="AA7" s="23">
        <v>17793.5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2013.6542729424139</v>
      </c>
      <c r="E8" s="23">
        <v>2178.3033172006926</v>
      </c>
      <c r="F8" s="23">
        <v>2202.9854956343092</v>
      </c>
      <c r="G8" s="23">
        <v>2246.8978548607943</v>
      </c>
      <c r="H8" s="23">
        <v>2407.6678129829984</v>
      </c>
      <c r="I8" s="23">
        <v>3150.2525971469245</v>
      </c>
      <c r="J8" s="23">
        <v>3842.305075705437</v>
      </c>
      <c r="K8" s="23">
        <v>4638.1558789558785</v>
      </c>
      <c r="L8" s="23">
        <v>5579.8125368413484</v>
      </c>
      <c r="M8" s="23">
        <v>5892.6322472887014</v>
      </c>
      <c r="N8" s="23">
        <v>4479.5466482314678</v>
      </c>
      <c r="O8" s="23">
        <v>4047.9453006396589</v>
      </c>
      <c r="P8" s="23">
        <v>3738.2733502457922</v>
      </c>
      <c r="Q8" s="23">
        <v>3002.0885474068709</v>
      </c>
      <c r="R8" s="23">
        <v>2818.3828042464243</v>
      </c>
      <c r="S8" s="23">
        <v>2861.7773399999996</v>
      </c>
      <c r="T8" s="23">
        <v>2637.9338868216305</v>
      </c>
      <c r="U8" s="23">
        <v>2871.0403259790046</v>
      </c>
      <c r="V8" s="23">
        <v>2996.6235781262521</v>
      </c>
      <c r="W8" s="23">
        <v>3220.0630974754913</v>
      </c>
      <c r="X8" s="23">
        <v>3440.0320582466279</v>
      </c>
      <c r="Y8" s="23">
        <v>3083.6820210880469</v>
      </c>
      <c r="Z8" s="23">
        <v>3111.2599852616058</v>
      </c>
      <c r="AA8" s="23">
        <v>3666.8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8333.2535441944328</v>
      </c>
      <c r="E9" s="23">
        <v>8842.6232239375422</v>
      </c>
      <c r="F9" s="23">
        <v>9479.9605136106838</v>
      </c>
      <c r="G9" s="23">
        <v>10268.931223692887</v>
      </c>
      <c r="H9" s="23">
        <v>10822.49617465224</v>
      </c>
      <c r="I9" s="23">
        <v>11176.74479207681</v>
      </c>
      <c r="J9" s="23">
        <v>12904.174948382657</v>
      </c>
      <c r="K9" s="23">
        <v>12412.661523061523</v>
      </c>
      <c r="L9" s="23">
        <v>12724.522492991158</v>
      </c>
      <c r="M9" s="23">
        <v>12430.941495446848</v>
      </c>
      <c r="N9" s="23">
        <v>13040.766934505933</v>
      </c>
      <c r="O9" s="23">
        <v>13114.51576119403</v>
      </c>
      <c r="P9" s="23">
        <v>12948.122616027536</v>
      </c>
      <c r="Q9" s="23">
        <v>13723.659375885631</v>
      </c>
      <c r="R9" s="23">
        <v>13803.129202920189</v>
      </c>
      <c r="S9" s="23">
        <v>14633.934216</v>
      </c>
      <c r="T9" s="23">
        <v>14896.973055622675</v>
      </c>
      <c r="U9" s="23">
        <v>15577.559241486213</v>
      </c>
      <c r="V9" s="23">
        <v>16774.863216947611</v>
      </c>
      <c r="W9" s="23">
        <v>17511.434784375477</v>
      </c>
      <c r="X9" s="23">
        <v>15359.393263215674</v>
      </c>
      <c r="Y9" s="23">
        <v>17977.0246808255</v>
      </c>
      <c r="Z9" s="23">
        <v>17899.200736919673</v>
      </c>
      <c r="AA9" s="23">
        <v>19204.5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1265.2274219601065</v>
      </c>
      <c r="E10" s="23">
        <v>1562.2885081428624</v>
      </c>
      <c r="F10" s="23">
        <v>1892.2462044170518</v>
      </c>
      <c r="G10" s="23">
        <v>1971.7446320807346</v>
      </c>
      <c r="H10" s="23">
        <v>2198.7114953632145</v>
      </c>
      <c r="I10" s="23">
        <v>1952.1525456582974</v>
      </c>
      <c r="J10" s="23">
        <v>2082.8825189263589</v>
      </c>
      <c r="K10" s="23">
        <v>2169.9609301609303</v>
      </c>
      <c r="L10" s="23">
        <v>3611.9738911652648</v>
      </c>
      <c r="M10" s="23">
        <v>3302.5288244176995</v>
      </c>
      <c r="N10" s="23">
        <v>3107.8428142389253</v>
      </c>
      <c r="O10" s="23">
        <v>3418.1431855010665</v>
      </c>
      <c r="P10" s="23">
        <v>3240.6511521173907</v>
      </c>
      <c r="Q10" s="23">
        <v>3541.6119658657931</v>
      </c>
      <c r="R10" s="23">
        <v>3524.13057240236</v>
      </c>
      <c r="S10" s="23">
        <v>3467.6155199999998</v>
      </c>
      <c r="T10" s="23">
        <v>4160.5212583965595</v>
      </c>
      <c r="U10" s="23">
        <v>4246.3272599014272</v>
      </c>
      <c r="V10" s="23">
        <v>4866.3029626265588</v>
      </c>
      <c r="W10" s="23">
        <v>5660.7550160004066</v>
      </c>
      <c r="X10" s="23">
        <v>6032.4656921226597</v>
      </c>
      <c r="Y10" s="23">
        <v>6059.1886959656349</v>
      </c>
      <c r="Z10" s="23">
        <v>6143.7661016949141</v>
      </c>
      <c r="AA10" s="23">
        <v>6846.7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934.28826114721471</v>
      </c>
      <c r="E11" s="23">
        <v>1193.6750839015085</v>
      </c>
      <c r="F11" s="23">
        <v>1397.3335798664612</v>
      </c>
      <c r="G11" s="23">
        <v>1905.618195648867</v>
      </c>
      <c r="H11" s="23">
        <v>2110.9124806800614</v>
      </c>
      <c r="I11" s="23">
        <v>2986.8410879244029</v>
      </c>
      <c r="J11" s="23">
        <v>2898.7811596696488</v>
      </c>
      <c r="K11" s="23">
        <v>4174.2126588126584</v>
      </c>
      <c r="L11" s="23">
        <v>3896.1576737833375</v>
      </c>
      <c r="M11" s="23">
        <v>3661.8703564727948</v>
      </c>
      <c r="N11" s="23">
        <v>5592.9523759873982</v>
      </c>
      <c r="O11" s="23">
        <v>5154.8702302771853</v>
      </c>
      <c r="P11" s="23">
        <v>4773.2996052590024</v>
      </c>
      <c r="Q11" s="23">
        <v>4164.9955222470635</v>
      </c>
      <c r="R11" s="23">
        <v>4281.4226757416309</v>
      </c>
      <c r="S11" s="23">
        <v>4498.1205719999998</v>
      </c>
      <c r="T11" s="23">
        <v>4731.0109080365337</v>
      </c>
      <c r="U11" s="23">
        <v>4529.5695963318085</v>
      </c>
      <c r="V11" s="23">
        <v>4739.2173109288597</v>
      </c>
      <c r="W11" s="23">
        <v>4276.718656981765</v>
      </c>
      <c r="X11" s="23">
        <v>4313.7207261456006</v>
      </c>
      <c r="Y11" s="23">
        <v>5272.0854576586862</v>
      </c>
      <c r="Z11" s="23">
        <v>5371.0138540899034</v>
      </c>
      <c r="AA11" s="23">
        <v>5325.5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4531.0334397655988</v>
      </c>
      <c r="E12" s="23">
        <v>4453.5177094005012</v>
      </c>
      <c r="F12" s="23">
        <v>5085.3407293271703</v>
      </c>
      <c r="G12" s="23">
        <v>4727.7600081140026</v>
      </c>
      <c r="H12" s="23">
        <v>5349.6019706336929</v>
      </c>
      <c r="I12" s="23">
        <v>5344.1336887058178</v>
      </c>
      <c r="J12" s="23">
        <v>5670.4123709566411</v>
      </c>
      <c r="K12" s="23">
        <v>7002.9687071687067</v>
      </c>
      <c r="L12" s="23">
        <v>6731.044813456977</v>
      </c>
      <c r="M12" s="23">
        <v>7072.86533199103</v>
      </c>
      <c r="N12" s="23">
        <v>7538.9233450819956</v>
      </c>
      <c r="O12" s="23">
        <v>7342.9201151385932</v>
      </c>
      <c r="P12" s="23">
        <v>7312.0103285297737</v>
      </c>
      <c r="Q12" s="23">
        <v>7176.1312214629852</v>
      </c>
      <c r="R12" s="23">
        <v>6647.3417959780463</v>
      </c>
      <c r="S12" s="23">
        <v>6394.0376999999999</v>
      </c>
      <c r="T12" s="23">
        <v>6387.0489614845601</v>
      </c>
      <c r="U12" s="23">
        <v>6947.052938173515</v>
      </c>
      <c r="V12" s="23">
        <v>7552.2235246974597</v>
      </c>
      <c r="W12" s="23">
        <v>7710.077431807792</v>
      </c>
      <c r="X12" s="23">
        <v>6980.2774108663543</v>
      </c>
      <c r="Y12" s="23">
        <v>6995.9199735648417</v>
      </c>
      <c r="Z12" s="23">
        <v>6676.8280029476773</v>
      </c>
      <c r="AA12" s="23">
        <v>7177.4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1709.489117613914</v>
      </c>
      <c r="E13" s="23">
        <v>1942.6132405412091</v>
      </c>
      <c r="F13" s="23">
        <v>2007.4609553158707</v>
      </c>
      <c r="G13" s="23">
        <v>1878.439109488311</v>
      </c>
      <c r="H13" s="23">
        <v>2026.0489953632148</v>
      </c>
      <c r="I13" s="23">
        <v>2198.1483659932765</v>
      </c>
      <c r="J13" s="23">
        <v>2509.4884205092912</v>
      </c>
      <c r="K13" s="23">
        <v>2957.4518980518978</v>
      </c>
      <c r="L13" s="23">
        <v>2987.6036517863563</v>
      </c>
      <c r="M13" s="23">
        <v>3503.5325310026078</v>
      </c>
      <c r="N13" s="23">
        <v>3554.5576481521362</v>
      </c>
      <c r="O13" s="23">
        <v>3473.8075138592753</v>
      </c>
      <c r="P13" s="23">
        <v>3761.4794345203641</v>
      </c>
      <c r="Q13" s="23">
        <v>3525.6054665113206</v>
      </c>
      <c r="R13" s="23">
        <v>3574.6508479462914</v>
      </c>
      <c r="S13" s="23">
        <v>4119.0365999999995</v>
      </c>
      <c r="T13" s="23">
        <v>4206.9806794568212</v>
      </c>
      <c r="U13" s="23">
        <v>4219.8646407455199</v>
      </c>
      <c r="V13" s="23">
        <v>4649.1798573451233</v>
      </c>
      <c r="W13" s="23">
        <v>5258.2997511047897</v>
      </c>
      <c r="X13" s="23">
        <v>5005.5804660698859</v>
      </c>
      <c r="Y13" s="23">
        <v>5376.5263270149308</v>
      </c>
      <c r="Z13" s="23">
        <v>5417.3018422991881</v>
      </c>
      <c r="AA13" s="23">
        <v>5845.7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6675.4444836782959</v>
      </c>
      <c r="E14" s="23">
        <v>6185.9129685236849</v>
      </c>
      <c r="F14" s="23">
        <v>6799.9405444273316</v>
      </c>
      <c r="G14" s="23">
        <v>6799.5348851361659</v>
      </c>
      <c r="H14" s="23">
        <v>7034.8626931993776</v>
      </c>
      <c r="I14" s="23">
        <v>7618.5909622315739</v>
      </c>
      <c r="J14" s="23">
        <v>7368.5177563661337</v>
      </c>
      <c r="K14" s="23">
        <v>7342.0450450450526</v>
      </c>
      <c r="L14" s="23">
        <v>7776.8252462080227</v>
      </c>
      <c r="M14" s="23">
        <v>8090.3991900425626</v>
      </c>
      <c r="N14" s="23">
        <v>8567.4194408241456</v>
      </c>
      <c r="O14" s="23">
        <v>8212.5206226012888</v>
      </c>
      <c r="P14" s="23">
        <v>8608.5848566827081</v>
      </c>
      <c r="Q14" s="23">
        <v>8834.8917089145762</v>
      </c>
      <c r="R14" s="23">
        <v>9682.4838905649885</v>
      </c>
      <c r="S14" s="23">
        <v>9481.4089559999975</v>
      </c>
      <c r="T14" s="23">
        <v>9001.7531377760624</v>
      </c>
      <c r="U14" s="23">
        <v>9669.3179576190105</v>
      </c>
      <c r="V14" s="23">
        <v>10367.296171826991</v>
      </c>
      <c r="W14" s="23">
        <v>10760.486270127492</v>
      </c>
      <c r="X14" s="23">
        <v>11871.060805411393</v>
      </c>
      <c r="Y14" s="23">
        <v>12474.14855357626</v>
      </c>
      <c r="Z14" s="23">
        <v>12438.28960943257</v>
      </c>
      <c r="AA14" s="23">
        <v>13387.299999999988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834.97538033883018</v>
      </c>
      <c r="E15" s="23">
        <v>729.02893277281237</v>
      </c>
      <c r="F15" s="23">
        <v>747.19319979455577</v>
      </c>
      <c r="G15" s="23">
        <v>813.41120746488173</v>
      </c>
      <c r="H15" s="23">
        <v>885.19553709428124</v>
      </c>
      <c r="I15" s="23">
        <v>1024.898912681346</v>
      </c>
      <c r="J15" s="23">
        <v>1052.8491052993804</v>
      </c>
      <c r="K15" s="23">
        <v>1179.5346885346885</v>
      </c>
      <c r="L15" s="23">
        <v>1635.198648551506</v>
      </c>
      <c r="M15" s="23">
        <v>1738.4924358211683</v>
      </c>
      <c r="N15" s="23">
        <v>1395.7490395185694</v>
      </c>
      <c r="O15" s="23">
        <v>1496.9286524520257</v>
      </c>
      <c r="P15" s="23">
        <v>1514.6768239665682</v>
      </c>
      <c r="Q15" s="23">
        <v>1611.4369241427087</v>
      </c>
      <c r="R15" s="23">
        <v>1612.7232554547606</v>
      </c>
      <c r="S15" s="23">
        <v>1644.1337639999999</v>
      </c>
      <c r="T15" s="23">
        <v>1598.0438795728023</v>
      </c>
      <c r="U15" s="23">
        <v>1626.6818159035429</v>
      </c>
      <c r="V15" s="23">
        <v>1622.1501883364945</v>
      </c>
      <c r="W15" s="23">
        <v>1789.5787981917001</v>
      </c>
      <c r="X15" s="23">
        <v>1424.3935005287076</v>
      </c>
      <c r="Y15" s="23">
        <v>1330.7185857190063</v>
      </c>
      <c r="Z15" s="23">
        <v>1298.4209285187912</v>
      </c>
      <c r="AA15" s="23">
        <v>1410.6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39410.090770444382</v>
      </c>
      <c r="E16" s="30">
        <f t="shared" ref="E16:S16" si="0">SUM(E6:E15)</f>
        <v>41014.757862012921</v>
      </c>
      <c r="F16" s="30">
        <f t="shared" si="0"/>
        <v>44131.790077041616</v>
      </c>
      <c r="G16" s="30">
        <f t="shared" si="0"/>
        <v>45965.718829555255</v>
      </c>
      <c r="H16" s="30">
        <f t="shared" si="0"/>
        <v>48207.263253477591</v>
      </c>
      <c r="I16" s="30">
        <f t="shared" si="0"/>
        <v>51319.748444740588</v>
      </c>
      <c r="J16" s="30">
        <f t="shared" si="0"/>
        <v>54985.57926703371</v>
      </c>
      <c r="K16" s="30">
        <f t="shared" si="0"/>
        <v>58586.392469392471</v>
      </c>
      <c r="L16" s="30">
        <f t="shared" si="0"/>
        <v>62190.175271367967</v>
      </c>
      <c r="M16" s="30">
        <f t="shared" si="0"/>
        <v>61656.369985814294</v>
      </c>
      <c r="N16" s="30">
        <f t="shared" si="0"/>
        <v>62784.849425977765</v>
      </c>
      <c r="O16" s="30">
        <f t="shared" si="0"/>
        <v>63977.574908315575</v>
      </c>
      <c r="P16" s="30">
        <f t="shared" si="0"/>
        <v>64140.046598385248</v>
      </c>
      <c r="Q16" s="30">
        <f t="shared" si="0"/>
        <v>63082.831841798674</v>
      </c>
      <c r="R16" s="30">
        <f t="shared" si="0"/>
        <v>63689.341153454086</v>
      </c>
      <c r="S16" s="30">
        <f t="shared" si="0"/>
        <v>65563.625507999997</v>
      </c>
      <c r="T16" s="30">
        <f t="shared" ref="T16:Y16" si="1">SUM(T6:T15)</f>
        <v>67253.055877833089</v>
      </c>
      <c r="U16" s="30">
        <f t="shared" si="1"/>
        <v>69459.605858711511</v>
      </c>
      <c r="V16" s="30">
        <f t="shared" si="1"/>
        <v>71767.673432532785</v>
      </c>
      <c r="W16" s="30">
        <f t="shared" si="1"/>
        <v>74233.350718748392</v>
      </c>
      <c r="X16" s="30">
        <f t="shared" si="1"/>
        <v>71908.457455584532</v>
      </c>
      <c r="Y16" s="30">
        <f t="shared" si="1"/>
        <v>77758.903610802372</v>
      </c>
      <c r="Z16" s="30">
        <f t="shared" ref="Z16:AA16" si="2">SUM(Z6:Z15)</f>
        <v>82006.135740604266</v>
      </c>
      <c r="AA16" s="30">
        <f t="shared" si="2"/>
        <v>83042.399999999994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4931.7095450959769</v>
      </c>
      <c r="E18" s="19">
        <v>4937.7803016921607</v>
      </c>
      <c r="F18" s="19">
        <v>4816.3171237801753</v>
      </c>
      <c r="G18" s="19">
        <v>4790.8042801359097</v>
      </c>
      <c r="H18" s="19">
        <v>4757.6925038639874</v>
      </c>
      <c r="I18" s="19">
        <v>4395.2926674137561</v>
      </c>
      <c r="J18" s="19">
        <v>3971.3563317274602</v>
      </c>
      <c r="K18" s="19">
        <v>3212.5036729036729</v>
      </c>
      <c r="L18" s="19">
        <v>4341.5973833656817</v>
      </c>
      <c r="M18" s="19">
        <v>3005.3846657209533</v>
      </c>
      <c r="N18" s="19">
        <v>2900.4529165769463</v>
      </c>
      <c r="O18" s="19">
        <v>3416.7294882729216</v>
      </c>
      <c r="P18" s="19">
        <v>3266.2999821050748</v>
      </c>
      <c r="Q18" s="19">
        <v>3303.9502471895958</v>
      </c>
      <c r="R18" s="19">
        <v>3347.6509612117343</v>
      </c>
      <c r="S18" s="19">
        <v>3083.5588679999996</v>
      </c>
      <c r="T18" s="19">
        <v>3166.930467307785</v>
      </c>
      <c r="U18" s="19">
        <v>3265.8256792002749</v>
      </c>
      <c r="V18" s="19">
        <v>2814.1870328319928</v>
      </c>
      <c r="W18" s="19">
        <v>2749.6899984761521</v>
      </c>
      <c r="X18" s="19">
        <v>2843.7027484723985</v>
      </c>
      <c r="Y18" s="19">
        <v>3844.6439214154825</v>
      </c>
      <c r="Z18" s="19">
        <v>3423.061016949152</v>
      </c>
      <c r="AA18" s="19">
        <v>2384.4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709.12101095472929</v>
      </c>
      <c r="E19" s="23">
        <v>683.94039636838909</v>
      </c>
      <c r="F19" s="23">
        <v>613.24895737031329</v>
      </c>
      <c r="G19" s="23">
        <v>684.24049901110584</v>
      </c>
      <c r="H19" s="23">
        <v>839.56139876352393</v>
      </c>
      <c r="I19" s="23">
        <v>1003.9885130599947</v>
      </c>
      <c r="J19" s="23">
        <v>1303.1087233310393</v>
      </c>
      <c r="K19" s="23">
        <v>1304.6142912142909</v>
      </c>
      <c r="L19" s="23">
        <v>1271.5784487096544</v>
      </c>
      <c r="M19" s="23">
        <v>1189.2760888888508</v>
      </c>
      <c r="N19" s="23">
        <v>1389.7377381370623</v>
      </c>
      <c r="O19" s="23">
        <v>1493.2176972281452</v>
      </c>
      <c r="P19" s="23">
        <v>1546.781481910336</v>
      </c>
      <c r="Q19" s="23">
        <v>1568.4629530497214</v>
      </c>
      <c r="R19" s="23">
        <v>1661.3073931811298</v>
      </c>
      <c r="S19" s="23">
        <v>1629.9908276135411</v>
      </c>
      <c r="T19" s="23">
        <v>1524.3028203425583</v>
      </c>
      <c r="U19" s="23">
        <v>1559.7096989084316</v>
      </c>
      <c r="V19" s="23">
        <v>1317.4541529165799</v>
      </c>
      <c r="W19" s="23">
        <v>997.5419004514979</v>
      </c>
      <c r="X19" s="23">
        <v>1233.600232469912</v>
      </c>
      <c r="Y19" s="23">
        <v>1090.4672414311035</v>
      </c>
      <c r="Z19" s="23">
        <v>748.40975242351601</v>
      </c>
      <c r="AA19" s="23">
        <v>1248.7245845802488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5379.7071484917924</v>
      </c>
      <c r="E20" s="23">
        <v>6067.3359734341338</v>
      </c>
      <c r="F20" s="23">
        <v>6667.6989830508473</v>
      </c>
      <c r="G20" s="23">
        <v>7311.174177189514</v>
      </c>
      <c r="H20" s="23">
        <v>7188.8445517774344</v>
      </c>
      <c r="I20" s="23">
        <v>8159.2797346821335</v>
      </c>
      <c r="J20" s="23">
        <v>8755.7593427391603</v>
      </c>
      <c r="K20" s="23">
        <v>9683.6713482713476</v>
      </c>
      <c r="L20" s="23">
        <v>9125.6556106678163</v>
      </c>
      <c r="M20" s="23">
        <v>9138.6524824966818</v>
      </c>
      <c r="N20" s="23">
        <v>8371.3007332524921</v>
      </c>
      <c r="O20" s="23">
        <v>9665.4479488272937</v>
      </c>
      <c r="P20" s="23">
        <v>10359.859051147907</v>
      </c>
      <c r="Q20" s="23">
        <v>9341.3582265327332</v>
      </c>
      <c r="R20" s="23">
        <v>9566.5944747057674</v>
      </c>
      <c r="S20" s="23">
        <v>10346.489519999999</v>
      </c>
      <c r="T20" s="23">
        <v>11248.466658290243</v>
      </c>
      <c r="U20" s="23">
        <v>11324.308621921904</v>
      </c>
      <c r="V20" s="23">
        <v>11036.9681831539</v>
      </c>
      <c r="W20" s="23">
        <v>11447.382546858333</v>
      </c>
      <c r="X20" s="23">
        <v>10663.149428107872</v>
      </c>
      <c r="Y20" s="23">
        <v>9963.2107993631525</v>
      </c>
      <c r="Z20" s="23">
        <v>12156.168607221813</v>
      </c>
      <c r="AA20" s="23">
        <v>12714.2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1754.7476465108912</v>
      </c>
      <c r="E21" s="23">
        <v>1880.2505246052206</v>
      </c>
      <c r="F21" s="23">
        <v>2071.02771443246</v>
      </c>
      <c r="G21" s="23">
        <v>2218.317784877529</v>
      </c>
      <c r="H21" s="23">
        <v>2227.2661901081915</v>
      </c>
      <c r="I21" s="23">
        <v>1943.4707641558846</v>
      </c>
      <c r="J21" s="23">
        <v>2175.0959394356505</v>
      </c>
      <c r="K21" s="23">
        <v>2048.0721336721331</v>
      </c>
      <c r="L21" s="23">
        <v>1967.6400546330244</v>
      </c>
      <c r="M21" s="23">
        <v>2118.3980333332656</v>
      </c>
      <c r="N21" s="23">
        <v>2242.9668279746588</v>
      </c>
      <c r="O21" s="23">
        <v>2513.2002473347552</v>
      </c>
      <c r="P21" s="23">
        <v>2469.7903977936612</v>
      </c>
      <c r="Q21" s="23">
        <v>2624.0219920017635</v>
      </c>
      <c r="R21" s="23">
        <v>2464.9951386598573</v>
      </c>
      <c r="S21" s="23">
        <v>2647.533403444284</v>
      </c>
      <c r="T21" s="23">
        <v>2920.2854558091958</v>
      </c>
      <c r="U21" s="23">
        <v>2890.3399204372372</v>
      </c>
      <c r="V21" s="23">
        <v>2355.2112836757633</v>
      </c>
      <c r="W21" s="23">
        <v>2058.2282452978716</v>
      </c>
      <c r="X21" s="23">
        <v>1977.9080516922677</v>
      </c>
      <c r="Y21" s="23">
        <v>3787.5064255459761</v>
      </c>
      <c r="Z21" s="23">
        <v>6877.1195360491593</v>
      </c>
      <c r="AA21" s="23">
        <v>3168.3623779335326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337.43949775018734</v>
      </c>
      <c r="E22" s="23">
        <v>357.48768149221024</v>
      </c>
      <c r="F22" s="23">
        <v>351.03607601438114</v>
      </c>
      <c r="G22" s="23">
        <v>348.84497185455643</v>
      </c>
      <c r="H22" s="23">
        <v>358.40144899536324</v>
      </c>
      <c r="I22" s="23">
        <v>365.95381301036809</v>
      </c>
      <c r="J22" s="23">
        <v>450.84757398485891</v>
      </c>
      <c r="K22" s="23">
        <v>460.53969353969342</v>
      </c>
      <c r="L22" s="23">
        <v>540.5648192078213</v>
      </c>
      <c r="M22" s="23">
        <v>511.39630289114007</v>
      </c>
      <c r="N22" s="23">
        <v>602.63296349603888</v>
      </c>
      <c r="O22" s="23">
        <v>627.32814498933908</v>
      </c>
      <c r="P22" s="23">
        <v>600.21751807913768</v>
      </c>
      <c r="Q22" s="23">
        <v>664.61769058790185</v>
      </c>
      <c r="R22" s="23">
        <v>704.52814044089814</v>
      </c>
      <c r="S22" s="23">
        <v>755.98822094217621</v>
      </c>
      <c r="T22" s="23">
        <v>772.8047089156596</v>
      </c>
      <c r="U22" s="23">
        <v>732.00816210360222</v>
      </c>
      <c r="V22" s="23">
        <v>675.99596911919514</v>
      </c>
      <c r="W22" s="23">
        <v>793.09422159964356</v>
      </c>
      <c r="X22" s="23">
        <v>763.17307223518208</v>
      </c>
      <c r="Y22" s="23">
        <v>503.78092763375298</v>
      </c>
      <c r="Z22" s="23">
        <v>445.29576679629673</v>
      </c>
      <c r="AA22" s="23">
        <v>662.21303748621835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2013.6542729424139</v>
      </c>
      <c r="E23" s="23">
        <v>2178.3033172006926</v>
      </c>
      <c r="F23" s="23">
        <v>2202.9854956343092</v>
      </c>
      <c r="G23" s="23">
        <v>2246.8978548607943</v>
      </c>
      <c r="H23" s="23">
        <v>2407.6678129829984</v>
      </c>
      <c r="I23" s="23">
        <v>3150.2525971469245</v>
      </c>
      <c r="J23" s="23">
        <v>3842.305075705437</v>
      </c>
      <c r="K23" s="23">
        <v>4638.1558789558785</v>
      </c>
      <c r="L23" s="23">
        <v>5579.8125368413484</v>
      </c>
      <c r="M23" s="23">
        <v>5892.6322472887014</v>
      </c>
      <c r="N23" s="23">
        <v>4479.5466482314678</v>
      </c>
      <c r="O23" s="23">
        <v>4047.9453006396589</v>
      </c>
      <c r="P23" s="23">
        <v>3738.2733502457922</v>
      </c>
      <c r="Q23" s="23">
        <v>3002.0885474068709</v>
      </c>
      <c r="R23" s="23">
        <v>2818.3828042464243</v>
      </c>
      <c r="S23" s="23">
        <v>2861.7773399999996</v>
      </c>
      <c r="T23" s="23">
        <v>2637.9338868216305</v>
      </c>
      <c r="U23" s="23">
        <v>2871.0403259790046</v>
      </c>
      <c r="V23" s="23">
        <v>2996.6235781262521</v>
      </c>
      <c r="W23" s="23">
        <v>3220.0630974754913</v>
      </c>
      <c r="X23" s="23">
        <v>3440.0320582466279</v>
      </c>
      <c r="Y23" s="23">
        <v>3083.6820210880469</v>
      </c>
      <c r="Z23" s="23">
        <v>3111.2599852616058</v>
      </c>
      <c r="AA23" s="23">
        <v>3666.8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4170.2070170166398</v>
      </c>
      <c r="E24" s="23">
        <v>4146.3886529833608</v>
      </c>
      <c r="F24" s="23">
        <v>4188.3115973292242</v>
      </c>
      <c r="G24" s="23">
        <v>4847.9644201024403</v>
      </c>
      <c r="H24" s="23">
        <v>5371.4850077279752</v>
      </c>
      <c r="I24" s="23">
        <v>6238.5042069237061</v>
      </c>
      <c r="J24" s="23">
        <v>7348.7916896077086</v>
      </c>
      <c r="K24" s="23">
        <v>6496.4814044814029</v>
      </c>
      <c r="L24" s="23">
        <v>7049.5848465243325</v>
      </c>
      <c r="M24" s="23">
        <v>7014.2708552601462</v>
      </c>
      <c r="N24" s="23">
        <v>7609.7439894828703</v>
      </c>
      <c r="O24" s="23">
        <v>7840.0114029850747</v>
      </c>
      <c r="P24" s="23">
        <v>7749.6107748502618</v>
      </c>
      <c r="Q24" s="23">
        <v>8450.7357244072173</v>
      </c>
      <c r="R24" s="23">
        <v>8338.9176436669168</v>
      </c>
      <c r="S24" s="23">
        <v>9104.8113240000002</v>
      </c>
      <c r="T24" s="23">
        <v>9227.9624568694726</v>
      </c>
      <c r="U24" s="23">
        <v>10021.332333367369</v>
      </c>
      <c r="V24" s="23">
        <v>10920.362300643816</v>
      </c>
      <c r="W24" s="23">
        <v>11421.562543810638</v>
      </c>
      <c r="X24" s="23">
        <v>10504.601025127738</v>
      </c>
      <c r="Y24" s="23">
        <v>12430.206209258315</v>
      </c>
      <c r="Z24" s="23">
        <v>11953.015770081058</v>
      </c>
      <c r="AA24" s="23">
        <v>12932.9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3271.0985537733368</v>
      </c>
      <c r="E25" s="23">
        <v>3826.3771575935284</v>
      </c>
      <c r="F25" s="23">
        <v>4281.3914946070881</v>
      </c>
      <c r="G25" s="23">
        <v>4444.4810791622303</v>
      </c>
      <c r="H25" s="23">
        <v>4424.6433539412674</v>
      </c>
      <c r="I25" s="23">
        <v>3771.7685677075442</v>
      </c>
      <c r="J25" s="23">
        <v>4255.8394872677218</v>
      </c>
      <c r="K25" s="23">
        <v>4553.9185955185958</v>
      </c>
      <c r="L25" s="23">
        <v>4241.5074976637197</v>
      </c>
      <c r="M25" s="23">
        <v>4041.3122591863807</v>
      </c>
      <c r="N25" s="23">
        <v>3952.6185115087774</v>
      </c>
      <c r="O25" s="23">
        <v>3793.6565117270798</v>
      </c>
      <c r="P25" s="23">
        <v>3720.301721070748</v>
      </c>
      <c r="Q25" s="23">
        <v>3747.0867021444087</v>
      </c>
      <c r="R25" s="23">
        <v>3973.8634307072912</v>
      </c>
      <c r="S25" s="23">
        <v>3960.9053759999997</v>
      </c>
      <c r="T25" s="23">
        <v>4093.0749954090757</v>
      </c>
      <c r="U25" s="23">
        <v>3838.6183019761088</v>
      </c>
      <c r="V25" s="23">
        <v>3942.7548526701034</v>
      </c>
      <c r="W25" s="23">
        <v>4150.565489917205</v>
      </c>
      <c r="X25" s="23">
        <v>3645.810491819158</v>
      </c>
      <c r="Y25" s="23">
        <v>3778.5436810958577</v>
      </c>
      <c r="Z25" s="23">
        <v>3851.9749447310237</v>
      </c>
      <c r="AA25" s="23">
        <v>3910.1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891.94797340445518</v>
      </c>
      <c r="E26" s="23">
        <v>869.85741336065291</v>
      </c>
      <c r="F26" s="23">
        <v>1010.2574216743709</v>
      </c>
      <c r="G26" s="23">
        <v>976.4857244282166</v>
      </c>
      <c r="H26" s="23">
        <v>1026.3678129829984</v>
      </c>
      <c r="I26" s="23">
        <v>1166.4720174455583</v>
      </c>
      <c r="J26" s="23">
        <v>1299.5437715072262</v>
      </c>
      <c r="K26" s="23">
        <v>1362.2615230615229</v>
      </c>
      <c r="L26" s="23">
        <v>1433.4301488031053</v>
      </c>
      <c r="M26" s="23">
        <v>1375.3583810003202</v>
      </c>
      <c r="N26" s="23">
        <v>1478.4044335142855</v>
      </c>
      <c r="O26" s="23">
        <v>1480.8478464818766</v>
      </c>
      <c r="P26" s="23">
        <v>1478.2101201065277</v>
      </c>
      <c r="Q26" s="23">
        <v>1525.8369493340051</v>
      </c>
      <c r="R26" s="23">
        <v>1490.3481285459807</v>
      </c>
      <c r="S26" s="23">
        <v>1568.2175159999999</v>
      </c>
      <c r="T26" s="23">
        <v>1575.9356033441261</v>
      </c>
      <c r="U26" s="23">
        <v>1717.6086061427368</v>
      </c>
      <c r="V26" s="23">
        <v>1911.7460636336921</v>
      </c>
      <c r="W26" s="23">
        <v>1939.3067506476357</v>
      </c>
      <c r="X26" s="23">
        <v>1208.9817462687772</v>
      </c>
      <c r="Y26" s="23">
        <v>1768.2747904713269</v>
      </c>
      <c r="Z26" s="23">
        <v>2094.2100221075902</v>
      </c>
      <c r="AA26" s="23">
        <v>2361.5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1265.2274219601065</v>
      </c>
      <c r="E27" s="23">
        <v>1562.2885081428624</v>
      </c>
      <c r="F27" s="23">
        <v>1892.2462044170518</v>
      </c>
      <c r="G27" s="23">
        <v>1971.7446320807346</v>
      </c>
      <c r="H27" s="23">
        <v>2198.7114953632145</v>
      </c>
      <c r="I27" s="23">
        <v>1952.1525456582974</v>
      </c>
      <c r="J27" s="23">
        <v>2082.8825189263589</v>
      </c>
      <c r="K27" s="23">
        <v>2169.9609301609303</v>
      </c>
      <c r="L27" s="23">
        <v>3611.9738911652648</v>
      </c>
      <c r="M27" s="23">
        <v>3302.5288244176995</v>
      </c>
      <c r="N27" s="23">
        <v>3107.8428142389253</v>
      </c>
      <c r="O27" s="23">
        <v>3418.1431855010665</v>
      </c>
      <c r="P27" s="23">
        <v>3240.6511521173907</v>
      </c>
      <c r="Q27" s="23">
        <v>3541.6119658657931</v>
      </c>
      <c r="R27" s="23">
        <v>3524.13057240236</v>
      </c>
      <c r="S27" s="23">
        <v>3467.6155199999998</v>
      </c>
      <c r="T27" s="23">
        <v>4160.5212583965595</v>
      </c>
      <c r="U27" s="23">
        <v>4246.3272599014272</v>
      </c>
      <c r="V27" s="23">
        <v>4866.3029626265588</v>
      </c>
      <c r="W27" s="23">
        <v>5660.7550160004066</v>
      </c>
      <c r="X27" s="23">
        <v>6032.4656921226597</v>
      </c>
      <c r="Y27" s="23">
        <v>6059.1886959656349</v>
      </c>
      <c r="Z27" s="23">
        <v>6143.7661016949141</v>
      </c>
      <c r="AA27" s="23">
        <v>6846.7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934.28826114721471</v>
      </c>
      <c r="E28" s="23">
        <v>1193.6750839015085</v>
      </c>
      <c r="F28" s="23">
        <v>1397.3335798664612</v>
      </c>
      <c r="G28" s="23">
        <v>1905.618195648867</v>
      </c>
      <c r="H28" s="23">
        <v>2110.9124806800614</v>
      </c>
      <c r="I28" s="23">
        <v>2986.8410879244029</v>
      </c>
      <c r="J28" s="23">
        <v>2898.7811596696488</v>
      </c>
      <c r="K28" s="23">
        <v>4174.2126588126584</v>
      </c>
      <c r="L28" s="23">
        <v>3896.1576737833375</v>
      </c>
      <c r="M28" s="23">
        <v>3661.8703564727948</v>
      </c>
      <c r="N28" s="23">
        <v>5592.9523759873982</v>
      </c>
      <c r="O28" s="23">
        <v>5154.8702302771853</v>
      </c>
      <c r="P28" s="23">
        <v>4773.2996052590024</v>
      </c>
      <c r="Q28" s="23">
        <v>4164.9955222470635</v>
      </c>
      <c r="R28" s="23">
        <v>4281.4226757416309</v>
      </c>
      <c r="S28" s="23">
        <v>4498.1205719999998</v>
      </c>
      <c r="T28" s="23">
        <v>4731.0109080365337</v>
      </c>
      <c r="U28" s="23">
        <v>4529.5695963318085</v>
      </c>
      <c r="V28" s="23">
        <v>4739.2173109288597</v>
      </c>
      <c r="W28" s="23">
        <v>4276.718656981765</v>
      </c>
      <c r="X28" s="23">
        <v>4313.7207261456006</v>
      </c>
      <c r="Y28" s="23">
        <v>5272.0854576586862</v>
      </c>
      <c r="Z28" s="23">
        <v>5371.0138540899034</v>
      </c>
      <c r="AA28" s="23">
        <v>5325.5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4531.0334397655988</v>
      </c>
      <c r="E29" s="23">
        <v>4453.5177094005012</v>
      </c>
      <c r="F29" s="23">
        <v>5085.3407293271703</v>
      </c>
      <c r="G29" s="23">
        <v>4727.7600081140026</v>
      </c>
      <c r="H29" s="23">
        <v>5349.6019706336929</v>
      </c>
      <c r="I29" s="23">
        <v>5344.1336887058178</v>
      </c>
      <c r="J29" s="23">
        <v>5670.4123709566411</v>
      </c>
      <c r="K29" s="23">
        <v>7002.9687071687067</v>
      </c>
      <c r="L29" s="23">
        <v>6731.044813456977</v>
      </c>
      <c r="M29" s="23">
        <v>7072.86533199103</v>
      </c>
      <c r="N29" s="23">
        <v>7538.9233450819956</v>
      </c>
      <c r="O29" s="23">
        <v>7342.9201151385932</v>
      </c>
      <c r="P29" s="23">
        <v>7312.0103285297737</v>
      </c>
      <c r="Q29" s="23">
        <v>7176.1312214629852</v>
      </c>
      <c r="R29" s="23">
        <v>6647.3417959780463</v>
      </c>
      <c r="S29" s="23">
        <v>6394.0376999999999</v>
      </c>
      <c r="T29" s="23">
        <v>6387.0489614845601</v>
      </c>
      <c r="U29" s="23">
        <v>6947.052938173515</v>
      </c>
      <c r="V29" s="23">
        <v>7552.2235246974597</v>
      </c>
      <c r="W29" s="23">
        <v>7710.077431807792</v>
      </c>
      <c r="X29" s="23">
        <v>6980.2774108663543</v>
      </c>
      <c r="Y29" s="23">
        <v>6995.9199735648417</v>
      </c>
      <c r="Z29" s="23">
        <v>6676.8280029476773</v>
      </c>
      <c r="AA29" s="23">
        <v>7177.4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653.47252920626579</v>
      </c>
      <c r="E30" s="23">
        <v>736.93406577878261</v>
      </c>
      <c r="F30" s="23">
        <v>748.32832049306626</v>
      </c>
      <c r="G30" s="23">
        <v>695.16817282823672</v>
      </c>
      <c r="H30" s="23">
        <v>737.35160355486869</v>
      </c>
      <c r="I30" s="23">
        <v>853.7059030196566</v>
      </c>
      <c r="J30" s="23">
        <v>987.4916551961461</v>
      </c>
      <c r="K30" s="23">
        <v>1261.4320474320473</v>
      </c>
      <c r="L30" s="23">
        <v>1709.8688807418594</v>
      </c>
      <c r="M30" s="23">
        <v>2063.7012629844871</v>
      </c>
      <c r="N30" s="23">
        <v>2359.9993517458665</v>
      </c>
      <c r="O30" s="23">
        <v>2232.7580597014926</v>
      </c>
      <c r="P30" s="23">
        <v>2476.9441530963486</v>
      </c>
      <c r="Q30" s="23">
        <v>2345.9960575621126</v>
      </c>
      <c r="R30" s="23">
        <v>2208.7259655878993</v>
      </c>
      <c r="S30" s="23">
        <v>2690.7171479999997</v>
      </c>
      <c r="T30" s="23">
        <v>2636.3318378195522</v>
      </c>
      <c r="U30" s="23">
        <v>2605.7987246721191</v>
      </c>
      <c r="V30" s="23">
        <v>2779.0576656960438</v>
      </c>
      <c r="W30" s="23">
        <v>3229.8859247218975</v>
      </c>
      <c r="X30" s="23">
        <v>3153.1731755551427</v>
      </c>
      <c r="Y30" s="23">
        <v>3426.7559614287006</v>
      </c>
      <c r="Z30" s="23">
        <v>3455.6340456890189</v>
      </c>
      <c r="AA30" s="23">
        <v>3577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1056.016588407648</v>
      </c>
      <c r="E31" s="23">
        <v>1205.6791747624263</v>
      </c>
      <c r="F31" s="23">
        <v>1259.1326348228044</v>
      </c>
      <c r="G31" s="23">
        <v>1183.2709366600743</v>
      </c>
      <c r="H31" s="23">
        <v>1288.6973918083461</v>
      </c>
      <c r="I31" s="23">
        <v>1344.4424629736197</v>
      </c>
      <c r="J31" s="23">
        <v>1521.996765313145</v>
      </c>
      <c r="K31" s="23">
        <v>1696.0198506198503</v>
      </c>
      <c r="L31" s="23">
        <v>1277.7347710444972</v>
      </c>
      <c r="M31" s="23">
        <v>1439.8312680181209</v>
      </c>
      <c r="N31" s="23">
        <v>1194.5582964062696</v>
      </c>
      <c r="O31" s="23">
        <v>1241.0494541577825</v>
      </c>
      <c r="P31" s="23">
        <v>1284.5352814240152</v>
      </c>
      <c r="Q31" s="23">
        <v>1179.609408949208</v>
      </c>
      <c r="R31" s="23">
        <v>1365.9248823583923</v>
      </c>
      <c r="S31" s="23">
        <v>1428.319452</v>
      </c>
      <c r="T31" s="23">
        <v>1570.6488416372686</v>
      </c>
      <c r="U31" s="23">
        <v>1614.065916073401</v>
      </c>
      <c r="V31" s="23">
        <v>1870.1221916490795</v>
      </c>
      <c r="W31" s="23">
        <v>2028.4138263828925</v>
      </c>
      <c r="X31" s="23">
        <v>1852.4072905147432</v>
      </c>
      <c r="Y31" s="23">
        <v>1949.7703655862297</v>
      </c>
      <c r="Z31" s="23">
        <v>1961.6677966101693</v>
      </c>
      <c r="AA31" s="23">
        <v>2268.6999999999998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2974.4052139288501</v>
      </c>
      <c r="E32" s="23">
        <v>2848.482926484613</v>
      </c>
      <c r="F32" s="23">
        <v>2867.8824447868592</v>
      </c>
      <c r="G32" s="23">
        <v>3281.104112784627</v>
      </c>
      <c r="H32" s="23">
        <v>3376.6593701700108</v>
      </c>
      <c r="I32" s="23">
        <v>3522.0075052245775</v>
      </c>
      <c r="J32" s="23">
        <v>3619.1390915347506</v>
      </c>
      <c r="K32" s="23">
        <v>3584.1262339262412</v>
      </c>
      <c r="L32" s="23">
        <v>3942.6279778592343</v>
      </c>
      <c r="M32" s="23">
        <v>4098.7689790875456</v>
      </c>
      <c r="N32" s="23">
        <v>3993.3826490021215</v>
      </c>
      <c r="O32" s="23">
        <v>3840.661944562909</v>
      </c>
      <c r="P32" s="23">
        <v>3936.3102348445823</v>
      </c>
      <c r="Q32" s="23">
        <v>4267.6458985420604</v>
      </c>
      <c r="R32" s="23">
        <v>4648.8894096811064</v>
      </c>
      <c r="S32" s="23">
        <v>4401.3190679999971</v>
      </c>
      <c r="T32" s="23">
        <v>4095.7984787126102</v>
      </c>
      <c r="U32" s="23">
        <v>4512.1842709561188</v>
      </c>
      <c r="V32" s="23">
        <v>4673.3866481446785</v>
      </c>
      <c r="W32" s="23">
        <v>4875.3498145984631</v>
      </c>
      <c r="X32" s="23">
        <v>5088.1326725160925</v>
      </c>
      <c r="Y32" s="23">
        <v>5345.7791342485552</v>
      </c>
      <c r="Z32" s="23">
        <v>5085.2498157700802</v>
      </c>
      <c r="AA32" s="23">
        <v>5424.4999999999891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2334.9423387551183</v>
      </c>
      <c r="E33" s="23">
        <v>2112.1344261136824</v>
      </c>
      <c r="F33" s="23">
        <v>2299.7545351823319</v>
      </c>
      <c r="G33" s="23">
        <v>2204.5881434149806</v>
      </c>
      <c r="H33" s="23">
        <v>2231.5360510046366</v>
      </c>
      <c r="I33" s="23">
        <v>2265.1696762273978</v>
      </c>
      <c r="J33" s="23">
        <v>2187.6921025464553</v>
      </c>
      <c r="K33" s="23">
        <v>2206.7615615615618</v>
      </c>
      <c r="L33" s="23">
        <v>2212.5028107253252</v>
      </c>
      <c r="M33" s="23">
        <v>2353.0707500114399</v>
      </c>
      <c r="N33" s="23">
        <v>2417.8581275428674</v>
      </c>
      <c r="O33" s="23">
        <v>2222.5087547974417</v>
      </c>
      <c r="P33" s="23">
        <v>2339.1035021421276</v>
      </c>
      <c r="Q33" s="23">
        <v>2099.1132033882295</v>
      </c>
      <c r="R33" s="23">
        <v>2683.8896382713633</v>
      </c>
      <c r="S33" s="23">
        <v>2662.87014</v>
      </c>
      <c r="T33" s="23">
        <v>2371.1927279756437</v>
      </c>
      <c r="U33" s="23">
        <v>2667.1858470163456</v>
      </c>
      <c r="V33" s="23">
        <v>2845.7739427777628</v>
      </c>
      <c r="W33" s="23">
        <v>3073.9836237110785</v>
      </c>
      <c r="X33" s="23">
        <v>3216.0573522645636</v>
      </c>
      <c r="Y33" s="23">
        <v>3358.5395175583526</v>
      </c>
      <c r="Z33" s="23">
        <v>3316.662932940309</v>
      </c>
      <c r="AA33" s="23">
        <v>3652.9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1366.0969309943277</v>
      </c>
      <c r="E34" s="23">
        <v>1225.2956159253895</v>
      </c>
      <c r="F34" s="23">
        <v>1632.303564458141</v>
      </c>
      <c r="G34" s="23">
        <v>1313.8426289365589</v>
      </c>
      <c r="H34" s="23">
        <v>1426.6672720247295</v>
      </c>
      <c r="I34" s="23">
        <v>1831.4137807795985</v>
      </c>
      <c r="J34" s="23">
        <v>1561.6865622849277</v>
      </c>
      <c r="K34" s="23">
        <v>1551.1572495572495</v>
      </c>
      <c r="L34" s="23">
        <v>1621.6944576234637</v>
      </c>
      <c r="M34" s="23">
        <v>1638.5594609435773</v>
      </c>
      <c r="N34" s="23">
        <v>2156.1786642791571</v>
      </c>
      <c r="O34" s="23">
        <v>2149.3499232409381</v>
      </c>
      <c r="P34" s="23">
        <v>2333.1711196959968</v>
      </c>
      <c r="Q34" s="23">
        <v>2468.1326069842867</v>
      </c>
      <c r="R34" s="23">
        <v>2349.7048426125189</v>
      </c>
      <c r="S34" s="23">
        <v>2417.219748</v>
      </c>
      <c r="T34" s="23">
        <v>2534.7619310878076</v>
      </c>
      <c r="U34" s="23">
        <v>2489.947839646547</v>
      </c>
      <c r="V34" s="23">
        <v>2848.135580904549</v>
      </c>
      <c r="W34" s="23">
        <v>2811.1528318179512</v>
      </c>
      <c r="X34" s="23">
        <v>3566.8707806307361</v>
      </c>
      <c r="Y34" s="23">
        <v>3769.8299017693535</v>
      </c>
      <c r="Z34" s="23">
        <v>4036.3768607221809</v>
      </c>
      <c r="AA34" s="23">
        <v>4309.8999999999996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337.47699936140634</v>
      </c>
      <c r="E35" s="23">
        <v>289.854876885576</v>
      </c>
      <c r="F35" s="23">
        <v>330.320123266564</v>
      </c>
      <c r="G35" s="23">
        <v>317.74313099041541</v>
      </c>
      <c r="H35" s="23">
        <v>413.64277434312208</v>
      </c>
      <c r="I35" s="23">
        <v>559.76599933367663</v>
      </c>
      <c r="J35" s="23">
        <v>629.09516517549889</v>
      </c>
      <c r="K35" s="23">
        <v>750.69033649033645</v>
      </c>
      <c r="L35" s="23">
        <v>924.04412335561778</v>
      </c>
      <c r="M35" s="23">
        <v>673.55204319773009</v>
      </c>
      <c r="N35" s="23">
        <v>672.51434205605358</v>
      </c>
      <c r="O35" s="23">
        <v>736.71296801705773</v>
      </c>
      <c r="P35" s="23">
        <v>859.84649101569494</v>
      </c>
      <c r="Q35" s="23">
        <v>903.8452624618194</v>
      </c>
      <c r="R35" s="23">
        <v>852.70032641041212</v>
      </c>
      <c r="S35" s="23">
        <v>912.98404799999992</v>
      </c>
      <c r="T35" s="23">
        <v>928.0669869037838</v>
      </c>
      <c r="U35" s="23">
        <v>931.42265331316082</v>
      </c>
      <c r="V35" s="23">
        <v>875.57733550610419</v>
      </c>
      <c r="W35" s="23">
        <v>1057.778168334434</v>
      </c>
      <c r="X35" s="23">
        <v>717.81618733200401</v>
      </c>
      <c r="Y35" s="23">
        <v>596.52043618011965</v>
      </c>
      <c r="Z35" s="23">
        <v>666.03271923360342</v>
      </c>
      <c r="AA35" s="23">
        <v>801.8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497.49838097742389</v>
      </c>
      <c r="E36" s="23">
        <v>439.17405588723636</v>
      </c>
      <c r="F36" s="23">
        <v>416.87307652799183</v>
      </c>
      <c r="G36" s="23">
        <v>495.66807647446632</v>
      </c>
      <c r="H36" s="23">
        <v>471.55276275115915</v>
      </c>
      <c r="I36" s="23">
        <v>465.13291334766939</v>
      </c>
      <c r="J36" s="23">
        <v>423.75394012388165</v>
      </c>
      <c r="K36" s="23">
        <v>428.84435204435204</v>
      </c>
      <c r="L36" s="23">
        <v>711.15452519588825</v>
      </c>
      <c r="M36" s="23">
        <v>1064.9403926234384</v>
      </c>
      <c r="N36" s="23">
        <v>723.23469746251578</v>
      </c>
      <c r="O36" s="23">
        <v>760.21568443496801</v>
      </c>
      <c r="P36" s="23">
        <v>654.83033295087318</v>
      </c>
      <c r="Q36" s="23">
        <v>707.59166168088927</v>
      </c>
      <c r="R36" s="23">
        <v>760.02292904434853</v>
      </c>
      <c r="S36" s="23">
        <v>731.14971600000001</v>
      </c>
      <c r="T36" s="23">
        <v>669.97689266901853</v>
      </c>
      <c r="U36" s="23">
        <v>695.25916259038218</v>
      </c>
      <c r="V36" s="23">
        <v>746.57285283039027</v>
      </c>
      <c r="W36" s="23">
        <v>731.80062985726624</v>
      </c>
      <c r="X36" s="23">
        <v>706.57731319670347</v>
      </c>
      <c r="Y36" s="23">
        <v>734.1981495388867</v>
      </c>
      <c r="Z36" s="23">
        <v>632.38820928518794</v>
      </c>
      <c r="AA36" s="23">
        <v>608.79999999999995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39410.090770444374</v>
      </c>
      <c r="E39" s="30">
        <f t="shared" ref="E39:S39" si="3">SUM(E18:E38)</f>
        <v>41014.757862012913</v>
      </c>
      <c r="F39" s="30">
        <f t="shared" si="3"/>
        <v>44131.790077041609</v>
      </c>
      <c r="G39" s="30">
        <f t="shared" si="3"/>
        <v>45965.718829555255</v>
      </c>
      <c r="H39" s="30">
        <f t="shared" si="3"/>
        <v>48207.263253477584</v>
      </c>
      <c r="I39" s="30">
        <f t="shared" si="3"/>
        <v>51319.748444740595</v>
      </c>
      <c r="J39" s="30">
        <f t="shared" si="3"/>
        <v>54985.579267033718</v>
      </c>
      <c r="K39" s="30">
        <f t="shared" si="3"/>
        <v>58586.392469392471</v>
      </c>
      <c r="L39" s="30">
        <f t="shared" si="3"/>
        <v>62190.175271367974</v>
      </c>
      <c r="M39" s="30">
        <f t="shared" si="3"/>
        <v>61656.369985814294</v>
      </c>
      <c r="N39" s="30">
        <f t="shared" si="3"/>
        <v>62784.849425977773</v>
      </c>
      <c r="O39" s="30">
        <f t="shared" si="3"/>
        <v>63977.574908315568</v>
      </c>
      <c r="P39" s="30">
        <f t="shared" si="3"/>
        <v>64140.046598385263</v>
      </c>
      <c r="Q39" s="30">
        <f t="shared" si="3"/>
        <v>63082.831841798667</v>
      </c>
      <c r="R39" s="30">
        <f t="shared" si="3"/>
        <v>63689.341153454086</v>
      </c>
      <c r="S39" s="30">
        <f t="shared" si="3"/>
        <v>65563.625508000012</v>
      </c>
      <c r="T39" s="30">
        <f t="shared" ref="T39:Y39" si="4">SUM(T18:T38)</f>
        <v>67253.055877833089</v>
      </c>
      <c r="U39" s="30">
        <f t="shared" si="4"/>
        <v>69459.605858711482</v>
      </c>
      <c r="V39" s="30">
        <f t="shared" si="4"/>
        <v>71767.673432532771</v>
      </c>
      <c r="W39" s="30">
        <f t="shared" si="4"/>
        <v>74233.350718748421</v>
      </c>
      <c r="X39" s="30">
        <f t="shared" si="4"/>
        <v>71908.457455584532</v>
      </c>
      <c r="Y39" s="30">
        <f t="shared" si="4"/>
        <v>77758.903610802372</v>
      </c>
      <c r="Z39" s="30">
        <f t="shared" ref="Z39:AA39" si="5">SUM(Z18:Z38)</f>
        <v>82006.135740604252</v>
      </c>
      <c r="AA39" s="30">
        <f t="shared" si="5"/>
        <v>83042.399999999965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1047.9221216332971</v>
      </c>
      <c r="E41" s="19">
        <v>1238.4708376020067</v>
      </c>
      <c r="F41" s="19">
        <v>1229.0519363122755</v>
      </c>
      <c r="G41" s="19">
        <v>1557.3336173233938</v>
      </c>
      <c r="H41" s="19">
        <v>1361.5518933539411</v>
      </c>
      <c r="I41" s="19">
        <v>1519.4007147832933</v>
      </c>
      <c r="J41" s="19">
        <v>1671.4870784583618</v>
      </c>
      <c r="K41" s="19">
        <v>1787.9150689150688</v>
      </c>
      <c r="L41" s="19">
        <v>1860.2023003378624</v>
      </c>
      <c r="M41" s="19">
        <v>2066.3560289205143</v>
      </c>
      <c r="N41" s="19">
        <v>1741.5867221233725</v>
      </c>
      <c r="O41" s="19">
        <v>1883.0447078891259</v>
      </c>
      <c r="P41" s="19">
        <v>2450.9463594353629</v>
      </c>
      <c r="Q41" s="19">
        <v>2112.8579147904402</v>
      </c>
      <c r="R41" s="19">
        <v>1905.774988930877</v>
      </c>
      <c r="S41" s="19">
        <v>1808.8952279999999</v>
      </c>
      <c r="T41" s="19">
        <v>1731.0139467452761</v>
      </c>
      <c r="U41" s="19">
        <v>1326.2080065344312</v>
      </c>
      <c r="V41" s="19">
        <v>1609.3087810220925</v>
      </c>
      <c r="W41" s="19">
        <v>1695.2796566262</v>
      </c>
      <c r="X41" s="19">
        <v>2026.7436357325628</v>
      </c>
      <c r="Y41" s="19">
        <v>1487.6910961578899</v>
      </c>
      <c r="Z41" s="19">
        <v>2289.7553426676491</v>
      </c>
      <c r="AA41" s="19">
        <v>2004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794.5030464670748</v>
      </c>
      <c r="E42" s="23">
        <v>1020.3477231780125</v>
      </c>
      <c r="F42" s="23">
        <v>1157.2555521314844</v>
      </c>
      <c r="G42" s="23">
        <v>1304.8763324712208</v>
      </c>
      <c r="H42" s="23">
        <v>1235.3241306027819</v>
      </c>
      <c r="I42" s="23">
        <v>1325.3652360904989</v>
      </c>
      <c r="J42" s="23">
        <v>1314.9918960770817</v>
      </c>
      <c r="K42" s="23">
        <v>1429.268453068453</v>
      </c>
      <c r="L42" s="23">
        <v>1158.9773272949465</v>
      </c>
      <c r="M42" s="23">
        <v>1340.6567976936803</v>
      </c>
      <c r="N42" s="23">
        <v>1041.0822580096785</v>
      </c>
      <c r="O42" s="23">
        <v>1474.3094968017058</v>
      </c>
      <c r="P42" s="23">
        <v>1448.3737260392215</v>
      </c>
      <c r="Q42" s="23">
        <v>1189.874446578707</v>
      </c>
      <c r="R42" s="23">
        <v>1196.2723354304601</v>
      </c>
      <c r="S42" s="23">
        <v>1097.8019879999999</v>
      </c>
      <c r="T42" s="23">
        <v>1147.067085487846</v>
      </c>
      <c r="U42" s="23">
        <v>1099.5833669027356</v>
      </c>
      <c r="V42" s="23">
        <v>1079.7114310902143</v>
      </c>
      <c r="W42" s="23">
        <v>1121.3458932290346</v>
      </c>
      <c r="X42" s="23">
        <v>959.05059287899451</v>
      </c>
      <c r="Y42" s="23">
        <v>720.38058517828722</v>
      </c>
      <c r="Z42" s="23">
        <v>810.89697862932928</v>
      </c>
      <c r="AA42" s="23">
        <v>818.6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210.14481048796063</v>
      </c>
      <c r="E43" s="23">
        <v>269.06730490691353</v>
      </c>
      <c r="F43" s="23">
        <v>324.36073959938369</v>
      </c>
      <c r="G43" s="23">
        <v>405.72491505654455</v>
      </c>
      <c r="H43" s="23">
        <v>414.97710587326117</v>
      </c>
      <c r="I43" s="23">
        <v>471.40831692764334</v>
      </c>
      <c r="J43" s="23">
        <v>477.46588093599445</v>
      </c>
      <c r="K43" s="23">
        <v>522.65405405405397</v>
      </c>
      <c r="L43" s="23">
        <v>549.7000071885559</v>
      </c>
      <c r="M43" s="23">
        <v>557.69047270397652</v>
      </c>
      <c r="N43" s="23">
        <v>562.43238550721355</v>
      </c>
      <c r="O43" s="23">
        <v>641.64182942430716</v>
      </c>
      <c r="P43" s="23">
        <v>620.80637480394535</v>
      </c>
      <c r="Q43" s="23">
        <v>584.23722643826557</v>
      </c>
      <c r="R43" s="23">
        <v>582.86061142745348</v>
      </c>
      <c r="S43" s="23">
        <v>652.24986000000001</v>
      </c>
      <c r="T43" s="23">
        <v>659.08295945488806</v>
      </c>
      <c r="U43" s="23">
        <v>667.87342881275708</v>
      </c>
      <c r="V43" s="23">
        <v>652.25493014185338</v>
      </c>
      <c r="W43" s="23">
        <v>646.06138060649164</v>
      </c>
      <c r="X43" s="23">
        <v>575.85850331350343</v>
      </c>
      <c r="Y43" s="23">
        <v>602.86904683228693</v>
      </c>
      <c r="Z43" s="23">
        <v>575.92114959469416</v>
      </c>
      <c r="AA43" s="23">
        <v>559.70000000000005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783.91797453138508</v>
      </c>
      <c r="E44" s="23">
        <v>548.08922174727104</v>
      </c>
      <c r="F44" s="23">
        <v>586.28984078068822</v>
      </c>
      <c r="G44" s="23">
        <v>373.78248389877791</v>
      </c>
      <c r="H44" s="23">
        <v>542.53920015455947</v>
      </c>
      <c r="I44" s="23">
        <v>696.06776509071085</v>
      </c>
      <c r="J44" s="23">
        <v>548.52725395732966</v>
      </c>
      <c r="K44" s="23">
        <v>273.55845075845076</v>
      </c>
      <c r="L44" s="23">
        <v>132.85740780677165</v>
      </c>
      <c r="M44" s="23">
        <v>155.11418111929709</v>
      </c>
      <c r="N44" s="23">
        <v>154.97886374196767</v>
      </c>
      <c r="O44" s="23">
        <v>282.73944562899788</v>
      </c>
      <c r="P44" s="23">
        <v>233.45669743892046</v>
      </c>
      <c r="Q44" s="23">
        <v>211.7381490694965</v>
      </c>
      <c r="R44" s="23">
        <v>-134.493165975061</v>
      </c>
      <c r="S44" s="23">
        <v>223.27333199999998</v>
      </c>
      <c r="T44" s="23">
        <v>490.06678973565937</v>
      </c>
      <c r="U44" s="23">
        <v>473.86550581508681</v>
      </c>
      <c r="V44" s="23">
        <v>167.67630700184327</v>
      </c>
      <c r="W44" s="23">
        <v>266.61959668816985</v>
      </c>
      <c r="X44" s="23">
        <v>-85.36192498002211</v>
      </c>
      <c r="Y44" s="23">
        <v>362.99115022980567</v>
      </c>
      <c r="Z44" s="23">
        <v>633.99543109801027</v>
      </c>
      <c r="AA44" s="23">
        <v>801.7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384.17584613650877</v>
      </c>
      <c r="E45" s="23">
        <v>479.870851732787</v>
      </c>
      <c r="F45" s="23">
        <v>449.79157678479714</v>
      </c>
      <c r="G45" s="23">
        <v>453.35836502865266</v>
      </c>
      <c r="H45" s="23">
        <v>364.53937403400306</v>
      </c>
      <c r="I45" s="23">
        <v>415.18070085107672</v>
      </c>
      <c r="J45" s="23">
        <v>422.56562284927736</v>
      </c>
      <c r="K45" s="23">
        <v>446.5001463001463</v>
      </c>
      <c r="L45" s="23">
        <v>398.96940550643382</v>
      </c>
      <c r="M45" s="23">
        <v>350.04985127900056</v>
      </c>
      <c r="N45" s="23">
        <v>319.7260922288836</v>
      </c>
      <c r="O45" s="23">
        <v>442.84065671641793</v>
      </c>
      <c r="P45" s="23">
        <v>447.02246549963684</v>
      </c>
      <c r="Q45" s="23">
        <v>395.46492426866519</v>
      </c>
      <c r="R45" s="23">
        <v>564.76889113131574</v>
      </c>
      <c r="S45" s="23">
        <v>668.49394799999993</v>
      </c>
      <c r="T45" s="23">
        <v>639.69816652974441</v>
      </c>
      <c r="U45" s="23">
        <v>669.41195318228665</v>
      </c>
      <c r="V45" s="23">
        <v>535.50144524884456</v>
      </c>
      <c r="W45" s="23">
        <v>620.52202976583533</v>
      </c>
      <c r="X45" s="23">
        <v>645.4324860558412</v>
      </c>
      <c r="Y45" s="23">
        <v>268.1354381327165</v>
      </c>
      <c r="Z45" s="23">
        <v>762.68032424465719</v>
      </c>
      <c r="AA45" s="23">
        <v>608.29999999999995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181.5028511325645</v>
      </c>
      <c r="E46" s="23">
        <v>226.61381283781398</v>
      </c>
      <c r="F46" s="23">
        <v>211.13244992295844</v>
      </c>
      <c r="G46" s="23">
        <v>213.50993458086114</v>
      </c>
      <c r="H46" s="23">
        <v>180.93535548686242</v>
      </c>
      <c r="I46" s="23">
        <v>197.54970469758004</v>
      </c>
      <c r="J46" s="23">
        <v>201.06328286304196</v>
      </c>
      <c r="K46" s="23">
        <v>223.56915376915376</v>
      </c>
      <c r="L46" s="23">
        <v>201.1727266192222</v>
      </c>
      <c r="M46" s="23">
        <v>198.15931451059348</v>
      </c>
      <c r="N46" s="23">
        <v>308.83060847490287</v>
      </c>
      <c r="O46" s="23">
        <v>321.43940724946697</v>
      </c>
      <c r="P46" s="23">
        <v>343.55473636564597</v>
      </c>
      <c r="Q46" s="23">
        <v>344.83567087571242</v>
      </c>
      <c r="R46" s="23">
        <v>385.72913084218004</v>
      </c>
      <c r="S46" s="23">
        <v>362.17685999999998</v>
      </c>
      <c r="T46" s="23">
        <v>374.07844198521241</v>
      </c>
      <c r="U46" s="23">
        <v>370.47666818270426</v>
      </c>
      <c r="V46" s="23">
        <v>342.43752838404612</v>
      </c>
      <c r="W46" s="23">
        <v>270.40840148321229</v>
      </c>
      <c r="X46" s="23">
        <v>303.44960165311937</v>
      </c>
      <c r="Y46" s="23">
        <v>141.28770765117608</v>
      </c>
      <c r="Z46" s="23">
        <v>249.97656595431096</v>
      </c>
      <c r="AA46" s="23">
        <v>290.7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368.29823823297397</v>
      </c>
      <c r="E47" s="23">
        <v>485.14094040343377</v>
      </c>
      <c r="F47" s="23">
        <v>690.4371648690294</v>
      </c>
      <c r="G47" s="23">
        <v>678.07617019118629</v>
      </c>
      <c r="H47" s="23">
        <v>715.46856646058734</v>
      </c>
      <c r="I47" s="23">
        <v>842.66119271890238</v>
      </c>
      <c r="J47" s="23">
        <v>1046.1945285615966</v>
      </c>
      <c r="K47" s="23">
        <v>1290.3620235620235</v>
      </c>
      <c r="L47" s="23">
        <v>1117.4717992955216</v>
      </c>
      <c r="M47" s="23">
        <v>1002.7430192650893</v>
      </c>
      <c r="N47" s="23">
        <v>825.42682094812835</v>
      </c>
      <c r="O47" s="23">
        <v>925.26483582089566</v>
      </c>
      <c r="P47" s="23">
        <v>865.08094611522233</v>
      </c>
      <c r="Q47" s="23">
        <v>775.09733287149288</v>
      </c>
      <c r="R47" s="23">
        <v>964.4935037120174</v>
      </c>
      <c r="S47" s="23">
        <v>1113.0515399999999</v>
      </c>
      <c r="T47" s="23">
        <v>1181.0305243318996</v>
      </c>
      <c r="U47" s="23">
        <v>1120.0457410174779</v>
      </c>
      <c r="V47" s="23">
        <v>1268.199674084364</v>
      </c>
      <c r="W47" s="23">
        <v>1337.4480926499721</v>
      </c>
      <c r="X47" s="23">
        <v>1431.0833065616246</v>
      </c>
      <c r="Y47" s="23">
        <v>1192.7919072366249</v>
      </c>
      <c r="Z47" s="23">
        <v>1135.5557848194544</v>
      </c>
      <c r="AA47" s="23">
        <v>1532.7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678.68990646482098</v>
      </c>
      <c r="E48" s="23">
        <v>659.34664923870423</v>
      </c>
      <c r="F48" s="23">
        <v>688.16692347200831</v>
      </c>
      <c r="G48" s="23">
        <v>850.39718038440094</v>
      </c>
      <c r="H48" s="23">
        <v>1019.696155332303</v>
      </c>
      <c r="I48" s="23">
        <v>1112.2525305145834</v>
      </c>
      <c r="J48" s="23">
        <v>1305.4853578802476</v>
      </c>
      <c r="K48" s="23">
        <v>1642.627027027027</v>
      </c>
      <c r="L48" s="23">
        <v>1505.1215153475666</v>
      </c>
      <c r="M48" s="23">
        <v>1395.0794993822358</v>
      </c>
      <c r="N48" s="23">
        <v>1354.0456361843671</v>
      </c>
      <c r="O48" s="23">
        <v>1505.4108358208955</v>
      </c>
      <c r="P48" s="23">
        <v>1491.9941852019497</v>
      </c>
      <c r="Q48" s="23">
        <v>1253.0305255534213</v>
      </c>
      <c r="R48" s="23">
        <v>1350.2226345541974</v>
      </c>
      <c r="S48" s="23">
        <v>1489.6491719999999</v>
      </c>
      <c r="T48" s="23">
        <v>1934.4741700091818</v>
      </c>
      <c r="U48" s="23">
        <v>2239.1683674132382</v>
      </c>
      <c r="V48" s="23">
        <v>1918.9785803969755</v>
      </c>
      <c r="W48" s="23">
        <v>1877.1422867882361</v>
      </c>
      <c r="X48" s="23">
        <v>1575.5831168726338</v>
      </c>
      <c r="Y48" s="23">
        <v>1540.845150049566</v>
      </c>
      <c r="Z48" s="23">
        <v>2336.1504789977894</v>
      </c>
      <c r="AA48" s="23">
        <v>2150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105.85071935689869</v>
      </c>
      <c r="E49" s="23">
        <v>169.22840286854841</v>
      </c>
      <c r="F49" s="23">
        <v>238.09156651258348</v>
      </c>
      <c r="G49" s="23">
        <v>234.24449515695522</v>
      </c>
      <c r="H49" s="23">
        <v>175.59802936630601</v>
      </c>
      <c r="I49" s="23">
        <v>181.23365538964777</v>
      </c>
      <c r="J49" s="23">
        <v>202.01393668272539</v>
      </c>
      <c r="K49" s="23">
        <v>234.63061523061521</v>
      </c>
      <c r="L49" s="23">
        <v>184.09389691610957</v>
      </c>
      <c r="M49" s="23">
        <v>164.21623575710424</v>
      </c>
      <c r="N49" s="23">
        <v>80.025449641306949</v>
      </c>
      <c r="O49" s="23">
        <v>82.524575692963765</v>
      </c>
      <c r="P49" s="23">
        <v>103.6422109706418</v>
      </c>
      <c r="Q49" s="23">
        <v>84.556072676890139</v>
      </c>
      <c r="R49" s="23">
        <v>142.85631969686048</v>
      </c>
      <c r="S49" s="23">
        <v>192.77422799999999</v>
      </c>
      <c r="T49" s="23">
        <v>197.05202725559369</v>
      </c>
      <c r="U49" s="23">
        <v>225.23996769911918</v>
      </c>
      <c r="V49" s="23">
        <v>322.21600192343652</v>
      </c>
      <c r="W49" s="23">
        <v>345.34254076294002</v>
      </c>
      <c r="X49" s="23">
        <v>387.07217706458306</v>
      </c>
      <c r="Y49" s="23">
        <v>489.46543302592448</v>
      </c>
      <c r="Z49" s="23">
        <v>461.70125276344868</v>
      </c>
      <c r="AA49" s="23">
        <v>473.6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126.08688629277638</v>
      </c>
      <c r="E50" s="23">
        <v>166.593358533225</v>
      </c>
      <c r="F50" s="23">
        <v>183.32199280945042</v>
      </c>
      <c r="G50" s="23">
        <v>201.74167047010499</v>
      </c>
      <c r="H50" s="23">
        <v>177.99982612055641</v>
      </c>
      <c r="I50" s="23">
        <v>211.85762485992066</v>
      </c>
      <c r="J50" s="23">
        <v>253.82456985547142</v>
      </c>
      <c r="K50" s="23">
        <v>269.30404250404246</v>
      </c>
      <c r="L50" s="23">
        <v>358.65542376536553</v>
      </c>
      <c r="M50" s="23">
        <v>414.33311215851364</v>
      </c>
      <c r="N50" s="23">
        <v>433.37725897299322</v>
      </c>
      <c r="O50" s="23">
        <v>436.65573134328361</v>
      </c>
      <c r="P50" s="23">
        <v>475.11404120043375</v>
      </c>
      <c r="Q50" s="23">
        <v>472.88766571149671</v>
      </c>
      <c r="R50" s="23">
        <v>455.36518632165325</v>
      </c>
      <c r="S50" s="23">
        <v>520.30808399999989</v>
      </c>
      <c r="T50" s="23">
        <v>557.99366742376651</v>
      </c>
      <c r="U50" s="23">
        <v>640.1799901612261</v>
      </c>
      <c r="V50" s="23">
        <v>665.9819517538001</v>
      </c>
      <c r="W50" s="23">
        <v>685.35268959211658</v>
      </c>
      <c r="X50" s="23">
        <v>521.93866668819169</v>
      </c>
      <c r="Y50" s="23">
        <v>682.41340382709006</v>
      </c>
      <c r="Z50" s="23">
        <v>537.77641857037577</v>
      </c>
      <c r="AA50" s="23">
        <v>670.4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321.5993914578716</v>
      </c>
      <c r="E51" s="23">
        <v>411.65248171830291</v>
      </c>
      <c r="F51" s="23">
        <v>419.42709809964055</v>
      </c>
      <c r="G51" s="23">
        <v>449.71580708960909</v>
      </c>
      <c r="H51" s="23">
        <v>429.65475270479129</v>
      </c>
      <c r="I51" s="23">
        <v>492.24265681315683</v>
      </c>
      <c r="J51" s="23">
        <v>534.26744666207844</v>
      </c>
      <c r="K51" s="23">
        <v>637.73579733579732</v>
      </c>
      <c r="L51" s="23">
        <v>647.00961828768607</v>
      </c>
      <c r="M51" s="23">
        <v>549.15729648103229</v>
      </c>
      <c r="N51" s="23">
        <v>531.0609064224758</v>
      </c>
      <c r="O51" s="23">
        <v>602.5884434968018</v>
      </c>
      <c r="P51" s="23">
        <v>700.3700923167612</v>
      </c>
      <c r="Q51" s="23">
        <v>689.14939068551814</v>
      </c>
      <c r="R51" s="23">
        <v>685.09589876128791</v>
      </c>
      <c r="S51" s="23">
        <v>704.62875599999995</v>
      </c>
      <c r="T51" s="23">
        <v>721.56287053592996</v>
      </c>
      <c r="U51" s="23">
        <v>790.95537837511733</v>
      </c>
      <c r="V51" s="23">
        <v>852.84656853578383</v>
      </c>
      <c r="W51" s="23">
        <v>893.87727942296954</v>
      </c>
      <c r="X51" s="23">
        <v>743.10365413643081</v>
      </c>
      <c r="Y51" s="23">
        <v>741.7915858091261</v>
      </c>
      <c r="Z51" s="23">
        <v>705.24893146647014</v>
      </c>
      <c r="AA51" s="23">
        <v>850.6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109.89795274407422</v>
      </c>
      <c r="E52" s="23">
        <v>91.933769032394821</v>
      </c>
      <c r="F52" s="23">
        <v>127.41729840780688</v>
      </c>
      <c r="G52" s="23">
        <v>151.02605608803694</v>
      </c>
      <c r="H52" s="23">
        <v>152.11379443585778</v>
      </c>
      <c r="I52" s="23">
        <v>173.70317109367903</v>
      </c>
      <c r="J52" s="23">
        <v>198.21132140399175</v>
      </c>
      <c r="K52" s="23">
        <v>226.54723954723954</v>
      </c>
      <c r="L52" s="23">
        <v>236.72052332686366</v>
      </c>
      <c r="M52" s="23">
        <v>219.01818972223489</v>
      </c>
      <c r="N52" s="23">
        <v>335.31790518716639</v>
      </c>
      <c r="O52" s="23">
        <v>305.35860127931772</v>
      </c>
      <c r="P52" s="23">
        <v>322.4424341308856</v>
      </c>
      <c r="Q52" s="23">
        <v>331.78689422804416</v>
      </c>
      <c r="R52" s="23">
        <v>422.59527786072465</v>
      </c>
      <c r="S52" s="23">
        <v>476.88001199999997</v>
      </c>
      <c r="T52" s="23">
        <v>490.06678973565937</v>
      </c>
      <c r="U52" s="23">
        <v>534.3295135375962</v>
      </c>
      <c r="V52" s="23">
        <v>503.47172815430235</v>
      </c>
      <c r="W52" s="23">
        <v>518.22430029969019</v>
      </c>
      <c r="X52" s="23">
        <v>609.70892184006391</v>
      </c>
      <c r="Y52" s="23">
        <v>678.18099672564506</v>
      </c>
      <c r="Z52" s="23">
        <v>563.06337509211494</v>
      </c>
      <c r="AA52" s="23">
        <v>819.9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267.11740355358609</v>
      </c>
      <c r="E53" s="23">
        <v>300.98061963471923</v>
      </c>
      <c r="F53" s="23">
        <v>362.95484334874067</v>
      </c>
      <c r="G53" s="23">
        <v>437.38714944977033</v>
      </c>
      <c r="H53" s="23">
        <v>418.44636785162453</v>
      </c>
      <c r="I53" s="23">
        <v>520.35646485144173</v>
      </c>
      <c r="J53" s="23">
        <v>579.6611665519606</v>
      </c>
      <c r="K53" s="23">
        <v>698.99927619927689</v>
      </c>
      <c r="L53" s="23">
        <v>774.70365897491092</v>
      </c>
      <c r="M53" s="23">
        <v>726.0784835034101</v>
      </c>
      <c r="N53" s="23">
        <v>683.40982581003561</v>
      </c>
      <c r="O53" s="23">
        <v>761.62938166311312</v>
      </c>
      <c r="P53" s="23">
        <v>857.05478162928</v>
      </c>
      <c r="Q53" s="23">
        <v>895.84201278458386</v>
      </c>
      <c r="R53" s="23">
        <v>1045.0528620118021</v>
      </c>
      <c r="S53" s="23">
        <v>1036.3065119999997</v>
      </c>
      <c r="T53" s="23">
        <v>1125.2792190595862</v>
      </c>
      <c r="U53" s="23">
        <v>1166.9707342881263</v>
      </c>
      <c r="V53" s="23">
        <v>1118.3832554163434</v>
      </c>
      <c r="W53" s="23">
        <v>1169.7583989434659</v>
      </c>
      <c r="X53" s="23">
        <v>969.48669029034454</v>
      </c>
      <c r="Y53" s="23">
        <v>1054.3672985070143</v>
      </c>
      <c r="Z53" s="23">
        <v>1093.4465733235077</v>
      </c>
      <c r="AA53" s="23">
        <v>1134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5379.7071484917924</v>
      </c>
      <c r="E54" s="30">
        <f t="shared" ref="E54:S54" si="6">SUM(E41:E53)</f>
        <v>6067.335973434132</v>
      </c>
      <c r="F54" s="30">
        <f t="shared" si="6"/>
        <v>6667.6989830508473</v>
      </c>
      <c r="G54" s="30">
        <f t="shared" si="6"/>
        <v>7311.1741771895149</v>
      </c>
      <c r="H54" s="30">
        <f t="shared" si="6"/>
        <v>7188.8445517774362</v>
      </c>
      <c r="I54" s="30">
        <f t="shared" si="6"/>
        <v>8159.2797346821353</v>
      </c>
      <c r="J54" s="30">
        <f t="shared" si="6"/>
        <v>8755.7593427391585</v>
      </c>
      <c r="K54" s="30">
        <f t="shared" si="6"/>
        <v>9683.6713482713476</v>
      </c>
      <c r="L54" s="30">
        <f t="shared" si="6"/>
        <v>9125.6556106678163</v>
      </c>
      <c r="M54" s="30">
        <f t="shared" si="6"/>
        <v>9138.6524824966837</v>
      </c>
      <c r="N54" s="30">
        <f t="shared" si="6"/>
        <v>8371.3007332524921</v>
      </c>
      <c r="O54" s="30">
        <f t="shared" si="6"/>
        <v>9665.4479488272937</v>
      </c>
      <c r="P54" s="30">
        <f t="shared" si="6"/>
        <v>10359.859051147909</v>
      </c>
      <c r="Q54" s="30">
        <f t="shared" si="6"/>
        <v>9341.358226532735</v>
      </c>
      <c r="R54" s="30">
        <f t="shared" si="6"/>
        <v>9566.5944747057692</v>
      </c>
      <c r="S54" s="30">
        <f t="shared" si="6"/>
        <v>10346.489519999997</v>
      </c>
      <c r="T54" s="30">
        <f t="shared" ref="T54:Y54" si="7">SUM(T41:T53)</f>
        <v>11248.466658290246</v>
      </c>
      <c r="U54" s="30">
        <f t="shared" si="7"/>
        <v>11324.308621921902</v>
      </c>
      <c r="V54" s="30">
        <f t="shared" si="7"/>
        <v>11036.9681831539</v>
      </c>
      <c r="W54" s="30">
        <f t="shared" si="7"/>
        <v>11447.382546858336</v>
      </c>
      <c r="X54" s="30">
        <f t="shared" si="7"/>
        <v>10663.14942810787</v>
      </c>
      <c r="Y54" s="30">
        <f t="shared" si="7"/>
        <v>9963.2107993631544</v>
      </c>
      <c r="Z54" s="30">
        <f t="shared" ref="Z54:AA54" si="8">SUM(Z41:Z53)</f>
        <v>12156.168607221814</v>
      </c>
      <c r="AA54" s="30">
        <f t="shared" si="8"/>
        <v>12714.2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1047.9221216332971</v>
      </c>
      <c r="E56" s="19">
        <v>1238.4708376020067</v>
      </c>
      <c r="F56" s="19">
        <v>1229.0519363122755</v>
      </c>
      <c r="G56" s="19">
        <v>1557.3336173233938</v>
      </c>
      <c r="H56" s="19">
        <v>1361.5518933539411</v>
      </c>
      <c r="I56" s="19">
        <v>1519.4007147832933</v>
      </c>
      <c r="J56" s="19">
        <v>1671.4870784583618</v>
      </c>
      <c r="K56" s="19">
        <v>1787.9150689150688</v>
      </c>
      <c r="L56" s="19">
        <v>1860.2023003378624</v>
      </c>
      <c r="M56" s="19">
        <v>2066.3560289205143</v>
      </c>
      <c r="N56" s="19">
        <v>1741.5867221233725</v>
      </c>
      <c r="O56" s="19">
        <v>1883.0447078891259</v>
      </c>
      <c r="P56" s="19">
        <v>2450.9463594353629</v>
      </c>
      <c r="Q56" s="19">
        <v>2112.8579147904402</v>
      </c>
      <c r="R56" s="19">
        <v>1905.774988930877</v>
      </c>
      <c r="S56" s="19">
        <v>1808.8952279999999</v>
      </c>
      <c r="T56" s="19">
        <v>1731.0139467452761</v>
      </c>
      <c r="U56" s="19">
        <v>1326.2080065344312</v>
      </c>
      <c r="V56" s="19">
        <v>1609.3087810220925</v>
      </c>
      <c r="W56" s="19">
        <v>1695.2796566262</v>
      </c>
      <c r="X56" s="19">
        <v>2026.7436357325628</v>
      </c>
      <c r="Y56" s="19">
        <v>1487.6910961578899</v>
      </c>
      <c r="Z56" s="19">
        <v>2289.7553426676491</v>
      </c>
      <c r="AA56" s="19">
        <v>2004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794.5030464670748</v>
      </c>
      <c r="E57" s="23">
        <v>1020.3477231780125</v>
      </c>
      <c r="F57" s="23">
        <v>1157.2555521314844</v>
      </c>
      <c r="G57" s="23">
        <v>1304.8763324712208</v>
      </c>
      <c r="H57" s="23">
        <v>1235.3241306027819</v>
      </c>
      <c r="I57" s="23">
        <v>1325.3652360904989</v>
      </c>
      <c r="J57" s="23">
        <v>1314.9918960770817</v>
      </c>
      <c r="K57" s="23">
        <v>1429.268453068453</v>
      </c>
      <c r="L57" s="23">
        <v>1158.9773272949465</v>
      </c>
      <c r="M57" s="23">
        <v>1340.6567976936803</v>
      </c>
      <c r="N57" s="23">
        <v>1041.0822580096785</v>
      </c>
      <c r="O57" s="23">
        <v>1474.3094968017058</v>
      </c>
      <c r="P57" s="23">
        <v>1448.3737260392215</v>
      </c>
      <c r="Q57" s="23">
        <v>1189.874446578707</v>
      </c>
      <c r="R57" s="23">
        <v>1196.2723354304601</v>
      </c>
      <c r="S57" s="23">
        <v>1097.8019879999999</v>
      </c>
      <c r="T57" s="23">
        <v>1147.067085487846</v>
      </c>
      <c r="U57" s="23">
        <v>1099.5833669027356</v>
      </c>
      <c r="V57" s="23">
        <v>1079.7114310902143</v>
      </c>
      <c r="W57" s="23">
        <v>1121.3458932290346</v>
      </c>
      <c r="X57" s="23">
        <v>959.05059287899451</v>
      </c>
      <c r="Y57" s="23">
        <v>720.38058517828722</v>
      </c>
      <c r="Z57" s="23">
        <v>810.89697862932928</v>
      </c>
      <c r="AA57" s="23">
        <v>818.6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78.765388227339315</v>
      </c>
      <c r="E58" s="23">
        <v>95.447161479492706</v>
      </c>
      <c r="F58" s="23">
        <v>91.377216230097602</v>
      </c>
      <c r="G58" s="23">
        <v>144.02113697449161</v>
      </c>
      <c r="H58" s="23">
        <v>178.80042503863987</v>
      </c>
      <c r="I58" s="23">
        <v>193.78446254959567</v>
      </c>
      <c r="J58" s="23">
        <v>199.16197522367514</v>
      </c>
      <c r="K58" s="23">
        <v>214.2094556094556</v>
      </c>
      <c r="L58" s="23">
        <v>178.53334771044499</v>
      </c>
      <c r="M58" s="23">
        <v>171.61165515032258</v>
      </c>
      <c r="N58" s="23">
        <v>177.70909709078958</v>
      </c>
      <c r="O58" s="23">
        <v>195.44364179104477</v>
      </c>
      <c r="P58" s="23">
        <v>188.614865419636</v>
      </c>
      <c r="Q58" s="23">
        <v>155.19345026293416</v>
      </c>
      <c r="R58" s="23">
        <v>181.59990938764582</v>
      </c>
      <c r="S58" s="23">
        <v>222.610308</v>
      </c>
      <c r="T58" s="23">
        <v>215.63579567969845</v>
      </c>
      <c r="U58" s="23">
        <v>229.85554080770768</v>
      </c>
      <c r="V58" s="23">
        <v>187.60262869660457</v>
      </c>
      <c r="W58" s="23">
        <v>181.72230405851579</v>
      </c>
      <c r="X58" s="23">
        <v>169.25209263280249</v>
      </c>
      <c r="Y58" s="23">
        <v>179.75281924960197</v>
      </c>
      <c r="Z58" s="23">
        <v>204.43861459100958</v>
      </c>
      <c r="AA58" s="23">
        <v>165.2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60.397175162465722</v>
      </c>
      <c r="E59" s="23">
        <v>90.762638216695521</v>
      </c>
      <c r="F59" s="23">
        <v>146.7143502824859</v>
      </c>
      <c r="G59" s="23">
        <v>166.43687813783663</v>
      </c>
      <c r="H59" s="23">
        <v>144.374671561051</v>
      </c>
      <c r="I59" s="23">
        <v>163.91354150891965</v>
      </c>
      <c r="J59" s="23">
        <v>164.93843771507227</v>
      </c>
      <c r="K59" s="23">
        <v>173.57985677985675</v>
      </c>
      <c r="L59" s="23">
        <v>176.5474372798505</v>
      </c>
      <c r="M59" s="23">
        <v>218.25968516908429</v>
      </c>
      <c r="N59" s="23">
        <v>217.34611557509891</v>
      </c>
      <c r="O59" s="23">
        <v>252.34495522388065</v>
      </c>
      <c r="P59" s="23">
        <v>247.93868988094613</v>
      </c>
      <c r="Q59" s="23">
        <v>245.14301728752716</v>
      </c>
      <c r="R59" s="23">
        <v>217.61267337335377</v>
      </c>
      <c r="S59" s="23">
        <v>247.97097599999998</v>
      </c>
      <c r="T59" s="23">
        <v>248.79821002271302</v>
      </c>
      <c r="U59" s="23">
        <v>249.70250517463828</v>
      </c>
      <c r="V59" s="23">
        <v>258.89457964897281</v>
      </c>
      <c r="W59" s="23">
        <v>237.29144105247119</v>
      </c>
      <c r="X59" s="23">
        <v>216.74971546651383</v>
      </c>
      <c r="Y59" s="23">
        <v>216.59965754453424</v>
      </c>
      <c r="Z59" s="23">
        <v>179.58025055268973</v>
      </c>
      <c r="AA59" s="23">
        <v>182.2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70.982247098155582</v>
      </c>
      <c r="E60" s="23">
        <v>82.857505210725279</v>
      </c>
      <c r="F60" s="23">
        <v>86.269173086800194</v>
      </c>
      <c r="G60" s="23">
        <v>95.266899944216291</v>
      </c>
      <c r="H60" s="23">
        <v>91.802009273570334</v>
      </c>
      <c r="I60" s="23">
        <v>113.71031286912805</v>
      </c>
      <c r="J60" s="23">
        <v>113.36546799724711</v>
      </c>
      <c r="K60" s="23">
        <v>134.86474166474162</v>
      </c>
      <c r="L60" s="23">
        <v>194.61922219826039</v>
      </c>
      <c r="M60" s="23">
        <v>167.81913238456966</v>
      </c>
      <c r="N60" s="23">
        <v>167.37717284132501</v>
      </c>
      <c r="O60" s="23">
        <v>193.85323240938172</v>
      </c>
      <c r="P60" s="23">
        <v>184.25281950336324</v>
      </c>
      <c r="Q60" s="23">
        <v>183.90075888780424</v>
      </c>
      <c r="R60" s="23">
        <v>183.64802866645385</v>
      </c>
      <c r="S60" s="23">
        <v>181.66857600000003</v>
      </c>
      <c r="T60" s="23">
        <v>194.64895375247667</v>
      </c>
      <c r="U60" s="23">
        <v>188.31538283041107</v>
      </c>
      <c r="V60" s="23">
        <v>205.75772179627597</v>
      </c>
      <c r="W60" s="23">
        <v>227.04763549550461</v>
      </c>
      <c r="X60" s="23">
        <v>189.85669521418708</v>
      </c>
      <c r="Y60" s="23">
        <v>206.5165700381508</v>
      </c>
      <c r="Z60" s="23">
        <v>191.90228445099484</v>
      </c>
      <c r="AA60" s="23">
        <v>212.30000000000007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783.91797453138508</v>
      </c>
      <c r="E61" s="23">
        <v>548.08922174727104</v>
      </c>
      <c r="F61" s="23">
        <v>586.28984078068822</v>
      </c>
      <c r="G61" s="23">
        <v>373.78248389877791</v>
      </c>
      <c r="H61" s="23">
        <v>542.53920015455947</v>
      </c>
      <c r="I61" s="23">
        <v>696.06776509071085</v>
      </c>
      <c r="J61" s="23">
        <v>548.52725395732966</v>
      </c>
      <c r="K61" s="23">
        <v>273.55845075845076</v>
      </c>
      <c r="L61" s="23">
        <v>132.85740780677165</v>
      </c>
      <c r="M61" s="23">
        <v>155.11418111929709</v>
      </c>
      <c r="N61" s="23">
        <v>154.97886374196767</v>
      </c>
      <c r="O61" s="23">
        <v>282.73944562899788</v>
      </c>
      <c r="P61" s="23">
        <v>233.45669743892046</v>
      </c>
      <c r="Q61" s="23">
        <v>211.7381490694965</v>
      </c>
      <c r="R61" s="23">
        <v>-134.493165975061</v>
      </c>
      <c r="S61" s="23">
        <v>223.27333199999998</v>
      </c>
      <c r="T61" s="23">
        <v>490.06678973565937</v>
      </c>
      <c r="U61" s="23">
        <v>473.86550581508681</v>
      </c>
      <c r="V61" s="23">
        <v>167.67630700184327</v>
      </c>
      <c r="W61" s="23">
        <v>266.61959668816985</v>
      </c>
      <c r="X61" s="23">
        <v>-85.36192498002211</v>
      </c>
      <c r="Y61" s="23">
        <v>362.99115022980567</v>
      </c>
      <c r="Z61" s="23">
        <v>633.99543109801027</v>
      </c>
      <c r="AA61" s="23">
        <v>801.7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384.17584613650877</v>
      </c>
      <c r="E62" s="23">
        <v>479.870851732787</v>
      </c>
      <c r="F62" s="23">
        <v>449.79157678479714</v>
      </c>
      <c r="G62" s="23">
        <v>453.35836502865266</v>
      </c>
      <c r="H62" s="23">
        <v>364.53937403400306</v>
      </c>
      <c r="I62" s="23">
        <v>415.18070085107672</v>
      </c>
      <c r="J62" s="23">
        <v>422.56562284927736</v>
      </c>
      <c r="K62" s="23">
        <v>446.5001463001463</v>
      </c>
      <c r="L62" s="23">
        <v>398.96940550643382</v>
      </c>
      <c r="M62" s="23">
        <v>350.04985127900056</v>
      </c>
      <c r="N62" s="23">
        <v>319.7260922288836</v>
      </c>
      <c r="O62" s="23">
        <v>442.84065671641793</v>
      </c>
      <c r="P62" s="23">
        <v>447.02246549963684</v>
      </c>
      <c r="Q62" s="23">
        <v>395.46492426866519</v>
      </c>
      <c r="R62" s="23">
        <v>564.76889113131574</v>
      </c>
      <c r="S62" s="23">
        <v>668.49394799999993</v>
      </c>
      <c r="T62" s="23">
        <v>639.69816652974441</v>
      </c>
      <c r="U62" s="23">
        <v>669.41195318228665</v>
      </c>
      <c r="V62" s="23">
        <v>535.50144524884456</v>
      </c>
      <c r="W62" s="23">
        <v>620.52202976583533</v>
      </c>
      <c r="X62" s="23">
        <v>645.4324860558412</v>
      </c>
      <c r="Y62" s="23">
        <v>268.1354381327165</v>
      </c>
      <c r="Z62" s="23">
        <v>762.68032424465719</v>
      </c>
      <c r="AA62" s="23">
        <v>608.29999999999995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181.5028511325645</v>
      </c>
      <c r="E63" s="23">
        <v>226.61381283781398</v>
      </c>
      <c r="F63" s="23">
        <v>211.13244992295844</v>
      </c>
      <c r="G63" s="23">
        <v>213.50993458086114</v>
      </c>
      <c r="H63" s="23">
        <v>180.93535548686242</v>
      </c>
      <c r="I63" s="23">
        <v>197.54970469758004</v>
      </c>
      <c r="J63" s="23">
        <v>201.06328286304196</v>
      </c>
      <c r="K63" s="23">
        <v>223.56915376915376</v>
      </c>
      <c r="L63" s="23">
        <v>201.1727266192222</v>
      </c>
      <c r="M63" s="23">
        <v>198.15931451059348</v>
      </c>
      <c r="N63" s="23">
        <v>308.83060847490287</v>
      </c>
      <c r="O63" s="23">
        <v>321.43940724946697</v>
      </c>
      <c r="P63" s="23">
        <v>343.55473636564597</v>
      </c>
      <c r="Q63" s="23">
        <v>344.83567087571242</v>
      </c>
      <c r="R63" s="23">
        <v>385.72913084218004</v>
      </c>
      <c r="S63" s="23">
        <v>362.17685999999998</v>
      </c>
      <c r="T63" s="23">
        <v>374.07844198521241</v>
      </c>
      <c r="U63" s="23">
        <v>370.47666818270426</v>
      </c>
      <c r="V63" s="23">
        <v>342.43752838404612</v>
      </c>
      <c r="W63" s="23">
        <v>270.40840148321229</v>
      </c>
      <c r="X63" s="23">
        <v>303.44960165311937</v>
      </c>
      <c r="Y63" s="23">
        <v>141.28770765117608</v>
      </c>
      <c r="Z63" s="23">
        <v>249.97656595431096</v>
      </c>
      <c r="AA63" s="23">
        <v>290.7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125.15290935727434</v>
      </c>
      <c r="E64" s="23">
        <v>125.89656268767443</v>
      </c>
      <c r="F64" s="23">
        <v>177.6463893168978</v>
      </c>
      <c r="G64" s="23">
        <v>229.20095339520262</v>
      </c>
      <c r="H64" s="23">
        <v>192.41060664605871</v>
      </c>
      <c r="I64" s="23">
        <v>226.66757730865916</v>
      </c>
      <c r="J64" s="23">
        <v>253.3492429456297</v>
      </c>
      <c r="K64" s="23">
        <v>276.11109571109574</v>
      </c>
      <c r="L64" s="23">
        <v>291.13446912515275</v>
      </c>
      <c r="M64" s="23">
        <v>303.40182126023882</v>
      </c>
      <c r="N64" s="23">
        <v>288.54246631231797</v>
      </c>
      <c r="O64" s="23">
        <v>331.86542430703628</v>
      </c>
      <c r="P64" s="23">
        <v>315.63764250150007</v>
      </c>
      <c r="Q64" s="23">
        <v>310.56088421450386</v>
      </c>
      <c r="R64" s="23">
        <v>434.20128710730353</v>
      </c>
      <c r="S64" s="23">
        <v>518.81628000000001</v>
      </c>
      <c r="T64" s="23">
        <v>577.6988701493259</v>
      </c>
      <c r="U64" s="23">
        <v>537.09885740274933</v>
      </c>
      <c r="V64" s="23">
        <v>625.39129644965669</v>
      </c>
      <c r="W64" s="23">
        <v>640.72898867272829</v>
      </c>
      <c r="X64" s="23">
        <v>728.11848862269653</v>
      </c>
      <c r="Y64" s="23">
        <v>614.57040764216413</v>
      </c>
      <c r="Z64" s="23">
        <v>613.53014001473832</v>
      </c>
      <c r="AA64" s="23">
        <v>754.5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243.14532887569962</v>
      </c>
      <c r="E65" s="23">
        <v>359.24437771575936</v>
      </c>
      <c r="F65" s="23">
        <v>512.79077555213155</v>
      </c>
      <c r="G65" s="23">
        <v>448.87521679598359</v>
      </c>
      <c r="H65" s="23">
        <v>523.05795981452866</v>
      </c>
      <c r="I65" s="23">
        <v>615.99361541024314</v>
      </c>
      <c r="J65" s="23">
        <v>792.84528561596699</v>
      </c>
      <c r="K65" s="23">
        <v>1014.2509278509278</v>
      </c>
      <c r="L65" s="23">
        <v>826.33733017036889</v>
      </c>
      <c r="M65" s="23">
        <v>699.34119800485041</v>
      </c>
      <c r="N65" s="23">
        <v>536.88435463581027</v>
      </c>
      <c r="O65" s="23">
        <v>593.39941151385938</v>
      </c>
      <c r="P65" s="23">
        <v>549.44330361372226</v>
      </c>
      <c r="Q65" s="23">
        <v>464.53644865698902</v>
      </c>
      <c r="R65" s="23">
        <v>530.29221660471399</v>
      </c>
      <c r="S65" s="23">
        <v>594.23525999999993</v>
      </c>
      <c r="T65" s="23">
        <v>603.33165418257386</v>
      </c>
      <c r="U65" s="23">
        <v>582.94688361472845</v>
      </c>
      <c r="V65" s="23">
        <v>642.80837763470743</v>
      </c>
      <c r="W65" s="23">
        <v>696.71910397724389</v>
      </c>
      <c r="X65" s="23">
        <v>702.96481793892804</v>
      </c>
      <c r="Y65" s="23">
        <v>578.22149959446074</v>
      </c>
      <c r="Z65" s="23">
        <v>522.02564480471619</v>
      </c>
      <c r="AA65" s="23">
        <v>778.2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429.3180646857744</v>
      </c>
      <c r="E66" s="23">
        <v>335.52897869784857</v>
      </c>
      <c r="F66" s="23">
        <v>286.90175654853624</v>
      </c>
      <c r="G66" s="23">
        <v>391.15468330037027</v>
      </c>
      <c r="H66" s="23">
        <v>563.08790571870168</v>
      </c>
      <c r="I66" s="23">
        <v>590.38996880394939</v>
      </c>
      <c r="J66" s="23">
        <v>672.11225051617339</v>
      </c>
      <c r="K66" s="23">
        <v>880.44978824978818</v>
      </c>
      <c r="L66" s="23">
        <v>688.9123283732298</v>
      </c>
      <c r="M66" s="23">
        <v>718.30381183361544</v>
      </c>
      <c r="N66" s="23">
        <v>672.51434205605358</v>
      </c>
      <c r="O66" s="23">
        <v>790.7868869936035</v>
      </c>
      <c r="P66" s="23">
        <v>799.82473920778114</v>
      </c>
      <c r="Q66" s="23">
        <v>566.66487388607231</v>
      </c>
      <c r="R66" s="23">
        <v>469.87269787987685</v>
      </c>
      <c r="S66" s="23">
        <v>542.68514399999992</v>
      </c>
      <c r="T66" s="23">
        <v>696.57090610351327</v>
      </c>
      <c r="U66" s="23">
        <v>832.18783147850786</v>
      </c>
      <c r="V66" s="23">
        <v>743.17799802313459</v>
      </c>
      <c r="W66" s="23">
        <v>724.36334637070161</v>
      </c>
      <c r="X66" s="23">
        <v>607.43438778887207</v>
      </c>
      <c r="Y66" s="23">
        <v>834.03316410826403</v>
      </c>
      <c r="Z66" s="23">
        <v>1223.2029476787027</v>
      </c>
      <c r="AA66" s="23">
        <v>540.9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249.3718417790466</v>
      </c>
      <c r="E67" s="23">
        <v>323.8176705408556</v>
      </c>
      <c r="F67" s="23">
        <v>401.26516692347207</v>
      </c>
      <c r="G67" s="23">
        <v>459.24249708403073</v>
      </c>
      <c r="H67" s="23">
        <v>456.60824961360123</v>
      </c>
      <c r="I67" s="23">
        <v>521.86256171063394</v>
      </c>
      <c r="J67" s="23">
        <v>633.37310736407414</v>
      </c>
      <c r="K67" s="23">
        <v>762.17723877723893</v>
      </c>
      <c r="L67" s="23">
        <v>816.20918697433694</v>
      </c>
      <c r="M67" s="23">
        <v>676.77568754862034</v>
      </c>
      <c r="N67" s="23">
        <v>681.53129412831345</v>
      </c>
      <c r="O67" s="23">
        <v>714.62394882729211</v>
      </c>
      <c r="P67" s="23">
        <v>692.16944599416843</v>
      </c>
      <c r="Q67" s="23">
        <v>686.36565166734897</v>
      </c>
      <c r="R67" s="23">
        <v>880.34993667432059</v>
      </c>
      <c r="S67" s="23">
        <v>946.9640280000001</v>
      </c>
      <c r="T67" s="23">
        <v>1237.9032639056686</v>
      </c>
      <c r="U67" s="23">
        <v>1406.9805359347304</v>
      </c>
      <c r="V67" s="23">
        <v>1175.8005823738411</v>
      </c>
      <c r="W67" s="23">
        <v>1152.7789404175344</v>
      </c>
      <c r="X67" s="23">
        <v>968.14872908376174</v>
      </c>
      <c r="Y67" s="23">
        <v>706.81198594130194</v>
      </c>
      <c r="Z67" s="23">
        <v>1112.9475313190865</v>
      </c>
      <c r="AA67" s="23">
        <v>1609.1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105.85071935689869</v>
      </c>
      <c r="E68" s="23">
        <v>169.22840286854841</v>
      </c>
      <c r="F68" s="23">
        <v>238.09156651258348</v>
      </c>
      <c r="G68" s="23">
        <v>234.24449515695522</v>
      </c>
      <c r="H68" s="23">
        <v>175.59802936630601</v>
      </c>
      <c r="I68" s="23">
        <v>181.23365538964777</v>
      </c>
      <c r="J68" s="23">
        <v>202.01393668272539</v>
      </c>
      <c r="K68" s="23">
        <v>234.63061523061521</v>
      </c>
      <c r="L68" s="23">
        <v>184.09389691610957</v>
      </c>
      <c r="M68" s="23">
        <v>164.21623575710424</v>
      </c>
      <c r="N68" s="23">
        <v>80.025449641306949</v>
      </c>
      <c r="O68" s="23">
        <v>82.524575692963765</v>
      </c>
      <c r="P68" s="23">
        <v>103.6422109706418</v>
      </c>
      <c r="Q68" s="23">
        <v>84.556072676890139</v>
      </c>
      <c r="R68" s="23">
        <v>142.85631969686048</v>
      </c>
      <c r="S68" s="23">
        <v>192.77422799999999</v>
      </c>
      <c r="T68" s="23">
        <v>197.05202725559369</v>
      </c>
      <c r="U68" s="23">
        <v>225.23996769911918</v>
      </c>
      <c r="V68" s="23">
        <v>322.21600192343652</v>
      </c>
      <c r="W68" s="23">
        <v>345.34254076294002</v>
      </c>
      <c r="X68" s="23">
        <v>387.07217706458306</v>
      </c>
      <c r="Y68" s="23">
        <v>489.46543302592448</v>
      </c>
      <c r="Z68" s="23">
        <v>461.70125276344868</v>
      </c>
      <c r="AA68" s="23">
        <v>473.6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126.08688629277638</v>
      </c>
      <c r="E69" s="23">
        <v>166.593358533225</v>
      </c>
      <c r="F69" s="23">
        <v>183.32199280945042</v>
      </c>
      <c r="G69" s="23">
        <v>201.74167047010499</v>
      </c>
      <c r="H69" s="23">
        <v>177.99982612055641</v>
      </c>
      <c r="I69" s="23">
        <v>211.85762485992066</v>
      </c>
      <c r="J69" s="23">
        <v>253.82456985547142</v>
      </c>
      <c r="K69" s="23">
        <v>269.30404250404246</v>
      </c>
      <c r="L69" s="23">
        <v>358.65542376536553</v>
      </c>
      <c r="M69" s="23">
        <v>414.33311215851364</v>
      </c>
      <c r="N69" s="23">
        <v>433.37725897299322</v>
      </c>
      <c r="O69" s="23">
        <v>436.65573134328361</v>
      </c>
      <c r="P69" s="23">
        <v>475.11404120043375</v>
      </c>
      <c r="Q69" s="23">
        <v>472.88766571149671</v>
      </c>
      <c r="R69" s="23">
        <v>455.36518632165325</v>
      </c>
      <c r="S69" s="23">
        <v>520.30808399999989</v>
      </c>
      <c r="T69" s="23">
        <v>557.99366742376651</v>
      </c>
      <c r="U69" s="23">
        <v>640.1799901612261</v>
      </c>
      <c r="V69" s="23">
        <v>665.9819517538001</v>
      </c>
      <c r="W69" s="23">
        <v>685.35268959211658</v>
      </c>
      <c r="X69" s="23">
        <v>521.93866668819169</v>
      </c>
      <c r="Y69" s="23">
        <v>682.41340382709006</v>
      </c>
      <c r="Z69" s="23">
        <v>537.77641857037577</v>
      </c>
      <c r="AA69" s="23">
        <v>670.4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321.5993914578716</v>
      </c>
      <c r="E70" s="23">
        <v>411.65248171830291</v>
      </c>
      <c r="F70" s="23">
        <v>419.42709809964055</v>
      </c>
      <c r="G70" s="23">
        <v>449.71580708960909</v>
      </c>
      <c r="H70" s="23">
        <v>429.65475270479129</v>
      </c>
      <c r="I70" s="23">
        <v>492.24265681315683</v>
      </c>
      <c r="J70" s="23">
        <v>534.26744666207844</v>
      </c>
      <c r="K70" s="23">
        <v>637.73579733579732</v>
      </c>
      <c r="L70" s="23">
        <v>647.00961828768607</v>
      </c>
      <c r="M70" s="23">
        <v>549.15729648103229</v>
      </c>
      <c r="N70" s="23">
        <v>531.0609064224758</v>
      </c>
      <c r="O70" s="23">
        <v>602.5884434968018</v>
      </c>
      <c r="P70" s="23">
        <v>700.3700923167612</v>
      </c>
      <c r="Q70" s="23">
        <v>689.14939068551814</v>
      </c>
      <c r="R70" s="23">
        <v>685.09589876128791</v>
      </c>
      <c r="S70" s="23">
        <v>704.62875599999995</v>
      </c>
      <c r="T70" s="23">
        <v>721.56287053592996</v>
      </c>
      <c r="U70" s="23">
        <v>790.95537837511733</v>
      </c>
      <c r="V70" s="23">
        <v>852.84656853578383</v>
      </c>
      <c r="W70" s="23">
        <v>893.87727942296954</v>
      </c>
      <c r="X70" s="23">
        <v>743.10365413643081</v>
      </c>
      <c r="Y70" s="23">
        <v>741.7915858091261</v>
      </c>
      <c r="Z70" s="23">
        <v>705.24893146647014</v>
      </c>
      <c r="AA70" s="23">
        <v>850.6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53.236685323616697</v>
      </c>
      <c r="E71" s="23">
        <v>58.263758081040024</v>
      </c>
      <c r="F71" s="23">
        <v>75.485526450950189</v>
      </c>
      <c r="G71" s="23">
        <v>75.09273289720575</v>
      </c>
      <c r="H71" s="23">
        <v>71.520170015455946</v>
      </c>
      <c r="I71" s="23">
        <v>87.102601690038469</v>
      </c>
      <c r="J71" s="23">
        <v>103.38360289057123</v>
      </c>
      <c r="K71" s="23">
        <v>113.16725956725956</v>
      </c>
      <c r="L71" s="23">
        <v>103.86311552009201</v>
      </c>
      <c r="M71" s="23">
        <v>117.37857960005489</v>
      </c>
      <c r="N71" s="23">
        <v>206.82633815746229</v>
      </c>
      <c r="O71" s="23">
        <v>220.36005543710024</v>
      </c>
      <c r="P71" s="23">
        <v>229.44361519594943</v>
      </c>
      <c r="Q71" s="23">
        <v>239.40155556255311</v>
      </c>
      <c r="R71" s="23">
        <v>318.31187124808218</v>
      </c>
      <c r="S71" s="23">
        <v>357.86720400000002</v>
      </c>
      <c r="T71" s="23">
        <v>388.49688300391438</v>
      </c>
      <c r="U71" s="23">
        <v>426.94051254443696</v>
      </c>
      <c r="V71" s="23">
        <v>366.93952394945632</v>
      </c>
      <c r="W71" s="23">
        <v>379.30145781480167</v>
      </c>
      <c r="X71" s="23">
        <v>460.66004342667111</v>
      </c>
      <c r="Y71" s="23">
        <v>540.50328336687789</v>
      </c>
      <c r="Z71" s="23">
        <v>454.20088430361085</v>
      </c>
      <c r="AA71" s="23">
        <v>589.5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56.66126742045752</v>
      </c>
      <c r="E72" s="23">
        <v>33.67001095135479</v>
      </c>
      <c r="F72" s="23">
        <v>51.9317719568567</v>
      </c>
      <c r="G72" s="23">
        <v>75.933323190831189</v>
      </c>
      <c r="H72" s="23">
        <v>80.593624420401852</v>
      </c>
      <c r="I72" s="23">
        <v>86.600569403640549</v>
      </c>
      <c r="J72" s="23">
        <v>94.827718513420521</v>
      </c>
      <c r="K72" s="23">
        <v>113.37997997997996</v>
      </c>
      <c r="L72" s="23">
        <v>132.85740780677165</v>
      </c>
      <c r="M72" s="23">
        <v>101.63961012218002</v>
      </c>
      <c r="N72" s="23">
        <v>128.4915670297041</v>
      </c>
      <c r="O72" s="23">
        <v>84.99854584221751</v>
      </c>
      <c r="P72" s="23">
        <v>92.998818934936182</v>
      </c>
      <c r="Q72" s="23">
        <v>92.385338665491062</v>
      </c>
      <c r="R72" s="23">
        <v>104.28340661264247</v>
      </c>
      <c r="S72" s="23">
        <v>119.01280799999996</v>
      </c>
      <c r="T72" s="23">
        <v>101.56990673174499</v>
      </c>
      <c r="U72" s="23">
        <v>107.3890009931593</v>
      </c>
      <c r="V72" s="23">
        <v>136.53220420484601</v>
      </c>
      <c r="W72" s="23">
        <v>138.92284248488852</v>
      </c>
      <c r="X72" s="23">
        <v>149.04887841339283</v>
      </c>
      <c r="Y72" s="23">
        <v>137.67771335876714</v>
      </c>
      <c r="Z72" s="23">
        <v>108.86249078850406</v>
      </c>
      <c r="AA72" s="23">
        <v>230.39999999999998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130.75677097028662</v>
      </c>
      <c r="E73" s="23">
        <v>159.85935634295404</v>
      </c>
      <c r="F73" s="23">
        <v>179.63285053929121</v>
      </c>
      <c r="G73" s="23">
        <v>236.20587250874794</v>
      </c>
      <c r="H73" s="23">
        <v>215.09424265842347</v>
      </c>
      <c r="I73" s="23">
        <v>285.1543386740164</v>
      </c>
      <c r="J73" s="23">
        <v>312.76510667584307</v>
      </c>
      <c r="K73" s="23">
        <v>373.53704473704471</v>
      </c>
      <c r="L73" s="23">
        <v>356.47092229171159</v>
      </c>
      <c r="M73" s="23">
        <v>332.03536814167387</v>
      </c>
      <c r="N73" s="23">
        <v>376.08204268050815</v>
      </c>
      <c r="O73" s="23">
        <v>446.37489978678042</v>
      </c>
      <c r="P73" s="23">
        <v>563.40185054579524</v>
      </c>
      <c r="Q73" s="23">
        <v>605.81120382907704</v>
      </c>
      <c r="R73" s="23">
        <v>706.0891213690702</v>
      </c>
      <c r="S73" s="23">
        <v>711.25899600000002</v>
      </c>
      <c r="T73" s="23">
        <v>772.50802880201036</v>
      </c>
      <c r="U73" s="23">
        <v>788.18603450996409</v>
      </c>
      <c r="V73" s="23">
        <v>687.08909251195462</v>
      </c>
      <c r="W73" s="23">
        <v>720.71486767917918</v>
      </c>
      <c r="X73" s="23">
        <v>539.4659584944344</v>
      </c>
      <c r="Y73" s="23">
        <v>607.97283186638231</v>
      </c>
      <c r="Z73" s="23">
        <v>613.20869565217379</v>
      </c>
      <c r="AA73" s="23">
        <v>638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136.36063258329946</v>
      </c>
      <c r="E74" s="23">
        <v>141.12126329176516</v>
      </c>
      <c r="F74" s="23">
        <v>183.32199280944943</v>
      </c>
      <c r="G74" s="23">
        <v>201.18127694102242</v>
      </c>
      <c r="H74" s="23">
        <v>203.35212519320109</v>
      </c>
      <c r="I74" s="23">
        <v>235.20212617742536</v>
      </c>
      <c r="J74" s="23">
        <v>266.89605987611753</v>
      </c>
      <c r="K74" s="23">
        <v>325.46223146223224</v>
      </c>
      <c r="L74" s="23">
        <v>418.23273668319928</v>
      </c>
      <c r="M74" s="23">
        <v>394.04311536173623</v>
      </c>
      <c r="N74" s="23">
        <v>307.3277831295274</v>
      </c>
      <c r="O74" s="23">
        <v>315.25448187633265</v>
      </c>
      <c r="P74" s="23">
        <v>293.65293108348482</v>
      </c>
      <c r="Q74" s="23">
        <v>290.03080895550681</v>
      </c>
      <c r="R74" s="23">
        <v>338.96374064273175</v>
      </c>
      <c r="S74" s="23">
        <v>325.04751599999963</v>
      </c>
      <c r="T74" s="23">
        <v>352.77119025757594</v>
      </c>
      <c r="U74" s="23">
        <v>378.78469977816218</v>
      </c>
      <c r="V74" s="23">
        <v>431.29416290438888</v>
      </c>
      <c r="W74" s="23">
        <v>449.04353126428657</v>
      </c>
      <c r="X74" s="23">
        <v>430.02073179591008</v>
      </c>
      <c r="Y74" s="23">
        <v>446.39446664063206</v>
      </c>
      <c r="Z74" s="23">
        <v>480.23787767133382</v>
      </c>
      <c r="AA74" s="23">
        <v>496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5379.7071484917924</v>
      </c>
      <c r="E75" s="30">
        <f t="shared" ref="E75:S75" si="9">SUM(E56:E74)</f>
        <v>6067.3359734341311</v>
      </c>
      <c r="F75" s="30">
        <f t="shared" si="9"/>
        <v>6667.6989830508483</v>
      </c>
      <c r="G75" s="30">
        <f t="shared" si="9"/>
        <v>7311.1741771895158</v>
      </c>
      <c r="H75" s="30">
        <f t="shared" si="9"/>
        <v>7188.8445517774362</v>
      </c>
      <c r="I75" s="30">
        <f t="shared" si="9"/>
        <v>8159.2797346821344</v>
      </c>
      <c r="J75" s="30">
        <f t="shared" si="9"/>
        <v>8755.7593427391585</v>
      </c>
      <c r="K75" s="30">
        <f t="shared" si="9"/>
        <v>9683.6713482713476</v>
      </c>
      <c r="L75" s="30">
        <f t="shared" si="9"/>
        <v>9125.6556106678181</v>
      </c>
      <c r="M75" s="30">
        <f t="shared" si="9"/>
        <v>9138.6524824966837</v>
      </c>
      <c r="N75" s="30">
        <f t="shared" si="9"/>
        <v>8371.3007332524921</v>
      </c>
      <c r="O75" s="30">
        <f t="shared" si="9"/>
        <v>9665.4479488272937</v>
      </c>
      <c r="P75" s="30">
        <f t="shared" si="9"/>
        <v>10359.859051147909</v>
      </c>
      <c r="Q75" s="30">
        <f t="shared" si="9"/>
        <v>9341.358226532735</v>
      </c>
      <c r="R75" s="30">
        <f t="shared" si="9"/>
        <v>9566.5944747057692</v>
      </c>
      <c r="S75" s="30">
        <f t="shared" si="9"/>
        <v>10346.489519999999</v>
      </c>
      <c r="T75" s="30">
        <f t="shared" ref="T75:Y75" si="10">SUM(T56:T74)</f>
        <v>11248.466658290245</v>
      </c>
      <c r="U75" s="30">
        <f t="shared" si="10"/>
        <v>11324.308621921906</v>
      </c>
      <c r="V75" s="30">
        <f t="shared" si="10"/>
        <v>11036.968183153902</v>
      </c>
      <c r="W75" s="30">
        <f t="shared" si="10"/>
        <v>11447.382546858333</v>
      </c>
      <c r="X75" s="30">
        <f t="shared" si="10"/>
        <v>10663.14942810787</v>
      </c>
      <c r="Y75" s="30">
        <f t="shared" si="10"/>
        <v>9963.2107993631507</v>
      </c>
      <c r="Z75" s="30">
        <f t="shared" ref="Z75:AA75" si="11">SUM(Z56:Z74)</f>
        <v>12156.168607221814</v>
      </c>
      <c r="AA75" s="30">
        <f t="shared" si="11"/>
        <v>12714.199999999999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8190876</v>
      </c>
      <c r="E3" s="42">
        <v>8149468</v>
      </c>
      <c r="F3" s="42">
        <v>7868815</v>
      </c>
      <c r="G3" s="42">
        <v>7805506</v>
      </c>
      <c r="H3" s="42">
        <v>7745147</v>
      </c>
      <c r="I3" s="42">
        <v>7688573</v>
      </c>
      <c r="J3" s="42">
        <v>7629371</v>
      </c>
      <c r="K3" s="42">
        <v>7572673</v>
      </c>
      <c r="L3" s="42">
        <v>7518002</v>
      </c>
      <c r="M3" s="42">
        <v>7467119</v>
      </c>
      <c r="N3" s="42">
        <v>7421766</v>
      </c>
      <c r="O3" s="42">
        <v>7369431</v>
      </c>
      <c r="P3" s="42">
        <v>7327224</v>
      </c>
      <c r="Q3" s="42">
        <v>7202556</v>
      </c>
      <c r="R3" s="42">
        <v>7117453</v>
      </c>
      <c r="S3" s="42">
        <v>7029690</v>
      </c>
      <c r="T3" s="42">
        <v>6938759</v>
      </c>
      <c r="U3" s="42">
        <v>6849518</v>
      </c>
      <c r="V3" s="42">
        <v>6757418</v>
      </c>
      <c r="W3" s="42">
        <v>6664177</v>
      </c>
      <c r="X3" s="42">
        <v>6569275</v>
      </c>
      <c r="Y3" s="42">
        <v>6532117</v>
      </c>
      <c r="Z3" s="42">
        <v>6482484</v>
      </c>
      <c r="AA3" s="42">
        <v>6447710</v>
      </c>
    </row>
    <row r="4" spans="1:27" x14ac:dyDescent="0.25">
      <c r="A4" s="43" t="s">
        <v>239</v>
      </c>
      <c r="B4" s="44"/>
      <c r="C4" s="44"/>
      <c r="D4" s="45">
        <v>2778727</v>
      </c>
      <c r="E4" s="45">
        <v>2774224</v>
      </c>
      <c r="F4" s="45">
        <v>2687965</v>
      </c>
      <c r="G4" s="45">
        <v>2675608</v>
      </c>
      <c r="H4" s="45">
        <v>2664179</v>
      </c>
      <c r="I4" s="45">
        <v>2653978</v>
      </c>
      <c r="J4" s="45">
        <v>2633542</v>
      </c>
      <c r="K4" s="45">
        <v>2655215</v>
      </c>
      <c r="L4" s="45">
        <v>2634146</v>
      </c>
      <c r="M4" s="45">
        <v>2614537</v>
      </c>
      <c r="N4" s="45">
        <v>2611459</v>
      </c>
      <c r="O4" s="45">
        <v>2589986</v>
      </c>
      <c r="P4" s="45">
        <v>2680038</v>
      </c>
      <c r="Q4" s="45">
        <v>2702648</v>
      </c>
      <c r="R4" s="45">
        <v>2737482</v>
      </c>
      <c r="S4" s="45">
        <v>2856436</v>
      </c>
      <c r="T4" s="45">
        <v>2848423</v>
      </c>
      <c r="U4" s="45">
        <v>2833892</v>
      </c>
      <c r="V4" s="45">
        <v>2833299</v>
      </c>
      <c r="W4" s="45">
        <v>2810703</v>
      </c>
      <c r="X4" s="45">
        <v>2808583</v>
      </c>
      <c r="Y4" s="45">
        <v>2810722</v>
      </c>
      <c r="Z4" s="45">
        <v>2822152</v>
      </c>
      <c r="AA4" s="45">
        <v>2896545</v>
      </c>
    </row>
    <row r="5" spans="1:27" x14ac:dyDescent="0.25">
      <c r="A5" s="46" t="s">
        <v>240</v>
      </c>
      <c r="B5" s="47"/>
      <c r="C5" s="47"/>
      <c r="D5" s="48">
        <f>D3/D4</f>
        <v>2.9477080691985935</v>
      </c>
      <c r="E5" s="48">
        <f t="shared" ref="E5:S5" si="0">E3/E4</f>
        <v>2.9375666853145241</v>
      </c>
      <c r="F5" s="48">
        <f t="shared" si="0"/>
        <v>2.9274246502465622</v>
      </c>
      <c r="G5" s="48">
        <f t="shared" si="0"/>
        <v>2.9172830997664829</v>
      </c>
      <c r="H5" s="48">
        <f t="shared" si="0"/>
        <v>2.9071421252100555</v>
      </c>
      <c r="I5" s="48">
        <f t="shared" si="0"/>
        <v>2.8969995229802206</v>
      </c>
      <c r="J5" s="48">
        <f t="shared" si="0"/>
        <v>2.896999933929286</v>
      </c>
      <c r="K5" s="48">
        <f t="shared" si="0"/>
        <v>2.8519999322088796</v>
      </c>
      <c r="L5" s="48">
        <f t="shared" si="0"/>
        <v>2.8540566847851259</v>
      </c>
      <c r="M5" s="48">
        <f t="shared" si="0"/>
        <v>2.8560005079293198</v>
      </c>
      <c r="N5" s="48">
        <f t="shared" si="0"/>
        <v>2.8419998169605574</v>
      </c>
      <c r="O5" s="48">
        <f t="shared" si="0"/>
        <v>2.8453555347403423</v>
      </c>
      <c r="P5" s="48">
        <f t="shared" si="0"/>
        <v>2.7340000402979361</v>
      </c>
      <c r="Q5" s="48">
        <f t="shared" si="0"/>
        <v>2.6649996595931102</v>
      </c>
      <c r="R5" s="48">
        <f t="shared" si="0"/>
        <v>2.5999999269401588</v>
      </c>
      <c r="S5" s="48">
        <f t="shared" si="0"/>
        <v>2.4610003514869581</v>
      </c>
      <c r="T5" s="48">
        <f t="shared" ref="T5:Y5" si="1">T3/T4</f>
        <v>2.4360002008128707</v>
      </c>
      <c r="U5" s="48">
        <f t="shared" si="1"/>
        <v>2.4170003655749759</v>
      </c>
      <c r="V5" s="48">
        <f t="shared" si="1"/>
        <v>2.3849999594112727</v>
      </c>
      <c r="W5" s="48">
        <f t="shared" si="1"/>
        <v>2.3710000665313982</v>
      </c>
      <c r="X5" s="48">
        <f t="shared" si="1"/>
        <v>2.3389997731952374</v>
      </c>
      <c r="Y5" s="48">
        <f t="shared" si="1"/>
        <v>2.3239996698357217</v>
      </c>
      <c r="Z5" s="48">
        <f t="shared" ref="Z5:AA5" si="2">Z3/Z4</f>
        <v>2.2970003033146336</v>
      </c>
      <c r="AA5" s="48">
        <f t="shared" si="2"/>
        <v>2.2260002865482842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2950.66</v>
      </c>
      <c r="E8" s="42">
        <v>2748.69</v>
      </c>
      <c r="F8" s="42">
        <v>2739.45</v>
      </c>
      <c r="G8" s="42">
        <v>2649.64</v>
      </c>
      <c r="H8" s="42">
        <v>2700.45</v>
      </c>
      <c r="I8" s="42">
        <v>2853.65</v>
      </c>
      <c r="J8" s="42">
        <v>2773.37</v>
      </c>
      <c r="K8" s="42">
        <v>2966.5</v>
      </c>
      <c r="L8" s="42">
        <v>2894.09</v>
      </c>
      <c r="M8" s="42">
        <v>2575.17</v>
      </c>
      <c r="N8" s="42">
        <v>2527.5100000000002</v>
      </c>
      <c r="O8" s="42">
        <v>2863.66</v>
      </c>
      <c r="P8" s="42">
        <v>2705.68</v>
      </c>
      <c r="Q8" s="42">
        <v>2851.39</v>
      </c>
      <c r="R8" s="42">
        <v>2502.6</v>
      </c>
      <c r="S8" s="42">
        <v>2804.29</v>
      </c>
      <c r="T8" s="42">
        <v>3036.95</v>
      </c>
      <c r="U8" s="42">
        <v>2963.19</v>
      </c>
      <c r="V8" s="42">
        <v>2696.68</v>
      </c>
      <c r="W8" s="42">
        <v>2494.58</v>
      </c>
      <c r="X8" s="42">
        <v>2481.29</v>
      </c>
      <c r="Y8" s="42">
        <v>2525.98</v>
      </c>
      <c r="Z8" s="42">
        <v>2522.88</v>
      </c>
      <c r="AA8" s="42">
        <v>2891.31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2751.4042857142858</v>
      </c>
      <c r="E9" s="45">
        <f t="shared" si="3"/>
        <v>2751.4042857142858</v>
      </c>
      <c r="F9" s="45">
        <f t="shared" si="3"/>
        <v>2751.4042857142858</v>
      </c>
      <c r="G9" s="45">
        <f t="shared" si="3"/>
        <v>2751.4042857142858</v>
      </c>
      <c r="H9" s="45">
        <f t="shared" si="3"/>
        <v>2751.4042857142858</v>
      </c>
      <c r="I9" s="45">
        <f t="shared" si="3"/>
        <v>2751.4042857142858</v>
      </c>
      <c r="J9" s="45">
        <f t="shared" si="3"/>
        <v>2751.4042857142858</v>
      </c>
      <c r="K9" s="45">
        <f t="shared" si="3"/>
        <v>2751.4042857142858</v>
      </c>
      <c r="L9" s="45">
        <f t="shared" si="3"/>
        <v>2751.4042857142858</v>
      </c>
      <c r="M9" s="45">
        <f t="shared" si="3"/>
        <v>2751.4042857142858</v>
      </c>
      <c r="N9" s="45">
        <f t="shared" si="3"/>
        <v>2751.4042857142858</v>
      </c>
      <c r="O9" s="45">
        <f t="shared" si="3"/>
        <v>2751.4042857142858</v>
      </c>
      <c r="P9" s="45">
        <f t="shared" si="3"/>
        <v>2751.4042857142858</v>
      </c>
      <c r="Q9" s="45">
        <f t="shared" si="3"/>
        <v>2751.4042857142858</v>
      </c>
      <c r="R9" s="45">
        <f t="shared" si="3"/>
        <v>2751.4042857142858</v>
      </c>
      <c r="S9" s="45">
        <f t="shared" si="3"/>
        <v>2751.4042857142858</v>
      </c>
      <c r="T9" s="45">
        <f t="shared" si="3"/>
        <v>2751.4042857142858</v>
      </c>
      <c r="U9" s="45">
        <f t="shared" si="3"/>
        <v>2751.4042857142858</v>
      </c>
      <c r="V9" s="45">
        <f t="shared" si="3"/>
        <v>2751.4042857142858</v>
      </c>
      <c r="W9" s="45">
        <f t="shared" si="3"/>
        <v>2751.4042857142858</v>
      </c>
      <c r="X9" s="45">
        <f>AVERAGE($D8:$X8)</f>
        <v>2751.4042857142858</v>
      </c>
      <c r="Y9" s="45">
        <f t="shared" ref="Y9:AA9" si="4">AVERAGE($D8:$X8)</f>
        <v>2751.4042857142858</v>
      </c>
      <c r="Z9" s="45">
        <f t="shared" si="4"/>
        <v>2751.4042857142858</v>
      </c>
      <c r="AA9" s="45">
        <f t="shared" si="4"/>
        <v>2751.4042857142858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1.0724196423332915</v>
      </c>
      <c r="E10" s="53">
        <f t="shared" si="5"/>
        <v>0.99901349077328305</v>
      </c>
      <c r="F10" s="53">
        <f t="shared" si="5"/>
        <v>0.99565520567938548</v>
      </c>
      <c r="G10" s="53">
        <f t="shared" si="5"/>
        <v>0.96301369222885136</v>
      </c>
      <c r="H10" s="53">
        <f t="shared" si="5"/>
        <v>0.98148062573761019</v>
      </c>
      <c r="I10" s="53">
        <f t="shared" si="5"/>
        <v>1.0371612833550452</v>
      </c>
      <c r="J10" s="53">
        <f t="shared" si="5"/>
        <v>1.0079834557210525</v>
      </c>
      <c r="K10" s="53">
        <f t="shared" si="5"/>
        <v>1.0781767024942588</v>
      </c>
      <c r="L10" s="53">
        <f t="shared" si="5"/>
        <v>1.0518592324023628</v>
      </c>
      <c r="M10" s="53">
        <f t="shared" si="5"/>
        <v>0.93594751355541561</v>
      </c>
      <c r="N10" s="53">
        <f t="shared" si="5"/>
        <v>0.91862544996503093</v>
      </c>
      <c r="O10" s="53">
        <f t="shared" si="5"/>
        <v>1.0407994255401007</v>
      </c>
      <c r="P10" s="53">
        <f t="shared" si="5"/>
        <v>0.98338147325287906</v>
      </c>
      <c r="Q10" s="53">
        <f t="shared" si="5"/>
        <v>1.0363398846199576</v>
      </c>
      <c r="R10" s="53">
        <f t="shared" si="5"/>
        <v>0.9095718913406815</v>
      </c>
      <c r="S10" s="53">
        <f t="shared" si="5"/>
        <v>1.019221353459506</v>
      </c>
      <c r="T10" s="53">
        <f t="shared" ref="T10:Y10" si="6">IF(T8=0,0,T8/T9)</f>
        <v>1.1037818090813885</v>
      </c>
      <c r="U10" s="53">
        <f t="shared" si="6"/>
        <v>1.0769736804530465</v>
      </c>
      <c r="V10" s="53">
        <f t="shared" si="6"/>
        <v>0.9801104163432387</v>
      </c>
      <c r="W10" s="53">
        <f t="shared" si="6"/>
        <v>0.9066570161834242</v>
      </c>
      <c r="X10" s="53">
        <f t="shared" si="6"/>
        <v>0.90182675548018854</v>
      </c>
      <c r="Y10" s="53">
        <f t="shared" si="6"/>
        <v>0.91806937029039193</v>
      </c>
      <c r="Z10" s="53">
        <f t="shared" ref="Z10:AA10" si="7">IF(Z8=0,0,Z8/Z9)</f>
        <v>0.91694267291040477</v>
      </c>
      <c r="AA10" s="53">
        <f t="shared" si="7"/>
        <v>1.0508488392680517</v>
      </c>
    </row>
    <row r="11" spans="1:27" x14ac:dyDescent="0.25">
      <c r="A11" s="43" t="s">
        <v>251</v>
      </c>
      <c r="B11" s="44"/>
      <c r="C11" s="44"/>
      <c r="D11" s="45">
        <v>51.28</v>
      </c>
      <c r="E11" s="45">
        <v>55.38</v>
      </c>
      <c r="F11" s="45">
        <v>51.14</v>
      </c>
      <c r="G11" s="45">
        <v>36.07</v>
      </c>
      <c r="H11" s="45">
        <v>31.21</v>
      </c>
      <c r="I11" s="45">
        <v>80.45</v>
      </c>
      <c r="J11" s="45">
        <v>70.78</v>
      </c>
      <c r="K11" s="45">
        <v>136.22999999999999</v>
      </c>
      <c r="L11" s="45">
        <v>133.99</v>
      </c>
      <c r="M11" s="45">
        <v>49.2</v>
      </c>
      <c r="N11" s="45">
        <v>73.55</v>
      </c>
      <c r="O11" s="45">
        <v>62.35</v>
      </c>
      <c r="P11" s="45">
        <v>108.69</v>
      </c>
      <c r="Q11" s="45">
        <v>117.96</v>
      </c>
      <c r="R11" s="45">
        <v>152.93</v>
      </c>
      <c r="S11" s="45">
        <v>62.85</v>
      </c>
      <c r="T11" s="45">
        <v>111.32</v>
      </c>
      <c r="U11" s="45">
        <v>62.43</v>
      </c>
      <c r="V11" s="45">
        <v>174.45</v>
      </c>
      <c r="W11" s="45">
        <v>144.29</v>
      </c>
      <c r="X11" s="45">
        <v>216.71</v>
      </c>
      <c r="Y11" s="45">
        <v>203.57</v>
      </c>
      <c r="Z11" s="45">
        <v>129.26</v>
      </c>
      <c r="AA11" s="45">
        <v>162.72999999999999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94.440952380952396</v>
      </c>
      <c r="E12" s="45">
        <f t="shared" ref="E12" si="9">AVERAGE($D11:$X11)</f>
        <v>94.440952380952396</v>
      </c>
      <c r="F12" s="45">
        <f t="shared" ref="F12" si="10">AVERAGE($D11:$X11)</f>
        <v>94.440952380952396</v>
      </c>
      <c r="G12" s="45">
        <f t="shared" ref="G12" si="11">AVERAGE($D11:$X11)</f>
        <v>94.440952380952396</v>
      </c>
      <c r="H12" s="45">
        <f t="shared" ref="H12" si="12">AVERAGE($D11:$X11)</f>
        <v>94.440952380952396</v>
      </c>
      <c r="I12" s="45">
        <f t="shared" ref="I12" si="13">AVERAGE($D11:$X11)</f>
        <v>94.440952380952396</v>
      </c>
      <c r="J12" s="45">
        <f t="shared" ref="J12" si="14">AVERAGE($D11:$X11)</f>
        <v>94.440952380952396</v>
      </c>
      <c r="K12" s="45">
        <f t="shared" ref="K12" si="15">AVERAGE($D11:$X11)</f>
        <v>94.440952380952396</v>
      </c>
      <c r="L12" s="45">
        <f t="shared" ref="L12" si="16">AVERAGE($D11:$X11)</f>
        <v>94.440952380952396</v>
      </c>
      <c r="M12" s="45">
        <f t="shared" ref="M12" si="17">AVERAGE($D11:$X11)</f>
        <v>94.440952380952396</v>
      </c>
      <c r="N12" s="45">
        <f t="shared" ref="N12" si="18">AVERAGE($D11:$X11)</f>
        <v>94.440952380952396</v>
      </c>
      <c r="O12" s="45">
        <f t="shared" ref="O12" si="19">AVERAGE($D11:$X11)</f>
        <v>94.440952380952396</v>
      </c>
      <c r="P12" s="45">
        <f t="shared" ref="P12" si="20">AVERAGE($D11:$X11)</f>
        <v>94.440952380952396</v>
      </c>
      <c r="Q12" s="45">
        <f t="shared" ref="Q12" si="21">AVERAGE($D11:$X11)</f>
        <v>94.440952380952396</v>
      </c>
      <c r="R12" s="45">
        <f t="shared" ref="R12" si="22">AVERAGE($D11:$X11)</f>
        <v>94.440952380952396</v>
      </c>
      <c r="S12" s="45">
        <f t="shared" ref="S12" si="23">AVERAGE($D11:$X11)</f>
        <v>94.440952380952396</v>
      </c>
      <c r="T12" s="45">
        <f t="shared" ref="T12" si="24">AVERAGE($D11:$X11)</f>
        <v>94.440952380952396</v>
      </c>
      <c r="U12" s="45">
        <f t="shared" ref="U12" si="25">AVERAGE($D11:$X11)</f>
        <v>94.440952380952396</v>
      </c>
      <c r="V12" s="45">
        <f t="shared" ref="V12" si="26">AVERAGE($D11:$X11)</f>
        <v>94.440952380952396</v>
      </c>
      <c r="W12" s="45">
        <f t="shared" ref="W12" si="27">AVERAGE($D11:$X11)</f>
        <v>94.440952380952396</v>
      </c>
      <c r="X12" s="45">
        <f>AVERAGE($D11:$X11)</f>
        <v>94.440952380952396</v>
      </c>
      <c r="Y12" s="45">
        <f t="shared" ref="Y12:AA12" si="28">AVERAGE($D11:$X11)</f>
        <v>94.440952380952396</v>
      </c>
      <c r="Z12" s="45">
        <f t="shared" si="28"/>
        <v>94.440952380952396</v>
      </c>
      <c r="AA12" s="45">
        <f t="shared" si="28"/>
        <v>94.440952380952396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0.54298478263061822</v>
      </c>
      <c r="E13" s="55">
        <f t="shared" si="29"/>
        <v>0.58639815253673233</v>
      </c>
      <c r="F13" s="55">
        <f t="shared" ref="F13" si="30">IF(F11=0,0,F11/F12)</f>
        <v>0.54150237487772646</v>
      </c>
      <c r="G13" s="55">
        <f t="shared" ref="G13" si="31">IF(G11=0,0,G11/G12)</f>
        <v>0.38193176890574099</v>
      </c>
      <c r="H13" s="55">
        <f t="shared" ref="H13" si="32">IF(H11=0,0,H11/H12)</f>
        <v>0.33047104262678617</v>
      </c>
      <c r="I13" s="55">
        <f t="shared" ref="I13" si="33">IF(I11=0,0,I11/I12)</f>
        <v>0.85185502657241097</v>
      </c>
      <c r="J13" s="55">
        <f t="shared" ref="J13" si="34">IF(J11=0,0,J11/J12)</f>
        <v>0.74946300535481969</v>
      </c>
      <c r="K13" s="55">
        <f t="shared" ref="K13" si="35">IF(K11=0,0,K11/K12)</f>
        <v>1.442488629831691</v>
      </c>
      <c r="L13" s="55">
        <f t="shared" ref="L13" si="36">IF(L11=0,0,L11/L12)</f>
        <v>1.4187701057854238</v>
      </c>
      <c r="M13" s="55">
        <f t="shared" ref="M13" si="37">IF(M11=0,0,M11/M12)</f>
        <v>0.52096043887337007</v>
      </c>
      <c r="N13" s="55">
        <f t="shared" ref="N13" si="38">IF(N11=0,0,N11/N12)</f>
        <v>0.77879350160846272</v>
      </c>
      <c r="O13" s="55">
        <f t="shared" ref="O13" si="39">IF(O11=0,0,O11/O12)</f>
        <v>0.66020088137712651</v>
      </c>
      <c r="P13" s="55">
        <f t="shared" ref="P13" si="40">IF(P11=0,0,P11/P12)</f>
        <v>1.1508778475842802</v>
      </c>
      <c r="Q13" s="55">
        <f t="shared" ref="Q13" si="41">IF(Q11=0,0,Q11/Q12)</f>
        <v>1.2490344180793236</v>
      </c>
      <c r="R13" s="55">
        <f t="shared" ref="R13" si="42">IF(R11=0,0,R11/R12)</f>
        <v>1.6193186974980585</v>
      </c>
      <c r="S13" s="55">
        <f t="shared" ref="S13:Y13" si="43">IF(S11=0,0,S11/S12)</f>
        <v>0.66549519478031116</v>
      </c>
      <c r="T13" s="55">
        <f t="shared" si="43"/>
        <v>1.1787259360850315</v>
      </c>
      <c r="U13" s="55">
        <f t="shared" si="43"/>
        <v>0.66104797152163597</v>
      </c>
      <c r="V13" s="55">
        <f t="shared" si="43"/>
        <v>1.847185946371126</v>
      </c>
      <c r="W13" s="55">
        <f t="shared" si="43"/>
        <v>1.5278329618910276</v>
      </c>
      <c r="X13" s="55">
        <f t="shared" si="43"/>
        <v>2.2946613152082933</v>
      </c>
      <c r="Y13" s="55">
        <f t="shared" si="43"/>
        <v>2.1555267589726004</v>
      </c>
      <c r="Z13" s="55">
        <f t="shared" ref="Z13:AA13" si="44">IF(Z11=0,0,Z11/Z12)</f>
        <v>1.3686859009912968</v>
      </c>
      <c r="AA13" s="55">
        <f t="shared" si="44"/>
        <v>1.7230872402004775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45487.890841462024</v>
      </c>
      <c r="E16" s="42">
        <v>47226.825681525464</v>
      </c>
      <c r="F16" s="42">
        <v>50000.438636794483</v>
      </c>
      <c r="G16" s="42">
        <v>52618.566184951604</v>
      </c>
      <c r="H16" s="42">
        <v>56044.491269968305</v>
      </c>
      <c r="I16" s="42">
        <v>59999.625920190061</v>
      </c>
      <c r="J16" s="42">
        <v>64080.844624095102</v>
      </c>
      <c r="K16" s="42">
        <v>68344.721519613435</v>
      </c>
      <c r="L16" s="42">
        <v>72534.450281564554</v>
      </c>
      <c r="M16" s="42">
        <v>70106.397382470779</v>
      </c>
      <c r="N16" s="42">
        <v>71196.70187740837</v>
      </c>
      <c r="O16" s="42">
        <v>72684.95435083237</v>
      </c>
      <c r="P16" s="42">
        <v>73228.902967123606</v>
      </c>
      <c r="Q16" s="42">
        <v>72832.15414132351</v>
      </c>
      <c r="R16" s="42">
        <v>73522.952398159294</v>
      </c>
      <c r="S16" s="42">
        <v>76021.142154000001</v>
      </c>
      <c r="T16" s="42">
        <v>78321.661330378221</v>
      </c>
      <c r="U16" s="42">
        <v>80472.508817418769</v>
      </c>
      <c r="V16" s="42">
        <v>82524.271563703995</v>
      </c>
      <c r="W16" s="42">
        <v>85651.192117223269</v>
      </c>
      <c r="X16" s="42">
        <v>82896.749419233049</v>
      </c>
      <c r="Y16" s="42">
        <v>89346.39472743588</v>
      </c>
      <c r="Z16" s="42">
        <v>92955.216128024971</v>
      </c>
      <c r="AA16" s="42">
        <v>94709.3</v>
      </c>
    </row>
    <row r="17" spans="1:27" x14ac:dyDescent="0.25">
      <c r="A17" s="46" t="s">
        <v>141</v>
      </c>
      <c r="B17" s="47"/>
      <c r="C17" s="47"/>
      <c r="D17" s="57">
        <v>22524.891182579238</v>
      </c>
      <c r="E17" s="57">
        <v>24253.72868947982</v>
      </c>
      <c r="F17" s="57">
        <v>25634.510689680392</v>
      </c>
      <c r="G17" s="57">
        <v>27299.480659609118</v>
      </c>
      <c r="H17" s="57">
        <v>29885.111147332766</v>
      </c>
      <c r="I17" s="57">
        <v>32071.210164856933</v>
      </c>
      <c r="J17" s="57">
        <v>34808.033366941992</v>
      </c>
      <c r="K17" s="57">
        <v>38808.299347957764</v>
      </c>
      <c r="L17" s="57">
        <v>40162.990321246063</v>
      </c>
      <c r="M17" s="57">
        <v>38450.630839221434</v>
      </c>
      <c r="N17" s="57">
        <v>39360.30425515669</v>
      </c>
      <c r="O17" s="57">
        <v>40143.123474830354</v>
      </c>
      <c r="P17" s="57">
        <v>41640.655662152756</v>
      </c>
      <c r="Q17" s="57">
        <v>40031.547146028715</v>
      </c>
      <c r="R17" s="57">
        <v>40624.830654902042</v>
      </c>
      <c r="S17" s="57">
        <v>41754.378296999996</v>
      </c>
      <c r="T17" s="57">
        <v>42625.163282686721</v>
      </c>
      <c r="U17" s="57">
        <v>43672.300332753672</v>
      </c>
      <c r="V17" s="57">
        <v>45267.875921775383</v>
      </c>
      <c r="W17" s="57">
        <v>47975.437671232881</v>
      </c>
      <c r="X17" s="57">
        <v>47780.700370313352</v>
      </c>
      <c r="Y17" s="57">
        <v>51865.660843018537</v>
      </c>
      <c r="Z17" s="57">
        <v>53906.699505318553</v>
      </c>
      <c r="AA17" s="57">
        <v>54673.2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5553.4830269023751</v>
      </c>
      <c r="E20" s="42">
        <f t="shared" ref="E20:S20" si="45">1000000*E16/E$3</f>
        <v>5795.0808177325771</v>
      </c>
      <c r="F20" s="42">
        <f t="shared" si="45"/>
        <v>6354.252658982894</v>
      </c>
      <c r="G20" s="42">
        <f t="shared" si="45"/>
        <v>6741.2114198556255</v>
      </c>
      <c r="H20" s="42">
        <f t="shared" si="45"/>
        <v>7236.0784462797556</v>
      </c>
      <c r="I20" s="42">
        <f t="shared" si="45"/>
        <v>7803.7401635114948</v>
      </c>
      <c r="J20" s="42">
        <f t="shared" si="45"/>
        <v>8399.230372214839</v>
      </c>
      <c r="K20" s="42">
        <f t="shared" si="45"/>
        <v>9025.177968151198</v>
      </c>
      <c r="L20" s="42">
        <f t="shared" si="45"/>
        <v>9648.1020198670558</v>
      </c>
      <c r="M20" s="42">
        <f t="shared" si="45"/>
        <v>9388.6808797972517</v>
      </c>
      <c r="N20" s="42">
        <f t="shared" si="45"/>
        <v>9592.9596645068541</v>
      </c>
      <c r="O20" s="42">
        <f t="shared" si="45"/>
        <v>9863.0347920799268</v>
      </c>
      <c r="P20" s="42">
        <f t="shared" si="45"/>
        <v>9994.0854772726489</v>
      </c>
      <c r="Q20" s="42">
        <f t="shared" si="45"/>
        <v>10111.987208613653</v>
      </c>
      <c r="R20" s="42">
        <f t="shared" si="45"/>
        <v>10329.952638698041</v>
      </c>
      <c r="S20" s="42">
        <f t="shared" si="45"/>
        <v>10814.295104620545</v>
      </c>
      <c r="T20" s="42">
        <f t="shared" ref="T20:Y20" si="46">1000000*T16/T$3</f>
        <v>11287.560402426172</v>
      </c>
      <c r="U20" s="42">
        <f t="shared" si="46"/>
        <v>11748.638198690589</v>
      </c>
      <c r="V20" s="42">
        <f t="shared" si="46"/>
        <v>12212.397037404522</v>
      </c>
      <c r="W20" s="42">
        <f t="shared" si="46"/>
        <v>12852.478575707588</v>
      </c>
      <c r="X20" s="42">
        <f t="shared" si="46"/>
        <v>12618.858156985823</v>
      </c>
      <c r="Y20" s="42">
        <f t="shared" si="46"/>
        <v>13678.015064248832</v>
      </c>
      <c r="Z20" s="42">
        <f t="shared" ref="Z20:AA20" si="47">1000000*Z16/Z$3</f>
        <v>14339.443973641119</v>
      </c>
      <c r="AA20" s="42">
        <f t="shared" si="47"/>
        <v>14688.827506199876</v>
      </c>
    </row>
    <row r="21" spans="1:27" x14ac:dyDescent="0.25">
      <c r="A21" s="46" t="s">
        <v>141</v>
      </c>
      <c r="B21" s="47"/>
      <c r="C21" s="47"/>
      <c r="D21" s="57">
        <f>1000000*D17/D$3</f>
        <v>2749.9978247234167</v>
      </c>
      <c r="E21" s="57">
        <f t="shared" ref="E21:S21" si="48">1000000*E17/E$3</f>
        <v>2976.1118995104734</v>
      </c>
      <c r="F21" s="57">
        <f t="shared" si="48"/>
        <v>3257.7345749875162</v>
      </c>
      <c r="G21" s="57">
        <f t="shared" si="48"/>
        <v>3497.4645666288798</v>
      </c>
      <c r="H21" s="57">
        <f t="shared" si="48"/>
        <v>3858.5595789638032</v>
      </c>
      <c r="I21" s="57">
        <f t="shared" si="48"/>
        <v>4171.2825208080785</v>
      </c>
      <c r="J21" s="57">
        <f t="shared" si="48"/>
        <v>4562.3726211429475</v>
      </c>
      <c r="K21" s="57">
        <f t="shared" si="48"/>
        <v>5124.7821407259717</v>
      </c>
      <c r="L21" s="57">
        <f t="shared" si="48"/>
        <v>5342.2425694015592</v>
      </c>
      <c r="M21" s="57">
        <f t="shared" si="48"/>
        <v>5149.3261108094612</v>
      </c>
      <c r="N21" s="57">
        <f t="shared" si="48"/>
        <v>5303.3609864763575</v>
      </c>
      <c r="O21" s="57">
        <f t="shared" si="48"/>
        <v>5447.2487054740523</v>
      </c>
      <c r="P21" s="57">
        <f t="shared" si="48"/>
        <v>5683.005687031372</v>
      </c>
      <c r="Q21" s="57">
        <f t="shared" si="48"/>
        <v>5557.9640263857327</v>
      </c>
      <c r="R21" s="57">
        <f t="shared" si="48"/>
        <v>5707.7764552715753</v>
      </c>
      <c r="S21" s="57">
        <f t="shared" si="48"/>
        <v>5939.7182944055839</v>
      </c>
      <c r="T21" s="57">
        <f t="shared" ref="T21:Y21" si="49">1000000*T17/T$3</f>
        <v>6143.0528546512023</v>
      </c>
      <c r="U21" s="57">
        <f t="shared" si="49"/>
        <v>6375.9669414334949</v>
      </c>
      <c r="V21" s="57">
        <f t="shared" si="49"/>
        <v>6698.99004646085</v>
      </c>
      <c r="W21" s="57">
        <f t="shared" si="49"/>
        <v>7199.0041187730876</v>
      </c>
      <c r="X21" s="57">
        <f t="shared" si="49"/>
        <v>7273.3597497917735</v>
      </c>
      <c r="Y21" s="57">
        <f t="shared" si="49"/>
        <v>7940.099793530725</v>
      </c>
      <c r="Z21" s="57">
        <f t="shared" ref="Z21:AA21" si="50">1000000*Z17/Z$3</f>
        <v>8315.7474056732808</v>
      </c>
      <c r="AA21" s="57">
        <f t="shared" si="50"/>
        <v>8479.4756587997908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39410.090770444382</v>
      </c>
      <c r="E23" s="60">
        <v>41014.757862012935</v>
      </c>
      <c r="F23" s="60">
        <v>44131.790077041602</v>
      </c>
      <c r="G23" s="60">
        <v>45965.718829555255</v>
      </c>
      <c r="H23" s="60">
        <v>48207.263253477584</v>
      </c>
      <c r="I23" s="60">
        <v>51319.748444740588</v>
      </c>
      <c r="J23" s="60">
        <v>54985.579267033725</v>
      </c>
      <c r="K23" s="60">
        <v>58586.392469392464</v>
      </c>
      <c r="L23" s="60">
        <v>62190.175271367989</v>
      </c>
      <c r="M23" s="60">
        <v>61656.369985814301</v>
      </c>
      <c r="N23" s="60">
        <v>62784.849425977773</v>
      </c>
      <c r="O23" s="60">
        <v>63977.574908315575</v>
      </c>
      <c r="P23" s="60">
        <v>64140.046598385255</v>
      </c>
      <c r="Q23" s="60">
        <v>63082.831841798659</v>
      </c>
      <c r="R23" s="60">
        <v>63689.341153454086</v>
      </c>
      <c r="S23" s="60">
        <v>65563.625507999997</v>
      </c>
      <c r="T23" s="60">
        <v>67253.055877833089</v>
      </c>
      <c r="U23" s="60">
        <v>69459.605858711497</v>
      </c>
      <c r="V23" s="60">
        <v>71767.673432532785</v>
      </c>
      <c r="W23" s="60">
        <v>74233.350718748421</v>
      </c>
      <c r="X23" s="60">
        <v>71908.457455584532</v>
      </c>
      <c r="Y23" s="60">
        <v>77758.903610802372</v>
      </c>
      <c r="Z23" s="60">
        <v>82006.135740604266</v>
      </c>
      <c r="AA23" s="60">
        <v>83042.399999999994</v>
      </c>
    </row>
    <row r="24" spans="1:27" x14ac:dyDescent="0.25">
      <c r="A24" s="61" t="s">
        <v>33</v>
      </c>
      <c r="B24" s="62"/>
      <c r="C24" s="62"/>
      <c r="D24" s="63">
        <v>4931.7095450959769</v>
      </c>
      <c r="E24" s="63">
        <v>4937.7803016921607</v>
      </c>
      <c r="F24" s="63">
        <v>4816.3171237801753</v>
      </c>
      <c r="G24" s="63">
        <v>4790.8042801359097</v>
      </c>
      <c r="H24" s="63">
        <v>4757.6925038639874</v>
      </c>
      <c r="I24" s="63">
        <v>4395.2926674137561</v>
      </c>
      <c r="J24" s="63">
        <v>3971.3563317274602</v>
      </c>
      <c r="K24" s="63">
        <v>3212.5036729036729</v>
      </c>
      <c r="L24" s="63">
        <v>4341.5973833656817</v>
      </c>
      <c r="M24" s="63">
        <v>3005.3846657209533</v>
      </c>
      <c r="N24" s="63">
        <v>2900.4529165769463</v>
      </c>
      <c r="O24" s="63">
        <v>3416.7294882729216</v>
      </c>
      <c r="P24" s="63">
        <v>3266.2999821050748</v>
      </c>
      <c r="Q24" s="63">
        <v>3303.9502471895958</v>
      </c>
      <c r="R24" s="63">
        <v>3347.6509612117343</v>
      </c>
      <c r="S24" s="63">
        <v>3083.5588679999996</v>
      </c>
      <c r="T24" s="63">
        <v>3166.930467307785</v>
      </c>
      <c r="U24" s="63">
        <v>3265.8256792002749</v>
      </c>
      <c r="V24" s="63">
        <v>2814.1870328319928</v>
      </c>
      <c r="W24" s="63">
        <v>2749.6899984761521</v>
      </c>
      <c r="X24" s="63">
        <v>2843.7027484723985</v>
      </c>
      <c r="Y24" s="63">
        <v>3844.6439214154825</v>
      </c>
      <c r="Z24" s="63">
        <v>3423.061016949152</v>
      </c>
      <c r="AA24" s="63">
        <v>2384.4</v>
      </c>
    </row>
    <row r="25" spans="1:27" x14ac:dyDescent="0.25">
      <c r="A25" s="64" t="s">
        <v>56</v>
      </c>
      <c r="B25" s="65"/>
      <c r="C25" s="65"/>
      <c r="D25" s="66">
        <v>709.12101095472929</v>
      </c>
      <c r="E25" s="66">
        <v>683.94039636838909</v>
      </c>
      <c r="F25" s="66">
        <v>613.24895737031329</v>
      </c>
      <c r="G25" s="66">
        <v>684.24049901110584</v>
      </c>
      <c r="H25" s="66">
        <v>839.56139876352393</v>
      </c>
      <c r="I25" s="66">
        <v>1003.9885130599947</v>
      </c>
      <c r="J25" s="66">
        <v>1303.1087233310393</v>
      </c>
      <c r="K25" s="66">
        <v>1304.6142912142909</v>
      </c>
      <c r="L25" s="66">
        <v>1271.5784487096544</v>
      </c>
      <c r="M25" s="66">
        <v>1189.2760888888508</v>
      </c>
      <c r="N25" s="66">
        <v>1389.7377381370623</v>
      </c>
      <c r="O25" s="66">
        <v>1493.2176972281452</v>
      </c>
      <c r="P25" s="66">
        <v>1546.781481910336</v>
      </c>
      <c r="Q25" s="66">
        <v>1568.4629530497214</v>
      </c>
      <c r="R25" s="66">
        <v>1661.3073931811298</v>
      </c>
      <c r="S25" s="66">
        <v>1629.9908276135411</v>
      </c>
      <c r="T25" s="66">
        <v>1524.3028203425583</v>
      </c>
      <c r="U25" s="66">
        <v>1559.7096989084316</v>
      </c>
      <c r="V25" s="66">
        <v>1317.4541529165799</v>
      </c>
      <c r="W25" s="66">
        <v>997.5419004514979</v>
      </c>
      <c r="X25" s="66">
        <v>1233.600232469912</v>
      </c>
      <c r="Y25" s="66">
        <v>1090.4672414311035</v>
      </c>
      <c r="Z25" s="66">
        <v>748.40975242351601</v>
      </c>
      <c r="AA25" s="66">
        <v>1248.7245845802488</v>
      </c>
    </row>
    <row r="26" spans="1:27" x14ac:dyDescent="0.25">
      <c r="A26" s="67" t="s">
        <v>146</v>
      </c>
      <c r="B26" s="44"/>
      <c r="C26" s="44"/>
      <c r="D26" s="45">
        <v>24757.51177903188</v>
      </c>
      <c r="E26" s="45">
        <v>25408.2686120041</v>
      </c>
      <c r="F26" s="45">
        <v>27943.833795582956</v>
      </c>
      <c r="G26" s="45">
        <v>28915.465510421425</v>
      </c>
      <c r="H26" s="45">
        <v>30989.582921174642</v>
      </c>
      <c r="I26" s="45">
        <v>32902.666294459319</v>
      </c>
      <c r="J26" s="45">
        <v>35204.849913971084</v>
      </c>
      <c r="K26" s="45">
        <v>38024.837375837385</v>
      </c>
      <c r="L26" s="45">
        <v>40322.123973833644</v>
      </c>
      <c r="M26" s="45">
        <v>40706.069583447592</v>
      </c>
      <c r="N26" s="45">
        <v>43708.172344934668</v>
      </c>
      <c r="O26" s="45">
        <v>43156.288707889144</v>
      </c>
      <c r="P26" s="45">
        <v>43052.695266265968</v>
      </c>
      <c r="Q26" s="45">
        <v>43532.980684573486</v>
      </c>
      <c r="R26" s="45">
        <v>44169.374122091889</v>
      </c>
      <c r="S26" s="45">
        <v>45319.323064942175</v>
      </c>
      <c r="T26" s="45">
        <v>46107.90777951925</v>
      </c>
      <c r="U26" s="45">
        <v>47927.166312042791</v>
      </c>
      <c r="V26" s="45">
        <v>51678.523364732682</v>
      </c>
      <c r="W26" s="45">
        <v>54209.488461453344</v>
      </c>
      <c r="X26" s="45">
        <v>52180.085668391359</v>
      </c>
      <c r="Y26" s="45">
        <v>56435.787668599245</v>
      </c>
      <c r="Z26" s="45">
        <v>56170.354720370342</v>
      </c>
      <c r="AA26" s="45">
        <v>60355.9130374862</v>
      </c>
    </row>
    <row r="27" spans="1:27" x14ac:dyDescent="0.25">
      <c r="A27" s="68" t="s">
        <v>148</v>
      </c>
      <c r="B27" s="69"/>
      <c r="C27" s="69"/>
      <c r="D27" s="70">
        <v>11175.968010217495</v>
      </c>
      <c r="E27" s="70">
        <v>11172.002416363443</v>
      </c>
      <c r="F27" s="70">
        <v>12421.909583975355</v>
      </c>
      <c r="G27" s="70">
        <v>12538.244819717029</v>
      </c>
      <c r="H27" s="70">
        <v>12899.516634466765</v>
      </c>
      <c r="I27" s="70">
        <v>13116.597546718353</v>
      </c>
      <c r="J27" s="70">
        <v>13552.996180316581</v>
      </c>
      <c r="K27" s="70">
        <v>14008.915500115505</v>
      </c>
      <c r="L27" s="70">
        <v>14375.807016030467</v>
      </c>
      <c r="M27" s="70">
        <v>14180.621873426993</v>
      </c>
      <c r="N27" s="70">
        <v>14670.956727903264</v>
      </c>
      <c r="O27" s="70">
        <v>14223.737948827304</v>
      </c>
      <c r="P27" s="70">
        <v>14666.943188875675</v>
      </c>
      <c r="Q27" s="70">
        <v>15011.660622854812</v>
      </c>
      <c r="R27" s="70">
        <v>15999.39577622867</v>
      </c>
      <c r="S27" s="70">
        <v>15923.515895999995</v>
      </c>
      <c r="T27" s="70">
        <v>15598.830723433046</v>
      </c>
      <c r="U27" s="70">
        <v>16156.967519051019</v>
      </c>
      <c r="V27" s="70">
        <v>17097.374423636891</v>
      </c>
      <c r="W27" s="70">
        <v>17908.136679026768</v>
      </c>
      <c r="X27" s="70">
        <v>17443.669230831329</v>
      </c>
      <c r="Y27" s="70">
        <v>18617.487461323562</v>
      </c>
      <c r="Z27" s="70">
        <v>19050.507295504787</v>
      </c>
      <c r="AA27" s="70">
        <v>20460.699999999986</v>
      </c>
    </row>
    <row r="28" spans="1:27" x14ac:dyDescent="0.25">
      <c r="A28" s="68" t="s">
        <v>150</v>
      </c>
      <c r="B28" s="71"/>
      <c r="C28" s="71"/>
      <c r="D28" s="70">
        <v>8937.5366214642581</v>
      </c>
      <c r="E28" s="70">
        <v>9591.268597873317</v>
      </c>
      <c r="F28" s="70">
        <v>10799.254545454547</v>
      </c>
      <c r="G28" s="70">
        <v>10979.230021806381</v>
      </c>
      <c r="H28" s="70">
        <v>12156.827704791342</v>
      </c>
      <c r="I28" s="70">
        <v>12946.408601629464</v>
      </c>
      <c r="J28" s="70">
        <v>13585.318410185821</v>
      </c>
      <c r="K28" s="70">
        <v>16733.438546238543</v>
      </c>
      <c r="L28" s="70">
        <v>17937.934555387823</v>
      </c>
      <c r="M28" s="70">
        <v>18605.73743650757</v>
      </c>
      <c r="N28" s="70">
        <v>20517.510880922971</v>
      </c>
      <c r="O28" s="70">
        <v>20149.956729211088</v>
      </c>
      <c r="P28" s="70">
        <v>19742.270853377406</v>
      </c>
      <c r="Q28" s="70">
        <v>19115.935837768051</v>
      </c>
      <c r="R28" s="70">
        <v>18787.568821112676</v>
      </c>
      <c r="S28" s="70">
        <v>19209.960107999999</v>
      </c>
      <c r="T28" s="70">
        <v>20155.538700043489</v>
      </c>
      <c r="U28" s="70">
        <v>20638.073597742652</v>
      </c>
      <c r="V28" s="70">
        <v>22553.496508428394</v>
      </c>
      <c r="W28" s="70">
        <v>23637.65148575202</v>
      </c>
      <c r="X28" s="70">
        <v>23038.621608401205</v>
      </c>
      <c r="Y28" s="70">
        <v>24437.918603742979</v>
      </c>
      <c r="Z28" s="70">
        <v>24241.29801031687</v>
      </c>
      <c r="AA28" s="70">
        <v>25804.1</v>
      </c>
    </row>
    <row r="29" spans="1:27" x14ac:dyDescent="0.25">
      <c r="A29" s="68" t="s">
        <v>152</v>
      </c>
      <c r="B29" s="71"/>
      <c r="C29" s="71"/>
      <c r="D29" s="70">
        <v>4644.0071473501266</v>
      </c>
      <c r="E29" s="70">
        <v>4644.9975977673357</v>
      </c>
      <c r="F29" s="70">
        <v>4722.669666153055</v>
      </c>
      <c r="G29" s="70">
        <v>5397.9906688980191</v>
      </c>
      <c r="H29" s="70">
        <v>5933.2385819165393</v>
      </c>
      <c r="I29" s="70">
        <v>6839.6601461114997</v>
      </c>
      <c r="J29" s="70">
        <v>8066.5353234686854</v>
      </c>
      <c r="K29" s="70">
        <v>7282.4833294833279</v>
      </c>
      <c r="L29" s="70">
        <v>8008.3824024153537</v>
      </c>
      <c r="M29" s="70">
        <v>7919.7102735130229</v>
      </c>
      <c r="N29" s="70">
        <v>8519.7047361084369</v>
      </c>
      <c r="O29" s="70">
        <v>8782.5940298507467</v>
      </c>
      <c r="P29" s="70">
        <v>8643.4812240128849</v>
      </c>
      <c r="Q29" s="70">
        <v>9405.3842239506266</v>
      </c>
      <c r="R29" s="70">
        <v>9382.4095247505466</v>
      </c>
      <c r="S29" s="70">
        <v>10185.847060942175</v>
      </c>
      <c r="T29" s="70">
        <v>10353.538356042707</v>
      </c>
      <c r="U29" s="70">
        <v>11132.125195249133</v>
      </c>
      <c r="V29" s="70">
        <v>12027.652432667399</v>
      </c>
      <c r="W29" s="70">
        <v>12663.700296674568</v>
      </c>
      <c r="X29" s="70">
        <v>11697.794829158831</v>
      </c>
      <c r="Y29" s="70">
        <v>13380.3816035327</v>
      </c>
      <c r="Z29" s="70">
        <v>12878.549414548688</v>
      </c>
      <c r="AA29" s="70">
        <v>14091.113037486219</v>
      </c>
    </row>
    <row r="30" spans="1:27" x14ac:dyDescent="0.25">
      <c r="A30" s="64" t="s">
        <v>154</v>
      </c>
      <c r="B30" s="65"/>
      <c r="C30" s="65"/>
      <c r="D30" s="66">
        <v>2538.6656210422761</v>
      </c>
      <c r="E30" s="66">
        <v>2428.3397463524916</v>
      </c>
      <c r="F30" s="66">
        <v>2657.3175552131484</v>
      </c>
      <c r="G30" s="66">
        <v>2592.1002687763071</v>
      </c>
      <c r="H30" s="66">
        <v>2769.8053902627507</v>
      </c>
      <c r="I30" s="66">
        <v>2639.5385292465953</v>
      </c>
      <c r="J30" s="66">
        <v>2723.6231933929803</v>
      </c>
      <c r="K30" s="66">
        <v>2321.6305844305839</v>
      </c>
      <c r="L30" s="66">
        <v>2100.497462439796</v>
      </c>
      <c r="M30" s="66">
        <v>2273.5122144525626</v>
      </c>
      <c r="N30" s="66">
        <v>2397.9456917166267</v>
      </c>
      <c r="O30" s="66">
        <v>2795.9396929637533</v>
      </c>
      <c r="P30" s="66">
        <v>2703.2470952325816</v>
      </c>
      <c r="Q30" s="66">
        <v>2835.76014107126</v>
      </c>
      <c r="R30" s="66">
        <v>2330.5019726847963</v>
      </c>
      <c r="S30" s="66">
        <v>2870.8067354442837</v>
      </c>
      <c r="T30" s="66">
        <v>3410.3522455448551</v>
      </c>
      <c r="U30" s="66">
        <v>3364.2054262523238</v>
      </c>
      <c r="V30" s="66">
        <v>2522.8875906776066</v>
      </c>
      <c r="W30" s="66">
        <v>2324.8478419860412</v>
      </c>
      <c r="X30" s="66">
        <v>1892.5461267122455</v>
      </c>
      <c r="Y30" s="66">
        <v>4150.497575775782</v>
      </c>
      <c r="Z30" s="66">
        <v>7511.1149671471694</v>
      </c>
      <c r="AA30" s="66">
        <v>3970.0623779335328</v>
      </c>
    </row>
    <row r="31" spans="1:27" x14ac:dyDescent="0.25">
      <c r="A31" s="64" t="s">
        <v>37</v>
      </c>
      <c r="B31" s="65"/>
      <c r="C31" s="65"/>
      <c r="D31" s="66">
        <v>2013.6542729424139</v>
      </c>
      <c r="E31" s="66">
        <v>2178.3033172006926</v>
      </c>
      <c r="F31" s="66">
        <v>2202.9854956343092</v>
      </c>
      <c r="G31" s="66">
        <v>2246.8978548607943</v>
      </c>
      <c r="H31" s="66">
        <v>2407.6678129829984</v>
      </c>
      <c r="I31" s="66">
        <v>3150.2525971469245</v>
      </c>
      <c r="J31" s="66">
        <v>3842.305075705437</v>
      </c>
      <c r="K31" s="66">
        <v>4638.1558789558785</v>
      </c>
      <c r="L31" s="66">
        <v>5579.8125368413484</v>
      </c>
      <c r="M31" s="66">
        <v>5892.6322472887014</v>
      </c>
      <c r="N31" s="66">
        <v>4479.5466482314678</v>
      </c>
      <c r="O31" s="66">
        <v>4047.9453006396589</v>
      </c>
      <c r="P31" s="66">
        <v>3738.2733502457922</v>
      </c>
      <c r="Q31" s="66">
        <v>3002.0885474068709</v>
      </c>
      <c r="R31" s="66">
        <v>2818.3828042464243</v>
      </c>
      <c r="S31" s="66">
        <v>2861.7773399999996</v>
      </c>
      <c r="T31" s="66">
        <v>2637.9338868216305</v>
      </c>
      <c r="U31" s="66">
        <v>2871.0403259790046</v>
      </c>
      <c r="V31" s="66">
        <v>2996.6235781262521</v>
      </c>
      <c r="W31" s="66">
        <v>3220.0630974754913</v>
      </c>
      <c r="X31" s="66">
        <v>3440.0320582466279</v>
      </c>
      <c r="Y31" s="66">
        <v>3083.6820210880469</v>
      </c>
      <c r="Z31" s="66">
        <v>3111.2599852616058</v>
      </c>
      <c r="AA31" s="66">
        <v>3666.8</v>
      </c>
    </row>
    <row r="32" spans="1:27" x14ac:dyDescent="0.25">
      <c r="A32" s="64" t="s">
        <v>58</v>
      </c>
      <c r="B32" s="65"/>
      <c r="C32" s="65"/>
      <c r="D32" s="66">
        <v>4459.4285413771076</v>
      </c>
      <c r="E32" s="66">
        <v>5378.1254883950978</v>
      </c>
      <c r="F32" s="66">
        <v>5898.08714946071</v>
      </c>
      <c r="G32" s="66">
        <v>6736.2104163497133</v>
      </c>
      <c r="H32" s="66">
        <v>6442.953226429674</v>
      </c>
      <c r="I32" s="66">
        <v>7228.0098434139973</v>
      </c>
      <c r="J32" s="66">
        <v>7940.3360289057136</v>
      </c>
      <c r="K32" s="66">
        <v>9084.6506660506657</v>
      </c>
      <c r="L32" s="66">
        <v>8574.5654661778444</v>
      </c>
      <c r="M32" s="66">
        <v>8589.4951860156489</v>
      </c>
      <c r="N32" s="66">
        <v>7908.994086380997</v>
      </c>
      <c r="O32" s="66">
        <v>9067.4540213219625</v>
      </c>
      <c r="P32" s="66">
        <v>9832.7494226255021</v>
      </c>
      <c r="Q32" s="66">
        <v>8839.5892685077288</v>
      </c>
      <c r="R32" s="66">
        <v>9362.1239000380974</v>
      </c>
      <c r="S32" s="66">
        <v>9798.1686719999998</v>
      </c>
      <c r="T32" s="66">
        <v>10405.628678297007</v>
      </c>
      <c r="U32" s="66">
        <v>10471.658416328655</v>
      </c>
      <c r="V32" s="66">
        <v>10437.997713247667</v>
      </c>
      <c r="W32" s="66">
        <v>10731.719418905877</v>
      </c>
      <c r="X32" s="66">
        <v>10318.490621291983</v>
      </c>
      <c r="Y32" s="66">
        <v>9153.8251824927156</v>
      </c>
      <c r="Z32" s="66">
        <v>11041.935298452468</v>
      </c>
      <c r="AA32" s="66">
        <v>11416.5</v>
      </c>
    </row>
    <row r="33" spans="1:27" x14ac:dyDescent="0.25">
      <c r="A33" s="72" t="s">
        <v>158</v>
      </c>
      <c r="B33" s="65"/>
      <c r="C33" s="65"/>
      <c r="D33" s="66">
        <v>429.3180646857744</v>
      </c>
      <c r="E33" s="66">
        <v>335.52897869784857</v>
      </c>
      <c r="F33" s="66">
        <v>286.90175654853624</v>
      </c>
      <c r="G33" s="66">
        <v>391.15468330037027</v>
      </c>
      <c r="H33" s="66">
        <v>563.08790571870168</v>
      </c>
      <c r="I33" s="66">
        <v>590.38996880394939</v>
      </c>
      <c r="J33" s="66">
        <v>672.11225051617339</v>
      </c>
      <c r="K33" s="66">
        <v>880.44978824978818</v>
      </c>
      <c r="L33" s="66">
        <v>688.9123283732298</v>
      </c>
      <c r="M33" s="66">
        <v>718.30381183361544</v>
      </c>
      <c r="N33" s="66">
        <v>672.51434205605358</v>
      </c>
      <c r="O33" s="66">
        <v>790.7868869936035</v>
      </c>
      <c r="P33" s="66">
        <v>799.82473920778114</v>
      </c>
      <c r="Q33" s="66">
        <v>566.66487388607231</v>
      </c>
      <c r="R33" s="66">
        <v>469.87269787987685</v>
      </c>
      <c r="S33" s="66">
        <v>542.68514399999992</v>
      </c>
      <c r="T33" s="66">
        <v>696.57090610351327</v>
      </c>
      <c r="U33" s="66">
        <v>832.18783147850786</v>
      </c>
      <c r="V33" s="66">
        <v>743.17799802313459</v>
      </c>
      <c r="W33" s="66">
        <v>724.36334637070161</v>
      </c>
      <c r="X33" s="66">
        <v>607.43438778887207</v>
      </c>
      <c r="Y33" s="66">
        <v>834.03316410826403</v>
      </c>
      <c r="Z33" s="66">
        <v>1223.2029476787027</v>
      </c>
      <c r="AA33" s="66">
        <v>540.9</v>
      </c>
    </row>
    <row r="34" spans="1:27" x14ac:dyDescent="0.25">
      <c r="A34" s="73" t="s">
        <v>5</v>
      </c>
      <c r="B34" s="65"/>
      <c r="C34" s="65"/>
      <c r="D34" s="66">
        <v>355.84379852358239</v>
      </c>
      <c r="E34" s="66">
        <v>276.54286670671951</v>
      </c>
      <c r="F34" s="66">
        <v>236.46432724540787</v>
      </c>
      <c r="G34" s="66">
        <v>325.11630296112685</v>
      </c>
      <c r="H34" s="66">
        <v>462.26394376994506</v>
      </c>
      <c r="I34" s="66">
        <v>486.7743961385404</v>
      </c>
      <c r="J34" s="66">
        <v>554.15412213917193</v>
      </c>
      <c r="K34" s="66">
        <v>686.6284396591019</v>
      </c>
      <c r="L34" s="66">
        <v>505.95764790111821</v>
      </c>
      <c r="M34" s="66">
        <v>175.98870013655147</v>
      </c>
      <c r="N34" s="66">
        <v>253.03766664481716</v>
      </c>
      <c r="O34" s="66">
        <v>225.53105854113784</v>
      </c>
      <c r="P34" s="66">
        <v>178.34212276235129</v>
      </c>
      <c r="Q34" s="66">
        <v>144.86659016236345</v>
      </c>
      <c r="R34" s="66">
        <v>96.808308362378014</v>
      </c>
      <c r="S34" s="66">
        <v>74.875478755449109</v>
      </c>
      <c r="T34" s="66">
        <v>189.5841198155114</v>
      </c>
      <c r="U34" s="66">
        <v>222.58367901719734</v>
      </c>
      <c r="V34" s="66">
        <v>254.04668102692625</v>
      </c>
      <c r="W34" s="66">
        <v>153.84941834967242</v>
      </c>
      <c r="X34" s="66">
        <v>146.02175254324084</v>
      </c>
      <c r="Y34" s="66">
        <v>422.5571412210893</v>
      </c>
      <c r="Z34" s="66">
        <v>303.26293203115563</v>
      </c>
      <c r="AA34" s="66">
        <v>364.03713263811085</v>
      </c>
    </row>
    <row r="35" spans="1:27" x14ac:dyDescent="0.25">
      <c r="A35" s="74" t="s">
        <v>264</v>
      </c>
      <c r="B35" s="44"/>
      <c r="C35" s="44"/>
      <c r="D35" s="45">
        <v>264.31179018868391</v>
      </c>
      <c r="E35" s="45">
        <v>190.52874448940716</v>
      </c>
      <c r="F35" s="45">
        <v>166.11296145143862</v>
      </c>
      <c r="G35" s="45">
        <v>225.61871804358159</v>
      </c>
      <c r="H35" s="45">
        <v>298.30855212635657</v>
      </c>
      <c r="I35" s="45">
        <v>314.85120157558117</v>
      </c>
      <c r="J35" s="45">
        <v>323.08381638838353</v>
      </c>
      <c r="K35" s="45">
        <v>393.75964504111863</v>
      </c>
      <c r="L35" s="45">
        <v>178.8989139417063</v>
      </c>
      <c r="M35" s="45">
        <v>0</v>
      </c>
      <c r="N35" s="45">
        <v>0</v>
      </c>
      <c r="O35" s="45">
        <v>0</v>
      </c>
      <c r="P35" s="45">
        <v>0</v>
      </c>
      <c r="Q35" s="45">
        <v>0</v>
      </c>
      <c r="R35" s="45">
        <v>0</v>
      </c>
      <c r="S35" s="45">
        <v>0</v>
      </c>
      <c r="T35" s="45">
        <v>0</v>
      </c>
      <c r="U35" s="45">
        <v>0</v>
      </c>
      <c r="V35" s="45">
        <v>0</v>
      </c>
      <c r="W35" s="45">
        <v>0</v>
      </c>
      <c r="X35" s="45">
        <v>0</v>
      </c>
      <c r="Y35" s="45">
        <v>0</v>
      </c>
      <c r="Z35" s="45">
        <v>0</v>
      </c>
      <c r="AA35" s="45">
        <v>0</v>
      </c>
    </row>
    <row r="36" spans="1:27" x14ac:dyDescent="0.25">
      <c r="A36" s="74" t="s">
        <v>15</v>
      </c>
      <c r="B36" s="44"/>
      <c r="C36" s="44"/>
      <c r="D36" s="45">
        <v>91.532008334898478</v>
      </c>
      <c r="E36" s="45">
        <v>86.014122217312348</v>
      </c>
      <c r="F36" s="45">
        <v>70.351365793969251</v>
      </c>
      <c r="G36" s="45">
        <v>99.497584917545254</v>
      </c>
      <c r="H36" s="45">
        <v>163.95539164358848</v>
      </c>
      <c r="I36" s="45">
        <v>171.92319456295922</v>
      </c>
      <c r="J36" s="45">
        <v>231.07030575078841</v>
      </c>
      <c r="K36" s="45">
        <v>292.86879461798327</v>
      </c>
      <c r="L36" s="45">
        <v>327.05873395941194</v>
      </c>
      <c r="M36" s="45">
        <v>175.98870013655147</v>
      </c>
      <c r="N36" s="45">
        <v>253.03766664481716</v>
      </c>
      <c r="O36" s="45">
        <v>225.53105854113784</v>
      </c>
      <c r="P36" s="45">
        <v>178.34212276235129</v>
      </c>
      <c r="Q36" s="45">
        <v>144.86659016236345</v>
      </c>
      <c r="R36" s="45">
        <v>96.808308362378014</v>
      </c>
      <c r="S36" s="45">
        <v>74.875478755449109</v>
      </c>
      <c r="T36" s="45">
        <v>189.5841198155114</v>
      </c>
      <c r="U36" s="45">
        <v>222.58367901719734</v>
      </c>
      <c r="V36" s="45">
        <v>254.04668102692625</v>
      </c>
      <c r="W36" s="45">
        <v>153.84941834967242</v>
      </c>
      <c r="X36" s="45">
        <v>146.02175254324084</v>
      </c>
      <c r="Y36" s="45">
        <v>422.5571412210893</v>
      </c>
      <c r="Z36" s="45">
        <v>303.26293203115563</v>
      </c>
      <c r="AA36" s="45">
        <v>364.03713263811085</v>
      </c>
    </row>
    <row r="37" spans="1:27" x14ac:dyDescent="0.25">
      <c r="A37" s="73" t="s">
        <v>263</v>
      </c>
      <c r="B37" s="65"/>
      <c r="C37" s="65"/>
      <c r="D37" s="66">
        <v>73.474266162192009</v>
      </c>
      <c r="E37" s="66">
        <v>58.986111991129064</v>
      </c>
      <c r="F37" s="66">
        <v>50.437429303128368</v>
      </c>
      <c r="G37" s="66">
        <v>66.038380339243417</v>
      </c>
      <c r="H37" s="66">
        <v>100.82396194875662</v>
      </c>
      <c r="I37" s="66">
        <v>103.61557266540899</v>
      </c>
      <c r="J37" s="66">
        <v>117.95812837700146</v>
      </c>
      <c r="K37" s="66">
        <v>193.82134859068628</v>
      </c>
      <c r="L37" s="66">
        <v>182.95468047211153</v>
      </c>
      <c r="M37" s="66">
        <v>542.31511169706391</v>
      </c>
      <c r="N37" s="66">
        <v>419.47667541123644</v>
      </c>
      <c r="O37" s="66">
        <v>565.25582845246583</v>
      </c>
      <c r="P37" s="66">
        <v>621.48261644542981</v>
      </c>
      <c r="Q37" s="66">
        <v>421.79828372370889</v>
      </c>
      <c r="R37" s="66">
        <v>373.06438951749885</v>
      </c>
      <c r="S37" s="66">
        <v>467.80966524455084</v>
      </c>
      <c r="T37" s="66">
        <v>506.98678628800184</v>
      </c>
      <c r="U37" s="66">
        <v>609.60415246131049</v>
      </c>
      <c r="V37" s="66">
        <v>489.13131699620828</v>
      </c>
      <c r="W37" s="66">
        <v>570.51392802102919</v>
      </c>
      <c r="X37" s="66">
        <v>461.41263524563124</v>
      </c>
      <c r="Y37" s="66">
        <v>411.47602288717485</v>
      </c>
      <c r="Z37" s="66">
        <v>919.94001564754706</v>
      </c>
      <c r="AA37" s="66">
        <v>176.86286736188913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26.856681468687526</v>
      </c>
      <c r="E39" s="45">
        <v>20.196116381230876</v>
      </c>
      <c r="F39" s="45">
        <v>17.354660284447128</v>
      </c>
      <c r="G39" s="45">
        <v>22.722681793213376</v>
      </c>
      <c r="H39" s="45">
        <v>34.997157486447215</v>
      </c>
      <c r="I39" s="45">
        <v>36.582770473685649</v>
      </c>
      <c r="J39" s="45">
        <v>42.557325363266486</v>
      </c>
      <c r="K39" s="45">
        <v>69.927509937748042</v>
      </c>
      <c r="L39" s="45">
        <v>66.006997319416371</v>
      </c>
      <c r="M39" s="45">
        <v>62.555941709108453</v>
      </c>
      <c r="N39" s="45">
        <v>46.195216777552304</v>
      </c>
      <c r="O39" s="45">
        <v>53.710519742988964</v>
      </c>
      <c r="P39" s="45">
        <v>49.123866412818245</v>
      </c>
      <c r="Q39" s="45">
        <v>52.872967027634161</v>
      </c>
      <c r="R39" s="45">
        <v>65.521228114853812</v>
      </c>
      <c r="S39" s="45">
        <v>70.898972383063324</v>
      </c>
      <c r="T39" s="45">
        <v>72.852113132500676</v>
      </c>
      <c r="U39" s="45">
        <v>63.89018670010455</v>
      </c>
      <c r="V39" s="45">
        <v>62.087013482326029</v>
      </c>
      <c r="W39" s="45">
        <v>146.00527338480691</v>
      </c>
      <c r="X39" s="45">
        <v>130.23541667612847</v>
      </c>
      <c r="Y39" s="45">
        <v>33.465942856760449</v>
      </c>
      <c r="Z39" s="45">
        <v>104.84584759327325</v>
      </c>
      <c r="AA39" s="45">
        <v>69.234106116646956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26.856681468687526</v>
      </c>
      <c r="E41" s="45">
        <v>20.196116381230876</v>
      </c>
      <c r="F41" s="45">
        <v>17.354660284447128</v>
      </c>
      <c r="G41" s="45">
        <v>22.722681793213376</v>
      </c>
      <c r="H41" s="45">
        <v>34.997157486447215</v>
      </c>
      <c r="I41" s="45">
        <v>36.582770473685649</v>
      </c>
      <c r="J41" s="45">
        <v>42.557325363266486</v>
      </c>
      <c r="K41" s="45">
        <v>69.927509937748042</v>
      </c>
      <c r="L41" s="45">
        <v>66.006997319416371</v>
      </c>
      <c r="M41" s="45">
        <v>62.555941709108453</v>
      </c>
      <c r="N41" s="45">
        <v>46.195216777552304</v>
      </c>
      <c r="O41" s="45">
        <v>53.710519742988964</v>
      </c>
      <c r="P41" s="45">
        <v>49.123866412818245</v>
      </c>
      <c r="Q41" s="45">
        <v>52.872967027634161</v>
      </c>
      <c r="R41" s="45">
        <v>65.521228114853812</v>
      </c>
      <c r="S41" s="45">
        <v>70.898972383063324</v>
      </c>
      <c r="T41" s="45">
        <v>72.852113132500676</v>
      </c>
      <c r="U41" s="45">
        <v>63.89018670010455</v>
      </c>
      <c r="V41" s="45">
        <v>62.087013482326029</v>
      </c>
      <c r="W41" s="45">
        <v>146.00527338480691</v>
      </c>
      <c r="X41" s="45">
        <v>130.23541667612847</v>
      </c>
      <c r="Y41" s="45">
        <v>33.465942856760449</v>
      </c>
      <c r="Z41" s="45">
        <v>104.84584759327325</v>
      </c>
      <c r="AA41" s="45">
        <v>69.234106116646956</v>
      </c>
    </row>
    <row r="42" spans="1:27" x14ac:dyDescent="0.25">
      <c r="A42" s="74" t="s">
        <v>13</v>
      </c>
      <c r="B42" s="44"/>
      <c r="C42" s="44"/>
      <c r="D42" s="45">
        <v>46.617584693504483</v>
      </c>
      <c r="E42" s="45">
        <v>38.789995609898185</v>
      </c>
      <c r="F42" s="45">
        <v>33.08276901868124</v>
      </c>
      <c r="G42" s="45">
        <v>43.315698546030035</v>
      </c>
      <c r="H42" s="45">
        <v>65.826804462309411</v>
      </c>
      <c r="I42" s="45">
        <v>67.032802191723334</v>
      </c>
      <c r="J42" s="45">
        <v>75.400803013734972</v>
      </c>
      <c r="K42" s="45">
        <v>123.89383865293824</v>
      </c>
      <c r="L42" s="45">
        <v>116.94768315269515</v>
      </c>
      <c r="M42" s="45">
        <v>479.75916998795543</v>
      </c>
      <c r="N42" s="45">
        <v>373.28145863368411</v>
      </c>
      <c r="O42" s="45">
        <v>511.54530870947684</v>
      </c>
      <c r="P42" s="45">
        <v>572.35875003261162</v>
      </c>
      <c r="Q42" s="45">
        <v>368.92531669607473</v>
      </c>
      <c r="R42" s="45">
        <v>307.54316140264507</v>
      </c>
      <c r="S42" s="45">
        <v>396.91069286148752</v>
      </c>
      <c r="T42" s="45">
        <v>434.13467315550116</v>
      </c>
      <c r="U42" s="45">
        <v>545.71396576120594</v>
      </c>
      <c r="V42" s="45">
        <v>427.04430351388226</v>
      </c>
      <c r="W42" s="45">
        <v>424.50865463622227</v>
      </c>
      <c r="X42" s="45">
        <v>331.17721856950277</v>
      </c>
      <c r="Y42" s="45">
        <v>378.01008003041437</v>
      </c>
      <c r="Z42" s="45">
        <v>815.09416805427384</v>
      </c>
      <c r="AA42" s="45">
        <v>107.62876124524217</v>
      </c>
    </row>
    <row r="43" spans="1:27" x14ac:dyDescent="0.25">
      <c r="A43" s="72" t="s">
        <v>265</v>
      </c>
      <c r="B43" s="65"/>
      <c r="C43" s="65"/>
      <c r="D43" s="66">
        <v>565.67869726907327</v>
      </c>
      <c r="E43" s="66">
        <v>706.48466457060101</v>
      </c>
      <c r="F43" s="66">
        <v>660.92402670775562</v>
      </c>
      <c r="G43" s="66">
        <v>666.86829960951377</v>
      </c>
      <c r="H43" s="66">
        <v>545.47472952086548</v>
      </c>
      <c r="I43" s="66">
        <v>612.73040554865679</v>
      </c>
      <c r="J43" s="66">
        <v>623.62890571231935</v>
      </c>
      <c r="K43" s="66">
        <v>670.06930006930008</v>
      </c>
      <c r="L43" s="66">
        <v>600.14213212565596</v>
      </c>
      <c r="M43" s="66">
        <v>548.20916578959407</v>
      </c>
      <c r="N43" s="66">
        <v>628.55670070378642</v>
      </c>
      <c r="O43" s="66">
        <v>764.28006396588489</v>
      </c>
      <c r="P43" s="66">
        <v>790.57720186528286</v>
      </c>
      <c r="Q43" s="66">
        <v>740.30059514437767</v>
      </c>
      <c r="R43" s="66">
        <v>950.49802197349572</v>
      </c>
      <c r="S43" s="66">
        <v>1030.6708079999999</v>
      </c>
      <c r="T43" s="66">
        <v>1013.7766085149568</v>
      </c>
      <c r="U43" s="66">
        <v>1039.888621364991</v>
      </c>
      <c r="V43" s="66">
        <v>877.93897363289068</v>
      </c>
      <c r="W43" s="66">
        <v>890.93043124904761</v>
      </c>
      <c r="X43" s="66">
        <v>948.88208770896063</v>
      </c>
      <c r="Y43" s="66">
        <v>409.42314578389255</v>
      </c>
      <c r="Z43" s="66">
        <v>1012.6568901989681</v>
      </c>
      <c r="AA43" s="66">
        <v>899</v>
      </c>
    </row>
    <row r="44" spans="1:27" x14ac:dyDescent="0.25">
      <c r="A44" s="73" t="s">
        <v>266</v>
      </c>
      <c r="B44" s="65"/>
      <c r="C44" s="65"/>
      <c r="D44" s="66">
        <v>384.17584613650877</v>
      </c>
      <c r="E44" s="66">
        <v>479.870851732787</v>
      </c>
      <c r="F44" s="66">
        <v>449.79157678479714</v>
      </c>
      <c r="G44" s="66">
        <v>453.35836502865266</v>
      </c>
      <c r="H44" s="66">
        <v>364.53937403400306</v>
      </c>
      <c r="I44" s="66">
        <v>415.18070085107672</v>
      </c>
      <c r="J44" s="66">
        <v>422.56562284927736</v>
      </c>
      <c r="K44" s="66">
        <v>446.5001463001463</v>
      </c>
      <c r="L44" s="66">
        <v>398.96940550643382</v>
      </c>
      <c r="M44" s="66">
        <v>350.04985127900056</v>
      </c>
      <c r="N44" s="66">
        <v>319.7260922288836</v>
      </c>
      <c r="O44" s="66">
        <v>442.84065671641793</v>
      </c>
      <c r="P44" s="66">
        <v>447.02246549963684</v>
      </c>
      <c r="Q44" s="66">
        <v>395.46492426866519</v>
      </c>
      <c r="R44" s="66">
        <v>564.76889113131574</v>
      </c>
      <c r="S44" s="66">
        <v>668.49394799999993</v>
      </c>
      <c r="T44" s="66">
        <v>639.69816652974441</v>
      </c>
      <c r="U44" s="66">
        <v>669.41195318228665</v>
      </c>
      <c r="V44" s="66">
        <v>535.50144524884456</v>
      </c>
      <c r="W44" s="66">
        <v>620.52202976583533</v>
      </c>
      <c r="X44" s="66">
        <v>645.4324860558412</v>
      </c>
      <c r="Y44" s="66">
        <v>268.1354381327165</v>
      </c>
      <c r="Z44" s="66">
        <v>762.68032424465719</v>
      </c>
      <c r="AA44" s="66">
        <v>608.29999999999995</v>
      </c>
    </row>
    <row r="45" spans="1:27" x14ac:dyDescent="0.25">
      <c r="A45" s="74" t="s">
        <v>20</v>
      </c>
      <c r="B45" s="44"/>
      <c r="C45" s="44"/>
      <c r="D45" s="45">
        <v>179.11095019863578</v>
      </c>
      <c r="E45" s="45">
        <v>200.17935937318569</v>
      </c>
      <c r="F45" s="45">
        <v>193.80401442566449</v>
      </c>
      <c r="G45" s="45">
        <v>194.57091728304144</v>
      </c>
      <c r="H45" s="45">
        <v>174.47344300113986</v>
      </c>
      <c r="I45" s="45">
        <v>186.19829011161815</v>
      </c>
      <c r="J45" s="45">
        <v>187.84696862367315</v>
      </c>
      <c r="K45" s="45">
        <v>193.09361461319895</v>
      </c>
      <c r="L45" s="45">
        <v>186.2519510154429</v>
      </c>
      <c r="M45" s="45">
        <v>63.5222388547081</v>
      </c>
      <c r="N45" s="45">
        <v>86.37438248588029</v>
      </c>
      <c r="O45" s="45">
        <v>209.06191477615829</v>
      </c>
      <c r="P45" s="45">
        <v>194.5776812289528</v>
      </c>
      <c r="Q45" s="45">
        <v>171.36311552394957</v>
      </c>
      <c r="R45" s="45">
        <v>270.83931378150328</v>
      </c>
      <c r="S45" s="45">
        <v>363.47745547618405</v>
      </c>
      <c r="T45" s="45">
        <v>348.4662407593234</v>
      </c>
      <c r="U45" s="45">
        <v>358.75498673714941</v>
      </c>
      <c r="V45" s="45">
        <v>249.87725416624943</v>
      </c>
      <c r="W45" s="45">
        <v>298.33381719935232</v>
      </c>
      <c r="X45" s="45">
        <v>265.66460439078253</v>
      </c>
      <c r="Y45" s="45">
        <v>139.7413331253909</v>
      </c>
      <c r="Z45" s="45">
        <v>427.99095554146373</v>
      </c>
      <c r="AA45" s="45">
        <v>237.19723000931845</v>
      </c>
    </row>
    <row r="46" spans="1:27" x14ac:dyDescent="0.25">
      <c r="A46" s="74" t="s">
        <v>12</v>
      </c>
      <c r="B46" s="44"/>
      <c r="C46" s="44"/>
      <c r="D46" s="45">
        <v>205.06489593787299</v>
      </c>
      <c r="E46" s="45">
        <v>279.69149235960128</v>
      </c>
      <c r="F46" s="45">
        <v>255.98756235913265</v>
      </c>
      <c r="G46" s="45">
        <v>258.78744774561119</v>
      </c>
      <c r="H46" s="45">
        <v>190.0659310328632</v>
      </c>
      <c r="I46" s="45">
        <v>228.98241073945857</v>
      </c>
      <c r="J46" s="45">
        <v>234.71865422560421</v>
      </c>
      <c r="K46" s="45">
        <v>253.40653168694735</v>
      </c>
      <c r="L46" s="45">
        <v>212.71745449099092</v>
      </c>
      <c r="M46" s="45">
        <v>286.52761242429244</v>
      </c>
      <c r="N46" s="45">
        <v>233.35170974300331</v>
      </c>
      <c r="O46" s="45">
        <v>233.77874194025964</v>
      </c>
      <c r="P46" s="45">
        <v>252.44478427068404</v>
      </c>
      <c r="Q46" s="45">
        <v>224.10180874471561</v>
      </c>
      <c r="R46" s="45">
        <v>293.92957734981246</v>
      </c>
      <c r="S46" s="45">
        <v>305.01649252381588</v>
      </c>
      <c r="T46" s="45">
        <v>291.23192577042101</v>
      </c>
      <c r="U46" s="45">
        <v>310.65696644513724</v>
      </c>
      <c r="V46" s="45">
        <v>285.62419108259513</v>
      </c>
      <c r="W46" s="45">
        <v>322.188212566483</v>
      </c>
      <c r="X46" s="45">
        <v>379.76788166505867</v>
      </c>
      <c r="Y46" s="45">
        <v>128.39410500732561</v>
      </c>
      <c r="Z46" s="45">
        <v>334.68936870319345</v>
      </c>
      <c r="AA46" s="45">
        <v>371.10276999068151</v>
      </c>
    </row>
    <row r="47" spans="1:27" x14ac:dyDescent="0.25">
      <c r="A47" s="73" t="s">
        <v>11</v>
      </c>
      <c r="B47" s="65"/>
      <c r="C47" s="65"/>
      <c r="D47" s="66">
        <v>181.5028511325645</v>
      </c>
      <c r="E47" s="66">
        <v>226.61381283781398</v>
      </c>
      <c r="F47" s="66">
        <v>211.13244992295844</v>
      </c>
      <c r="G47" s="66">
        <v>213.50993458086114</v>
      </c>
      <c r="H47" s="66">
        <v>180.93535548686242</v>
      </c>
      <c r="I47" s="66">
        <v>197.54970469758004</v>
      </c>
      <c r="J47" s="66">
        <v>201.06328286304196</v>
      </c>
      <c r="K47" s="66">
        <v>223.56915376915376</v>
      </c>
      <c r="L47" s="66">
        <v>201.1727266192222</v>
      </c>
      <c r="M47" s="66">
        <v>198.15931451059348</v>
      </c>
      <c r="N47" s="66">
        <v>308.83060847490287</v>
      </c>
      <c r="O47" s="66">
        <v>321.43940724946697</v>
      </c>
      <c r="P47" s="66">
        <v>343.55473636564597</v>
      </c>
      <c r="Q47" s="66">
        <v>344.83567087571242</v>
      </c>
      <c r="R47" s="66">
        <v>385.72913084218004</v>
      </c>
      <c r="S47" s="66">
        <v>362.17685999999998</v>
      </c>
      <c r="T47" s="66">
        <v>374.07844198521241</v>
      </c>
      <c r="U47" s="66">
        <v>370.47666818270426</v>
      </c>
      <c r="V47" s="66">
        <v>342.43752838404612</v>
      </c>
      <c r="W47" s="66">
        <v>270.40840148321229</v>
      </c>
      <c r="X47" s="66">
        <v>303.44960165311937</v>
      </c>
      <c r="Y47" s="66">
        <v>141.28770765117608</v>
      </c>
      <c r="Z47" s="66">
        <v>249.97656595431096</v>
      </c>
      <c r="AA47" s="66">
        <v>290.7</v>
      </c>
    </row>
    <row r="48" spans="1:27" x14ac:dyDescent="0.25">
      <c r="A48" s="72" t="s">
        <v>4</v>
      </c>
      <c r="B48" s="65"/>
      <c r="C48" s="65"/>
      <c r="D48" s="66">
        <v>243.14532887569962</v>
      </c>
      <c r="E48" s="66">
        <v>359.24437771575936</v>
      </c>
      <c r="F48" s="66">
        <v>512.79077555213155</v>
      </c>
      <c r="G48" s="66">
        <v>448.87521679598359</v>
      </c>
      <c r="H48" s="66">
        <v>523.05795981452866</v>
      </c>
      <c r="I48" s="66">
        <v>615.99361541024314</v>
      </c>
      <c r="J48" s="66">
        <v>792.84528561596699</v>
      </c>
      <c r="K48" s="66">
        <v>1014.2509278509278</v>
      </c>
      <c r="L48" s="66">
        <v>826.33733017036889</v>
      </c>
      <c r="M48" s="66">
        <v>699.34119800485041</v>
      </c>
      <c r="N48" s="66">
        <v>536.88435463581027</v>
      </c>
      <c r="O48" s="66">
        <v>593.39941151385938</v>
      </c>
      <c r="P48" s="66">
        <v>549.44330361372226</v>
      </c>
      <c r="Q48" s="66">
        <v>464.53644865698902</v>
      </c>
      <c r="R48" s="66">
        <v>530.29221660471399</v>
      </c>
      <c r="S48" s="66">
        <v>594.23525999999993</v>
      </c>
      <c r="T48" s="66">
        <v>603.33165418257386</v>
      </c>
      <c r="U48" s="66">
        <v>582.94688361472845</v>
      </c>
      <c r="V48" s="66">
        <v>642.80837763470743</v>
      </c>
      <c r="W48" s="66">
        <v>696.71910397724389</v>
      </c>
      <c r="X48" s="66">
        <v>702.96481793892804</v>
      </c>
      <c r="Y48" s="66">
        <v>578.22149959446074</v>
      </c>
      <c r="Z48" s="66">
        <v>522.02564480471619</v>
      </c>
      <c r="AA48" s="66">
        <v>778.2</v>
      </c>
    </row>
    <row r="49" spans="1:27" x14ac:dyDescent="0.25">
      <c r="A49" s="77" t="s">
        <v>10</v>
      </c>
      <c r="B49" s="44"/>
      <c r="C49" s="44"/>
      <c r="D49" s="45">
        <v>156.94997652688443</v>
      </c>
      <c r="E49" s="45">
        <v>213.25721569943804</v>
      </c>
      <c r="F49" s="45">
        <v>289.37345514876569</v>
      </c>
      <c r="G49" s="45">
        <v>245.52914711680333</v>
      </c>
      <c r="H49" s="45">
        <v>347.10708243740186</v>
      </c>
      <c r="I49" s="45">
        <v>449.94720050341357</v>
      </c>
      <c r="J49" s="45">
        <v>565.09710854718151</v>
      </c>
      <c r="K49" s="45">
        <v>704.97560728135591</v>
      </c>
      <c r="L49" s="45">
        <v>489.03321036625442</v>
      </c>
      <c r="M49" s="45">
        <v>402.38222613439189</v>
      </c>
      <c r="N49" s="45">
        <v>223.97473575961732</v>
      </c>
      <c r="O49" s="45">
        <v>262.8134032732051</v>
      </c>
      <c r="P49" s="45">
        <v>228.98559894518661</v>
      </c>
      <c r="Q49" s="45">
        <v>167.29256344571178</v>
      </c>
      <c r="R49" s="45">
        <v>231.82308168530079</v>
      </c>
      <c r="S49" s="45">
        <v>224.32835069638037</v>
      </c>
      <c r="T49" s="45">
        <v>204.57764338981497</v>
      </c>
      <c r="U49" s="45">
        <v>193.73670234259072</v>
      </c>
      <c r="V49" s="45">
        <v>232.47289577781856</v>
      </c>
      <c r="W49" s="45">
        <v>271.37999894537705</v>
      </c>
      <c r="X49" s="45">
        <v>272.39391033689805</v>
      </c>
      <c r="Y49" s="45">
        <v>217.81183952321396</v>
      </c>
      <c r="Z49" s="45">
        <v>199.9127013891225</v>
      </c>
      <c r="AA49" s="45">
        <v>311.69466139611666</v>
      </c>
    </row>
    <row r="50" spans="1:27" x14ac:dyDescent="0.25">
      <c r="A50" s="77" t="s">
        <v>18</v>
      </c>
      <c r="B50" s="44"/>
      <c r="C50" s="44"/>
      <c r="D50" s="45">
        <v>35.281104657141647</v>
      </c>
      <c r="E50" s="45">
        <v>57.284225512273601</v>
      </c>
      <c r="F50" s="45">
        <v>64.801135161695001</v>
      </c>
      <c r="G50" s="45">
        <v>54.164609006584783</v>
      </c>
      <c r="H50" s="45">
        <v>71.888381954197953</v>
      </c>
      <c r="I50" s="45">
        <v>85.460656471683876</v>
      </c>
      <c r="J50" s="45">
        <v>120.40858034062575</v>
      </c>
      <c r="K50" s="45">
        <v>153.49131880781741</v>
      </c>
      <c r="L50" s="45">
        <v>158.30735883587894</v>
      </c>
      <c r="M50" s="45">
        <v>127.41004247071035</v>
      </c>
      <c r="N50" s="45">
        <v>125.06768146198677</v>
      </c>
      <c r="O50" s="45">
        <v>157.18298927876779</v>
      </c>
      <c r="P50" s="45">
        <v>146.62111562012927</v>
      </c>
      <c r="Q50" s="45">
        <v>124.51187083654672</v>
      </c>
      <c r="R50" s="45">
        <v>141.27635477586955</v>
      </c>
      <c r="S50" s="45">
        <v>159.2593510671351</v>
      </c>
      <c r="T50" s="45">
        <v>215.15690957622658</v>
      </c>
      <c r="U50" s="45">
        <v>211.44585623212245</v>
      </c>
      <c r="V50" s="45">
        <v>224.7203331639947</v>
      </c>
      <c r="W50" s="45">
        <v>241.0244444692832</v>
      </c>
      <c r="X50" s="45">
        <v>240.08880227998503</v>
      </c>
      <c r="Y50" s="45">
        <v>191.53021873717745</v>
      </c>
      <c r="Z50" s="45">
        <v>191.16571584199423</v>
      </c>
      <c r="AA50" s="45">
        <v>278.66823335215673</v>
      </c>
    </row>
    <row r="51" spans="1:27" x14ac:dyDescent="0.25">
      <c r="A51" s="77" t="s">
        <v>9</v>
      </c>
      <c r="B51" s="44"/>
      <c r="C51" s="44"/>
      <c r="D51" s="45">
        <v>50.914247691673545</v>
      </c>
      <c r="E51" s="45">
        <v>88.702936504047727</v>
      </c>
      <c r="F51" s="45">
        <v>158.61618524167085</v>
      </c>
      <c r="G51" s="45">
        <v>149.18146067259548</v>
      </c>
      <c r="H51" s="45">
        <v>104.06249542292885</v>
      </c>
      <c r="I51" s="45">
        <v>80.585758435145692</v>
      </c>
      <c r="J51" s="45">
        <v>107.33959672815973</v>
      </c>
      <c r="K51" s="45">
        <v>155.78400176175452</v>
      </c>
      <c r="L51" s="45">
        <v>178.99676096823552</v>
      </c>
      <c r="M51" s="45">
        <v>169.54892939974818</v>
      </c>
      <c r="N51" s="45">
        <v>187.8419374142062</v>
      </c>
      <c r="O51" s="45">
        <v>173.40301896188649</v>
      </c>
      <c r="P51" s="45">
        <v>173.83658904840638</v>
      </c>
      <c r="Q51" s="45">
        <v>172.73201437473051</v>
      </c>
      <c r="R51" s="45">
        <v>157.19278014354364</v>
      </c>
      <c r="S51" s="45">
        <v>210.64755823648446</v>
      </c>
      <c r="T51" s="45">
        <v>183.59710121653231</v>
      </c>
      <c r="U51" s="45">
        <v>177.76432504001528</v>
      </c>
      <c r="V51" s="45">
        <v>185.61514869289417</v>
      </c>
      <c r="W51" s="45">
        <v>184.31466056258364</v>
      </c>
      <c r="X51" s="45">
        <v>190.48210532204496</v>
      </c>
      <c r="Y51" s="45">
        <v>168.87944133406933</v>
      </c>
      <c r="Z51" s="45">
        <v>130.94722757359946</v>
      </c>
      <c r="AA51" s="45">
        <v>187.83710525172665</v>
      </c>
    </row>
    <row r="52" spans="1:27" x14ac:dyDescent="0.25">
      <c r="A52" s="72" t="s">
        <v>3</v>
      </c>
      <c r="B52" s="65"/>
      <c r="C52" s="65"/>
      <c r="D52" s="66">
        <v>131.37942226062131</v>
      </c>
      <c r="E52" s="66">
        <v>173.6201434274208</v>
      </c>
      <c r="F52" s="66">
        <v>232.9835233692861</v>
      </c>
      <c r="G52" s="66">
        <v>261.70377808205291</v>
      </c>
      <c r="H52" s="66">
        <v>236.17668083462132</v>
      </c>
      <c r="I52" s="66">
        <v>277.62385437804767</v>
      </c>
      <c r="J52" s="66">
        <v>278.30390571231936</v>
      </c>
      <c r="K52" s="66">
        <v>308.44459844459834</v>
      </c>
      <c r="L52" s="66">
        <v>371.16665947811089</v>
      </c>
      <c r="M52" s="66">
        <v>386.07881755365395</v>
      </c>
      <c r="N52" s="66">
        <v>384.72328841642388</v>
      </c>
      <c r="O52" s="66">
        <v>446.19818763326236</v>
      </c>
      <c r="P52" s="66">
        <v>432.19150938430937</v>
      </c>
      <c r="Q52" s="66">
        <v>429.0437761753314</v>
      </c>
      <c r="R52" s="66">
        <v>401.2607020398076</v>
      </c>
      <c r="S52" s="66">
        <v>429.63955199999998</v>
      </c>
      <c r="T52" s="66">
        <v>443.44716377518967</v>
      </c>
      <c r="U52" s="66">
        <v>438.01788800504937</v>
      </c>
      <c r="V52" s="66">
        <v>464.65230144524878</v>
      </c>
      <c r="W52" s="66">
        <v>464.33907654797576</v>
      </c>
      <c r="X52" s="66">
        <v>406.60641068070095</v>
      </c>
      <c r="Y52" s="66">
        <v>423.11622758268504</v>
      </c>
      <c r="Z52" s="66">
        <v>371.48253500368457</v>
      </c>
      <c r="AA52" s="66">
        <v>394.50000000000006</v>
      </c>
    </row>
    <row r="53" spans="1:27" x14ac:dyDescent="0.25">
      <c r="A53" s="73" t="s">
        <v>21</v>
      </c>
      <c r="B53" s="65"/>
      <c r="C53" s="65"/>
      <c r="D53" s="66">
        <v>60.397175162465722</v>
      </c>
      <c r="E53" s="66">
        <v>90.762638216695521</v>
      </c>
      <c r="F53" s="66">
        <v>146.7143502824859</v>
      </c>
      <c r="G53" s="66">
        <v>166.43687813783663</v>
      </c>
      <c r="H53" s="66">
        <v>144.374671561051</v>
      </c>
      <c r="I53" s="66">
        <v>163.91354150891965</v>
      </c>
      <c r="J53" s="66">
        <v>164.93843771507227</v>
      </c>
      <c r="K53" s="66">
        <v>173.57985677985675</v>
      </c>
      <c r="L53" s="66">
        <v>176.5474372798505</v>
      </c>
      <c r="M53" s="66">
        <v>218.25968516908429</v>
      </c>
      <c r="N53" s="66">
        <v>217.34611557509891</v>
      </c>
      <c r="O53" s="66">
        <v>252.34495522388065</v>
      </c>
      <c r="P53" s="66">
        <v>247.93868988094613</v>
      </c>
      <c r="Q53" s="66">
        <v>245.14301728752716</v>
      </c>
      <c r="R53" s="66">
        <v>217.61267337335377</v>
      </c>
      <c r="S53" s="66">
        <v>247.97097599999998</v>
      </c>
      <c r="T53" s="66">
        <v>248.79821002271302</v>
      </c>
      <c r="U53" s="66">
        <v>249.70250517463828</v>
      </c>
      <c r="V53" s="66">
        <v>258.89457964897281</v>
      </c>
      <c r="W53" s="66">
        <v>237.29144105247119</v>
      </c>
      <c r="X53" s="66">
        <v>216.74971546651383</v>
      </c>
      <c r="Y53" s="66">
        <v>216.59965754453424</v>
      </c>
      <c r="Z53" s="66">
        <v>179.58025055268973</v>
      </c>
      <c r="AA53" s="66">
        <v>182.2</v>
      </c>
    </row>
    <row r="54" spans="1:27" x14ac:dyDescent="0.25">
      <c r="A54" s="74" t="s">
        <v>8</v>
      </c>
      <c r="B54" s="44"/>
      <c r="C54" s="44"/>
      <c r="D54" s="45">
        <v>5.108776547818084</v>
      </c>
      <c r="E54" s="45">
        <v>6.6087464720985025</v>
      </c>
      <c r="F54" s="45">
        <v>10.682787145528875</v>
      </c>
      <c r="G54" s="45">
        <v>12.118853669661027</v>
      </c>
      <c r="H54" s="45">
        <v>8.0914702405075865</v>
      </c>
      <c r="I54" s="45">
        <v>9.186525093321384</v>
      </c>
      <c r="J54" s="45">
        <v>9.6279000055915827</v>
      </c>
      <c r="K54" s="45">
        <v>8.6414633713436313</v>
      </c>
      <c r="L54" s="45">
        <v>10.029468738854955</v>
      </c>
      <c r="M54" s="45">
        <v>16.518866442991236</v>
      </c>
      <c r="N54" s="45">
        <v>14.894660110770024</v>
      </c>
      <c r="O54" s="45">
        <v>15.425398177321462</v>
      </c>
      <c r="P54" s="45">
        <v>14.710018633439276</v>
      </c>
      <c r="Q54" s="45">
        <v>13.510098740717991</v>
      </c>
      <c r="R54" s="45">
        <v>11.726337642652632</v>
      </c>
      <c r="S54" s="45">
        <v>17.670700699790192</v>
      </c>
      <c r="T54" s="45">
        <v>17.34960771477542</v>
      </c>
      <c r="U54" s="45">
        <v>19.888537994309164</v>
      </c>
      <c r="V54" s="45">
        <v>20.006972975813099</v>
      </c>
      <c r="W54" s="45">
        <v>18.418608566833072</v>
      </c>
      <c r="X54" s="45">
        <v>14.689168314152353</v>
      </c>
      <c r="Y54" s="45">
        <v>14.612327701499453</v>
      </c>
      <c r="Z54" s="45">
        <v>12.947120153134479</v>
      </c>
      <c r="AA54" s="45">
        <v>13.135995103253128</v>
      </c>
    </row>
    <row r="55" spans="1:27" x14ac:dyDescent="0.25">
      <c r="A55" s="74" t="s">
        <v>17</v>
      </c>
      <c r="B55" s="44"/>
      <c r="C55" s="44"/>
      <c r="D55" s="45">
        <v>55.28839861464764</v>
      </c>
      <c r="E55" s="45">
        <v>84.153891744597018</v>
      </c>
      <c r="F55" s="45">
        <v>136.03156313695703</v>
      </c>
      <c r="G55" s="45">
        <v>154.31802446817559</v>
      </c>
      <c r="H55" s="45">
        <v>136.28320132054341</v>
      </c>
      <c r="I55" s="45">
        <v>154.72701641559826</v>
      </c>
      <c r="J55" s="45">
        <v>155.31053770948068</v>
      </c>
      <c r="K55" s="45">
        <v>164.93839340851312</v>
      </c>
      <c r="L55" s="45">
        <v>166.51796854099555</v>
      </c>
      <c r="M55" s="45">
        <v>201.74081872609307</v>
      </c>
      <c r="N55" s="45">
        <v>202.45145546432889</v>
      </c>
      <c r="O55" s="45">
        <v>236.91955704655919</v>
      </c>
      <c r="P55" s="45">
        <v>233.22867124750684</v>
      </c>
      <c r="Q55" s="45">
        <v>231.63291854680918</v>
      </c>
      <c r="R55" s="45">
        <v>205.88633573070115</v>
      </c>
      <c r="S55" s="45">
        <v>230.30027530020979</v>
      </c>
      <c r="T55" s="45">
        <v>231.44860230793759</v>
      </c>
      <c r="U55" s="45">
        <v>229.81396718032912</v>
      </c>
      <c r="V55" s="45">
        <v>238.88760667315972</v>
      </c>
      <c r="W55" s="45">
        <v>218.87283248563813</v>
      </c>
      <c r="X55" s="45">
        <v>202.06054715236149</v>
      </c>
      <c r="Y55" s="45">
        <v>201.98732984303479</v>
      </c>
      <c r="Z55" s="45">
        <v>166.63313039955526</v>
      </c>
      <c r="AA55" s="45">
        <v>169.06400489674687</v>
      </c>
    </row>
    <row r="56" spans="1:27" x14ac:dyDescent="0.25">
      <c r="A56" s="73" t="s">
        <v>16</v>
      </c>
      <c r="B56" s="65"/>
      <c r="C56" s="65"/>
      <c r="D56" s="66">
        <v>70.982247098155582</v>
      </c>
      <c r="E56" s="66">
        <v>82.857505210725279</v>
      </c>
      <c r="F56" s="66">
        <v>86.269173086800194</v>
      </c>
      <c r="G56" s="66">
        <v>95.266899944216291</v>
      </c>
      <c r="H56" s="66">
        <v>91.802009273570334</v>
      </c>
      <c r="I56" s="66">
        <v>113.71031286912805</v>
      </c>
      <c r="J56" s="66">
        <v>113.36546799724711</v>
      </c>
      <c r="K56" s="66">
        <v>134.86474166474162</v>
      </c>
      <c r="L56" s="66">
        <v>194.61922219826039</v>
      </c>
      <c r="M56" s="66">
        <v>167.81913238456966</v>
      </c>
      <c r="N56" s="66">
        <v>167.37717284132501</v>
      </c>
      <c r="O56" s="66">
        <v>193.85323240938172</v>
      </c>
      <c r="P56" s="66">
        <v>184.25281950336324</v>
      </c>
      <c r="Q56" s="66">
        <v>183.90075888780424</v>
      </c>
      <c r="R56" s="66">
        <v>183.64802866645385</v>
      </c>
      <c r="S56" s="66">
        <v>181.66857600000003</v>
      </c>
      <c r="T56" s="66">
        <v>194.64895375247667</v>
      </c>
      <c r="U56" s="66">
        <v>188.31538283041107</v>
      </c>
      <c r="V56" s="66">
        <v>205.75772179627597</v>
      </c>
      <c r="W56" s="66">
        <v>227.04763549550461</v>
      </c>
      <c r="X56" s="66">
        <v>189.85669521418708</v>
      </c>
      <c r="Y56" s="66">
        <v>206.5165700381508</v>
      </c>
      <c r="Z56" s="66">
        <v>191.90228445099484</v>
      </c>
      <c r="AA56" s="66">
        <v>212.30000000000007</v>
      </c>
    </row>
    <row r="57" spans="1:27" x14ac:dyDescent="0.25">
      <c r="A57" s="72" t="s">
        <v>2</v>
      </c>
      <c r="B57" s="65"/>
      <c r="C57" s="65"/>
      <c r="D57" s="66">
        <v>1047.9221216332971</v>
      </c>
      <c r="E57" s="66">
        <v>1238.4708376020067</v>
      </c>
      <c r="F57" s="66">
        <v>1229.0519363122755</v>
      </c>
      <c r="G57" s="66">
        <v>1557.3336173233938</v>
      </c>
      <c r="H57" s="66">
        <v>1361.5518933539411</v>
      </c>
      <c r="I57" s="66">
        <v>1519.4007147832933</v>
      </c>
      <c r="J57" s="66">
        <v>1671.4870784583618</v>
      </c>
      <c r="K57" s="66">
        <v>1787.9150689150688</v>
      </c>
      <c r="L57" s="66">
        <v>1860.2023003378624</v>
      </c>
      <c r="M57" s="66">
        <v>2066.3560289205143</v>
      </c>
      <c r="N57" s="66">
        <v>1741.5867221233725</v>
      </c>
      <c r="O57" s="66">
        <v>1883.0447078891259</v>
      </c>
      <c r="P57" s="66">
        <v>2450.9463594353629</v>
      </c>
      <c r="Q57" s="66">
        <v>2112.8579147904402</v>
      </c>
      <c r="R57" s="66">
        <v>1905.774988930877</v>
      </c>
      <c r="S57" s="66">
        <v>1808.8952279999999</v>
      </c>
      <c r="T57" s="66">
        <v>1731.0139467452761</v>
      </c>
      <c r="U57" s="66">
        <v>1326.2080065344312</v>
      </c>
      <c r="V57" s="66">
        <v>1609.3087810220925</v>
      </c>
      <c r="W57" s="66">
        <v>1695.2796566262</v>
      </c>
      <c r="X57" s="66">
        <v>2026.7436357325628</v>
      </c>
      <c r="Y57" s="66">
        <v>1487.6910961578899</v>
      </c>
      <c r="Z57" s="66">
        <v>2289.7553426676491</v>
      </c>
      <c r="AA57" s="66">
        <v>2004</v>
      </c>
    </row>
    <row r="58" spans="1:27" x14ac:dyDescent="0.25">
      <c r="A58" s="72" t="s">
        <v>269</v>
      </c>
      <c r="B58" s="65"/>
      <c r="C58" s="65"/>
      <c r="D58" s="66">
        <v>109.89795274407422</v>
      </c>
      <c r="E58" s="66">
        <v>91.933769032394821</v>
      </c>
      <c r="F58" s="66">
        <v>127.41729840780688</v>
      </c>
      <c r="G58" s="66">
        <v>151.02605608803694</v>
      </c>
      <c r="H58" s="66">
        <v>152.11379443585778</v>
      </c>
      <c r="I58" s="66">
        <v>173.70317109367903</v>
      </c>
      <c r="J58" s="66">
        <v>198.21132140399175</v>
      </c>
      <c r="K58" s="66">
        <v>226.54723954723954</v>
      </c>
      <c r="L58" s="66">
        <v>236.72052332686366</v>
      </c>
      <c r="M58" s="66">
        <v>219.01818972223489</v>
      </c>
      <c r="N58" s="66">
        <v>335.31790518716639</v>
      </c>
      <c r="O58" s="66">
        <v>305.35860127931772</v>
      </c>
      <c r="P58" s="66">
        <v>322.4424341308856</v>
      </c>
      <c r="Q58" s="66">
        <v>331.78689422804416</v>
      </c>
      <c r="R58" s="66">
        <v>422.59527786072465</v>
      </c>
      <c r="S58" s="66">
        <v>476.88001199999997</v>
      </c>
      <c r="T58" s="66">
        <v>490.06678973565937</v>
      </c>
      <c r="U58" s="66">
        <v>534.3295135375962</v>
      </c>
      <c r="V58" s="66">
        <v>503.47172815430235</v>
      </c>
      <c r="W58" s="66">
        <v>518.22430029969019</v>
      </c>
      <c r="X58" s="66">
        <v>609.70892184006391</v>
      </c>
      <c r="Y58" s="66">
        <v>678.18099672564506</v>
      </c>
      <c r="Z58" s="66">
        <v>563.06337509211494</v>
      </c>
      <c r="AA58" s="66">
        <v>819.9</v>
      </c>
    </row>
    <row r="59" spans="1:27" x14ac:dyDescent="0.25">
      <c r="A59" s="72" t="s">
        <v>270</v>
      </c>
      <c r="B59" s="65"/>
      <c r="C59" s="65"/>
      <c r="D59" s="66">
        <v>802.90883888659323</v>
      </c>
      <c r="E59" s="66">
        <v>1071.2919136609321</v>
      </c>
      <c r="F59" s="66">
        <v>1242.1058243451466</v>
      </c>
      <c r="G59" s="66">
        <v>1344.9444698007001</v>
      </c>
      <c r="H59" s="66">
        <v>1239.8608578052549</v>
      </c>
      <c r="I59" s="66">
        <v>1407.1964987733591</v>
      </c>
      <c r="J59" s="66">
        <v>1623.4790605643493</v>
      </c>
      <c r="K59" s="66">
        <v>1903.8476938476938</v>
      </c>
      <c r="L59" s="66">
        <v>2005.9681259434981</v>
      </c>
      <c r="M59" s="66">
        <v>1804.4823319452703</v>
      </c>
      <c r="N59" s="66">
        <v>1725.9949091650894</v>
      </c>
      <c r="O59" s="66">
        <v>1836.3926993603413</v>
      </c>
      <c r="P59" s="66">
        <v>1971.2957904820053</v>
      </c>
      <c r="Q59" s="66">
        <v>1932.958780741254</v>
      </c>
      <c r="R59" s="66">
        <v>2163.6673414541219</v>
      </c>
      <c r="S59" s="66">
        <v>2364.6750959999999</v>
      </c>
      <c r="T59" s="66">
        <v>2714.5118291209587</v>
      </c>
      <c r="U59" s="66">
        <v>3063.3558721701929</v>
      </c>
      <c r="V59" s="66">
        <v>3016.8451045868615</v>
      </c>
      <c r="W59" s="66">
        <v>3077.3514501955606</v>
      </c>
      <c r="X59" s="66">
        <v>2620.2632269729675</v>
      </c>
      <c r="Y59" s="66">
        <v>2620.4824086034423</v>
      </c>
      <c r="Z59" s="66">
        <v>2817.6741341193811</v>
      </c>
      <c r="AA59" s="66">
        <v>3603.7</v>
      </c>
    </row>
    <row r="60" spans="1:27" x14ac:dyDescent="0.25">
      <c r="A60" s="72" t="s">
        <v>1</v>
      </c>
      <c r="B60" s="65"/>
      <c r="C60" s="65"/>
      <c r="D60" s="66">
        <v>794.5030464670748</v>
      </c>
      <c r="E60" s="66">
        <v>1020.3477231780125</v>
      </c>
      <c r="F60" s="66">
        <v>1157.2555521314844</v>
      </c>
      <c r="G60" s="66">
        <v>1304.8763324712208</v>
      </c>
      <c r="H60" s="66">
        <v>1235.3241306027819</v>
      </c>
      <c r="I60" s="66">
        <v>1325.3652360904989</v>
      </c>
      <c r="J60" s="66">
        <v>1314.9918960770817</v>
      </c>
      <c r="K60" s="66">
        <v>1429.268453068453</v>
      </c>
      <c r="L60" s="66">
        <v>1158.9773272949465</v>
      </c>
      <c r="M60" s="66">
        <v>1340.6567976936803</v>
      </c>
      <c r="N60" s="66">
        <v>1041.0822580096785</v>
      </c>
      <c r="O60" s="66">
        <v>1474.3094968017058</v>
      </c>
      <c r="P60" s="66">
        <v>1448.3737260392215</v>
      </c>
      <c r="Q60" s="66">
        <v>1189.874446578707</v>
      </c>
      <c r="R60" s="66">
        <v>1196.2723354304601</v>
      </c>
      <c r="S60" s="66">
        <v>1097.8019879999999</v>
      </c>
      <c r="T60" s="66">
        <v>1147.067085487846</v>
      </c>
      <c r="U60" s="66">
        <v>1099.5833669027356</v>
      </c>
      <c r="V60" s="66">
        <v>1079.7114310902143</v>
      </c>
      <c r="W60" s="66">
        <v>1121.3458932290346</v>
      </c>
      <c r="X60" s="66">
        <v>959.05059287899451</v>
      </c>
      <c r="Y60" s="66">
        <v>720.38058517828722</v>
      </c>
      <c r="Z60" s="66">
        <v>810.89697862932928</v>
      </c>
      <c r="AA60" s="66">
        <v>818.6</v>
      </c>
    </row>
    <row r="61" spans="1:27" x14ac:dyDescent="0.25">
      <c r="A61" s="72" t="s">
        <v>0</v>
      </c>
      <c r="B61" s="65"/>
      <c r="C61" s="65"/>
      <c r="D61" s="66">
        <v>78.765388227339315</v>
      </c>
      <c r="E61" s="66">
        <v>95.447161479492706</v>
      </c>
      <c r="F61" s="66">
        <v>91.377216230097602</v>
      </c>
      <c r="G61" s="66">
        <v>144.02113697449161</v>
      </c>
      <c r="H61" s="66">
        <v>178.80042503863987</v>
      </c>
      <c r="I61" s="66">
        <v>193.78446254959567</v>
      </c>
      <c r="J61" s="66">
        <v>199.16197522367514</v>
      </c>
      <c r="K61" s="66">
        <v>214.2094556094556</v>
      </c>
      <c r="L61" s="66">
        <v>178.53334771044499</v>
      </c>
      <c r="M61" s="66">
        <v>171.61165515032258</v>
      </c>
      <c r="N61" s="66">
        <v>177.70909709078958</v>
      </c>
      <c r="O61" s="66">
        <v>195.44364179104477</v>
      </c>
      <c r="P61" s="66">
        <v>188.614865419636</v>
      </c>
      <c r="Q61" s="66">
        <v>155.19345026293416</v>
      </c>
      <c r="R61" s="66">
        <v>181.59990938764582</v>
      </c>
      <c r="S61" s="66">
        <v>222.610308</v>
      </c>
      <c r="T61" s="66">
        <v>215.63579567969845</v>
      </c>
      <c r="U61" s="66">
        <v>229.85554080770768</v>
      </c>
      <c r="V61" s="66">
        <v>187.60262869660457</v>
      </c>
      <c r="W61" s="66">
        <v>181.72230405851579</v>
      </c>
      <c r="X61" s="66">
        <v>169.25209263280249</v>
      </c>
      <c r="Y61" s="66">
        <v>179.75281924960197</v>
      </c>
      <c r="Z61" s="66">
        <v>204.43861459100958</v>
      </c>
      <c r="AA61" s="66">
        <v>165.2</v>
      </c>
    </row>
    <row r="62" spans="1:27" x14ac:dyDescent="0.25">
      <c r="A62" s="78" t="s">
        <v>271</v>
      </c>
      <c r="B62" s="79"/>
      <c r="C62" s="79"/>
      <c r="D62" s="80">
        <v>255.90968032756098</v>
      </c>
      <c r="E62" s="80">
        <v>285.75591903062849</v>
      </c>
      <c r="F62" s="80">
        <v>357.27923985618901</v>
      </c>
      <c r="G62" s="80">
        <v>465.40682590395056</v>
      </c>
      <c r="H62" s="80">
        <v>407.50484930448215</v>
      </c>
      <c r="I62" s="80">
        <v>511.82191598267559</v>
      </c>
      <c r="J62" s="80">
        <v>566.1143496214728</v>
      </c>
      <c r="K62" s="80">
        <v>649.64814044814045</v>
      </c>
      <c r="L62" s="80">
        <v>647.60539141686434</v>
      </c>
      <c r="M62" s="80">
        <v>635.43718940191275</v>
      </c>
      <c r="N62" s="80">
        <v>664.62450899282612</v>
      </c>
      <c r="O62" s="80">
        <v>778.24032409381675</v>
      </c>
      <c r="P62" s="80">
        <v>879.03949304729531</v>
      </c>
      <c r="Q62" s="80">
        <v>916.3720880435809</v>
      </c>
      <c r="R62" s="80">
        <v>1140.2904084763736</v>
      </c>
      <c r="S62" s="80">
        <v>1230.075276</v>
      </c>
      <c r="T62" s="80">
        <v>1350.2068989513364</v>
      </c>
      <c r="U62" s="80">
        <v>1325.2848919127134</v>
      </c>
      <c r="V62" s="80">
        <v>1312.4803889616114</v>
      </c>
      <c r="W62" s="80">
        <v>1361.4438563519075</v>
      </c>
      <c r="X62" s="80">
        <v>1267.5844471171308</v>
      </c>
      <c r="Y62" s="80">
        <v>1222.5432395085463</v>
      </c>
      <c r="Z62" s="80">
        <v>1226.7388356669121</v>
      </c>
      <c r="AA62" s="80">
        <v>1392.5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0.12513824375138244</v>
      </c>
      <c r="E66" s="83">
        <f t="shared" ref="E66:S66" si="55">E24/E$23</f>
        <v>0.12039033165341288</v>
      </c>
      <c r="F66" s="83">
        <f t="shared" si="55"/>
        <v>0.10913486888640253</v>
      </c>
      <c r="G66" s="83">
        <f t="shared" si="55"/>
        <v>0.10422559250950941</v>
      </c>
      <c r="H66" s="83">
        <f t="shared" si="55"/>
        <v>9.8692441403438858E-2</v>
      </c>
      <c r="I66" s="83">
        <f t="shared" si="55"/>
        <v>8.5645249647832211E-2</v>
      </c>
      <c r="J66" s="83">
        <f t="shared" si="55"/>
        <v>7.2225415912067381E-2</v>
      </c>
      <c r="K66" s="83">
        <f t="shared" si="55"/>
        <v>5.4833614726866736E-2</v>
      </c>
      <c r="L66" s="83">
        <f t="shared" si="55"/>
        <v>6.9811628033222939E-2</v>
      </c>
      <c r="M66" s="83">
        <f t="shared" si="55"/>
        <v>4.8744106511823877E-2</v>
      </c>
      <c r="N66" s="83">
        <f t="shared" si="55"/>
        <v>4.6196701005017604E-2</v>
      </c>
      <c r="O66" s="83">
        <f t="shared" si="55"/>
        <v>5.3405110980985736E-2</v>
      </c>
      <c r="P66" s="83">
        <f t="shared" si="55"/>
        <v>5.0924502792414637E-2</v>
      </c>
      <c r="Q66" s="83">
        <f t="shared" si="55"/>
        <v>5.2374792803775175E-2</v>
      </c>
      <c r="R66" s="83">
        <f t="shared" si="55"/>
        <v>5.2562185454954731E-2</v>
      </c>
      <c r="S66" s="83">
        <f t="shared" si="55"/>
        <v>4.7031549035123861E-2</v>
      </c>
      <c r="T66" s="83">
        <f t="shared" ref="T66:Y66" si="56">T24/T$23</f>
        <v>4.708976307426975E-2</v>
      </c>
      <c r="U66" s="83">
        <f t="shared" si="56"/>
        <v>4.7017624687409325E-2</v>
      </c>
      <c r="V66" s="83">
        <f t="shared" si="56"/>
        <v>3.9212460126320639E-2</v>
      </c>
      <c r="W66" s="83">
        <f t="shared" si="56"/>
        <v>3.7041167775034689E-2</v>
      </c>
      <c r="X66" s="83">
        <f t="shared" si="56"/>
        <v>3.954615144162784E-2</v>
      </c>
      <c r="Y66" s="83">
        <f t="shared" si="56"/>
        <v>4.9443134392154413E-2</v>
      </c>
      <c r="Z66" s="83">
        <f t="shared" ref="Z66:AA66" si="57">Z24/Z$23</f>
        <v>4.1741523192566042E-2</v>
      </c>
      <c r="AA66" s="83">
        <f t="shared" si="57"/>
        <v>2.8713042975636545E-2</v>
      </c>
    </row>
    <row r="67" spans="1:27" x14ac:dyDescent="0.25">
      <c r="A67" s="64" t="s">
        <v>56</v>
      </c>
      <c r="B67" s="65"/>
      <c r="C67" s="65"/>
      <c r="D67" s="83">
        <f t="shared" si="51"/>
        <v>1.7993386898934396E-2</v>
      </c>
      <c r="E67" s="83">
        <f t="shared" ref="E67:S67" si="58">E25/E$23</f>
        <v>1.6675470782233758E-2</v>
      </c>
      <c r="F67" s="83">
        <f t="shared" si="58"/>
        <v>1.38958550355595E-2</v>
      </c>
      <c r="G67" s="83">
        <f t="shared" si="58"/>
        <v>1.4885887057446595E-2</v>
      </c>
      <c r="H67" s="83">
        <f t="shared" si="58"/>
        <v>1.7415661916940689E-2</v>
      </c>
      <c r="I67" s="83">
        <f t="shared" si="58"/>
        <v>1.9563395057188491E-2</v>
      </c>
      <c r="J67" s="83">
        <f t="shared" si="58"/>
        <v>2.369909966761613E-2</v>
      </c>
      <c r="K67" s="83">
        <f t="shared" si="58"/>
        <v>2.2268213423379261E-2</v>
      </c>
      <c r="L67" s="83">
        <f t="shared" si="58"/>
        <v>2.044661304074314E-2</v>
      </c>
      <c r="M67" s="83">
        <f t="shared" si="58"/>
        <v>1.9288778907393927E-2</v>
      </c>
      <c r="N67" s="83">
        <f t="shared" si="58"/>
        <v>2.2134921893466327E-2</v>
      </c>
      <c r="O67" s="83">
        <f t="shared" si="58"/>
        <v>2.3339704566295808E-2</v>
      </c>
      <c r="P67" s="83">
        <f t="shared" si="58"/>
        <v>2.4115690024292508E-2</v>
      </c>
      <c r="Q67" s="83">
        <f t="shared" si="58"/>
        <v>2.4863546978727395E-2</v>
      </c>
      <c r="R67" s="83">
        <f t="shared" si="58"/>
        <v>2.6084543553031112E-2</v>
      </c>
      <c r="S67" s="83">
        <f t="shared" si="58"/>
        <v>2.486120642328804E-2</v>
      </c>
      <c r="T67" s="83">
        <f t="shared" ref="T67:Y67" si="59">T25/T$23</f>
        <v>2.2665183023229365E-2</v>
      </c>
      <c r="U67" s="83">
        <f t="shared" si="59"/>
        <v>2.2454917208730687E-2</v>
      </c>
      <c r="V67" s="83">
        <f t="shared" si="59"/>
        <v>1.8357208613639812E-2</v>
      </c>
      <c r="W67" s="83">
        <f t="shared" si="59"/>
        <v>1.3437920972083482E-2</v>
      </c>
      <c r="X67" s="83">
        <f t="shared" si="59"/>
        <v>1.7155148032925973E-2</v>
      </c>
      <c r="Y67" s="83">
        <f t="shared" si="59"/>
        <v>1.4023696204477017E-2</v>
      </c>
      <c r="Z67" s="83">
        <f t="shared" ref="Z67:AA67" si="60">Z25/Z$23</f>
        <v>9.1262653174005205E-3</v>
      </c>
      <c r="AA67" s="83">
        <f t="shared" si="60"/>
        <v>1.5037192862685194E-2</v>
      </c>
    </row>
    <row r="68" spans="1:27" x14ac:dyDescent="0.25">
      <c r="A68" s="64" t="s">
        <v>146</v>
      </c>
      <c r="B68" s="65"/>
      <c r="C68" s="65"/>
      <c r="D68" s="83">
        <f t="shared" si="51"/>
        <v>0.62820235363676935</v>
      </c>
      <c r="E68" s="83">
        <f t="shared" ref="E68:S68" si="61">E26/E$23</f>
        <v>0.61949088417115195</v>
      </c>
      <c r="F68" s="83">
        <f t="shared" si="61"/>
        <v>0.6331905809123296</v>
      </c>
      <c r="G68" s="83">
        <f t="shared" si="61"/>
        <v>0.62906588315614942</v>
      </c>
      <c r="H68" s="83">
        <f t="shared" si="61"/>
        <v>0.64284053542365549</v>
      </c>
      <c r="I68" s="83">
        <f t="shared" si="61"/>
        <v>0.64113070097932812</v>
      </c>
      <c r="J68" s="83">
        <f t="shared" si="61"/>
        <v>0.64025605228238347</v>
      </c>
      <c r="K68" s="83">
        <f t="shared" si="61"/>
        <v>0.64903872338107971</v>
      </c>
      <c r="L68" s="83">
        <f t="shared" si="61"/>
        <v>0.64836807096759741</v>
      </c>
      <c r="M68" s="83">
        <f t="shared" si="61"/>
        <v>0.66020866283261748</v>
      </c>
      <c r="N68" s="83">
        <f t="shared" si="61"/>
        <v>0.69615795441965389</v>
      </c>
      <c r="O68" s="83">
        <f t="shared" si="61"/>
        <v>0.67455336920374331</v>
      </c>
      <c r="P68" s="83">
        <f t="shared" si="61"/>
        <v>0.6712295601504884</v>
      </c>
      <c r="Q68" s="83">
        <f t="shared" si="61"/>
        <v>0.69009236607746183</v>
      </c>
      <c r="R68" s="83">
        <f t="shared" si="61"/>
        <v>0.69351281269607601</v>
      </c>
      <c r="S68" s="83">
        <f t="shared" si="61"/>
        <v>0.69122661710360056</v>
      </c>
      <c r="T68" s="83">
        <f t="shared" ref="T68:Y68" si="62">T26/T$23</f>
        <v>0.6855882930178735</v>
      </c>
      <c r="U68" s="83">
        <f t="shared" si="62"/>
        <v>0.69000055096097057</v>
      </c>
      <c r="V68" s="83">
        <f t="shared" si="62"/>
        <v>0.72008079533628089</v>
      </c>
      <c r="W68" s="83">
        <f t="shared" si="62"/>
        <v>0.73025786841873164</v>
      </c>
      <c r="X68" s="83">
        <f t="shared" si="62"/>
        <v>0.7256460159866629</v>
      </c>
      <c r="Y68" s="83">
        <f t="shared" si="62"/>
        <v>0.7257791075742368</v>
      </c>
      <c r="Z68" s="83">
        <f t="shared" ref="Z68:AA68" si="63">Z26/Z$23</f>
        <v>0.68495307348762591</v>
      </c>
      <c r="AA68" s="83">
        <f t="shared" si="63"/>
        <v>0.72680838990065566</v>
      </c>
    </row>
    <row r="69" spans="1:27" x14ac:dyDescent="0.25">
      <c r="A69" s="68" t="s">
        <v>148</v>
      </c>
      <c r="B69" s="69"/>
      <c r="C69" s="69"/>
      <c r="D69" s="84">
        <f t="shared" si="51"/>
        <v>0.28358138212152806</v>
      </c>
      <c r="E69" s="84">
        <f t="shared" ref="E69:S69" si="64">E27/E$23</f>
        <v>0.27238981768342296</v>
      </c>
      <c r="F69" s="84">
        <f t="shared" si="64"/>
        <v>0.2814730506578188</v>
      </c>
      <c r="G69" s="84">
        <f t="shared" si="64"/>
        <v>0.27277382229591346</v>
      </c>
      <c r="H69" s="84">
        <f t="shared" si="64"/>
        <v>0.2675845041573941</v>
      </c>
      <c r="I69" s="84">
        <f t="shared" si="64"/>
        <v>0.25558577242134911</v>
      </c>
      <c r="J69" s="84">
        <f t="shared" si="64"/>
        <v>0.24648273894683143</v>
      </c>
      <c r="K69" s="84">
        <f t="shared" si="64"/>
        <v>0.23911551658406416</v>
      </c>
      <c r="L69" s="84">
        <f t="shared" si="64"/>
        <v>0.23115881171425173</v>
      </c>
      <c r="M69" s="84">
        <f t="shared" si="64"/>
        <v>0.2299944332870979</v>
      </c>
      <c r="N69" s="84">
        <f t="shared" si="64"/>
        <v>0.23367033387887728</v>
      </c>
      <c r="O69" s="84">
        <f t="shared" si="64"/>
        <v>0.22232380594623871</v>
      </c>
      <c r="P69" s="84">
        <f t="shared" si="64"/>
        <v>0.2286706038851696</v>
      </c>
      <c r="Q69" s="84">
        <f t="shared" si="64"/>
        <v>0.23796744985230817</v>
      </c>
      <c r="R69" s="84">
        <f t="shared" si="64"/>
        <v>0.25120994324120072</v>
      </c>
      <c r="S69" s="84">
        <f t="shared" si="64"/>
        <v>0.24287119225975426</v>
      </c>
      <c r="T69" s="84">
        <f t="shared" ref="T69:Y69" si="65">T27/T$23</f>
        <v>0.2319423336207759</v>
      </c>
      <c r="U69" s="84">
        <f t="shared" si="65"/>
        <v>0.23260954794238356</v>
      </c>
      <c r="V69" s="84">
        <f t="shared" si="65"/>
        <v>0.23823225145663607</v>
      </c>
      <c r="W69" s="84">
        <f t="shared" si="65"/>
        <v>0.24124112013852389</v>
      </c>
      <c r="X69" s="84">
        <f t="shared" si="65"/>
        <v>0.24258160789508945</v>
      </c>
      <c r="Y69" s="84">
        <f t="shared" si="65"/>
        <v>0.23942579687732629</v>
      </c>
      <c r="Z69" s="84">
        <f t="shared" ref="Z69:AA69" si="66">Z27/Z$23</f>
        <v>0.23230587715733783</v>
      </c>
      <c r="AA69" s="84">
        <f t="shared" si="66"/>
        <v>0.24638859185187312</v>
      </c>
    </row>
    <row r="70" spans="1:27" x14ac:dyDescent="0.25">
      <c r="A70" s="68" t="s">
        <v>150</v>
      </c>
      <c r="B70" s="71"/>
      <c r="C70" s="71"/>
      <c r="D70" s="84">
        <f t="shared" si="51"/>
        <v>0.22678294941068669</v>
      </c>
      <c r="E70" s="84">
        <f t="shared" ref="E70:S70" si="67">E28/E$23</f>
        <v>0.2338492069157517</v>
      </c>
      <c r="F70" s="84">
        <f t="shared" si="67"/>
        <v>0.24470465681546361</v>
      </c>
      <c r="G70" s="84">
        <f t="shared" si="67"/>
        <v>0.23885691992587538</v>
      </c>
      <c r="H70" s="84">
        <f t="shared" si="67"/>
        <v>0.25217834169240816</v>
      </c>
      <c r="I70" s="84">
        <f t="shared" si="67"/>
        <v>0.25226952574737832</v>
      </c>
      <c r="J70" s="84">
        <f t="shared" si="67"/>
        <v>0.24707056997998778</v>
      </c>
      <c r="K70" s="84">
        <f t="shared" si="67"/>
        <v>0.28561988272243705</v>
      </c>
      <c r="L70" s="84">
        <f t="shared" si="67"/>
        <v>0.28843679049167031</v>
      </c>
      <c r="M70" s="84">
        <f t="shared" si="67"/>
        <v>0.30176504780914476</v>
      </c>
      <c r="N70" s="84">
        <f t="shared" si="67"/>
        <v>0.32679079536716504</v>
      </c>
      <c r="O70" s="84">
        <f t="shared" si="67"/>
        <v>0.31495343107467594</v>
      </c>
      <c r="P70" s="84">
        <f t="shared" si="67"/>
        <v>0.30779944668569081</v>
      </c>
      <c r="Q70" s="84">
        <f t="shared" si="67"/>
        <v>0.30302913296136841</v>
      </c>
      <c r="R70" s="84">
        <f t="shared" si="67"/>
        <v>0.29498764598373872</v>
      </c>
      <c r="S70" s="84">
        <f t="shared" si="67"/>
        <v>0.29299722154102081</v>
      </c>
      <c r="T70" s="84">
        <f t="shared" ref="T70:Y70" si="68">T28/T$23</f>
        <v>0.29969699424003193</v>
      </c>
      <c r="U70" s="84">
        <f t="shared" si="68"/>
        <v>0.29712339053179732</v>
      </c>
      <c r="V70" s="84">
        <f t="shared" si="68"/>
        <v>0.31425703843709579</v>
      </c>
      <c r="W70" s="84">
        <f t="shared" si="68"/>
        <v>0.31842360956208432</v>
      </c>
      <c r="X70" s="84">
        <f t="shared" si="68"/>
        <v>0.32038820499843701</v>
      </c>
      <c r="Y70" s="84">
        <f t="shared" si="68"/>
        <v>0.31427807580800343</v>
      </c>
      <c r="Z70" s="84">
        <f t="shared" ref="Z70:AA70" si="69">Z28/Z$23</f>
        <v>0.29560346663565695</v>
      </c>
      <c r="AA70" s="84">
        <f t="shared" si="69"/>
        <v>0.31073403466181132</v>
      </c>
    </row>
    <row r="71" spans="1:27" x14ac:dyDescent="0.25">
      <c r="A71" s="68" t="s">
        <v>152</v>
      </c>
      <c r="B71" s="71"/>
      <c r="C71" s="71"/>
      <c r="D71" s="84">
        <f t="shared" si="51"/>
        <v>0.11783802210455456</v>
      </c>
      <c r="E71" s="84">
        <f t="shared" ref="E71:S71" si="70">E29/E$23</f>
        <v>0.11325185957197717</v>
      </c>
      <c r="F71" s="84">
        <f t="shared" si="70"/>
        <v>0.10701287343904727</v>
      </c>
      <c r="G71" s="84">
        <f t="shared" si="70"/>
        <v>0.11743514093436071</v>
      </c>
      <c r="H71" s="84">
        <f t="shared" si="70"/>
        <v>0.1230776895738533</v>
      </c>
      <c r="I71" s="84">
        <f t="shared" si="70"/>
        <v>0.13327540281060068</v>
      </c>
      <c r="J71" s="84">
        <f t="shared" si="70"/>
        <v>0.1467027433555643</v>
      </c>
      <c r="K71" s="84">
        <f t="shared" si="70"/>
        <v>0.12430332407457835</v>
      </c>
      <c r="L71" s="84">
        <f t="shared" si="70"/>
        <v>0.12877246876167542</v>
      </c>
      <c r="M71" s="84">
        <f t="shared" si="70"/>
        <v>0.12844918173637476</v>
      </c>
      <c r="N71" s="84">
        <f t="shared" si="70"/>
        <v>0.13569682517361165</v>
      </c>
      <c r="O71" s="84">
        <f t="shared" si="70"/>
        <v>0.13727613218282858</v>
      </c>
      <c r="P71" s="84">
        <f t="shared" si="70"/>
        <v>0.13475950957962801</v>
      </c>
      <c r="Q71" s="84">
        <f t="shared" si="70"/>
        <v>0.14909578326378528</v>
      </c>
      <c r="R71" s="84">
        <f t="shared" si="70"/>
        <v>0.14731522347113662</v>
      </c>
      <c r="S71" s="84">
        <f t="shared" si="70"/>
        <v>0.15535820330282543</v>
      </c>
      <c r="T71" s="84">
        <f t="shared" ref="T71:Y71" si="71">T29/T$23</f>
        <v>0.15394896515706552</v>
      </c>
      <c r="U71" s="84">
        <f t="shared" si="71"/>
        <v>0.16026761248678986</v>
      </c>
      <c r="V71" s="84">
        <f t="shared" si="71"/>
        <v>0.16759150544254903</v>
      </c>
      <c r="W71" s="84">
        <f t="shared" si="71"/>
        <v>0.17059313871812357</v>
      </c>
      <c r="X71" s="84">
        <f t="shared" si="71"/>
        <v>0.16267620309313643</v>
      </c>
      <c r="Y71" s="84">
        <f t="shared" si="71"/>
        <v>0.17207523488890705</v>
      </c>
      <c r="Z71" s="84">
        <f t="shared" ref="Z71:AA71" si="72">Z29/Z$23</f>
        <v>0.15704372969463115</v>
      </c>
      <c r="AA71" s="84">
        <f t="shared" si="72"/>
        <v>0.16968576338697122</v>
      </c>
    </row>
    <row r="72" spans="1:27" x14ac:dyDescent="0.25">
      <c r="A72" s="64" t="s">
        <v>154</v>
      </c>
      <c r="B72" s="65"/>
      <c r="C72" s="65"/>
      <c r="D72" s="83">
        <f t="shared" si="51"/>
        <v>6.441663978470584E-2</v>
      </c>
      <c r="E72" s="83">
        <f t="shared" ref="E72:S72" si="73">E30/E$23</f>
        <v>5.9206487443427581E-2</v>
      </c>
      <c r="F72" s="83">
        <f t="shared" si="73"/>
        <v>6.0213228391013028E-2</v>
      </c>
      <c r="G72" s="83">
        <f t="shared" si="73"/>
        <v>5.639203160050716E-2</v>
      </c>
      <c r="H72" s="83">
        <f t="shared" si="73"/>
        <v>5.7456184054649521E-2</v>
      </c>
      <c r="I72" s="83">
        <f t="shared" si="73"/>
        <v>5.143319305410788E-2</v>
      </c>
      <c r="J72" s="83">
        <f t="shared" si="73"/>
        <v>4.9533409117432217E-2</v>
      </c>
      <c r="K72" s="83">
        <f t="shared" si="73"/>
        <v>3.9627471270627955E-2</v>
      </c>
      <c r="L72" s="83">
        <f t="shared" si="73"/>
        <v>3.3775390618763113E-2</v>
      </c>
      <c r="M72" s="83">
        <f t="shared" si="73"/>
        <v>3.6873922596734852E-2</v>
      </c>
      <c r="N72" s="83">
        <f t="shared" si="73"/>
        <v>3.8193062715612028E-2</v>
      </c>
      <c r="O72" s="83">
        <f t="shared" si="73"/>
        <v>4.3701870490879563E-2</v>
      </c>
      <c r="P72" s="83">
        <f t="shared" si="73"/>
        <v>4.2146010777931626E-2</v>
      </c>
      <c r="Q72" s="83">
        <f t="shared" si="73"/>
        <v>4.4952961975183343E-2</v>
      </c>
      <c r="R72" s="83">
        <f t="shared" si="73"/>
        <v>3.6591711116459015E-2</v>
      </c>
      <c r="S72" s="83">
        <f t="shared" si="73"/>
        <v>4.3786576980767961E-2</v>
      </c>
      <c r="T72" s="83">
        <f t="shared" ref="T72:Y72" si="74">T30/T$23</f>
        <v>5.0709253297572796E-2</v>
      </c>
      <c r="U72" s="83">
        <f t="shared" si="74"/>
        <v>4.8433983819250126E-2</v>
      </c>
      <c r="V72" s="83">
        <f t="shared" si="74"/>
        <v>3.5153537379880619E-2</v>
      </c>
      <c r="W72" s="83">
        <f t="shared" si="74"/>
        <v>3.1318104591483514E-2</v>
      </c>
      <c r="X72" s="83">
        <f t="shared" si="74"/>
        <v>2.6318825263095213E-2</v>
      </c>
      <c r="Y72" s="83">
        <f t="shared" si="74"/>
        <v>5.3376493019369031E-2</v>
      </c>
      <c r="Z72" s="83">
        <f t="shared" ref="Z72:AA72" si="75">Z30/Z$23</f>
        <v>9.1592109533191177E-2</v>
      </c>
      <c r="AA72" s="83">
        <f t="shared" si="75"/>
        <v>4.780765461900828E-2</v>
      </c>
    </row>
    <row r="73" spans="1:27" x14ac:dyDescent="0.25">
      <c r="A73" s="64" t="s">
        <v>37</v>
      </c>
      <c r="B73" s="65"/>
      <c r="C73" s="65"/>
      <c r="D73" s="83">
        <f t="shared" si="51"/>
        <v>5.1094890510948912E-2</v>
      </c>
      <c r="E73" s="83">
        <f t="shared" ref="E73:S73" si="76">E31/E$23</f>
        <v>5.3110232285881527E-2</v>
      </c>
      <c r="F73" s="83">
        <f t="shared" si="76"/>
        <v>4.9918335326722997E-2</v>
      </c>
      <c r="G73" s="83">
        <f t="shared" si="76"/>
        <v>4.8882034526480052E-2</v>
      </c>
      <c r="H73" s="83">
        <f t="shared" si="76"/>
        <v>4.9944088307259667E-2</v>
      </c>
      <c r="I73" s="83">
        <f t="shared" si="76"/>
        <v>6.1384802003443421E-2</v>
      </c>
      <c r="J73" s="83">
        <f t="shared" si="76"/>
        <v>6.9878414066450845E-2</v>
      </c>
      <c r="K73" s="83">
        <f t="shared" si="76"/>
        <v>7.9167801318011002E-2</v>
      </c>
      <c r="L73" s="83">
        <f t="shared" si="76"/>
        <v>8.9721768952953293E-2</v>
      </c>
      <c r="M73" s="83">
        <f t="shared" si="76"/>
        <v>9.5572156593786803E-2</v>
      </c>
      <c r="N73" s="83">
        <f t="shared" si="76"/>
        <v>7.1347573326790786E-2</v>
      </c>
      <c r="O73" s="83">
        <f t="shared" si="76"/>
        <v>6.3271315088773733E-2</v>
      </c>
      <c r="P73" s="83">
        <f t="shared" si="76"/>
        <v>5.8282984632878398E-2</v>
      </c>
      <c r="Q73" s="83">
        <f t="shared" si="76"/>
        <v>4.758962874297739E-2</v>
      </c>
      <c r="R73" s="83">
        <f t="shared" si="76"/>
        <v>4.4252032651048614E-2</v>
      </c>
      <c r="S73" s="83">
        <f t="shared" si="76"/>
        <v>4.364885739350715E-2</v>
      </c>
      <c r="T73" s="83">
        <f t="shared" ref="T73:Y73" si="77">T31/T$23</f>
        <v>3.9224000343025388E-2</v>
      </c>
      <c r="U73" s="83">
        <f t="shared" si="77"/>
        <v>4.1333956484276881E-2</v>
      </c>
      <c r="V73" s="83">
        <f t="shared" si="77"/>
        <v>4.1754503591973233E-2</v>
      </c>
      <c r="W73" s="83">
        <f t="shared" si="77"/>
        <v>4.3377579838413921E-2</v>
      </c>
      <c r="X73" s="83">
        <f t="shared" si="77"/>
        <v>4.783904675429064E-2</v>
      </c>
      <c r="Y73" s="83">
        <f t="shared" si="77"/>
        <v>3.965696374170144E-2</v>
      </c>
      <c r="Z73" s="83">
        <f t="shared" ref="Z73:AA73" si="78">Z31/Z$23</f>
        <v>3.7939356087975086E-2</v>
      </c>
      <c r="AA73" s="83">
        <f t="shared" si="78"/>
        <v>4.4155756577362898E-2</v>
      </c>
    </row>
    <row r="74" spans="1:27" x14ac:dyDescent="0.25">
      <c r="A74" s="64" t="s">
        <v>58</v>
      </c>
      <c r="B74" s="65"/>
      <c r="C74" s="65"/>
      <c r="D74" s="83">
        <f t="shared" si="51"/>
        <v>0.11315448541725913</v>
      </c>
      <c r="E74" s="83">
        <f t="shared" ref="E74:S74" si="79">E32/E$23</f>
        <v>0.1311265936638922</v>
      </c>
      <c r="F74" s="83">
        <f t="shared" si="79"/>
        <v>0.13364713144797255</v>
      </c>
      <c r="G74" s="83">
        <f t="shared" si="79"/>
        <v>0.14654857114990733</v>
      </c>
      <c r="H74" s="83">
        <f t="shared" si="79"/>
        <v>0.13365108889405564</v>
      </c>
      <c r="I74" s="83">
        <f t="shared" si="79"/>
        <v>0.14084265925809983</v>
      </c>
      <c r="J74" s="83">
        <f t="shared" si="79"/>
        <v>0.14440760895404978</v>
      </c>
      <c r="K74" s="83">
        <f t="shared" si="79"/>
        <v>0.1550641758800356</v>
      </c>
      <c r="L74" s="83">
        <f t="shared" si="79"/>
        <v>0.13787652838671974</v>
      </c>
      <c r="M74" s="83">
        <f t="shared" si="79"/>
        <v>0.13931237255764314</v>
      </c>
      <c r="N74" s="83">
        <f t="shared" si="79"/>
        <v>0.12596978663945926</v>
      </c>
      <c r="O74" s="83">
        <f t="shared" si="79"/>
        <v>0.14172862966932195</v>
      </c>
      <c r="P74" s="83">
        <f t="shared" si="79"/>
        <v>0.15330125162199437</v>
      </c>
      <c r="Q74" s="83">
        <f t="shared" si="79"/>
        <v>0.14012670342187492</v>
      </c>
      <c r="R74" s="83">
        <f t="shared" si="79"/>
        <v>0.1469967145284303</v>
      </c>
      <c r="S74" s="83">
        <f t="shared" si="79"/>
        <v>0.14944519306371243</v>
      </c>
      <c r="T74" s="83">
        <f t="shared" ref="T74:Y74" si="80">T32/T$23</f>
        <v>0.1547235072440292</v>
      </c>
      <c r="U74" s="83">
        <f t="shared" si="80"/>
        <v>0.15075896683936221</v>
      </c>
      <c r="V74" s="83">
        <f t="shared" si="80"/>
        <v>0.14544149495190475</v>
      </c>
      <c r="W74" s="83">
        <f t="shared" si="80"/>
        <v>0.1445673584042525</v>
      </c>
      <c r="X74" s="83">
        <f t="shared" si="80"/>
        <v>0.1434948125213974</v>
      </c>
      <c r="Y74" s="83">
        <f t="shared" si="80"/>
        <v>0.11772060506806135</v>
      </c>
      <c r="Z74" s="83">
        <f t="shared" ref="Z74:AA74" si="81">Z32/Z$23</f>
        <v>0.13464767238124109</v>
      </c>
      <c r="AA74" s="83">
        <f t="shared" si="81"/>
        <v>0.13747796306465132</v>
      </c>
    </row>
    <row r="75" spans="1:27" x14ac:dyDescent="0.25">
      <c r="A75" s="85" t="s">
        <v>158</v>
      </c>
      <c r="B75" s="86"/>
      <c r="C75" s="86"/>
      <c r="D75" s="87">
        <f t="shared" si="51"/>
        <v>1.0893607608936078E-2</v>
      </c>
      <c r="E75" s="87">
        <f t="shared" ref="E75:S75" si="82">E33/E$23</f>
        <v>8.1806890053252989E-3</v>
      </c>
      <c r="F75" s="87">
        <f t="shared" si="82"/>
        <v>6.501022415988272E-3</v>
      </c>
      <c r="G75" s="87">
        <f t="shared" si="82"/>
        <v>8.5097044767385166E-3</v>
      </c>
      <c r="H75" s="87">
        <f t="shared" si="82"/>
        <v>1.1680561552684316E-2</v>
      </c>
      <c r="I75" s="87">
        <f t="shared" si="82"/>
        <v>1.1504147753952103E-2</v>
      </c>
      <c r="J75" s="87">
        <f t="shared" si="82"/>
        <v>1.222342766004348E-2</v>
      </c>
      <c r="K75" s="87">
        <f t="shared" si="82"/>
        <v>1.5028230125447054E-2</v>
      </c>
      <c r="L75" s="87">
        <f t="shared" si="82"/>
        <v>1.1077510641627042E-2</v>
      </c>
      <c r="M75" s="87">
        <f t="shared" si="82"/>
        <v>1.165011517867303E-2</v>
      </c>
      <c r="N75" s="87">
        <f t="shared" si="82"/>
        <v>1.0711411243391387E-2</v>
      </c>
      <c r="O75" s="87">
        <f t="shared" si="82"/>
        <v>1.2360376086884466E-2</v>
      </c>
      <c r="P75" s="87">
        <f t="shared" si="82"/>
        <v>1.2469974401732302E-2</v>
      </c>
      <c r="Q75" s="87">
        <f t="shared" si="82"/>
        <v>8.9828699400682326E-3</v>
      </c>
      <c r="R75" s="87">
        <f t="shared" si="82"/>
        <v>7.3775719668344236E-3</v>
      </c>
      <c r="S75" s="87">
        <f t="shared" si="82"/>
        <v>8.2772290244044252E-3</v>
      </c>
      <c r="T75" s="87">
        <f t="shared" ref="T75:Y75" si="83">T33/T$23</f>
        <v>1.035746104041506E-2</v>
      </c>
      <c r="U75" s="87">
        <f t="shared" si="83"/>
        <v>1.1980889053290479E-2</v>
      </c>
      <c r="V75" s="87">
        <f t="shared" si="83"/>
        <v>1.0355330784434303E-2</v>
      </c>
      <c r="W75" s="87">
        <f t="shared" si="83"/>
        <v>9.7579233505858155E-3</v>
      </c>
      <c r="X75" s="87">
        <f t="shared" si="83"/>
        <v>8.4473288578615965E-3</v>
      </c>
      <c r="Y75" s="87">
        <f t="shared" si="83"/>
        <v>1.0725886366437901E-2</v>
      </c>
      <c r="Z75" s="87">
        <f t="shared" ref="Z75:AA75" si="84">Z33/Z$23</f>
        <v>1.491599301237468E-2</v>
      </c>
      <c r="AA75" s="87">
        <f t="shared" si="84"/>
        <v>6.5135400710962113E-3</v>
      </c>
    </row>
    <row r="76" spans="1:27" x14ac:dyDescent="0.25">
      <c r="A76" s="88" t="s">
        <v>5</v>
      </c>
      <c r="B76" s="44"/>
      <c r="C76" s="44"/>
      <c r="D76" s="89">
        <f t="shared" si="51"/>
        <v>9.029255999340343E-3</v>
      </c>
      <c r="E76" s="89">
        <f t="shared" ref="E76:S76" si="85">E34/E$23</f>
        <v>6.7425210124877535E-3</v>
      </c>
      <c r="F76" s="89">
        <f t="shared" si="85"/>
        <v>5.3581403979446147E-3</v>
      </c>
      <c r="G76" s="89">
        <f t="shared" si="85"/>
        <v>7.0730168316672131E-3</v>
      </c>
      <c r="H76" s="89">
        <f t="shared" si="85"/>
        <v>9.589093272922896E-3</v>
      </c>
      <c r="I76" s="89">
        <f t="shared" si="85"/>
        <v>9.4851282574520603E-3</v>
      </c>
      <c r="J76" s="89">
        <f t="shared" si="85"/>
        <v>1.0078171941191346E-2</v>
      </c>
      <c r="K76" s="89">
        <f t="shared" si="85"/>
        <v>1.1719930357852638E-2</v>
      </c>
      <c r="L76" s="89">
        <f t="shared" si="85"/>
        <v>8.1356523871071694E-3</v>
      </c>
      <c r="M76" s="89">
        <f t="shared" si="85"/>
        <v>2.8543474125551404E-3</v>
      </c>
      <c r="N76" s="89">
        <f t="shared" si="85"/>
        <v>4.030234506545151E-3</v>
      </c>
      <c r="O76" s="89">
        <f t="shared" si="85"/>
        <v>3.525157977062118E-3</v>
      </c>
      <c r="P76" s="89">
        <f t="shared" si="85"/>
        <v>2.7805112752574941E-3</v>
      </c>
      <c r="Q76" s="89">
        <f t="shared" si="85"/>
        <v>2.296450332566949E-3</v>
      </c>
      <c r="R76" s="89">
        <f t="shared" si="85"/>
        <v>1.5200080046224151E-3</v>
      </c>
      <c r="S76" s="89">
        <f t="shared" si="85"/>
        <v>1.1420277352769774E-3</v>
      </c>
      <c r="T76" s="89">
        <f t="shared" ref="T76:Y76" si="86">T34/T$23</f>
        <v>2.8189666230170394E-3</v>
      </c>
      <c r="U76" s="89">
        <f t="shared" si="86"/>
        <v>3.2045053562491719E-3</v>
      </c>
      <c r="V76" s="89">
        <f t="shared" si="86"/>
        <v>3.5398483589655439E-3</v>
      </c>
      <c r="W76" s="89">
        <f t="shared" si="86"/>
        <v>2.0725107631550856E-3</v>
      </c>
      <c r="X76" s="89">
        <f t="shared" si="86"/>
        <v>2.0306617289549511E-3</v>
      </c>
      <c r="Y76" s="89">
        <f t="shared" si="86"/>
        <v>5.4341962347625884E-3</v>
      </c>
      <c r="Z76" s="89">
        <f t="shared" ref="Z76:AA76" si="87">Z34/Z$23</f>
        <v>3.6980517285976561E-3</v>
      </c>
      <c r="AA76" s="89">
        <f t="shared" si="87"/>
        <v>4.3837501401466101E-3</v>
      </c>
    </row>
    <row r="77" spans="1:27" x14ac:dyDescent="0.25">
      <c r="A77" s="88" t="s">
        <v>263</v>
      </c>
      <c r="B77" s="44"/>
      <c r="C77" s="44"/>
      <c r="D77" s="89">
        <f>D37/D$23</f>
        <v>1.8643516095957352E-3</v>
      </c>
      <c r="E77" s="89">
        <f t="shared" ref="E77:S77" si="88">E37/E$23</f>
        <v>1.438167992837545E-3</v>
      </c>
      <c r="F77" s="89">
        <f t="shared" si="88"/>
        <v>1.1428820180436575E-3</v>
      </c>
      <c r="G77" s="89">
        <f t="shared" si="88"/>
        <v>1.4366876450713035E-3</v>
      </c>
      <c r="H77" s="89">
        <f t="shared" si="88"/>
        <v>2.0914682797614189E-3</v>
      </c>
      <c r="I77" s="89">
        <f t="shared" si="88"/>
        <v>2.0190194965000428E-3</v>
      </c>
      <c r="J77" s="89">
        <f t="shared" si="88"/>
        <v>2.1452557188521345E-3</v>
      </c>
      <c r="K77" s="89">
        <f t="shared" si="88"/>
        <v>3.3082997675944153E-3</v>
      </c>
      <c r="L77" s="89">
        <f t="shared" si="88"/>
        <v>2.9418582545198721E-3</v>
      </c>
      <c r="M77" s="89">
        <f t="shared" si="88"/>
        <v>8.7957677661178891E-3</v>
      </c>
      <c r="N77" s="89">
        <f t="shared" si="88"/>
        <v>6.6811767368462355E-3</v>
      </c>
      <c r="O77" s="89">
        <f t="shared" si="88"/>
        <v>8.8352181098223515E-3</v>
      </c>
      <c r="P77" s="89">
        <f t="shared" si="88"/>
        <v>9.6894631264748069E-3</v>
      </c>
      <c r="Q77" s="89">
        <f t="shared" si="88"/>
        <v>6.6864196075012844E-3</v>
      </c>
      <c r="R77" s="89">
        <f t="shared" si="88"/>
        <v>5.8575639622120085E-3</v>
      </c>
      <c r="S77" s="89">
        <f t="shared" si="88"/>
        <v>7.1352012891274484E-3</v>
      </c>
      <c r="T77" s="89">
        <f t="shared" ref="T77:Y77" si="89">T37/T$23</f>
        <v>7.5384944173980204E-3</v>
      </c>
      <c r="U77" s="89">
        <f t="shared" si="89"/>
        <v>8.7763836970413071E-3</v>
      </c>
      <c r="V77" s="89">
        <f t="shared" si="89"/>
        <v>6.8154824254687578E-3</v>
      </c>
      <c r="W77" s="89">
        <f t="shared" si="89"/>
        <v>7.6854125874307308E-3</v>
      </c>
      <c r="X77" s="89">
        <f t="shared" si="89"/>
        <v>6.4166671289066449E-3</v>
      </c>
      <c r="Y77" s="89">
        <f t="shared" si="89"/>
        <v>5.2916901316753138E-3</v>
      </c>
      <c r="Z77" s="89">
        <f t="shared" ref="Z77:AA77" si="90">Z37/Z$23</f>
        <v>1.1217941283777023E-2</v>
      </c>
      <c r="AA77" s="89">
        <f t="shared" si="90"/>
        <v>2.1297899309496008E-3</v>
      </c>
    </row>
    <row r="78" spans="1:27" x14ac:dyDescent="0.25">
      <c r="A78" s="68" t="s">
        <v>265</v>
      </c>
      <c r="B78" s="44"/>
      <c r="C78" s="44"/>
      <c r="D78" s="89">
        <f>D43/D$23</f>
        <v>1.4353651214965084E-2</v>
      </c>
      <c r="E78" s="89">
        <f t="shared" ref="E78:S78" si="91">E43/E$23</f>
        <v>1.722513313250432E-2</v>
      </c>
      <c r="F78" s="89">
        <f t="shared" si="91"/>
        <v>1.4976143626940342E-2</v>
      </c>
      <c r="G78" s="89">
        <f t="shared" si="91"/>
        <v>1.4507948893006925E-2</v>
      </c>
      <c r="H78" s="89">
        <f t="shared" si="91"/>
        <v>1.131519801596528E-2</v>
      </c>
      <c r="I78" s="89">
        <f t="shared" si="91"/>
        <v>1.1939466270151824E-2</v>
      </c>
      <c r="J78" s="89">
        <f t="shared" si="91"/>
        <v>1.1341681110309086E-2</v>
      </c>
      <c r="K78" s="89">
        <f t="shared" si="91"/>
        <v>1.1437285550895923E-2</v>
      </c>
      <c r="L78" s="89">
        <f t="shared" si="91"/>
        <v>9.6501116053608876E-3</v>
      </c>
      <c r="M78" s="89">
        <f t="shared" si="91"/>
        <v>8.8913629835120737E-3</v>
      </c>
      <c r="N78" s="89">
        <f t="shared" si="91"/>
        <v>1.0011279893963013E-2</v>
      </c>
      <c r="O78" s="89">
        <f t="shared" si="91"/>
        <v>1.1946061804642529E-2</v>
      </c>
      <c r="P78" s="89">
        <f t="shared" si="91"/>
        <v>1.2325797123527283E-2</v>
      </c>
      <c r="Q78" s="89">
        <f t="shared" si="91"/>
        <v>1.1735373532388804E-2</v>
      </c>
      <c r="R78" s="89">
        <f t="shared" si="91"/>
        <v>1.4923973223138721E-2</v>
      </c>
      <c r="S78" s="89">
        <f t="shared" si="91"/>
        <v>1.5720161904015491E-2</v>
      </c>
      <c r="T78" s="89">
        <f t="shared" ref="T78:Y78" si="92">T43/T$23</f>
        <v>1.5074060134256325E-2</v>
      </c>
      <c r="U78" s="89">
        <f t="shared" si="92"/>
        <v>1.4971127585725712E-2</v>
      </c>
      <c r="V78" s="89">
        <f t="shared" si="92"/>
        <v>1.2233070011085449E-2</v>
      </c>
      <c r="W78" s="89">
        <f t="shared" si="92"/>
        <v>1.200175423341134E-2</v>
      </c>
      <c r="X78" s="89">
        <f t="shared" si="92"/>
        <v>1.319569521144371E-2</v>
      </c>
      <c r="Y78" s="89">
        <f t="shared" si="92"/>
        <v>5.2652895909275008E-3</v>
      </c>
      <c r="Z78" s="89">
        <f t="shared" ref="Z78:AA78" si="93">Z43/Z$23</f>
        <v>1.2348550276800378E-2</v>
      </c>
      <c r="AA78" s="89">
        <f t="shared" si="93"/>
        <v>1.0825795015558318E-2</v>
      </c>
    </row>
    <row r="79" spans="1:27" x14ac:dyDescent="0.25">
      <c r="A79" s="88" t="s">
        <v>266</v>
      </c>
      <c r="B79" s="44"/>
      <c r="C79" s="44"/>
      <c r="D79" s="89">
        <f>D44/D$23</f>
        <v>9.7481593831958806E-3</v>
      </c>
      <c r="E79" s="89">
        <f t="shared" ref="E79:S79" si="94">E44/E$23</f>
        <v>1.1699955741473094E-2</v>
      </c>
      <c r="F79" s="89">
        <f t="shared" si="94"/>
        <v>1.0192008436539475E-2</v>
      </c>
      <c r="G79" s="89">
        <f t="shared" si="94"/>
        <v>9.8629669365063889E-3</v>
      </c>
      <c r="H79" s="89">
        <f t="shared" si="94"/>
        <v>7.5619180478515517E-3</v>
      </c>
      <c r="I79" s="89">
        <f t="shared" si="94"/>
        <v>8.0900766943183596E-3</v>
      </c>
      <c r="J79" s="89">
        <f t="shared" si="94"/>
        <v>7.6850263011164462E-3</v>
      </c>
      <c r="K79" s="89">
        <f t="shared" si="94"/>
        <v>7.6212261496287426E-3</v>
      </c>
      <c r="L79" s="89">
        <f t="shared" si="94"/>
        <v>6.4153124471111938E-3</v>
      </c>
      <c r="M79" s="89">
        <f t="shared" si="94"/>
        <v>5.6774320538095077E-3</v>
      </c>
      <c r="N79" s="89">
        <f t="shared" si="94"/>
        <v>5.0924083620816039E-3</v>
      </c>
      <c r="O79" s="89">
        <f t="shared" si="94"/>
        <v>6.9218106086553011E-3</v>
      </c>
      <c r="P79" s="89">
        <f t="shared" si="94"/>
        <v>6.9694752219105925E-3</v>
      </c>
      <c r="Q79" s="89">
        <f t="shared" si="94"/>
        <v>6.2689786225898353E-3</v>
      </c>
      <c r="R79" s="89">
        <f t="shared" si="94"/>
        <v>8.8675574421558673E-3</v>
      </c>
      <c r="S79" s="89">
        <f t="shared" si="94"/>
        <v>1.0196110157429154E-2</v>
      </c>
      <c r="T79" s="89">
        <f t="shared" ref="T79:Y79" si="95">T44/T$23</f>
        <v>9.5118081725798845E-3</v>
      </c>
      <c r="U79" s="89">
        <f t="shared" si="95"/>
        <v>9.6374280404634659E-3</v>
      </c>
      <c r="V79" s="89">
        <f t="shared" si="95"/>
        <v>7.4615968393103574E-3</v>
      </c>
      <c r="W79" s="89">
        <f t="shared" si="95"/>
        <v>8.3590734320593708E-3</v>
      </c>
      <c r="X79" s="89">
        <f t="shared" si="95"/>
        <v>8.9757520727586654E-3</v>
      </c>
      <c r="Y79" s="89">
        <f t="shared" si="95"/>
        <v>3.4482924228816771E-3</v>
      </c>
      <c r="Z79" s="89">
        <f t="shared" ref="Z79:AA79" si="96">Z44/Z$23</f>
        <v>9.3002836599582143E-3</v>
      </c>
      <c r="AA79" s="89">
        <f t="shared" si="96"/>
        <v>7.3251736462337314E-3</v>
      </c>
    </row>
    <row r="80" spans="1:27" x14ac:dyDescent="0.25">
      <c r="A80" s="88" t="s">
        <v>11</v>
      </c>
      <c r="B80" s="44"/>
      <c r="C80" s="44"/>
      <c r="D80" s="89">
        <f>D47/D$23</f>
        <v>4.6054918317692045E-3</v>
      </c>
      <c r="E80" s="89">
        <f t="shared" ref="E80:S80" si="97">E47/E$23</f>
        <v>5.5251773910312231E-3</v>
      </c>
      <c r="F80" s="89">
        <f t="shared" si="97"/>
        <v>4.7841351904008653E-3</v>
      </c>
      <c r="G80" s="89">
        <f t="shared" si="97"/>
        <v>4.644981956500537E-3</v>
      </c>
      <c r="H80" s="89">
        <f t="shared" si="97"/>
        <v>3.7532799681137276E-3</v>
      </c>
      <c r="I80" s="89">
        <f t="shared" si="97"/>
        <v>3.8493895758334637E-3</v>
      </c>
      <c r="J80" s="89">
        <f t="shared" si="97"/>
        <v>3.6566548091926396E-3</v>
      </c>
      <c r="K80" s="89">
        <f t="shared" si="97"/>
        <v>3.8160594012671789E-3</v>
      </c>
      <c r="L80" s="89">
        <f t="shared" si="97"/>
        <v>3.2347991582496955E-3</v>
      </c>
      <c r="M80" s="89">
        <f t="shared" si="97"/>
        <v>3.2139309297025648E-3</v>
      </c>
      <c r="N80" s="89">
        <f t="shared" si="97"/>
        <v>4.9188715318814087E-3</v>
      </c>
      <c r="O80" s="89">
        <f t="shared" si="97"/>
        <v>5.0242511959872277E-3</v>
      </c>
      <c r="P80" s="89">
        <f t="shared" si="97"/>
        <v>5.3563219016166891E-3</v>
      </c>
      <c r="Q80" s="89">
        <f t="shared" si="97"/>
        <v>5.4663949097989674E-3</v>
      </c>
      <c r="R80" s="89">
        <f t="shared" si="97"/>
        <v>6.0564157809828538E-3</v>
      </c>
      <c r="S80" s="89">
        <f t="shared" si="97"/>
        <v>5.5240517465863382E-3</v>
      </c>
      <c r="T80" s="89">
        <f t="shared" ref="T80:Y80" si="98">T47/T$23</f>
        <v>5.5622519616764414E-3</v>
      </c>
      <c r="U80" s="89">
        <f t="shared" si="98"/>
        <v>5.333699545262245E-3</v>
      </c>
      <c r="V80" s="89">
        <f t="shared" si="98"/>
        <v>4.7714731717750907E-3</v>
      </c>
      <c r="W80" s="89">
        <f t="shared" si="98"/>
        <v>3.6426808013519693E-3</v>
      </c>
      <c r="X80" s="89">
        <f t="shared" si="98"/>
        <v>4.2199431386850447E-3</v>
      </c>
      <c r="Y80" s="89">
        <f t="shared" si="98"/>
        <v>1.8169971680458237E-3</v>
      </c>
      <c r="Z80" s="89">
        <f t="shared" ref="Z80:AA80" si="99">Z47/Z$23</f>
        <v>3.0482666168421628E-3</v>
      </c>
      <c r="AA80" s="89">
        <f t="shared" si="99"/>
        <v>3.5006213693245863E-3</v>
      </c>
    </row>
    <row r="81" spans="1:27" x14ac:dyDescent="0.25">
      <c r="A81" s="68" t="s">
        <v>4</v>
      </c>
      <c r="B81" s="44"/>
      <c r="C81" s="44"/>
      <c r="D81" s="89">
        <f>D48/D$23</f>
        <v>6.169621133124783E-3</v>
      </c>
      <c r="E81" s="89">
        <f t="shared" ref="E81:S81" si="100">E48/E$23</f>
        <v>8.7589052439215904E-3</v>
      </c>
      <c r="F81" s="89">
        <f t="shared" si="100"/>
        <v>1.1619532646578445E-2</v>
      </c>
      <c r="G81" s="89">
        <f t="shared" si="100"/>
        <v>9.7654345069735689E-3</v>
      </c>
      <c r="H81" s="89">
        <f t="shared" si="100"/>
        <v>1.0850189878322872E-2</v>
      </c>
      <c r="I81" s="89">
        <f t="shared" si="100"/>
        <v>1.2003052120832679E-2</v>
      </c>
      <c r="J81" s="89">
        <f t="shared" si="100"/>
        <v>1.4419149460362468E-2</v>
      </c>
      <c r="K81" s="89">
        <f t="shared" si="100"/>
        <v>1.7312056351324368E-2</v>
      </c>
      <c r="L81" s="89">
        <f t="shared" si="100"/>
        <v>1.3287264854370172E-2</v>
      </c>
      <c r="M81" s="89">
        <f t="shared" si="100"/>
        <v>1.134256197965843E-2</v>
      </c>
      <c r="N81" s="89">
        <f t="shared" si="100"/>
        <v>8.5511769088303293E-3</v>
      </c>
      <c r="O81" s="89">
        <f t="shared" si="100"/>
        <v>9.2751157317895062E-3</v>
      </c>
      <c r="P81" s="89">
        <f t="shared" si="100"/>
        <v>8.5663065861812868E-3</v>
      </c>
      <c r="Q81" s="89">
        <f t="shared" si="100"/>
        <v>7.3639124163285795E-3</v>
      </c>
      <c r="R81" s="89">
        <f t="shared" si="100"/>
        <v>8.3262317838556331E-3</v>
      </c>
      <c r="S81" s="89">
        <f t="shared" si="100"/>
        <v>9.0634899366187731E-3</v>
      </c>
      <c r="T81" s="89">
        <f t="shared" ref="T81:Y81" si="101">T48/T$23</f>
        <v>8.971066761316265E-3</v>
      </c>
      <c r="U81" s="89">
        <f t="shared" si="101"/>
        <v>8.3926028143682056E-3</v>
      </c>
      <c r="V81" s="89">
        <f t="shared" si="101"/>
        <v>8.9567955444312605E-3</v>
      </c>
      <c r="W81" s="89">
        <f t="shared" si="101"/>
        <v>9.385526818221343E-3</v>
      </c>
      <c r="X81" s="89">
        <f t="shared" si="101"/>
        <v>9.7758294755957743E-3</v>
      </c>
      <c r="Y81" s="89">
        <f t="shared" si="101"/>
        <v>7.4360809212095603E-3</v>
      </c>
      <c r="Z81" s="89">
        <f t="shared" ref="Z81:AA81" si="102">Z48/Z$23</f>
        <v>6.3656900802636163E-3</v>
      </c>
      <c r="AA81" s="89">
        <f t="shared" si="102"/>
        <v>9.3711164417213388E-3</v>
      </c>
    </row>
    <row r="82" spans="1:27" x14ac:dyDescent="0.25">
      <c r="A82" s="68" t="s">
        <v>3</v>
      </c>
      <c r="B82" s="44"/>
      <c r="C82" s="44"/>
      <c r="D82" s="89">
        <f>D52/D$23</f>
        <v>3.333649319050779E-3</v>
      </c>
      <c r="E82" s="89">
        <f t="shared" ref="E82:S82" si="103">E52/E$23</f>
        <v>4.233113944291364E-3</v>
      </c>
      <c r="F82" s="89">
        <f t="shared" si="103"/>
        <v>5.2792674614504168E-3</v>
      </c>
      <c r="G82" s="89">
        <f t="shared" si="103"/>
        <v>5.6934555739783484E-3</v>
      </c>
      <c r="H82" s="89">
        <f t="shared" si="103"/>
        <v>4.8991928787325209E-3</v>
      </c>
      <c r="I82" s="89">
        <f t="shared" si="103"/>
        <v>5.409688527156049E-3</v>
      </c>
      <c r="J82" s="89">
        <f t="shared" si="103"/>
        <v>5.0613980869557706E-3</v>
      </c>
      <c r="K82" s="89">
        <f t="shared" si="103"/>
        <v>5.2647822377139943E-3</v>
      </c>
      <c r="L82" s="89">
        <f t="shared" si="103"/>
        <v>5.9682523462672079E-3</v>
      </c>
      <c r="M82" s="89">
        <f t="shared" si="103"/>
        <v>6.2617831319372467E-3</v>
      </c>
      <c r="N82" s="89">
        <f t="shared" si="103"/>
        <v>6.1276453146551831E-3</v>
      </c>
      <c r="O82" s="89">
        <f t="shared" si="103"/>
        <v>6.9742904177392808E-3</v>
      </c>
      <c r="P82" s="89">
        <f t="shared" si="103"/>
        <v>6.7382475115817875E-3</v>
      </c>
      <c r="Q82" s="89">
        <f t="shared" si="103"/>
        <v>6.8012764114854969E-3</v>
      </c>
      <c r="R82" s="89">
        <f t="shared" si="103"/>
        <v>6.3002803102171186E-3</v>
      </c>
      <c r="S82" s="89">
        <f t="shared" si="103"/>
        <v>6.5530169918314824E-3</v>
      </c>
      <c r="T82" s="89">
        <f t="shared" ref="T82:Y82" si="104">T52/T$23</f>
        <v>6.593710248359909E-3</v>
      </c>
      <c r="U82" s="89">
        <f t="shared" si="104"/>
        <v>6.3060808161800701E-3</v>
      </c>
      <c r="V82" s="89">
        <f t="shared" si="104"/>
        <v>6.4743954934258557E-3</v>
      </c>
      <c r="W82" s="89">
        <f t="shared" si="104"/>
        <v>6.2551275410864891E-3</v>
      </c>
      <c r="X82" s="89">
        <f t="shared" si="104"/>
        <v>5.6545005284232138E-3</v>
      </c>
      <c r="Y82" s="89">
        <f t="shared" si="104"/>
        <v>5.4413862327645415E-3</v>
      </c>
      <c r="Z82" s="89">
        <f t="shared" ref="Z82:AA82" si="105">Z52/Z$23</f>
        <v>4.5299358596621432E-3</v>
      </c>
      <c r="AA82" s="89">
        <f t="shared" si="105"/>
        <v>4.7505852432010642E-3</v>
      </c>
    </row>
    <row r="83" spans="1:27" x14ac:dyDescent="0.25">
      <c r="A83" s="88" t="s">
        <v>21</v>
      </c>
      <c r="B83" s="44"/>
      <c r="C83" s="44"/>
      <c r="D83" s="89">
        <f>D53/D$23</f>
        <v>1.5325307296110218E-3</v>
      </c>
      <c r="E83" s="89">
        <f t="shared" ref="E83:S83" si="106">E53/E$23</f>
        <v>2.2129263452450635E-3</v>
      </c>
      <c r="F83" s="89">
        <f t="shared" si="106"/>
        <v>3.3244595341898483E-3</v>
      </c>
      <c r="G83" s="89">
        <f t="shared" si="106"/>
        <v>3.6208914464059302E-3</v>
      </c>
      <c r="H83" s="89">
        <f t="shared" si="106"/>
        <v>2.9948738388636091E-3</v>
      </c>
      <c r="I83" s="89">
        <f t="shared" si="106"/>
        <v>3.1939661918923149E-3</v>
      </c>
      <c r="J83" s="89">
        <f t="shared" si="106"/>
        <v>2.9996671839003452E-3</v>
      </c>
      <c r="K83" s="89">
        <f t="shared" si="106"/>
        <v>2.9628015903273241E-3</v>
      </c>
      <c r="L83" s="89">
        <f t="shared" si="106"/>
        <v>2.8388316403593085E-3</v>
      </c>
      <c r="M83" s="89">
        <f t="shared" si="106"/>
        <v>3.5399373206580404E-3</v>
      </c>
      <c r="N83" s="89">
        <f t="shared" si="106"/>
        <v>3.4617605610625241E-3</v>
      </c>
      <c r="O83" s="89">
        <f t="shared" si="106"/>
        <v>3.9442719669432443E-3</v>
      </c>
      <c r="P83" s="89">
        <f t="shared" si="106"/>
        <v>3.8655832514968591E-3</v>
      </c>
      <c r="Q83" s="89">
        <f t="shared" si="106"/>
        <v>3.8860496609014862E-3</v>
      </c>
      <c r="R83" s="89">
        <f t="shared" si="106"/>
        <v>3.4167832392712999E-3</v>
      </c>
      <c r="S83" s="89">
        <f t="shared" si="106"/>
        <v>3.7821425230632321E-3</v>
      </c>
      <c r="T83" s="89">
        <f t="shared" ref="T83:Y83" si="107">T53/T$23</f>
        <v>3.6994335316845881E-3</v>
      </c>
      <c r="U83" s="89">
        <f t="shared" si="107"/>
        <v>3.5949312134387966E-3</v>
      </c>
      <c r="V83" s="89">
        <f t="shared" si="107"/>
        <v>3.607398251419616E-3</v>
      </c>
      <c r="W83" s="89">
        <f t="shared" si="107"/>
        <v>3.1965610976056979E-3</v>
      </c>
      <c r="X83" s="89">
        <f t="shared" si="107"/>
        <v>3.0142450990607457E-3</v>
      </c>
      <c r="Y83" s="89">
        <f t="shared" si="107"/>
        <v>2.7855286981495445E-3</v>
      </c>
      <c r="Z83" s="89">
        <f t="shared" ref="Z83:AA83" si="108">Z53/Z$23</f>
        <v>2.1898391983829683E-3</v>
      </c>
      <c r="AA83" s="89">
        <f t="shared" si="108"/>
        <v>2.1940599019296169E-3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1.8011185894397572E-3</v>
      </c>
      <c r="E84" s="89">
        <f t="shared" ref="E84:S84" si="110">E56/E$23</f>
        <v>2.0201875990463001E-3</v>
      </c>
      <c r="F84" s="89">
        <f t="shared" si="110"/>
        <v>1.9548079272605681E-3</v>
      </c>
      <c r="G84" s="89">
        <f t="shared" si="110"/>
        <v>2.0725641275724186E-3</v>
      </c>
      <c r="H84" s="89">
        <f t="shared" si="110"/>
        <v>1.9043190398689124E-3</v>
      </c>
      <c r="I84" s="89">
        <f t="shared" si="110"/>
        <v>2.215722335263735E-3</v>
      </c>
      <c r="J84" s="89">
        <f t="shared" si="110"/>
        <v>2.061730903055425E-3</v>
      </c>
      <c r="K84" s="89">
        <f t="shared" si="110"/>
        <v>2.3019806473866702E-3</v>
      </c>
      <c r="L84" s="89">
        <f t="shared" si="110"/>
        <v>3.1294207059078994E-3</v>
      </c>
      <c r="M84" s="89">
        <f t="shared" si="110"/>
        <v>2.7218458112792067E-3</v>
      </c>
      <c r="N84" s="89">
        <f t="shared" si="110"/>
        <v>2.6658847535926599E-3</v>
      </c>
      <c r="O84" s="89">
        <f t="shared" si="110"/>
        <v>3.0300184507960361E-3</v>
      </c>
      <c r="P84" s="89">
        <f t="shared" si="110"/>
        <v>2.8726642600849289E-3</v>
      </c>
      <c r="Q84" s="89">
        <f t="shared" si="110"/>
        <v>2.9152267505840102E-3</v>
      </c>
      <c r="R84" s="89">
        <f t="shared" si="110"/>
        <v>2.8834970709458187E-3</v>
      </c>
      <c r="S84" s="89">
        <f t="shared" si="110"/>
        <v>2.7708744687682508E-3</v>
      </c>
      <c r="T84" s="89">
        <f t="shared" ref="T84:Y84" si="111">T56/T$23</f>
        <v>2.8942767166753214E-3</v>
      </c>
      <c r="U84" s="89">
        <f t="shared" si="111"/>
        <v>2.7111496027412731E-3</v>
      </c>
      <c r="V84" s="89">
        <f t="shared" si="111"/>
        <v>2.8669972420062397E-3</v>
      </c>
      <c r="W84" s="89">
        <f t="shared" si="111"/>
        <v>3.0585664434807916E-3</v>
      </c>
      <c r="X84" s="89">
        <f t="shared" si="111"/>
        <v>2.6402554293624677E-3</v>
      </c>
      <c r="Y84" s="89">
        <f t="shared" si="111"/>
        <v>2.6558575346149974E-3</v>
      </c>
      <c r="Z84" s="89">
        <f t="shared" ref="Z84:AA84" si="112">Z56/Z$23</f>
        <v>2.3400966612791745E-3</v>
      </c>
      <c r="AA84" s="89">
        <f t="shared" si="112"/>
        <v>2.5565253412714478E-3</v>
      </c>
    </row>
    <row r="85" spans="1:27" x14ac:dyDescent="0.25">
      <c r="A85" s="68" t="s">
        <v>2</v>
      </c>
      <c r="B85" s="44"/>
      <c r="C85" s="44"/>
      <c r="D85" s="89">
        <f t="shared" si="109"/>
        <v>2.6590198123044844E-2</v>
      </c>
      <c r="E85" s="89">
        <f t="shared" ref="E85:S85" si="113">E57/E$23</f>
        <v>3.0195736904472966E-2</v>
      </c>
      <c r="F85" s="89">
        <f t="shared" si="113"/>
        <v>2.7849582674228691E-2</v>
      </c>
      <c r="G85" s="89">
        <f t="shared" si="113"/>
        <v>3.388032770896323E-2</v>
      </c>
      <c r="H85" s="89">
        <f t="shared" si="113"/>
        <v>2.8243708550613922E-2</v>
      </c>
      <c r="I85" s="89">
        <f t="shared" si="113"/>
        <v>2.9606550320863984E-2</v>
      </c>
      <c r="J85" s="89">
        <f t="shared" si="113"/>
        <v>3.039864453079413E-2</v>
      </c>
      <c r="K85" s="89">
        <f t="shared" si="113"/>
        <v>3.0517582557231814E-2</v>
      </c>
      <c r="L85" s="89">
        <f t="shared" si="113"/>
        <v>2.9911514032897237E-2</v>
      </c>
      <c r="M85" s="89">
        <f t="shared" si="113"/>
        <v>3.3514072096620912E-2</v>
      </c>
      <c r="N85" s="89">
        <f t="shared" si="113"/>
        <v>2.773896470320714E-2</v>
      </c>
      <c r="O85" s="89">
        <f t="shared" si="113"/>
        <v>2.9432886610467234E-2</v>
      </c>
      <c r="P85" s="89">
        <f t="shared" si="113"/>
        <v>3.8212419376338062E-2</v>
      </c>
      <c r="Q85" s="89">
        <f t="shared" si="113"/>
        <v>3.3493390405952915E-2</v>
      </c>
      <c r="R85" s="89">
        <f t="shared" si="113"/>
        <v>2.9922981686041832E-2</v>
      </c>
      <c r="S85" s="89">
        <f t="shared" si="113"/>
        <v>2.7589920691302842E-2</v>
      </c>
      <c r="T85" s="89">
        <f t="shared" ref="T85:Y85" si="114">T57/T$23</f>
        <v>2.5738814751997404E-2</v>
      </c>
      <c r="U85" s="89">
        <f t="shared" si="114"/>
        <v>1.9093226777475308E-2</v>
      </c>
      <c r="V85" s="89">
        <f t="shared" si="114"/>
        <v>2.2423867237872333E-2</v>
      </c>
      <c r="W85" s="89">
        <f t="shared" si="114"/>
        <v>2.2837170088808062E-2</v>
      </c>
      <c r="X85" s="89">
        <f t="shared" si="114"/>
        <v>2.8185052321340852E-2</v>
      </c>
      <c r="Y85" s="89">
        <f t="shared" si="114"/>
        <v>1.9132099696313333E-2</v>
      </c>
      <c r="Z85" s="89">
        <f t="shared" ref="Z85:AA85" si="115">Z57/Z$23</f>
        <v>2.7921756366016726E-2</v>
      </c>
      <c r="AA85" s="89">
        <f t="shared" si="115"/>
        <v>2.4132250512990956E-2</v>
      </c>
    </row>
    <row r="86" spans="1:27" x14ac:dyDescent="0.25">
      <c r="A86" s="68" t="s">
        <v>269</v>
      </c>
      <c r="B86" s="44"/>
      <c r="C86" s="44"/>
      <c r="D86" s="89">
        <f t="shared" si="109"/>
        <v>2.7885739564571682E-3</v>
      </c>
      <c r="E86" s="89">
        <f t="shared" ref="E86:S86" si="116">E58/E$23</f>
        <v>2.2414802335708065E-3</v>
      </c>
      <c r="F86" s="89">
        <f t="shared" si="116"/>
        <v>2.8871998662499841E-3</v>
      </c>
      <c r="G86" s="89">
        <f t="shared" si="116"/>
        <v>3.2856237198868625E-3</v>
      </c>
      <c r="H86" s="89">
        <f t="shared" si="116"/>
        <v>3.155412362573488E-3</v>
      </c>
      <c r="I86" s="89">
        <f t="shared" si="116"/>
        <v>3.3847237439348886E-3</v>
      </c>
      <c r="J86" s="89">
        <f t="shared" si="116"/>
        <v>3.6047873650906169E-3</v>
      </c>
      <c r="K86" s="89">
        <f t="shared" si="116"/>
        <v>3.8668917814933829E-3</v>
      </c>
      <c r="L86" s="89">
        <f t="shared" si="116"/>
        <v>3.8063974300430775E-3</v>
      </c>
      <c r="M86" s="89">
        <f t="shared" si="116"/>
        <v>3.5522394486186245E-3</v>
      </c>
      <c r="N86" s="89">
        <f t="shared" si="116"/>
        <v>5.3407455501267116E-3</v>
      </c>
      <c r="O86" s="89">
        <f t="shared" si="116"/>
        <v>4.7729005314271194E-3</v>
      </c>
      <c r="P86" s="89">
        <f t="shared" si="116"/>
        <v>5.0271624551486245E-3</v>
      </c>
      <c r="Q86" s="89">
        <f t="shared" si="116"/>
        <v>5.2595434374301869E-3</v>
      </c>
      <c r="R86" s="89">
        <f t="shared" si="116"/>
        <v>6.6352590591652856E-3</v>
      </c>
      <c r="S86" s="89">
        <f t="shared" si="116"/>
        <v>7.273545480516657E-3</v>
      </c>
      <c r="T86" s="89">
        <f t="shared" ref="T86:Y86" si="117">T58/T$23</f>
        <v>7.2869073879093067E-3</v>
      </c>
      <c r="U86" s="89">
        <f t="shared" si="117"/>
        <v>7.6926654986278122E-3</v>
      </c>
      <c r="V86" s="89">
        <f t="shared" si="117"/>
        <v>7.0152995641917402E-3</v>
      </c>
      <c r="W86" s="89">
        <f t="shared" si="117"/>
        <v>6.9810172285380504E-3</v>
      </c>
      <c r="X86" s="89">
        <f t="shared" si="117"/>
        <v>8.4789598249505049E-3</v>
      </c>
      <c r="Y86" s="89">
        <f t="shared" si="117"/>
        <v>8.7215864066199512E-3</v>
      </c>
      <c r="Z86" s="89">
        <f t="shared" ref="Z86:AA86" si="118">Z58/Z$23</f>
        <v>6.8661127610396772E-3</v>
      </c>
      <c r="AA86" s="89">
        <f t="shared" si="118"/>
        <v>9.8732695586832755E-3</v>
      </c>
    </row>
    <row r="87" spans="1:27" x14ac:dyDescent="0.25">
      <c r="A87" s="68" t="s">
        <v>270</v>
      </c>
      <c r="B87" s="44"/>
      <c r="C87" s="44"/>
      <c r="D87" s="89">
        <f t="shared" si="109"/>
        <v>2.0373179132303222E-2</v>
      </c>
      <c r="E87" s="89">
        <f t="shared" ref="E87:S87" si="119">E59/E$23</f>
        <v>2.6119669345973189E-2</v>
      </c>
      <c r="F87" s="89">
        <f t="shared" si="119"/>
        <v>2.8145375979011542E-2</v>
      </c>
      <c r="G87" s="89">
        <f t="shared" si="119"/>
        <v>2.9259728859845902E-2</v>
      </c>
      <c r="H87" s="89">
        <f t="shared" si="119"/>
        <v>2.5719378660555132E-2</v>
      </c>
      <c r="I87" s="89">
        <f t="shared" si="119"/>
        <v>2.7420175301299105E-2</v>
      </c>
      <c r="J87" s="89">
        <f t="shared" si="119"/>
        <v>2.9525542555076736E-2</v>
      </c>
      <c r="K87" s="89">
        <f t="shared" si="119"/>
        <v>3.2496414501751905E-2</v>
      </c>
      <c r="L87" s="89">
        <f t="shared" si="119"/>
        <v>3.2255386275893562E-2</v>
      </c>
      <c r="M87" s="89">
        <f t="shared" si="119"/>
        <v>2.926676241822929E-2</v>
      </c>
      <c r="N87" s="89">
        <f t="shared" si="119"/>
        <v>2.7490627515162028E-2</v>
      </c>
      <c r="O87" s="89">
        <f t="shared" si="119"/>
        <v>2.8703693473721426E-2</v>
      </c>
      <c r="P87" s="89">
        <f t="shared" si="119"/>
        <v>3.0734243191704091E-2</v>
      </c>
      <c r="Q87" s="89">
        <f t="shared" si="119"/>
        <v>3.0641598106895325E-2</v>
      </c>
      <c r="R87" s="89">
        <f t="shared" si="119"/>
        <v>3.3972204803327265E-2</v>
      </c>
      <c r="S87" s="89">
        <f t="shared" si="119"/>
        <v>3.6066875156430526E-2</v>
      </c>
      <c r="T87" s="89">
        <f t="shared" ref="T87:Y87" si="120">T59/T$23</f>
        <v>4.0362654063659791E-2</v>
      </c>
      <c r="U87" s="89">
        <f t="shared" si="120"/>
        <v>4.4102695866161362E-2</v>
      </c>
      <c r="V87" s="89">
        <f t="shared" si="120"/>
        <v>4.2036267309444431E-2</v>
      </c>
      <c r="W87" s="89">
        <f t="shared" si="120"/>
        <v>4.1455106369303933E-2</v>
      </c>
      <c r="X87" s="89">
        <f t="shared" si="120"/>
        <v>3.643887408642324E-2</v>
      </c>
      <c r="Y87" s="89">
        <f t="shared" si="120"/>
        <v>3.3700094611923019E-2</v>
      </c>
      <c r="Z87" s="89">
        <f t="shared" ref="Z87:AA87" si="121">Z59/Z$23</f>
        <v>3.4359308711143753E-2</v>
      </c>
      <c r="AA87" s="89">
        <f t="shared" si="121"/>
        <v>4.33959037792742E-2</v>
      </c>
    </row>
    <row r="88" spans="1:27" x14ac:dyDescent="0.25">
      <c r="A88" s="68" t="s">
        <v>1</v>
      </c>
      <c r="B88" s="44"/>
      <c r="C88" s="44"/>
      <c r="D88" s="89">
        <f t="shared" si="109"/>
        <v>2.0159888773027459E-2</v>
      </c>
      <c r="E88" s="89">
        <f t="shared" ref="E88:S88" si="122">E60/E$23</f>
        <v>2.4877575203803376E-2</v>
      </c>
      <c r="F88" s="89">
        <f t="shared" si="122"/>
        <v>2.6222719497923017E-2</v>
      </c>
      <c r="G88" s="89">
        <f t="shared" si="122"/>
        <v>2.8388032770896326E-2</v>
      </c>
      <c r="H88" s="89">
        <f t="shared" si="122"/>
        <v>2.5625269870794165E-2</v>
      </c>
      <c r="I88" s="89">
        <f t="shared" si="122"/>
        <v>2.5825637814994525E-2</v>
      </c>
      <c r="J88" s="89">
        <f t="shared" si="122"/>
        <v>2.3915214018041222E-2</v>
      </c>
      <c r="K88" s="89">
        <f t="shared" si="122"/>
        <v>2.4395911624276095E-2</v>
      </c>
      <c r="L88" s="89">
        <f t="shared" si="122"/>
        <v>1.8636019632324998E-2</v>
      </c>
      <c r="M88" s="89">
        <f t="shared" si="122"/>
        <v>2.1744011170332186E-2</v>
      </c>
      <c r="N88" s="89">
        <f t="shared" si="122"/>
        <v>1.6581743327060076E-2</v>
      </c>
      <c r="O88" s="89">
        <f t="shared" si="122"/>
        <v>2.3044160378296558E-2</v>
      </c>
      <c r="P88" s="89">
        <f t="shared" si="122"/>
        <v>2.2581426158110787E-2</v>
      </c>
      <c r="Q88" s="89">
        <f t="shared" si="122"/>
        <v>1.8862096260401182E-2</v>
      </c>
      <c r="R88" s="89">
        <f t="shared" si="122"/>
        <v>1.8782928411021603E-2</v>
      </c>
      <c r="S88" s="89">
        <f t="shared" si="122"/>
        <v>1.674407080898916E-2</v>
      </c>
      <c r="T88" s="89">
        <f t="shared" ref="T88:Y88" si="123">T60/T$23</f>
        <v>1.7055984601971441E-2</v>
      </c>
      <c r="U88" s="89">
        <f t="shared" si="123"/>
        <v>1.583054428986265E-2</v>
      </c>
      <c r="V88" s="89">
        <f t="shared" si="123"/>
        <v>1.5044537177385684E-2</v>
      </c>
      <c r="W88" s="89">
        <f t="shared" si="123"/>
        <v>1.5105688782357856E-2</v>
      </c>
      <c r="X88" s="89">
        <f t="shared" si="123"/>
        <v>1.3337104240782362E-2</v>
      </c>
      <c r="Y88" s="89">
        <f t="shared" si="123"/>
        <v>9.2642842391904689E-3</v>
      </c>
      <c r="Z88" s="89">
        <f t="shared" ref="Z88:AA88" si="124">Z60/Z$23</f>
        <v>9.8882476452042383E-3</v>
      </c>
      <c r="AA88" s="89">
        <f t="shared" si="124"/>
        <v>9.8576149051568841E-3</v>
      </c>
    </row>
    <row r="89" spans="1:27" x14ac:dyDescent="0.25">
      <c r="A89" s="68" t="s">
        <v>0</v>
      </c>
      <c r="B89" s="44"/>
      <c r="C89" s="44"/>
      <c r="D89" s="89">
        <f t="shared" si="109"/>
        <v>1.9986096628432396E-3</v>
      </c>
      <c r="E89" s="89">
        <f t="shared" ref="E89:S89" si="125">E61/E$23</f>
        <v>2.3271418985480346E-3</v>
      </c>
      <c r="F89" s="89">
        <f t="shared" si="125"/>
        <v>2.0705531334799443E-3</v>
      </c>
      <c r="G89" s="89">
        <f t="shared" si="125"/>
        <v>3.1332292987418316E-3</v>
      </c>
      <c r="H89" s="89">
        <f t="shared" si="125"/>
        <v>3.708993478814451E-3</v>
      </c>
      <c r="I89" s="89">
        <f t="shared" si="125"/>
        <v>3.7760212865863203E-3</v>
      </c>
      <c r="J89" s="89">
        <f t="shared" si="125"/>
        <v>3.6220765131246241E-3</v>
      </c>
      <c r="K89" s="89">
        <f t="shared" si="125"/>
        <v>3.656300491984823E-3</v>
      </c>
      <c r="L89" s="89">
        <f t="shared" si="125"/>
        <v>2.8707645047053075E-3</v>
      </c>
      <c r="M89" s="89">
        <f t="shared" si="125"/>
        <v>2.7833564510821255E-3</v>
      </c>
      <c r="N89" s="89">
        <f t="shared" si="125"/>
        <v>2.8304455408514674E-3</v>
      </c>
      <c r="O89" s="89">
        <f t="shared" si="125"/>
        <v>3.0548773077305517E-3</v>
      </c>
      <c r="P89" s="89">
        <f t="shared" si="125"/>
        <v>2.9406724101816357E-3</v>
      </c>
      <c r="Q89" s="89">
        <f t="shared" si="125"/>
        <v>2.4601535113726938E-3</v>
      </c>
      <c r="R89" s="89">
        <f t="shared" si="125"/>
        <v>2.8513391110467951E-3</v>
      </c>
      <c r="S89" s="89">
        <f t="shared" si="125"/>
        <v>3.3953324922954015E-3</v>
      </c>
      <c r="T89" s="89">
        <f t="shared" ref="T89:Y89" si="126">T61/T$23</f>
        <v>3.2063345355102736E-3</v>
      </c>
      <c r="U89" s="89">
        <f t="shared" si="126"/>
        <v>3.3091973092283194E-3</v>
      </c>
      <c r="V89" s="89">
        <f t="shared" si="126"/>
        <v>2.6140268971233363E-3</v>
      </c>
      <c r="W89" s="89">
        <f t="shared" si="126"/>
        <v>2.447987357421277E-3</v>
      </c>
      <c r="X89" s="89">
        <f t="shared" si="126"/>
        <v>2.35371608043941E-3</v>
      </c>
      <c r="Y89" s="89">
        <f t="shared" si="126"/>
        <v>2.3116686437516906E-3</v>
      </c>
      <c r="Z89" s="89">
        <f t="shared" ref="Z89:AA89" si="127">Z61/Z$23</f>
        <v>2.4929672974431409E-3</v>
      </c>
      <c r="AA89" s="89">
        <f t="shared" si="127"/>
        <v>1.9893452019691146E-3</v>
      </c>
    </row>
    <row r="90" spans="1:27" x14ac:dyDescent="0.25">
      <c r="A90" s="90" t="s">
        <v>272</v>
      </c>
      <c r="B90" s="47"/>
      <c r="C90" s="47"/>
      <c r="D90" s="91">
        <f t="shared" si="109"/>
        <v>6.4935064935064948E-3</v>
      </c>
      <c r="E90" s="91">
        <f t="shared" ref="E90:S90" si="128">E62/E$23</f>
        <v>6.9671487514812325E-3</v>
      </c>
      <c r="F90" s="91">
        <f t="shared" si="128"/>
        <v>8.0957341461218926E-3</v>
      </c>
      <c r="G90" s="91">
        <f t="shared" si="128"/>
        <v>1.0125085340875842E-2</v>
      </c>
      <c r="H90" s="91">
        <f t="shared" si="128"/>
        <v>8.4531836449995013E-3</v>
      </c>
      <c r="I90" s="91">
        <f t="shared" si="128"/>
        <v>9.9731961183283768E-3</v>
      </c>
      <c r="J90" s="91">
        <f t="shared" si="128"/>
        <v>1.0295687654251618E-2</v>
      </c>
      <c r="K90" s="91">
        <f t="shared" si="128"/>
        <v>1.1088720657916237E-2</v>
      </c>
      <c r="L90" s="91">
        <f t="shared" si="128"/>
        <v>1.0413307063230263E-2</v>
      </c>
      <c r="M90" s="91">
        <f t="shared" si="128"/>
        <v>1.0306107698979231E-2</v>
      </c>
      <c r="N90" s="91">
        <f t="shared" si="128"/>
        <v>1.0585746642211935E-2</v>
      </c>
      <c r="O90" s="91">
        <f t="shared" si="128"/>
        <v>1.2164267326623283E-2</v>
      </c>
      <c r="P90" s="91">
        <f t="shared" si="128"/>
        <v>1.3705002407488513E-2</v>
      </c>
      <c r="Q90" s="91">
        <f t="shared" si="128"/>
        <v>1.4526489399551545E-2</v>
      </c>
      <c r="R90" s="91">
        <f t="shared" si="128"/>
        <v>1.7903944173781609E-2</v>
      </c>
      <c r="S90" s="91">
        <f t="shared" si="128"/>
        <v>1.8761550577307651E-2</v>
      </c>
      <c r="T90" s="91">
        <f t="shared" ref="T90:Y90" si="129">T62/T$23</f>
        <v>2.0076513718633424E-2</v>
      </c>
      <c r="U90" s="91">
        <f t="shared" si="129"/>
        <v>1.9079936828442261E-2</v>
      </c>
      <c r="V90" s="91">
        <f t="shared" si="129"/>
        <v>1.8287904932510392E-2</v>
      </c>
      <c r="W90" s="91">
        <f t="shared" si="129"/>
        <v>1.8340056634518324E-2</v>
      </c>
      <c r="X90" s="91">
        <f t="shared" si="129"/>
        <v>1.762775189413673E-2</v>
      </c>
      <c r="Y90" s="91">
        <f t="shared" si="129"/>
        <v>1.5722228358923375E-2</v>
      </c>
      <c r="Z90" s="91">
        <f t="shared" ref="Z90:AA90" si="130">Z62/Z$23</f>
        <v>1.4959110371292723E-2</v>
      </c>
      <c r="AA90" s="91">
        <f t="shared" si="130"/>
        <v>1.6768542334999952E-2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3.8228522094464923E-2</v>
      </c>
      <c r="F93" s="92">
        <f t="shared" ref="F93:F94" si="132">IF(E16=0,"",F16/E16-1)</f>
        <v>5.8729607913369009E-2</v>
      </c>
      <c r="G93" s="92">
        <f t="shared" ref="G93:G94" si="133">IF(F16=0,"",G16/F16-1)</f>
        <v>5.2362091604342131E-2</v>
      </c>
      <c r="H93" s="92">
        <f t="shared" ref="H93:H94" si="134">IF(G16=0,"",H16/G16-1)</f>
        <v>6.5108674245792697E-2</v>
      </c>
      <c r="I93" s="92">
        <f t="shared" ref="I93:I94" si="135">IF(H16=0,"",I16/H16-1)</f>
        <v>7.0571336461414891E-2</v>
      </c>
      <c r="J93" s="92">
        <f t="shared" ref="J93:J94" si="136">IF(I16=0,"",J16/I16-1)</f>
        <v>6.8020735818149491E-2</v>
      </c>
      <c r="K93" s="92">
        <f t="shared" ref="K93:K94" si="137">IF(J16=0,"",K16/J16-1)</f>
        <v>6.6539024579508554E-2</v>
      </c>
      <c r="L93" s="92">
        <f t="shared" ref="L93:L94" si="138">IF(K16=0,"",L16/K16-1)</f>
        <v>6.1302887315866306E-2</v>
      </c>
      <c r="M93" s="92">
        <f t="shared" ref="M93:M94" si="139">IF(L16=0,"",M16/L16-1)</f>
        <v>-3.3474478536316798E-2</v>
      </c>
      <c r="N93" s="92">
        <f t="shared" ref="N93:N94" si="140">IF(M16=0,"",N16/M16-1)</f>
        <v>1.5552139828115097E-2</v>
      </c>
      <c r="O93" s="92">
        <f t="shared" ref="O93:O94" si="141">IF(N16=0,"",O16/N16-1)</f>
        <v>2.0903390665294896E-2</v>
      </c>
      <c r="P93" s="92">
        <f t="shared" ref="P93:P94" si="142">IF(O16=0,"",P16/O16-1)</f>
        <v>7.4836480417355133E-3</v>
      </c>
      <c r="Q93" s="92">
        <f t="shared" ref="Q93:Q94" si="143">IF(P16=0,"",Q16/P16-1)</f>
        <v>-5.4179266618020749E-3</v>
      </c>
      <c r="R93" s="92">
        <f t="shared" ref="R93:R94" si="144">IF(Q16=0,"",R16/Q16-1)</f>
        <v>9.4847978201408889E-3</v>
      </c>
      <c r="S93" s="92">
        <f t="shared" ref="S93:S94" si="145">IF(R16=0,"",S16/R16-1)</f>
        <v>3.3978365589998338E-2</v>
      </c>
      <c r="T93" s="92">
        <f t="shared" ref="T93:T94" si="146">IF(S16=0,"",T16/S16-1)</f>
        <v>3.0261570810366623E-2</v>
      </c>
      <c r="U93" s="92">
        <f t="shared" ref="U93:U94" si="147">IF(T16=0,"",U16/T16-1)</f>
        <v>2.7461719408220953E-2</v>
      </c>
      <c r="V93" s="92">
        <f t="shared" ref="V93:V94" si="148">IF(U16=0,"",V16/U16-1)</f>
        <v>2.5496443151044268E-2</v>
      </c>
      <c r="W93" s="92">
        <f t="shared" ref="W93:W94" si="149">IF(V16=0,"",W16/V16-1)</f>
        <v>3.7890919777528342E-2</v>
      </c>
      <c r="X93" s="92">
        <f t="shared" ref="X93:X94" si="150">IF(W16=0,"",X16/W16-1)</f>
        <v>-3.2158836671186686E-2</v>
      </c>
      <c r="Y93" s="92">
        <f t="shared" ref="Y93:Y94" si="151">IF(X16=0,"",Y16/X16-1)</f>
        <v>7.7803356022865255E-2</v>
      </c>
      <c r="Z93" s="92">
        <f t="shared" ref="Z93:Z94" si="152">IF(Y16=0,"",Z16/Y16-1)</f>
        <v>4.0391348879810218E-2</v>
      </c>
      <c r="AA93" s="92">
        <f t="shared" ref="AA93:AA94" si="153">IF(Z16=0,"",AA16/Z16-1)</f>
        <v>1.8870203793181162E-2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7.6752313380215709E-2</v>
      </c>
      <c r="F94" s="93">
        <f t="shared" si="132"/>
        <v>5.6930710237535376E-2</v>
      </c>
      <c r="G94" s="93">
        <f t="shared" si="133"/>
        <v>6.4950331608981671E-2</v>
      </c>
      <c r="H94" s="93">
        <f t="shared" si="134"/>
        <v>9.471354125608733E-2</v>
      </c>
      <c r="I94" s="93">
        <f t="shared" si="135"/>
        <v>7.3150104971895891E-2</v>
      </c>
      <c r="J94" s="93">
        <f t="shared" si="136"/>
        <v>8.5335825745796789E-2</v>
      </c>
      <c r="K94" s="93">
        <f t="shared" si="137"/>
        <v>0.11492364244901343</v>
      </c>
      <c r="L94" s="93">
        <f t="shared" si="138"/>
        <v>3.4907249120659678E-2</v>
      </c>
      <c r="M94" s="93">
        <f t="shared" si="139"/>
        <v>-4.2635258687867106E-2</v>
      </c>
      <c r="N94" s="93">
        <f t="shared" si="140"/>
        <v>2.3658218241957796E-2</v>
      </c>
      <c r="O94" s="93">
        <f t="shared" si="141"/>
        <v>1.9888545947179814E-2</v>
      </c>
      <c r="P94" s="93">
        <f t="shared" si="142"/>
        <v>3.7304824779301304E-2</v>
      </c>
      <c r="Q94" s="93">
        <f t="shared" si="143"/>
        <v>-3.8642727654900066E-2</v>
      </c>
      <c r="R94" s="93">
        <f t="shared" si="144"/>
        <v>1.4820399189397371E-2</v>
      </c>
      <c r="S94" s="93">
        <f t="shared" si="145"/>
        <v>2.7804365553993016E-2</v>
      </c>
      <c r="T94" s="93">
        <f t="shared" si="146"/>
        <v>2.0854938361021924E-2</v>
      </c>
      <c r="U94" s="93">
        <f t="shared" si="147"/>
        <v>2.4566170999097858E-2</v>
      </c>
      <c r="V94" s="93">
        <f t="shared" si="148"/>
        <v>3.6535185389010794E-2</v>
      </c>
      <c r="W94" s="93">
        <f t="shared" si="149"/>
        <v>5.9811990165747231E-2</v>
      </c>
      <c r="X94" s="93">
        <f t="shared" si="150"/>
        <v>-4.0591042077412487E-3</v>
      </c>
      <c r="Y94" s="93">
        <f t="shared" si="151"/>
        <v>8.5493942973745352E-2</v>
      </c>
      <c r="Z94" s="93">
        <f t="shared" si="152"/>
        <v>3.9352408301084107E-2</v>
      </c>
      <c r="AA94" s="93">
        <f t="shared" si="153"/>
        <v>1.4219021044050706E-2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4.3503831678218141E-2</v>
      </c>
      <c r="F95" s="92">
        <f t="shared" ref="F95:F96" si="155">IF(E20=0,"",F20/E20-1)</f>
        <v>9.6490775338160306E-2</v>
      </c>
      <c r="G95" s="92">
        <f t="shared" ref="G95:G96" si="156">IF(F20=0,"",G20/F20-1)</f>
        <v>6.0897603800140754E-2</v>
      </c>
      <c r="H95" s="92">
        <f t="shared" ref="H95:H96" si="157">IF(G20=0,"",H20/G20-1)</f>
        <v>7.3409213211522273E-2</v>
      </c>
      <c r="I95" s="92">
        <f t="shared" ref="I95:I96" si="158">IF(H20=0,"",I20/H20-1)</f>
        <v>7.8448806414417538E-2</v>
      </c>
      <c r="J95" s="92">
        <f t="shared" ref="J95:J96" si="159">IF(I20=0,"",J20/I20-1)</f>
        <v>7.6308308096638022E-2</v>
      </c>
      <c r="K95" s="92">
        <f t="shared" ref="K95:K96" si="160">IF(J20=0,"",K20/J20-1)</f>
        <v>7.4524399045778233E-2</v>
      </c>
      <c r="L95" s="92">
        <f t="shared" ref="L95:L96" si="161">IF(K20=0,"",L20/K20-1)</f>
        <v>6.9020694540770755E-2</v>
      </c>
      <c r="M95" s="92">
        <f t="shared" ref="M95:M96" si="162">IF(L20=0,"",M20/L20-1)</f>
        <v>-2.6888308139322414E-2</v>
      </c>
      <c r="N95" s="92">
        <f t="shared" ref="N95:N96" si="163">IF(M20=0,"",N20/M20-1)</f>
        <v>2.1757985741018615E-2</v>
      </c>
      <c r="O95" s="92">
        <f t="shared" ref="O95:O96" si="164">IF(N20=0,"",O20/N20-1)</f>
        <v>2.8153472652692191E-2</v>
      </c>
      <c r="P95" s="92">
        <f t="shared" ref="P95:P96" si="165">IF(O20=0,"",P20/O20-1)</f>
        <v>1.3287054943571297E-2</v>
      </c>
      <c r="Q95" s="92">
        <f t="shared" ref="Q95:Q96" si="166">IF(P20=0,"",Q20/P20-1)</f>
        <v>1.1797150585626026E-2</v>
      </c>
      <c r="R95" s="92">
        <f t="shared" ref="R95:R96" si="167">IF(Q20=0,"",R20/Q20-1)</f>
        <v>2.1555152868342198E-2</v>
      </c>
      <c r="S95" s="92">
        <f t="shared" ref="S95:S96" si="168">IF(R20=0,"",S20/R20-1)</f>
        <v>4.6887191341813184E-2</v>
      </c>
      <c r="T95" s="92">
        <f t="shared" ref="T95:T96" si="169">IF(S20=0,"",T20/S20-1)</f>
        <v>4.376293537647391E-2</v>
      </c>
      <c r="U95" s="92">
        <f t="shared" ref="U95:U96" si="170">IF(T20=0,"",U20/T20-1)</f>
        <v>4.08483126402861E-2</v>
      </c>
      <c r="V95" s="92">
        <f t="shared" ref="V95:V96" si="171">IF(U20=0,"",V20/U20-1)</f>
        <v>3.9473412226245896E-2</v>
      </c>
      <c r="W95" s="92">
        <f t="shared" ref="W95:W96" si="172">IF(V20=0,"",W20/V20-1)</f>
        <v>5.2412440927248172E-2</v>
      </c>
      <c r="X95" s="92">
        <f t="shared" ref="X95:X96" si="173">IF(W20=0,"",X20/W20-1)</f>
        <v>-1.8177071243155374E-2</v>
      </c>
      <c r="Y95" s="92">
        <f t="shared" ref="Y95:Y96" si="174">IF(X20=0,"",Y20/X20-1)</f>
        <v>8.3934449067141426E-2</v>
      </c>
      <c r="Z95" s="92">
        <f t="shared" ref="Z95:Z96" si="175">IF(Y20=0,"",Z20/Y20-1)</f>
        <v>4.8357082974788357E-2</v>
      </c>
      <c r="AA95" s="92">
        <f t="shared" ref="AA95:AA96" si="176">IF(Z20=0,"",AA20/Z20-1)</f>
        <v>2.4365207828211277E-2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8.2223364962042522E-2</v>
      </c>
      <c r="F96" s="93">
        <f t="shared" si="155"/>
        <v>9.4627717298991776E-2</v>
      </c>
      <c r="G96" s="93">
        <f t="shared" si="156"/>
        <v>7.3587944666204885E-2</v>
      </c>
      <c r="H96" s="93">
        <f t="shared" si="157"/>
        <v>0.10324479503818784</v>
      </c>
      <c r="I96" s="93">
        <f t="shared" si="158"/>
        <v>8.1046549999949757E-2</v>
      </c>
      <c r="J96" s="93">
        <f t="shared" si="159"/>
        <v>9.3757758766985999E-2</v>
      </c>
      <c r="K96" s="93">
        <f t="shared" si="160"/>
        <v>0.12327128147681443</v>
      </c>
      <c r="L96" s="93">
        <f t="shared" si="161"/>
        <v>4.2433106950529265E-2</v>
      </c>
      <c r="M96" s="93">
        <f t="shared" si="162"/>
        <v>-3.6111512363188769E-2</v>
      </c>
      <c r="N96" s="93">
        <f t="shared" si="163"/>
        <v>2.9913598857828516E-2</v>
      </c>
      <c r="O96" s="93">
        <f t="shared" si="164"/>
        <v>2.7131420879063395E-2</v>
      </c>
      <c r="P96" s="93">
        <f t="shared" si="165"/>
        <v>4.3280010571282057E-2</v>
      </c>
      <c r="Q96" s="93">
        <f t="shared" si="166"/>
        <v>-2.2002733682104925E-2</v>
      </c>
      <c r="R96" s="93">
        <f t="shared" si="167"/>
        <v>2.6954551734165166E-2</v>
      </c>
      <c r="S96" s="93">
        <f t="shared" si="168"/>
        <v>4.063611126882738E-2</v>
      </c>
      <c r="T96" s="93">
        <f t="shared" si="169"/>
        <v>3.423303095655772E-2</v>
      </c>
      <c r="U96" s="93">
        <f t="shared" si="170"/>
        <v>3.7915038710100379E-2</v>
      </c>
      <c r="V96" s="93">
        <f t="shared" si="171"/>
        <v>5.0662606628059326E-2</v>
      </c>
      <c r="W96" s="93">
        <f t="shared" si="172"/>
        <v>7.4640217233402417E-2</v>
      </c>
      <c r="X96" s="93">
        <f t="shared" si="173"/>
        <v>1.0328599594044752E-2</v>
      </c>
      <c r="Y96" s="93">
        <f t="shared" si="174"/>
        <v>9.1668783983638313E-2</v>
      </c>
      <c r="Z96" s="93">
        <f t="shared" si="175"/>
        <v>4.731018776975815E-2</v>
      </c>
      <c r="AA96" s="93">
        <f t="shared" si="176"/>
        <v>1.9688940168481883E-2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4.0717163046271709E-2</v>
      </c>
      <c r="F97" s="89">
        <f t="shared" ref="F97:F106" si="178">IF(E23=0,"",F23/E23-1)</f>
        <v>7.5997820723832765E-2</v>
      </c>
      <c r="G97" s="89">
        <f t="shared" ref="G97:G106" si="179">IF(F23=0,"",G23/F23-1)</f>
        <v>4.1555729992192258E-2</v>
      </c>
      <c r="H97" s="89">
        <f t="shared" ref="H97:H106" si="180">IF(G23=0,"",H23/G23-1)</f>
        <v>4.8765568797785264E-2</v>
      </c>
      <c r="I97" s="89">
        <f t="shared" ref="I97:I106" si="181">IF(H23=0,"",I23/H23-1)</f>
        <v>6.4564652320072913E-2</v>
      </c>
      <c r="J97" s="89">
        <f t="shared" ref="J97:J106" si="182">IF(I23=0,"",J23/I23-1)</f>
        <v>7.1431192345776662E-2</v>
      </c>
      <c r="K97" s="89">
        <f t="shared" ref="K97:K106" si="183">IF(J23=0,"",K23/J23-1)</f>
        <v>6.5486501194643054E-2</v>
      </c>
      <c r="L97" s="89">
        <f t="shared" ref="L97:L106" si="184">IF(K23=0,"",L23/K23-1)</f>
        <v>6.1512283826969938E-2</v>
      </c>
      <c r="M97" s="89">
        <f t="shared" ref="M97:M106" si="185">IF(L23=0,"",M23/L23-1)</f>
        <v>-8.5834343322626072E-3</v>
      </c>
      <c r="N97" s="89">
        <f t="shared" ref="N97:N106" si="186">IF(M23=0,"",N23/M23-1)</f>
        <v>1.8302722661472037E-2</v>
      </c>
      <c r="O97" s="89">
        <f t="shared" ref="O97:O106" si="187">IF(N23=0,"",O23/N23-1)</f>
        <v>1.8997027041436354E-2</v>
      </c>
      <c r="P97" s="89">
        <f t="shared" ref="P97:P106" si="188">IF(O23=0,"",P23/O23-1)</f>
        <v>2.539509981466459E-3</v>
      </c>
      <c r="Q97" s="89">
        <f t="shared" ref="Q97:Q106" si="189">IF(P23=0,"",Q23/P23-1)</f>
        <v>-1.6482912200023403E-2</v>
      </c>
      <c r="R97" s="89">
        <f t="shared" ref="R97:R106" si="190">IF(Q23=0,"",R23/Q23-1)</f>
        <v>9.6144908836124365E-3</v>
      </c>
      <c r="S97" s="89">
        <f t="shared" ref="S97:S106" si="191">IF(R23=0,"",S23/R23-1)</f>
        <v>2.9428540484191634E-2</v>
      </c>
      <c r="T97" s="89">
        <f t="shared" ref="T97:T106" si="192">IF(S23=0,"",T23/S23-1)</f>
        <v>2.5767799702091754E-2</v>
      </c>
      <c r="U97" s="89">
        <f t="shared" ref="U97:U106" si="193">IF(T23=0,"",U23/T23-1)</f>
        <v>3.2809661242556132E-2</v>
      </c>
      <c r="V97" s="89">
        <f t="shared" ref="V97:V106" si="194">IF(U23=0,"",V23/U23-1)</f>
        <v>3.3228918380506789E-2</v>
      </c>
      <c r="W97" s="89">
        <f t="shared" ref="W97:W106" si="195">IF(V23=0,"",W23/V23-1)</f>
        <v>3.4356377576229669E-2</v>
      </c>
      <c r="X97" s="89">
        <f t="shared" ref="X97:X106" si="196">IF(W23=0,"",X23/W23-1)</f>
        <v>-3.1318716461719798E-2</v>
      </c>
      <c r="Y97" s="89">
        <f t="shared" ref="Y97:Y106" si="197">IF(X23=0,"",Y23/X23-1)</f>
        <v>8.1359639216728619E-2</v>
      </c>
      <c r="Z97" s="89">
        <f t="shared" ref="Z97:Z108" si="198">IF(Y23=0,"",Z23/Y23-1)</f>
        <v>5.4620524886257016E-2</v>
      </c>
      <c r="AA97" s="89">
        <f t="shared" ref="AA97:AA108" si="199">IF(Z23=0,"",AA23/Z23-1)</f>
        <v>1.2636423482671688E-2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1.2309639366780978E-3</v>
      </c>
      <c r="F98" s="83">
        <f t="shared" si="178"/>
        <v>-2.4598740829024024E-2</v>
      </c>
      <c r="G98" s="83">
        <f t="shared" si="179"/>
        <v>-5.2971685602465346E-3</v>
      </c>
      <c r="H98" s="83">
        <f t="shared" si="180"/>
        <v>-6.911527655014682E-3</v>
      </c>
      <c r="I98" s="83">
        <f t="shared" si="181"/>
        <v>-7.6171344860119894E-2</v>
      </c>
      <c r="J98" s="83">
        <f t="shared" si="182"/>
        <v>-9.6452356592614641E-2</v>
      </c>
      <c r="K98" s="83">
        <f t="shared" si="183"/>
        <v>-0.19108148336155517</v>
      </c>
      <c r="L98" s="83">
        <f t="shared" si="184"/>
        <v>0.35146845744816213</v>
      </c>
      <c r="M98" s="83">
        <f t="shared" si="185"/>
        <v>-0.30776983668828206</v>
      </c>
      <c r="N98" s="83">
        <f t="shared" si="186"/>
        <v>-3.4914581930508115E-2</v>
      </c>
      <c r="O98" s="83">
        <f t="shared" si="187"/>
        <v>0.17799860454389793</v>
      </c>
      <c r="P98" s="83">
        <f t="shared" si="188"/>
        <v>-4.4027338624306855E-2</v>
      </c>
      <c r="Q98" s="83">
        <f t="shared" si="189"/>
        <v>1.1526885249607766E-2</v>
      </c>
      <c r="R98" s="83">
        <f t="shared" si="190"/>
        <v>1.3226807534196805E-2</v>
      </c>
      <c r="S98" s="83">
        <f t="shared" si="191"/>
        <v>-7.8888777913735164E-2</v>
      </c>
      <c r="T98" s="83">
        <f t="shared" si="192"/>
        <v>2.7037459921062101E-2</v>
      </c>
      <c r="U98" s="83">
        <f t="shared" si="193"/>
        <v>3.122746549486477E-2</v>
      </c>
      <c r="V98" s="83">
        <f t="shared" si="194"/>
        <v>-0.1382923311690285</v>
      </c>
      <c r="W98" s="83">
        <f t="shared" si="195"/>
        <v>-2.2918531569998568E-2</v>
      </c>
      <c r="X98" s="83">
        <f t="shared" si="196"/>
        <v>3.4190308743293762E-2</v>
      </c>
      <c r="Y98" s="83">
        <f t="shared" si="197"/>
        <v>0.3519851621203296</v>
      </c>
      <c r="Z98" s="83">
        <f t="shared" si="198"/>
        <v>-0.10965460341282174</v>
      </c>
      <c r="AA98" s="83">
        <f t="shared" si="199"/>
        <v>-0.30343047109188614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-3.5509615703585129E-2</v>
      </c>
      <c r="F99" s="83">
        <f t="shared" si="178"/>
        <v>-0.10335906370414105</v>
      </c>
      <c r="G99" s="83">
        <f t="shared" si="179"/>
        <v>0.11576300422134111</v>
      </c>
      <c r="H99" s="83">
        <f t="shared" si="180"/>
        <v>0.22699752495927172</v>
      </c>
      <c r="I99" s="83">
        <f t="shared" si="181"/>
        <v>0.19584882599251596</v>
      </c>
      <c r="J99" s="83">
        <f t="shared" si="182"/>
        <v>0.29793190497705457</v>
      </c>
      <c r="K99" s="83">
        <f t="shared" si="183"/>
        <v>1.1553662839451917E-3</v>
      </c>
      <c r="L99" s="83">
        <f t="shared" si="184"/>
        <v>-2.5322306161377317E-2</v>
      </c>
      <c r="M99" s="83">
        <f t="shared" si="185"/>
        <v>-6.4724563320745609E-2</v>
      </c>
      <c r="N99" s="83">
        <f t="shared" si="186"/>
        <v>0.16855770591966079</v>
      </c>
      <c r="O99" s="83">
        <f t="shared" si="187"/>
        <v>7.4460062680457462E-2</v>
      </c>
      <c r="P99" s="83">
        <f t="shared" si="188"/>
        <v>3.5871383510670318E-2</v>
      </c>
      <c r="Q99" s="83">
        <f t="shared" si="189"/>
        <v>1.4017151997842703E-2</v>
      </c>
      <c r="R99" s="83">
        <f t="shared" si="190"/>
        <v>5.919453816290754E-2</v>
      </c>
      <c r="S99" s="83">
        <f t="shared" si="191"/>
        <v>-1.8850554506726569E-2</v>
      </c>
      <c r="T99" s="83">
        <f t="shared" si="192"/>
        <v>-6.4839633131997365E-2</v>
      </c>
      <c r="U99" s="83">
        <f t="shared" si="193"/>
        <v>2.3228244475671955E-2</v>
      </c>
      <c r="V99" s="83">
        <f t="shared" si="194"/>
        <v>-0.15532092040037648</v>
      </c>
      <c r="W99" s="83">
        <f t="shared" si="195"/>
        <v>-0.24282609892485463</v>
      </c>
      <c r="X99" s="83">
        <f t="shared" si="196"/>
        <v>0.2366400167367122</v>
      </c>
      <c r="Y99" s="83">
        <f t="shared" si="197"/>
        <v>-0.11602866736838069</v>
      </c>
      <c r="Z99" s="83">
        <f t="shared" si="198"/>
        <v>-0.31367974755360772</v>
      </c>
      <c r="AA99" s="83">
        <f t="shared" si="199"/>
        <v>0.66850389180071867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2.6285227642439013E-2</v>
      </c>
      <c r="F100" s="83">
        <f t="shared" si="178"/>
        <v>9.9792914751418049E-2</v>
      </c>
      <c r="G100" s="83">
        <f t="shared" si="179"/>
        <v>3.4770880829961603E-2</v>
      </c>
      <c r="H100" s="83">
        <f t="shared" si="180"/>
        <v>7.1730382829412909E-2</v>
      </c>
      <c r="I100" s="83">
        <f t="shared" si="181"/>
        <v>6.173311135392856E-2</v>
      </c>
      <c r="J100" s="83">
        <f t="shared" si="182"/>
        <v>6.996951550699837E-2</v>
      </c>
      <c r="K100" s="83">
        <f t="shared" si="183"/>
        <v>8.0102243547619523E-2</v>
      </c>
      <c r="L100" s="83">
        <f t="shared" si="184"/>
        <v>6.0415422038229583E-2</v>
      </c>
      <c r="M100" s="83">
        <f t="shared" si="185"/>
        <v>9.5219589588857456E-3</v>
      </c>
      <c r="N100" s="83">
        <f t="shared" si="186"/>
        <v>7.3750740177278784E-2</v>
      </c>
      <c r="O100" s="83">
        <f t="shared" si="187"/>
        <v>-1.2626554885209806E-2</v>
      </c>
      <c r="P100" s="83">
        <f t="shared" si="188"/>
        <v>-2.4004251691883693E-3</v>
      </c>
      <c r="Q100" s="83">
        <f t="shared" si="189"/>
        <v>1.1155757272271138E-2</v>
      </c>
      <c r="R100" s="83">
        <f t="shared" si="190"/>
        <v>1.4618650676127887E-2</v>
      </c>
      <c r="S100" s="83">
        <f t="shared" si="191"/>
        <v>2.6034983870761419E-2</v>
      </c>
      <c r="T100" s="83">
        <f t="shared" si="192"/>
        <v>1.7400628721815581E-2</v>
      </c>
      <c r="U100" s="83">
        <f t="shared" si="193"/>
        <v>3.9456540540137919E-2</v>
      </c>
      <c r="V100" s="83">
        <f t="shared" si="194"/>
        <v>7.8272039458074039E-2</v>
      </c>
      <c r="W100" s="83">
        <f t="shared" si="195"/>
        <v>4.897518218269914E-2</v>
      </c>
      <c r="X100" s="83">
        <f t="shared" si="196"/>
        <v>-3.7436302216816375E-2</v>
      </c>
      <c r="Y100" s="83">
        <f t="shared" si="197"/>
        <v>8.1557972657484878E-2</v>
      </c>
      <c r="Z100" s="83">
        <f t="shared" si="198"/>
        <v>-4.7032735644192414E-3</v>
      </c>
      <c r="AA100" s="83">
        <f t="shared" si="199"/>
        <v>7.4515433237916762E-2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-3.548322481262689E-4</v>
      </c>
      <c r="F101" s="84">
        <f t="shared" si="178"/>
        <v>0.11187852642971108</v>
      </c>
      <c r="G101" s="84">
        <f t="shared" si="179"/>
        <v>9.3653262370987367E-3</v>
      </c>
      <c r="H101" s="84">
        <f t="shared" si="180"/>
        <v>2.8813587543099928E-2</v>
      </c>
      <c r="I101" s="84">
        <f t="shared" si="181"/>
        <v>1.6828608265177847E-2</v>
      </c>
      <c r="J101" s="84">
        <f t="shared" si="182"/>
        <v>3.3270719181851538E-2</v>
      </c>
      <c r="K101" s="84">
        <f t="shared" si="183"/>
        <v>3.3639743842108549E-2</v>
      </c>
      <c r="L101" s="84">
        <f t="shared" si="184"/>
        <v>2.6189858587692738E-2</v>
      </c>
      <c r="M101" s="84">
        <f t="shared" si="185"/>
        <v>-1.357733464186206E-2</v>
      </c>
      <c r="N101" s="84">
        <f t="shared" si="186"/>
        <v>3.4577810398788378E-2</v>
      </c>
      <c r="O101" s="84">
        <f t="shared" si="187"/>
        <v>-3.0483272997825495E-2</v>
      </c>
      <c r="P101" s="84">
        <f t="shared" si="188"/>
        <v>3.1159547626853801E-2</v>
      </c>
      <c r="Q101" s="84">
        <f t="shared" si="189"/>
        <v>2.3503018286768373E-2</v>
      </c>
      <c r="R101" s="84">
        <f t="shared" si="190"/>
        <v>6.5797860622432536E-2</v>
      </c>
      <c r="S101" s="84">
        <f t="shared" si="191"/>
        <v>-4.7426716164753469E-3</v>
      </c>
      <c r="T101" s="84">
        <f t="shared" si="192"/>
        <v>-2.0390294121445329E-2</v>
      </c>
      <c r="U101" s="84">
        <f t="shared" si="193"/>
        <v>3.5780681610931397E-2</v>
      </c>
      <c r="V101" s="84">
        <f t="shared" si="194"/>
        <v>5.8204418835218874E-2</v>
      </c>
      <c r="W101" s="84">
        <f t="shared" si="195"/>
        <v>4.7420278418246919E-2</v>
      </c>
      <c r="X101" s="84">
        <f t="shared" si="196"/>
        <v>-2.5936112534778899E-2</v>
      </c>
      <c r="Y101" s="84">
        <f t="shared" si="197"/>
        <v>6.7291933535264192E-2</v>
      </c>
      <c r="Z101" s="84">
        <f t="shared" si="198"/>
        <v>2.3258768675461283E-2</v>
      </c>
      <c r="AA101" s="84">
        <f t="shared" si="199"/>
        <v>7.4023892520066914E-2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7.314453681107902E-2</v>
      </c>
      <c r="F102" s="84">
        <f t="shared" si="178"/>
        <v>0.12594642046090532</v>
      </c>
      <c r="G102" s="84">
        <f t="shared" si="179"/>
        <v>1.6665546273986642E-2</v>
      </c>
      <c r="H102" s="84">
        <f t="shared" si="180"/>
        <v>0.10725685504776528</v>
      </c>
      <c r="I102" s="84">
        <f t="shared" si="181"/>
        <v>6.4949583560103274E-2</v>
      </c>
      <c r="J102" s="84">
        <f t="shared" si="182"/>
        <v>4.9350350990462477E-2</v>
      </c>
      <c r="K102" s="84">
        <f t="shared" si="183"/>
        <v>0.23172958049274484</v>
      </c>
      <c r="L102" s="84">
        <f t="shared" si="184"/>
        <v>7.1981380624249081E-2</v>
      </c>
      <c r="M102" s="84">
        <f t="shared" si="185"/>
        <v>3.7228527011164081E-2</v>
      </c>
      <c r="N102" s="84">
        <f t="shared" si="186"/>
        <v>0.10275182324481169</v>
      </c>
      <c r="O102" s="84">
        <f t="shared" si="187"/>
        <v>-1.7914168723733082E-2</v>
      </c>
      <c r="P102" s="84">
        <f t="shared" si="188"/>
        <v>-2.023259311731751E-2</v>
      </c>
      <c r="Q102" s="84">
        <f t="shared" si="189"/>
        <v>-3.1725581127978741E-2</v>
      </c>
      <c r="R102" s="84">
        <f t="shared" si="190"/>
        <v>-1.7177658443831345E-2</v>
      </c>
      <c r="S102" s="84">
        <f t="shared" si="191"/>
        <v>2.2482487803991758E-2</v>
      </c>
      <c r="T102" s="84">
        <f t="shared" si="192"/>
        <v>4.9223350112512998E-2</v>
      </c>
      <c r="U102" s="84">
        <f t="shared" si="193"/>
        <v>2.3940560700475011E-2</v>
      </c>
      <c r="V102" s="84">
        <f t="shared" si="194"/>
        <v>9.2810159902484646E-2</v>
      </c>
      <c r="W102" s="84">
        <f t="shared" si="195"/>
        <v>4.807037245504131E-2</v>
      </c>
      <c r="X102" s="84">
        <f t="shared" si="196"/>
        <v>-2.5342190941087805E-2</v>
      </c>
      <c r="Y102" s="84">
        <f t="shared" si="197"/>
        <v>6.0737010187775775E-2</v>
      </c>
      <c r="Z102" s="84">
        <f t="shared" si="198"/>
        <v>-8.0457176658241814E-3</v>
      </c>
      <c r="AA102" s="84">
        <f t="shared" si="199"/>
        <v>6.4468577095913471E-2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2.1327495539580354E-4</v>
      </c>
      <c r="F103" s="84">
        <f t="shared" si="178"/>
        <v>1.6721659538220912E-2</v>
      </c>
      <c r="G103" s="84">
        <f t="shared" si="179"/>
        <v>0.14299560428393465</v>
      </c>
      <c r="H103" s="84">
        <f t="shared" si="180"/>
        <v>9.9156880003979264E-2</v>
      </c>
      <c r="I103" s="84">
        <f t="shared" si="181"/>
        <v>0.15277011899665949</v>
      </c>
      <c r="J103" s="84">
        <f t="shared" si="182"/>
        <v>0.17937662853828962</v>
      </c>
      <c r="K103" s="84">
        <f t="shared" si="183"/>
        <v>-9.7198110780503999E-2</v>
      </c>
      <c r="L103" s="84">
        <f t="shared" si="184"/>
        <v>9.9677409489315805E-2</v>
      </c>
      <c r="M103" s="84">
        <f t="shared" si="185"/>
        <v>-1.1072414433604849E-2</v>
      </c>
      <c r="N103" s="84">
        <f t="shared" si="186"/>
        <v>7.5759648001525681E-2</v>
      </c>
      <c r="O103" s="84">
        <f t="shared" si="187"/>
        <v>3.085662025681768E-2</v>
      </c>
      <c r="P103" s="84">
        <f t="shared" si="188"/>
        <v>-1.5839603352385101E-2</v>
      </c>
      <c r="Q103" s="84">
        <f t="shared" si="189"/>
        <v>8.8147701162473835E-2</v>
      </c>
      <c r="R103" s="84">
        <f t="shared" si="190"/>
        <v>-2.4427177723984617E-3</v>
      </c>
      <c r="S103" s="84">
        <f t="shared" si="191"/>
        <v>8.5632324412207916E-2</v>
      </c>
      <c r="T103" s="84">
        <f t="shared" si="192"/>
        <v>1.6463166401108342E-2</v>
      </c>
      <c r="U103" s="84">
        <f t="shared" si="193"/>
        <v>7.5200072905705184E-2</v>
      </c>
      <c r="V103" s="84">
        <f t="shared" si="194"/>
        <v>8.0445307765713236E-2</v>
      </c>
      <c r="W103" s="84">
        <f t="shared" si="195"/>
        <v>5.2882128708645393E-2</v>
      </c>
      <c r="X103" s="84">
        <f t="shared" si="196"/>
        <v>-7.6273557087368826E-2</v>
      </c>
      <c r="Y103" s="84">
        <f t="shared" si="197"/>
        <v>0.14383794543735062</v>
      </c>
      <c r="Z103" s="84">
        <f t="shared" si="198"/>
        <v>-3.7505073013128221E-2</v>
      </c>
      <c r="AA103" s="84">
        <f t="shared" si="199"/>
        <v>9.4153742312602207E-2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-4.3458214337219081E-2</v>
      </c>
      <c r="F104" s="83">
        <f t="shared" si="178"/>
        <v>9.4293975628655158E-2</v>
      </c>
      <c r="G104" s="83">
        <f t="shared" si="179"/>
        <v>-2.4542526469558568E-2</v>
      </c>
      <c r="H104" s="83">
        <f t="shared" si="180"/>
        <v>6.8556422614907353E-2</v>
      </c>
      <c r="I104" s="83">
        <f t="shared" si="181"/>
        <v>-4.7031051883323127E-2</v>
      </c>
      <c r="J104" s="83">
        <f t="shared" si="182"/>
        <v>3.1855819952886E-2</v>
      </c>
      <c r="K104" s="83">
        <f t="shared" si="183"/>
        <v>-0.14759479576233525</v>
      </c>
      <c r="L104" s="83">
        <f t="shared" si="184"/>
        <v>-9.5249056190834236E-2</v>
      </c>
      <c r="M104" s="83">
        <f t="shared" si="185"/>
        <v>8.2368465140540748E-2</v>
      </c>
      <c r="N104" s="83">
        <f t="shared" si="186"/>
        <v>5.4731827026505142E-2</v>
      </c>
      <c r="O104" s="83">
        <f t="shared" si="187"/>
        <v>0.16597290031293954</v>
      </c>
      <c r="P104" s="83">
        <f t="shared" si="188"/>
        <v>-3.3152574057459638E-2</v>
      </c>
      <c r="Q104" s="83">
        <f t="shared" si="189"/>
        <v>4.9019953104685543E-2</v>
      </c>
      <c r="R104" s="83">
        <f t="shared" si="190"/>
        <v>-0.17817380287868534</v>
      </c>
      <c r="S104" s="83">
        <f t="shared" si="191"/>
        <v>0.23184050865103667</v>
      </c>
      <c r="T104" s="83">
        <f t="shared" si="192"/>
        <v>0.18794212213559947</v>
      </c>
      <c r="U104" s="83">
        <f t="shared" si="193"/>
        <v>-1.3531393817989179E-2</v>
      </c>
      <c r="V104" s="83">
        <f t="shared" si="194"/>
        <v>-0.25007921008912148</v>
      </c>
      <c r="W104" s="83">
        <f t="shared" si="195"/>
        <v>-7.8497254266637784E-2</v>
      </c>
      <c r="X104" s="83">
        <f t="shared" si="196"/>
        <v>-0.18594839088673198</v>
      </c>
      <c r="Y104" s="83">
        <f t="shared" si="197"/>
        <v>1.1930760456476048</v>
      </c>
      <c r="Z104" s="83">
        <f t="shared" si="198"/>
        <v>0.80969024316156712</v>
      </c>
      <c r="AA104" s="83">
        <f t="shared" si="199"/>
        <v>-0.47144167073754428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8.1766292491554982E-2</v>
      </c>
      <c r="F105" s="83">
        <f t="shared" si="178"/>
        <v>1.1330918994942873E-2</v>
      </c>
      <c r="G105" s="83">
        <f t="shared" si="179"/>
        <v>1.9933113183680407E-2</v>
      </c>
      <c r="H105" s="83">
        <f t="shared" si="180"/>
        <v>7.1551965646504456E-2</v>
      </c>
      <c r="I105" s="83">
        <f t="shared" si="181"/>
        <v>0.308424933107319</v>
      </c>
      <c r="J105" s="83">
        <f t="shared" si="182"/>
        <v>0.2196815833705783</v>
      </c>
      <c r="K105" s="83">
        <f t="shared" si="183"/>
        <v>0.20712847823629033</v>
      </c>
      <c r="L105" s="83">
        <f t="shared" si="184"/>
        <v>0.20302393504235816</v>
      </c>
      <c r="M105" s="83">
        <f t="shared" si="185"/>
        <v>5.6062763467755516E-2</v>
      </c>
      <c r="N105" s="83">
        <f t="shared" si="186"/>
        <v>-0.23980549604252288</v>
      </c>
      <c r="O105" s="83">
        <f t="shared" si="187"/>
        <v>-9.6349336547752129E-2</v>
      </c>
      <c r="P105" s="83">
        <f t="shared" si="188"/>
        <v>-7.6501021479942422E-2</v>
      </c>
      <c r="Q105" s="83">
        <f t="shared" si="189"/>
        <v>-0.19693177407439111</v>
      </c>
      <c r="R105" s="83">
        <f t="shared" si="190"/>
        <v>-6.1192646472445711E-2</v>
      </c>
      <c r="S105" s="83">
        <f t="shared" si="191"/>
        <v>1.5396962998849295E-2</v>
      </c>
      <c r="T105" s="83">
        <f t="shared" si="192"/>
        <v>-7.8218333079109859E-2</v>
      </c>
      <c r="U105" s="83">
        <f t="shared" si="193"/>
        <v>8.8367051320697554E-2</v>
      </c>
      <c r="V105" s="83">
        <f t="shared" si="194"/>
        <v>4.3741375211936218E-2</v>
      </c>
      <c r="W105" s="83">
        <f t="shared" si="195"/>
        <v>7.4563759352435088E-2</v>
      </c>
      <c r="X105" s="83">
        <f t="shared" si="196"/>
        <v>6.8312003247262609E-2</v>
      </c>
      <c r="Y105" s="83">
        <f t="shared" si="197"/>
        <v>-0.10358916170688581</v>
      </c>
      <c r="Z105" s="83">
        <f t="shared" si="198"/>
        <v>8.9431932297054928E-3</v>
      </c>
      <c r="AA105" s="83">
        <f t="shared" si="199"/>
        <v>0.17855788888426272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0.20601225885644281</v>
      </c>
      <c r="F106" s="83">
        <f t="shared" si="178"/>
        <v>9.6680834649095493E-2</v>
      </c>
      <c r="G106" s="83">
        <f t="shared" si="179"/>
        <v>0.14210086179646164</v>
      </c>
      <c r="H106" s="83">
        <f t="shared" si="180"/>
        <v>-4.3534446193703169E-2</v>
      </c>
      <c r="I106" s="83">
        <f t="shared" si="181"/>
        <v>0.12184732519304009</v>
      </c>
      <c r="J106" s="83">
        <f t="shared" si="182"/>
        <v>9.8550804567701711E-2</v>
      </c>
      <c r="K106" s="83">
        <f t="shared" si="183"/>
        <v>0.14411413232125581</v>
      </c>
      <c r="L106" s="83">
        <f t="shared" si="184"/>
        <v>-5.6148025788048117E-2</v>
      </c>
      <c r="M106" s="83">
        <f t="shared" si="185"/>
        <v>1.7411634323272196E-3</v>
      </c>
      <c r="N106" s="83">
        <f t="shared" si="186"/>
        <v>-7.9224807150781063E-2</v>
      </c>
      <c r="O106" s="83">
        <f t="shared" si="187"/>
        <v>0.14647373892158955</v>
      </c>
      <c r="P106" s="83">
        <f t="shared" si="188"/>
        <v>8.440025165873033E-2</v>
      </c>
      <c r="Q106" s="83">
        <f t="shared" si="189"/>
        <v>-0.10100533547946178</v>
      </c>
      <c r="R106" s="83">
        <f t="shared" si="190"/>
        <v>5.9112998993287036E-2</v>
      </c>
      <c r="S106" s="83">
        <f t="shared" si="191"/>
        <v>4.6575411372212994E-2</v>
      </c>
      <c r="T106" s="83">
        <f t="shared" si="192"/>
        <v>6.1997300376440023E-2</v>
      </c>
      <c r="U106" s="83">
        <f t="shared" si="193"/>
        <v>6.3455789239688087E-3</v>
      </c>
      <c r="V106" s="83">
        <f t="shared" si="194"/>
        <v>-3.2144577050470247E-3</v>
      </c>
      <c r="W106" s="83">
        <f t="shared" si="195"/>
        <v>2.8139659897168379E-2</v>
      </c>
      <c r="X106" s="83">
        <f t="shared" si="196"/>
        <v>-3.8505367265371904E-2</v>
      </c>
      <c r="Y106" s="83">
        <f t="shared" si="197"/>
        <v>-0.11287168652322133</v>
      </c>
      <c r="Z106" s="83">
        <f t="shared" si="198"/>
        <v>0.20626460286470039</v>
      </c>
      <c r="AA106" s="83">
        <f t="shared" si="199"/>
        <v>3.3922015608987222E-2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-0.21846060928410205</v>
      </c>
      <c r="F107" s="87">
        <f t="shared" ref="F107:F108" si="201">IF(E33=0,"",F33/E33-1)</f>
        <v>-0.14492704128874134</v>
      </c>
      <c r="G107" s="87">
        <f t="shared" ref="G107:G108" si="202">IF(F33=0,"",G33/F33-1)</f>
        <v>0.36337500336703998</v>
      </c>
      <c r="H107" s="87">
        <f t="shared" ref="H107:H108" si="203">IF(G33=0,"",H33/G33-1)</f>
        <v>0.43955302022116594</v>
      </c>
      <c r="I107" s="87">
        <f t="shared" ref="I107:I108" si="204">IF(H33=0,"",I33/H33-1)</f>
        <v>4.8486324795771418E-2</v>
      </c>
      <c r="J107" s="87">
        <f t="shared" ref="J107:J108" si="205">IF(I33=0,"",J33/I33-1)</f>
        <v>0.13842085067566834</v>
      </c>
      <c r="K107" s="87">
        <f t="shared" ref="K107:K108" si="206">IF(J33=0,"",K33/J33-1)</f>
        <v>0.30997431987530999</v>
      </c>
      <c r="L107" s="87">
        <f t="shared" ref="L107:L108" si="207">IF(K33=0,"",L33/K33-1)</f>
        <v>-0.2175450121435184</v>
      </c>
      <c r="M107" s="87">
        <f t="shared" ref="M107:M108" si="208">IF(L33=0,"",M33/L33-1)</f>
        <v>4.2663605004412464E-2</v>
      </c>
      <c r="N107" s="87">
        <f t="shared" ref="N107:N108" si="209">IF(M33=0,"",N33/M33-1)</f>
        <v>-6.3746661263950455E-2</v>
      </c>
      <c r="O107" s="87">
        <f t="shared" ref="O107:O108" si="210">IF(N33=0,"",O33/N33-1)</f>
        <v>0.1758662046908317</v>
      </c>
      <c r="P107" s="87">
        <f t="shared" ref="P107:P108" si="211">IF(O33=0,"",P33/O33-1)</f>
        <v>1.1428935358978487E-2</v>
      </c>
      <c r="Q107" s="87">
        <f t="shared" ref="Q107:Q108" si="212">IF(P33=0,"",Q33/P33-1)</f>
        <v>-0.29151369530361293</v>
      </c>
      <c r="R107" s="87">
        <f t="shared" ref="R107:R108" si="213">IF(Q33=0,"",R33/Q33-1)</f>
        <v>-0.17081026276150568</v>
      </c>
      <c r="S107" s="87">
        <f t="shared" ref="S107:S108" si="214">IF(R33=0,"",S33/R33-1)</f>
        <v>0.15496207046857946</v>
      </c>
      <c r="T107" s="87">
        <f t="shared" ref="T107:T108" si="215">IF(S33=0,"",T33/S33-1)</f>
        <v>0.28356361659222684</v>
      </c>
      <c r="U107" s="87">
        <f t="shared" ref="U107:U108" si="216">IF(T33=0,"",U33/T33-1)</f>
        <v>0.19469220460787007</v>
      </c>
      <c r="V107" s="87">
        <f t="shared" ref="V107:V108" si="217">IF(U33=0,"",V33/U33-1)</f>
        <v>-0.10695882598671724</v>
      </c>
      <c r="W107" s="87">
        <f t="shared" ref="W107:W108" si="218">IF(V33=0,"",W33/V33-1)</f>
        <v>-2.5316480980976608E-2</v>
      </c>
      <c r="X107" s="87">
        <f t="shared" ref="X107:X108" si="219">IF(W33=0,"",X33/W33-1)</f>
        <v>-0.16142307471475748</v>
      </c>
      <c r="Y107" s="87">
        <f t="shared" ref="Y107:Y108" si="220">IF(X33=0,"",Y33/X33-1)</f>
        <v>0.37304239087325364</v>
      </c>
      <c r="Z107" s="87">
        <f t="shared" si="198"/>
        <v>0.46661188105935003</v>
      </c>
      <c r="AA107" s="87">
        <f t="shared" si="199"/>
        <v>-0.55780028079029975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-0.22285320735077385</v>
      </c>
      <c r="F108" s="89">
        <f t="shared" si="201"/>
        <v>-0.14492704128874134</v>
      </c>
      <c r="G108" s="89">
        <f t="shared" si="202"/>
        <v>0.37490634104701126</v>
      </c>
      <c r="H108" s="89">
        <f t="shared" si="203"/>
        <v>0.42184178264729022</v>
      </c>
      <c r="I108" s="89">
        <f t="shared" si="204"/>
        <v>5.3022635009563945E-2</v>
      </c>
      <c r="J108" s="89">
        <f t="shared" si="205"/>
        <v>0.13842085067566834</v>
      </c>
      <c r="K108" s="89">
        <f t="shared" si="206"/>
        <v>0.23905681150317237</v>
      </c>
      <c r="L108" s="89">
        <f t="shared" si="207"/>
        <v>-0.26312745194137799</v>
      </c>
      <c r="M108" s="89">
        <f t="shared" si="208"/>
        <v>-0.65216713124781978</v>
      </c>
      <c r="N108" s="89">
        <f t="shared" si="209"/>
        <v>0.4378063276135491</v>
      </c>
      <c r="O108" s="89">
        <f t="shared" si="210"/>
        <v>-0.10870558707091493</v>
      </c>
      <c r="P108" s="89">
        <f t="shared" si="211"/>
        <v>-0.2092347550001814</v>
      </c>
      <c r="Q108" s="89">
        <f t="shared" si="212"/>
        <v>-0.18770401563850092</v>
      </c>
      <c r="R108" s="89">
        <f t="shared" si="213"/>
        <v>-0.33174165103301401</v>
      </c>
      <c r="S108" s="89">
        <f t="shared" si="214"/>
        <v>-0.22655937261943226</v>
      </c>
      <c r="T108" s="89">
        <f t="shared" si="215"/>
        <v>1.5319920882871725</v>
      </c>
      <c r="U108" s="89">
        <f t="shared" si="216"/>
        <v>0.1740628868799694</v>
      </c>
      <c r="V108" s="89">
        <f t="shared" si="217"/>
        <v>0.14135358957427435</v>
      </c>
      <c r="W108" s="89">
        <f t="shared" si="218"/>
        <v>-0.39440492696944141</v>
      </c>
      <c r="X108" s="89">
        <f t="shared" si="219"/>
        <v>-5.0878748131765406E-2</v>
      </c>
      <c r="Y108" s="89">
        <f t="shared" si="220"/>
        <v>1.8937958479573731</v>
      </c>
      <c r="Z108" s="89">
        <f t="shared" si="198"/>
        <v>-0.28231497601768574</v>
      </c>
      <c r="AA108" s="89">
        <f t="shared" si="199"/>
        <v>0.20040101900983931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-0.19718678290819303</v>
      </c>
      <c r="F109" s="89">
        <f t="shared" ref="F109" si="222">IF(E37=0,"",F37/E37-1)</f>
        <v>-0.14492704128874156</v>
      </c>
      <c r="G109" s="89">
        <f t="shared" ref="G109" si="223">IF(F37=0,"",G37/F37-1)</f>
        <v>0.30931296958759558</v>
      </c>
      <c r="H109" s="89">
        <f t="shared" ref="H109" si="224">IF(G37=0,"",H37/G37-1)</f>
        <v>0.52674795218806736</v>
      </c>
      <c r="I109" s="89">
        <f t="shared" ref="I109" si="225">IF(H37=0,"",I37/H37-1)</f>
        <v>2.7687968838907562E-2</v>
      </c>
      <c r="J109" s="89">
        <f t="shared" ref="J109" si="226">IF(I37=0,"",J37/I37-1)</f>
        <v>0.13842085067566856</v>
      </c>
      <c r="K109" s="89">
        <f t="shared" ref="K109" si="227">IF(J37=0,"",K37/J37-1)</f>
        <v>0.6431368593033393</v>
      </c>
      <c r="L109" s="89">
        <f t="shared" ref="L109" si="228">IF(K37=0,"",L37/K37-1)</f>
        <v>-5.6065382877523384E-2</v>
      </c>
      <c r="M109" s="89">
        <f t="shared" ref="M109" si="229">IF(L37=0,"",M37/L37-1)</f>
        <v>1.9642046341620159</v>
      </c>
      <c r="N109" s="89">
        <f t="shared" ref="N109" si="230">IF(M37=0,"",N37/M37-1)</f>
        <v>-0.22650749285121297</v>
      </c>
      <c r="O109" s="89">
        <f t="shared" ref="O109" si="231">IF(N37=0,"",O37/N37-1)</f>
        <v>0.34752624302248503</v>
      </c>
      <c r="P109" s="89">
        <f t="shared" ref="P109" si="232">IF(O37=0,"",P37/O37-1)</f>
        <v>9.947139890074097E-2</v>
      </c>
      <c r="Q109" s="89">
        <f t="shared" ref="Q109" si="233">IF(P37=0,"",Q37/P37-1)</f>
        <v>-0.32130316671416426</v>
      </c>
      <c r="R109" s="89">
        <f t="shared" ref="R109" si="234">IF(Q37=0,"",R37/Q37-1)</f>
        <v>-0.115538389051702</v>
      </c>
      <c r="S109" s="89">
        <f t="shared" ref="S109" si="235">IF(R37=0,"",S37/R37-1)</f>
        <v>0.25396494114485257</v>
      </c>
      <c r="T109" s="89">
        <f t="shared" ref="T109" si="236">IF(S37=0,"",T37/S37-1)</f>
        <v>8.3745856390057494E-2</v>
      </c>
      <c r="U109" s="89">
        <f t="shared" ref="U109" si="237">IF(T37=0,"",U37/T37-1)</f>
        <v>0.20240639193901044</v>
      </c>
      <c r="V109" s="89">
        <f t="shared" ref="V109" si="238">IF(U37=0,"",V37/U37-1)</f>
        <v>-0.19762469625360402</v>
      </c>
      <c r="W109" s="89">
        <f t="shared" ref="W109" si="239">IF(V37=0,"",W37/V37-1)</f>
        <v>0.16638192689153009</v>
      </c>
      <c r="X109" s="89">
        <f t="shared" ref="X109" si="240">IF(W37=0,"",X37/W37-1)</f>
        <v>-0.19123335543067843</v>
      </c>
      <c r="Y109" s="89">
        <f t="shared" ref="Y109" si="241">IF(X37=0,"",Y37/X37-1)</f>
        <v>-0.1082254982720029</v>
      </c>
      <c r="Z109" s="89">
        <f t="shared" ref="Z109" si="242">IF(Y37=0,"",Z37/Y37-1)</f>
        <v>1.2357074640526284</v>
      </c>
      <c r="AA109" s="89">
        <f t="shared" ref="AA109" si="243">IF(Z37=0,"",AA37/Z37-1)</f>
        <v>-0.80774521778205821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0.24891509611604024</v>
      </c>
      <c r="F110" s="89">
        <f t="shared" ref="F110:F111" si="245">IF(E43=0,"",F43/E43-1)</f>
        <v>-6.4489209954100013E-2</v>
      </c>
      <c r="G110" s="89">
        <f t="shared" ref="G110:G111" si="246">IF(F43=0,"",G43/F43-1)</f>
        <v>8.9938822944117813E-3</v>
      </c>
      <c r="H110" s="89">
        <f t="shared" ref="H110:H111" si="247">IF(G43=0,"",H43/G43-1)</f>
        <v>-0.18203529866351509</v>
      </c>
      <c r="I110" s="89">
        <f t="shared" ref="I110:I111" si="248">IF(H43=0,"",I43/H43-1)</f>
        <v>0.12329751020155855</v>
      </c>
      <c r="J110" s="89">
        <f t="shared" ref="J110:J111" si="249">IF(I43=0,"",J43/I43-1)</f>
        <v>1.778677876105017E-2</v>
      </c>
      <c r="K110" s="89">
        <f t="shared" ref="K110:K111" si="250">IF(J43=0,"",K43/J43-1)</f>
        <v>7.4467995199702486E-2</v>
      </c>
      <c r="L110" s="89">
        <f t="shared" ref="L110:L111" si="251">IF(K43=0,"",L43/K43-1)</f>
        <v>-0.10435811331217848</v>
      </c>
      <c r="M110" s="89">
        <f t="shared" ref="M110:M111" si="252">IF(L43=0,"",M43/L43-1)</f>
        <v>-8.6534445019081474E-2</v>
      </c>
      <c r="N110" s="89">
        <f t="shared" ref="N110:N111" si="253">IF(M43=0,"",N43/M43-1)</f>
        <v>0.14656364746924022</v>
      </c>
      <c r="O110" s="89">
        <f t="shared" ref="O110:O111" si="254">IF(N43=0,"",O43/N43-1)</f>
        <v>0.21592859182016655</v>
      </c>
      <c r="P110" s="89">
        <f t="shared" ref="P110:P111" si="255">IF(O43=0,"",P43/O43-1)</f>
        <v>3.4407724523050964E-2</v>
      </c>
      <c r="Q110" s="89">
        <f t="shared" ref="Q110:Q111" si="256">IF(P43=0,"",Q43/P43-1)</f>
        <v>-6.3594809719130341E-2</v>
      </c>
      <c r="R110" s="89">
        <f t="shared" ref="R110:R111" si="257">IF(Q43=0,"",R43/Q43-1)</f>
        <v>0.28393523956052502</v>
      </c>
      <c r="S110" s="89">
        <f t="shared" ref="S110:S111" si="258">IF(R43=0,"",S43/R43-1)</f>
        <v>8.4348188184593331E-2</v>
      </c>
      <c r="T110" s="89">
        <f t="shared" ref="T110:T111" si="259">IF(S43=0,"",T43/S43-1)</f>
        <v>-1.6391460157706428E-2</v>
      </c>
      <c r="U110" s="89">
        <f t="shared" ref="U110:U111" si="260">IF(T43=0,"",U43/T43-1)</f>
        <v>2.5757166451378932E-2</v>
      </c>
      <c r="V110" s="89">
        <f t="shared" ref="V110:V111" si="261">IF(U43=0,"",V43/U43-1)</f>
        <v>-0.15573749380921198</v>
      </c>
      <c r="W110" s="89">
        <f t="shared" ref="W110:W111" si="262">IF(V43=0,"",W43/V43-1)</f>
        <v>1.4797677294583034E-2</v>
      </c>
      <c r="X110" s="89">
        <f t="shared" ref="X110:X111" si="263">IF(W43=0,"",X43/W43-1)</f>
        <v>6.5046219578185349E-2</v>
      </c>
      <c r="Y110" s="89">
        <f t="shared" ref="Y110:Y111" si="264">IF(X43=0,"",Y43/X43-1)</f>
        <v>-0.5685205242176834</v>
      </c>
      <c r="Z110" s="89">
        <f t="shared" ref="Z110:Z111" si="265">IF(Y43=0,"",Z43/Y43-1)</f>
        <v>1.4733747972653282</v>
      </c>
      <c r="AA110" s="89">
        <f t="shared" ref="AA110:AA111" si="266">IF(Z43=0,"",AA43/Z43-1)</f>
        <v>-0.11223632732764666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0.24909167652948971</v>
      </c>
      <c r="F111" s="89">
        <f t="shared" si="245"/>
        <v>-6.2682021296720292E-2</v>
      </c>
      <c r="G111" s="89">
        <f t="shared" si="246"/>
        <v>7.9298689169584602E-3</v>
      </c>
      <c r="H111" s="89">
        <f t="shared" si="247"/>
        <v>-0.19591342709433879</v>
      </c>
      <c r="I111" s="89">
        <f t="shared" si="248"/>
        <v>0.13891867497514832</v>
      </c>
      <c r="J111" s="89">
        <f t="shared" si="249"/>
        <v>1.7787247776841042E-2</v>
      </c>
      <c r="K111" s="89">
        <f t="shared" si="250"/>
        <v>5.6640962152773255E-2</v>
      </c>
      <c r="L111" s="89">
        <f t="shared" si="251"/>
        <v>-0.10645179220559842</v>
      </c>
      <c r="M111" s="89">
        <f t="shared" si="252"/>
        <v>-0.12261480091521548</v>
      </c>
      <c r="N111" s="89">
        <f t="shared" si="253"/>
        <v>-8.6626973099177218E-2</v>
      </c>
      <c r="O111" s="89">
        <f t="shared" si="254"/>
        <v>0.38506261290492305</v>
      </c>
      <c r="P111" s="89">
        <f t="shared" si="255"/>
        <v>9.4431455644254925E-3</v>
      </c>
      <c r="Q111" s="89">
        <f t="shared" si="256"/>
        <v>-0.11533545897597297</v>
      </c>
      <c r="R111" s="89">
        <f t="shared" si="257"/>
        <v>0.42811373771199812</v>
      </c>
      <c r="S111" s="89">
        <f t="shared" si="258"/>
        <v>0.18365929585977647</v>
      </c>
      <c r="T111" s="89">
        <f t="shared" si="259"/>
        <v>-4.3075605331068023E-2</v>
      </c>
      <c r="U111" s="89">
        <f t="shared" si="260"/>
        <v>4.644969800950749E-2</v>
      </c>
      <c r="V111" s="89">
        <f t="shared" si="261"/>
        <v>-0.20004200298015462</v>
      </c>
      <c r="W111" s="89">
        <f t="shared" si="262"/>
        <v>0.15876817004197274</v>
      </c>
      <c r="X111" s="89">
        <f t="shared" si="263"/>
        <v>4.0144354422688711E-2</v>
      </c>
      <c r="Y111" s="89">
        <f t="shared" si="264"/>
        <v>-0.58456470052931597</v>
      </c>
      <c r="Z111" s="89">
        <f t="shared" si="265"/>
        <v>1.8443846496230774</v>
      </c>
      <c r="AA111" s="89">
        <f t="shared" si="266"/>
        <v>-0.20241812898156553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0.2485413392889444</v>
      </c>
      <c r="F112" s="89">
        <f t="shared" ref="F112:F113" si="268">IF(E47=0,"",F47/E47-1)</f>
        <v>-6.8316060353900143E-2</v>
      </c>
      <c r="G112" s="89">
        <f t="shared" ref="G112:G113" si="269">IF(F47=0,"",G47/F47-1)</f>
        <v>1.1260631223529272E-2</v>
      </c>
      <c r="H112" s="89">
        <f t="shared" ref="H112:H113" si="270">IF(G47=0,"",H47/G47-1)</f>
        <v>-0.15256704170672664</v>
      </c>
      <c r="I112" s="89">
        <f t="shared" ref="I112:I113" si="271">IF(H47=0,"",I47/H47-1)</f>
        <v>9.1824779994001737E-2</v>
      </c>
      <c r="J112" s="89">
        <f t="shared" ref="J112:J113" si="272">IF(I47=0,"",J47/I47-1)</f>
        <v>1.7785793053149312E-2</v>
      </c>
      <c r="K112" s="89">
        <f t="shared" ref="K112:K113" si="273">IF(J47=0,"",K47/J47-1)</f>
        <v>0.11193426559856823</v>
      </c>
      <c r="L112" s="89">
        <f t="shared" ref="L112:L113" si="274">IF(K47=0,"",L47/K47-1)</f>
        <v>-0.10017673177336872</v>
      </c>
      <c r="M112" s="89">
        <f t="shared" ref="M112:M113" si="275">IF(L47=0,"",M47/L47-1)</f>
        <v>-1.497922784698591E-2</v>
      </c>
      <c r="N112" s="89">
        <f t="shared" ref="N112:N113" si="276">IF(M47=0,"",N47/M47-1)</f>
        <v>0.55849655232024431</v>
      </c>
      <c r="O112" s="89">
        <f t="shared" ref="O112:O113" si="277">IF(N47=0,"",O47/N47-1)</f>
        <v>4.0827555393003534E-2</v>
      </c>
      <c r="P112" s="89">
        <f t="shared" ref="P112:P113" si="278">IF(O47=0,"",P47/O47-1)</f>
        <v>6.8800926760717473E-2</v>
      </c>
      <c r="Q112" s="89">
        <f t="shared" ref="Q112:Q113" si="279">IF(P47=0,"",Q47/P47-1)</f>
        <v>3.72847285884359E-3</v>
      </c>
      <c r="R112" s="89">
        <f t="shared" ref="R112:R113" si="280">IF(Q47=0,"",R47/Q47-1)</f>
        <v>0.11858825353716562</v>
      </c>
      <c r="S112" s="89">
        <f t="shared" ref="S112:S113" si="281">IF(R47=0,"",S47/R47-1)</f>
        <v>-6.1059092920354052E-2</v>
      </c>
      <c r="T112" s="89">
        <f t="shared" ref="T112:T113" si="282">IF(S47=0,"",T47/S47-1)</f>
        <v>3.286124349637487E-2</v>
      </c>
      <c r="U112" s="89">
        <f t="shared" ref="U112:U113" si="283">IF(T47=0,"",U47/T47-1)</f>
        <v>-9.6283917977035838E-3</v>
      </c>
      <c r="V112" s="89">
        <f t="shared" ref="V112:V113" si="284">IF(U47=0,"",V47/U47-1)</f>
        <v>-7.5683955851250428E-2</v>
      </c>
      <c r="W112" s="89">
        <f t="shared" ref="W112:W113" si="285">IF(V47=0,"",W47/V47-1)</f>
        <v>-0.21034238636383529</v>
      </c>
      <c r="X112" s="89">
        <f t="shared" ref="X112:X113" si="286">IF(W47=0,"",X47/W47-1)</f>
        <v>0.12218999109744155</v>
      </c>
      <c r="Y112" s="89">
        <f t="shared" ref="Y112:Y113" si="287">IF(X47=0,"",Y47/X47-1)</f>
        <v>-0.53439481587230586</v>
      </c>
      <c r="Z112" s="89">
        <f t="shared" ref="Z112:Z113" si="288">IF(Y47=0,"",Z47/Y47-1)</f>
        <v>0.76927328010357288</v>
      </c>
      <c r="AA112" s="89">
        <f t="shared" ref="AA112:AA113" si="289">IF(Z47=0,"",AA47/Z47-1)</f>
        <v>0.16290900665117625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0.47748829630780909</v>
      </c>
      <c r="F113" s="89">
        <f t="shared" si="268"/>
        <v>0.42741489459818593</v>
      </c>
      <c r="G113" s="89">
        <f t="shared" si="269"/>
        <v>-0.12464256730696621</v>
      </c>
      <c r="H113" s="89">
        <f t="shared" si="270"/>
        <v>0.16526361947102441</v>
      </c>
      <c r="I113" s="89">
        <f t="shared" si="271"/>
        <v>0.17767754768260979</v>
      </c>
      <c r="J113" s="89">
        <f t="shared" si="272"/>
        <v>0.28709984289032464</v>
      </c>
      <c r="K113" s="89">
        <f t="shared" si="273"/>
        <v>0.27925453584925997</v>
      </c>
      <c r="L113" s="89">
        <f t="shared" si="274"/>
        <v>-0.18527328151301237</v>
      </c>
      <c r="M113" s="89">
        <f t="shared" si="275"/>
        <v>-0.15368558036623525</v>
      </c>
      <c r="N113" s="89">
        <f t="shared" si="276"/>
        <v>-0.23229983280337707</v>
      </c>
      <c r="O113" s="89">
        <f t="shared" si="277"/>
        <v>0.10526486084025577</v>
      </c>
      <c r="P113" s="89">
        <f t="shared" si="278"/>
        <v>-7.4075078348995738E-2</v>
      </c>
      <c r="Q113" s="89">
        <f t="shared" si="279"/>
        <v>-0.1545325139068866</v>
      </c>
      <c r="R113" s="89">
        <f t="shared" si="280"/>
        <v>0.14155136402714996</v>
      </c>
      <c r="S113" s="89">
        <f t="shared" si="281"/>
        <v>0.12058076923076899</v>
      </c>
      <c r="T113" s="89">
        <f t="shared" si="282"/>
        <v>1.5307732130493079E-2</v>
      </c>
      <c r="U113" s="89">
        <f t="shared" si="283"/>
        <v>-3.3787006576778689E-2</v>
      </c>
      <c r="V113" s="89">
        <f t="shared" si="284"/>
        <v>0.10268773314095214</v>
      </c>
      <c r="W113" s="89">
        <f t="shared" si="285"/>
        <v>8.3867491803556682E-2</v>
      </c>
      <c r="X113" s="89">
        <f t="shared" si="286"/>
        <v>8.9644649128037823E-3</v>
      </c>
      <c r="Y113" s="89">
        <f t="shared" si="287"/>
        <v>-0.17745314582059879</v>
      </c>
      <c r="Z113" s="89">
        <f t="shared" si="288"/>
        <v>-9.7187418366764033E-2</v>
      </c>
      <c r="AA113" s="89">
        <f t="shared" si="289"/>
        <v>0.49073136108306659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0.32151702633465162</v>
      </c>
      <c r="F114" s="89">
        <f t="shared" ref="F114:F115" si="291">IF(E52=0,"",F52/E52-1)</f>
        <v>0.34191527993225757</v>
      </c>
      <c r="G114" s="89">
        <f t="shared" ref="G114:G115" si="292">IF(F52=0,"",G52/F52-1)</f>
        <v>0.12327161293395106</v>
      </c>
      <c r="H114" s="89">
        <f t="shared" ref="H114:H115" si="293">IF(G52=0,"",H52/G52-1)</f>
        <v>-9.7541951570252028E-2</v>
      </c>
      <c r="I114" s="89">
        <f t="shared" ref="I114:I115" si="294">IF(H52=0,"",I52/H52-1)</f>
        <v>0.17549223486822152</v>
      </c>
      <c r="J114" s="89">
        <f t="shared" ref="J114:J115" si="295">IF(I52=0,"",J52/I52-1)</f>
        <v>2.4495421540602358E-3</v>
      </c>
      <c r="K114" s="89">
        <f t="shared" ref="K114:K115" si="296">IF(J52=0,"",K52/J52-1)</f>
        <v>0.1083013644926536</v>
      </c>
      <c r="L114" s="89">
        <f t="shared" ref="L114:L115" si="297">IF(K52=0,"",L52/K52-1)</f>
        <v>0.20334951997798867</v>
      </c>
      <c r="M114" s="89">
        <f t="shared" ref="M114:M115" si="298">IF(L52=0,"",M52/L52-1)</f>
        <v>4.0176448220081706E-2</v>
      </c>
      <c r="N114" s="89">
        <f t="shared" ref="N114:N115" si="299">IF(M52=0,"",N52/M52-1)</f>
        <v>-3.5110165997171983E-3</v>
      </c>
      <c r="O114" s="89">
        <f t="shared" ref="O114:O115" si="300">IF(N52=0,"",O52/N52-1)</f>
        <v>0.15978990892357459</v>
      </c>
      <c r="P114" s="89">
        <f t="shared" ref="P114:P115" si="301">IF(O52=0,"",P52/O52-1)</f>
        <v>-3.13911589897925E-2</v>
      </c>
      <c r="Q114" s="89">
        <f t="shared" ref="Q114:Q115" si="302">IF(P52=0,"",Q52/P52-1)</f>
        <v>-7.2831907629610226E-3</v>
      </c>
      <c r="R114" s="89">
        <f t="shared" ref="R114:R115" si="303">IF(Q52=0,"",R52/Q52-1)</f>
        <v>-6.4755802736945145E-2</v>
      </c>
      <c r="S114" s="89">
        <f t="shared" ref="S114:S115" si="304">IF(R52=0,"",S52/R52-1)</f>
        <v>7.0724219481071993E-2</v>
      </c>
      <c r="T114" s="89">
        <f t="shared" ref="T114:T115" si="305">IF(S52=0,"",T52/S52-1)</f>
        <v>3.2137664493211426E-2</v>
      </c>
      <c r="U114" s="89">
        <f t="shared" ref="U114:U115" si="306">IF(T52=0,"",U52/T52-1)</f>
        <v>-1.2243343093953585E-2</v>
      </c>
      <c r="V114" s="89">
        <f t="shared" ref="V114:V115" si="307">IF(U52=0,"",V52/U52-1)</f>
        <v>6.0806679748869996E-2</v>
      </c>
      <c r="W114" s="89">
        <f t="shared" ref="W114:W115" si="308">IF(V52=0,"",W52/V52-1)</f>
        <v>-6.7410598483808037E-4</v>
      </c>
      <c r="X114" s="89">
        <f t="shared" ref="X114:X115" si="309">IF(W52=0,"",X52/W52-1)</f>
        <v>-0.12433299022876843</v>
      </c>
      <c r="Y114" s="89">
        <f t="shared" ref="Y114:Y115" si="310">IF(X52=0,"",Y52/X52-1)</f>
        <v>4.0603926717104555E-2</v>
      </c>
      <c r="Z114" s="89">
        <f t="shared" ref="Z114:Z115" si="311">IF(Y52=0,"",Z52/Y52-1)</f>
        <v>-0.1220319364113972</v>
      </c>
      <c r="AA114" s="89">
        <f t="shared" ref="AA114:AA115" si="312">IF(Z52=0,"",AA52/Z52-1)</f>
        <v>6.1961095953238177E-2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0.50276296817770127</v>
      </c>
      <c r="F115" s="89">
        <f t="shared" si="291"/>
        <v>0.61646194034384316</v>
      </c>
      <c r="G115" s="89">
        <f t="shared" si="292"/>
        <v>0.13442807617234909</v>
      </c>
      <c r="H115" s="89">
        <f t="shared" si="293"/>
        <v>-0.13255599854807754</v>
      </c>
      <c r="I115" s="89">
        <f t="shared" si="294"/>
        <v>0.13533447201371707</v>
      </c>
      <c r="J115" s="89">
        <f t="shared" si="295"/>
        <v>6.252663426815408E-3</v>
      </c>
      <c r="K115" s="89">
        <f t="shared" si="296"/>
        <v>5.2391784380256823E-2</v>
      </c>
      <c r="L115" s="89">
        <f t="shared" si="297"/>
        <v>1.7096341447944585E-2</v>
      </c>
      <c r="M115" s="89">
        <f t="shared" si="298"/>
        <v>0.23626651585496816</v>
      </c>
      <c r="N115" s="89">
        <f t="shared" si="299"/>
        <v>-4.1857001364116186E-3</v>
      </c>
      <c r="O115" s="89">
        <f t="shared" si="300"/>
        <v>0.16102813503786173</v>
      </c>
      <c r="P115" s="89">
        <f t="shared" si="301"/>
        <v>-1.7461277714172163E-2</v>
      </c>
      <c r="Q115" s="89">
        <f t="shared" si="302"/>
        <v>-1.127566090940213E-2</v>
      </c>
      <c r="R115" s="89">
        <f t="shared" si="303"/>
        <v>-0.11230319435076208</v>
      </c>
      <c r="S115" s="89">
        <f t="shared" si="304"/>
        <v>0.13950613333333339</v>
      </c>
      <c r="T115" s="89">
        <f t="shared" si="305"/>
        <v>3.3360114802831742E-3</v>
      </c>
      <c r="U115" s="89">
        <f t="shared" si="306"/>
        <v>3.6346529657214077E-3</v>
      </c>
      <c r="V115" s="89">
        <f t="shared" si="307"/>
        <v>3.6812103538591767E-2</v>
      </c>
      <c r="W115" s="89">
        <f t="shared" si="308"/>
        <v>-8.3443765511787227E-2</v>
      </c>
      <c r="X115" s="89">
        <f t="shared" si="309"/>
        <v>-8.6567494785515842E-2</v>
      </c>
      <c r="Y115" s="89">
        <f t="shared" si="310"/>
        <v>-6.9230966073763334E-4</v>
      </c>
      <c r="Z115" s="89">
        <f t="shared" si="311"/>
        <v>-0.17091165984061207</v>
      </c>
      <c r="AA115" s="89">
        <f t="shared" si="312"/>
        <v>1.4588182382235804E-2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0.16729898809977617</v>
      </c>
      <c r="F116" s="89">
        <f t="shared" ref="F116:F122" si="314">IF(E56=0,"",F56/E56-1)</f>
        <v>4.1175121884230892E-2</v>
      </c>
      <c r="G116" s="89">
        <f t="shared" ref="G116:G122" si="315">IF(F56=0,"",G56/F56-1)</f>
        <v>0.10429828565022858</v>
      </c>
      <c r="H116" s="89">
        <f t="shared" ref="H116:H122" si="316">IF(G56=0,"",H56/G56-1)</f>
        <v>-3.6370351850168681E-2</v>
      </c>
      <c r="I116" s="89">
        <f t="shared" ref="I116:I122" si="317">IF(H56=0,"",I56/H56-1)</f>
        <v>0.23864732121789278</v>
      </c>
      <c r="J116" s="89">
        <f t="shared" ref="J116:J122" si="318">IF(I56=0,"",J56/I56-1)</f>
        <v>-3.0326613583222528E-3</v>
      </c>
      <c r="K116" s="89">
        <f t="shared" ref="K116:K122" si="319">IF(J56=0,"",K56/J56-1)</f>
        <v>0.1896457011760988</v>
      </c>
      <c r="L116" s="89">
        <f t="shared" ref="L116:L122" si="320">IF(K56=0,"",L56/K56-1)</f>
        <v>0.443069699284796</v>
      </c>
      <c r="M116" s="89">
        <f t="shared" ref="M116:M122" si="321">IF(L56=0,"",M56/L56-1)</f>
        <v>-0.13770525599156513</v>
      </c>
      <c r="N116" s="89">
        <f t="shared" ref="N116:N122" si="322">IF(M56=0,"",N56/M56-1)</f>
        <v>-2.6335468248749327E-3</v>
      </c>
      <c r="O116" s="89">
        <f t="shared" ref="O116:O122" si="323">IF(N56=0,"",O56/N56-1)</f>
        <v>0.15818202158998251</v>
      </c>
      <c r="P116" s="89">
        <f t="shared" ref="P116:P122" si="324">IF(O56=0,"",P56/O56-1)</f>
        <v>-4.9524131151675643E-2</v>
      </c>
      <c r="Q116" s="89">
        <f t="shared" ref="Q116:Q122" si="325">IF(P56=0,"",Q56/P56-1)</f>
        <v>-1.9107475071912239E-3</v>
      </c>
      <c r="R116" s="89">
        <f t="shared" ref="R116:R122" si="326">IF(Q56=0,"",R56/Q56-1)</f>
        <v>-1.3742750322448538E-3</v>
      </c>
      <c r="S116" s="89">
        <f t="shared" ref="S116:S122" si="327">IF(R56=0,"",S56/R56-1)</f>
        <v>-1.077851301115218E-2</v>
      </c>
      <c r="T116" s="89">
        <f t="shared" ref="T116:T122" si="328">IF(S56=0,"",T56/S56-1)</f>
        <v>7.1450869700639075E-2</v>
      </c>
      <c r="U116" s="89">
        <f t="shared" ref="U116:U122" si="329">IF(T56=0,"",U56/T56-1)</f>
        <v>-3.2538427769406963E-2</v>
      </c>
      <c r="V116" s="89">
        <f t="shared" ref="V116:V122" si="330">IF(U56=0,"",V56/U56-1)</f>
        <v>9.2623017321812551E-2</v>
      </c>
      <c r="W116" s="89">
        <f t="shared" ref="W116:W122" si="331">IF(V56=0,"",W56/V56-1)</f>
        <v>0.10347078842711976</v>
      </c>
      <c r="X116" s="89">
        <f t="shared" ref="X116:X122" si="332">IF(W56=0,"",X56/W56-1)</f>
        <v>-0.16380236772848433</v>
      </c>
      <c r="Y116" s="89">
        <f t="shared" ref="Y116:Y122" si="333">IF(X56=0,"",Y56/X56-1)</f>
        <v>8.7749735689694131E-2</v>
      </c>
      <c r="Z116" s="89">
        <f t="shared" ref="Z116:Z122" si="334">IF(Y56=0,"",Z56/Y56-1)</f>
        <v>-7.0765680373522488E-2</v>
      </c>
      <c r="AA116" s="89">
        <f t="shared" ref="AA116:AA122" si="335">IF(Z56=0,"",AA56/Z56-1)</f>
        <v>0.1062921976534057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0.18183480626567872</v>
      </c>
      <c r="F117" s="89">
        <f t="shared" si="314"/>
        <v>-7.6052669176841503E-3</v>
      </c>
      <c r="G117" s="89">
        <f t="shared" si="315"/>
        <v>0.26710155308498607</v>
      </c>
      <c r="H117" s="89">
        <f t="shared" si="316"/>
        <v>-0.12571598133606399</v>
      </c>
      <c r="I117" s="89">
        <f t="shared" si="317"/>
        <v>0.11593301893218322</v>
      </c>
      <c r="J117" s="89">
        <f t="shared" si="318"/>
        <v>0.1000962828273777</v>
      </c>
      <c r="K117" s="89">
        <f t="shared" si="319"/>
        <v>6.9655333838470446E-2</v>
      </c>
      <c r="L117" s="89">
        <f t="shared" si="320"/>
        <v>4.0431020846341648E-2</v>
      </c>
      <c r="M117" s="89">
        <f t="shared" si="321"/>
        <v>0.11082328440579214</v>
      </c>
      <c r="N117" s="89">
        <f t="shared" si="322"/>
        <v>-0.15717006278284218</v>
      </c>
      <c r="O117" s="89">
        <f t="shared" si="323"/>
        <v>8.1223624393096827E-2</v>
      </c>
      <c r="P117" s="89">
        <f t="shared" si="324"/>
        <v>0.30158691886973243</v>
      </c>
      <c r="Q117" s="89">
        <f t="shared" si="325"/>
        <v>-0.13794200078814045</v>
      </c>
      <c r="R117" s="89">
        <f t="shared" si="326"/>
        <v>-9.8010814835176596E-2</v>
      </c>
      <c r="S117" s="89">
        <f t="shared" si="327"/>
        <v>-5.0834837005194311E-2</v>
      </c>
      <c r="T117" s="89">
        <f t="shared" si="328"/>
        <v>-4.3054611482851279E-2</v>
      </c>
      <c r="U117" s="89">
        <f t="shared" si="329"/>
        <v>-0.23385481149471832</v>
      </c>
      <c r="V117" s="89">
        <f t="shared" si="330"/>
        <v>0.2134663439617166</v>
      </c>
      <c r="W117" s="89">
        <f t="shared" si="331"/>
        <v>5.3420994539970401E-2</v>
      </c>
      <c r="X117" s="89">
        <f t="shared" si="332"/>
        <v>0.19552171101139382</v>
      </c>
      <c r="Y117" s="89">
        <f t="shared" si="333"/>
        <v>-0.26596977045882442</v>
      </c>
      <c r="Z117" s="89">
        <f t="shared" si="334"/>
        <v>0.53913359337914279</v>
      </c>
      <c r="AA117" s="89">
        <f t="shared" si="335"/>
        <v>-0.12479732543597155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-0.16346240546913227</v>
      </c>
      <c r="F118" s="89">
        <f t="shared" si="314"/>
        <v>0.38596839604072675</v>
      </c>
      <c r="G118" s="89">
        <f t="shared" si="315"/>
        <v>0.18528691139462694</v>
      </c>
      <c r="H118" s="89">
        <f t="shared" si="316"/>
        <v>7.2023224071133818E-3</v>
      </c>
      <c r="I118" s="89">
        <f t="shared" si="317"/>
        <v>0.1419291178547577</v>
      </c>
      <c r="J118" s="89">
        <f t="shared" si="318"/>
        <v>0.14109212949886407</v>
      </c>
      <c r="K118" s="89">
        <f t="shared" si="319"/>
        <v>0.14295812137538744</v>
      </c>
      <c r="L118" s="89">
        <f t="shared" si="320"/>
        <v>4.4905794482226646E-2</v>
      </c>
      <c r="M118" s="89">
        <f t="shared" si="321"/>
        <v>-7.4781575149634905E-2</v>
      </c>
      <c r="N118" s="89">
        <f t="shared" si="322"/>
        <v>0.53100482481581146</v>
      </c>
      <c r="O118" s="89">
        <f t="shared" si="323"/>
        <v>-8.9345971224310539E-2</v>
      </c>
      <c r="P118" s="89">
        <f t="shared" si="324"/>
        <v>5.5946787743964554E-2</v>
      </c>
      <c r="Q118" s="89">
        <f t="shared" si="325"/>
        <v>2.898024300785873E-2</v>
      </c>
      <c r="R118" s="89">
        <f t="shared" si="326"/>
        <v>0.27369490842596678</v>
      </c>
      <c r="S118" s="89">
        <f t="shared" si="327"/>
        <v>0.12845560985460414</v>
      </c>
      <c r="T118" s="89">
        <f t="shared" si="328"/>
        <v>2.7652192173781787E-2</v>
      </c>
      <c r="U118" s="89">
        <f t="shared" si="329"/>
        <v>9.0319778301672038E-2</v>
      </c>
      <c r="V118" s="89">
        <f t="shared" si="330"/>
        <v>-5.7750479061124627E-2</v>
      </c>
      <c r="W118" s="89">
        <f t="shared" si="331"/>
        <v>2.9301689291412414E-2</v>
      </c>
      <c r="X118" s="89">
        <f t="shared" si="332"/>
        <v>0.17653479678098449</v>
      </c>
      <c r="Y118" s="89">
        <f t="shared" si="333"/>
        <v>0.1123028914829336</v>
      </c>
      <c r="Z118" s="89">
        <f t="shared" si="334"/>
        <v>-0.16974468790681907</v>
      </c>
      <c r="AA118" s="89">
        <f t="shared" si="335"/>
        <v>0.45614159305933821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0.33426344533273555</v>
      </c>
      <c r="F119" s="89">
        <f t="shared" si="314"/>
        <v>0.15944665362075883</v>
      </c>
      <c r="G119" s="89">
        <f t="shared" si="315"/>
        <v>8.2793787324659807E-2</v>
      </c>
      <c r="H119" s="89">
        <f t="shared" si="316"/>
        <v>-7.8132305351623077E-2</v>
      </c>
      <c r="I119" s="89">
        <f t="shared" si="317"/>
        <v>0.13496324197564724</v>
      </c>
      <c r="J119" s="89">
        <f t="shared" si="318"/>
        <v>0.15369748430977603</v>
      </c>
      <c r="K119" s="89">
        <f t="shared" si="319"/>
        <v>0.17269618074771076</v>
      </c>
      <c r="L119" s="89">
        <f t="shared" si="320"/>
        <v>5.363897145018881E-2</v>
      </c>
      <c r="M119" s="89">
        <f t="shared" si="321"/>
        <v>-0.10044316825994426</v>
      </c>
      <c r="N119" s="89">
        <f t="shared" si="322"/>
        <v>-4.3495811175701449E-2</v>
      </c>
      <c r="O119" s="89">
        <f t="shared" si="323"/>
        <v>6.3961828397659737E-2</v>
      </c>
      <c r="P119" s="89">
        <f t="shared" si="324"/>
        <v>7.3460916702976276E-2</v>
      </c>
      <c r="Q119" s="89">
        <f t="shared" si="325"/>
        <v>-1.9447619137550776E-2</v>
      </c>
      <c r="R119" s="89">
        <f t="shared" si="326"/>
        <v>0.11935513732186021</v>
      </c>
      <c r="S119" s="89">
        <f t="shared" si="327"/>
        <v>9.2901413583655668E-2</v>
      </c>
      <c r="T119" s="89">
        <f t="shared" si="328"/>
        <v>0.1479428331244026</v>
      </c>
      <c r="U119" s="89">
        <f t="shared" si="329"/>
        <v>0.1285107838937658</v>
      </c>
      <c r="V119" s="89">
        <f t="shared" si="330"/>
        <v>-1.5182946260299035E-2</v>
      </c>
      <c r="W119" s="89">
        <f t="shared" si="331"/>
        <v>2.0056165799398951E-2</v>
      </c>
      <c r="X119" s="89">
        <f t="shared" si="332"/>
        <v>-0.14853299358886873</v>
      </c>
      <c r="Y119" s="89">
        <f t="shared" si="333"/>
        <v>8.3648706824090979E-5</v>
      </c>
      <c r="Z119" s="89">
        <f t="shared" si="334"/>
        <v>7.5250161904742541E-2</v>
      </c>
      <c r="AA119" s="89">
        <f t="shared" si="335"/>
        <v>0.278962658017329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0.28425904433620941</v>
      </c>
      <c r="F120" s="89">
        <f t="shared" si="314"/>
        <v>0.13417761988732013</v>
      </c>
      <c r="G120" s="89">
        <f t="shared" si="315"/>
        <v>0.1275610906059963</v>
      </c>
      <c r="H120" s="89">
        <f t="shared" si="316"/>
        <v>-5.3301757521127313E-2</v>
      </c>
      <c r="I120" s="89">
        <f t="shared" si="317"/>
        <v>7.2888647810822826E-2</v>
      </c>
      <c r="J120" s="89">
        <f t="shared" si="318"/>
        <v>-7.8267784086566428E-3</v>
      </c>
      <c r="K120" s="89">
        <f t="shared" si="319"/>
        <v>8.6902860262701331E-2</v>
      </c>
      <c r="L120" s="89">
        <f t="shared" si="320"/>
        <v>-0.18911151728930053</v>
      </c>
      <c r="M120" s="89">
        <f t="shared" si="321"/>
        <v>0.15675843359487796</v>
      </c>
      <c r="N120" s="89">
        <f t="shared" si="322"/>
        <v>-0.22345356410332395</v>
      </c>
      <c r="O120" s="89">
        <f t="shared" si="323"/>
        <v>0.41613161252047748</v>
      </c>
      <c r="P120" s="89">
        <f t="shared" si="324"/>
        <v>-1.7591808788282259E-2</v>
      </c>
      <c r="Q120" s="89">
        <f t="shared" si="325"/>
        <v>-0.17847553764139079</v>
      </c>
      <c r="R120" s="89">
        <f t="shared" si="326"/>
        <v>5.3769444920421794E-3</v>
      </c>
      <c r="S120" s="89">
        <f t="shared" si="327"/>
        <v>-8.2314323013268687E-2</v>
      </c>
      <c r="T120" s="89">
        <f t="shared" si="328"/>
        <v>4.4876123405094503E-2</v>
      </c>
      <c r="U120" s="89">
        <f t="shared" si="329"/>
        <v>-4.1395764193613571E-2</v>
      </c>
      <c r="V120" s="89">
        <f t="shared" si="330"/>
        <v>-1.8072241187583438E-2</v>
      </c>
      <c r="W120" s="89">
        <f t="shared" si="331"/>
        <v>3.8560731080508059E-2</v>
      </c>
      <c r="X120" s="89">
        <f t="shared" si="332"/>
        <v>-0.14473259440286845</v>
      </c>
      <c r="Y120" s="89">
        <f t="shared" si="333"/>
        <v>-0.24886070606998811</v>
      </c>
      <c r="Z120" s="89">
        <f t="shared" si="334"/>
        <v>0.12565079530653933</v>
      </c>
      <c r="AA120" s="89">
        <f t="shared" si="335"/>
        <v>9.4993834897389995E-3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0.21179065611922132</v>
      </c>
      <c r="F121" s="89">
        <f t="shared" si="314"/>
        <v>-4.2640820180593342E-2</v>
      </c>
      <c r="G121" s="89">
        <f t="shared" si="315"/>
        <v>0.57611648632226875</v>
      </c>
      <c r="H121" s="89">
        <f t="shared" si="316"/>
        <v>0.24148738716254003</v>
      </c>
      <c r="I121" s="89">
        <f t="shared" si="317"/>
        <v>8.3803142569250921E-2</v>
      </c>
      <c r="J121" s="89">
        <f t="shared" si="318"/>
        <v>2.7749968203478526E-2</v>
      </c>
      <c r="K121" s="89">
        <f t="shared" si="319"/>
        <v>7.5553982475223602E-2</v>
      </c>
      <c r="L121" s="89">
        <f t="shared" si="320"/>
        <v>-0.16654777352151495</v>
      </c>
      <c r="M121" s="89">
        <f t="shared" si="321"/>
        <v>-3.8769746094429292E-2</v>
      </c>
      <c r="N121" s="89">
        <f t="shared" si="322"/>
        <v>3.553046519553682E-2</v>
      </c>
      <c r="O121" s="89">
        <f t="shared" si="323"/>
        <v>9.9795367770029175E-2</v>
      </c>
      <c r="P121" s="89">
        <f t="shared" si="324"/>
        <v>-3.4939874783492031E-2</v>
      </c>
      <c r="Q121" s="89">
        <f t="shared" si="325"/>
        <v>-0.17719396126251696</v>
      </c>
      <c r="R121" s="89">
        <f t="shared" si="326"/>
        <v>0.17015189159061106</v>
      </c>
      <c r="S121" s="89">
        <f t="shared" si="327"/>
        <v>0.22582829887218048</v>
      </c>
      <c r="T121" s="89">
        <f t="shared" si="328"/>
        <v>-3.1330590137369385E-2</v>
      </c>
      <c r="U121" s="89">
        <f t="shared" si="329"/>
        <v>6.5943342491851409E-2</v>
      </c>
      <c r="V121" s="89">
        <f t="shared" si="330"/>
        <v>-0.18382377019334506</v>
      </c>
      <c r="W121" s="89">
        <f t="shared" si="331"/>
        <v>-3.1344574854537788E-2</v>
      </c>
      <c r="X121" s="89">
        <f t="shared" si="332"/>
        <v>-6.8622349305552555E-2</v>
      </c>
      <c r="Y121" s="89">
        <f t="shared" si="333"/>
        <v>6.2041930787710475E-2</v>
      </c>
      <c r="Z121" s="89">
        <f t="shared" si="334"/>
        <v>0.13733189523514122</v>
      </c>
      <c r="AA121" s="89">
        <f t="shared" si="335"/>
        <v>-0.19193347924759008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0.11662801760708974</v>
      </c>
      <c r="F122" s="91">
        <f t="shared" si="314"/>
        <v>0.25029515072929898</v>
      </c>
      <c r="G122" s="91">
        <f t="shared" si="315"/>
        <v>0.30264167067553305</v>
      </c>
      <c r="H122" s="91">
        <f t="shared" si="316"/>
        <v>-0.12441153282830897</v>
      </c>
      <c r="I122" s="91">
        <f t="shared" si="317"/>
        <v>0.25598975535196433</v>
      </c>
      <c r="J122" s="91">
        <f t="shared" si="318"/>
        <v>0.10607680512187168</v>
      </c>
      <c r="K122" s="91">
        <f t="shared" si="319"/>
        <v>0.14755639188888559</v>
      </c>
      <c r="L122" s="91">
        <f t="shared" si="320"/>
        <v>-3.144392947645458E-3</v>
      </c>
      <c r="M122" s="91">
        <f t="shared" si="321"/>
        <v>-1.8789531675036497E-2</v>
      </c>
      <c r="N122" s="91">
        <f t="shared" si="322"/>
        <v>4.5932658770546864E-2</v>
      </c>
      <c r="O122" s="91">
        <f t="shared" si="323"/>
        <v>0.17094737489167278</v>
      </c>
      <c r="P122" s="91">
        <f t="shared" si="324"/>
        <v>0.12952190452332202</v>
      </c>
      <c r="Q122" s="91">
        <f t="shared" si="325"/>
        <v>4.2469758516614275E-2</v>
      </c>
      <c r="R122" s="91">
        <f t="shared" si="326"/>
        <v>0.24435305631236504</v>
      </c>
      <c r="S122" s="91">
        <f t="shared" si="327"/>
        <v>7.873859751534229E-2</v>
      </c>
      <c r="T122" s="91">
        <f t="shared" si="328"/>
        <v>9.7662009224333213E-2</v>
      </c>
      <c r="U122" s="91">
        <f t="shared" si="329"/>
        <v>-1.8457917122167822E-2</v>
      </c>
      <c r="V122" s="91">
        <f t="shared" si="330"/>
        <v>-9.6616984236663761E-3</v>
      </c>
      <c r="W122" s="91">
        <f t="shared" si="331"/>
        <v>3.7306056381561703E-2</v>
      </c>
      <c r="X122" s="91">
        <f t="shared" si="332"/>
        <v>-6.8941079572888198E-2</v>
      </c>
      <c r="Y122" s="91">
        <f t="shared" si="333"/>
        <v>-3.5533102122719984E-2</v>
      </c>
      <c r="Z122" s="91">
        <f t="shared" si="334"/>
        <v>3.4318591136721643E-3</v>
      </c>
      <c r="AA122" s="91">
        <f t="shared" si="335"/>
        <v>0.13512343419287975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2025-11-06T10:19:39Z</dcterms:created>
  <dcterms:modified xsi:type="dcterms:W3CDTF">2025-11-06T10:19:39Z</dcterms:modified>
</cp:coreProperties>
</file>