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29" i="9"/>
  <c r="Y49" i="9"/>
  <c r="Y40" i="3"/>
  <c r="X25" i="9"/>
  <c r="X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5" i="3"/>
  <c r="X45" i="3"/>
  <c r="X48" i="13"/>
  <c r="X83" i="3"/>
  <c r="Y76" i="3"/>
  <c r="Y24" i="13"/>
  <c r="X5" i="13"/>
  <c r="Y23" i="13"/>
  <c r="Y7" i="15"/>
  <c r="X28" i="3"/>
  <c r="Y27" i="3"/>
  <c r="X27" i="3"/>
  <c r="X88" i="3"/>
  <c r="Y14" i="17"/>
  <c r="X14" i="17"/>
  <c r="X31" i="3"/>
  <c r="Y3" i="18"/>
  <c r="Y17" i="18" s="1"/>
  <c r="X10" i="19"/>
  <c r="Y4" i="19"/>
  <c r="Y90" i="3"/>
  <c r="X90" i="3"/>
  <c r="Y85" i="3"/>
  <c r="X85" i="3"/>
  <c r="X76" i="3"/>
  <c r="X75" i="3"/>
  <c r="Y44" i="3"/>
  <c r="X44" i="3"/>
  <c r="Y42" i="3"/>
  <c r="Y31" i="3"/>
  <c r="Y30" i="3"/>
  <c r="Y25" i="3"/>
  <c r="Y10" i="3"/>
  <c r="X15" i="10" l="1"/>
  <c r="X81" i="3" s="1"/>
  <c r="X27" i="9"/>
  <c r="Y69" i="11"/>
  <c r="X55" i="3"/>
  <c r="X207" i="3" s="1"/>
  <c r="Y55" i="3"/>
  <c r="Y207" i="3" s="1"/>
  <c r="X90" i="8"/>
  <c r="Y15" i="17"/>
  <c r="Y44" i="12"/>
  <c r="Y15" i="14"/>
  <c r="Y27" i="14" s="1"/>
  <c r="X29" i="9"/>
  <c r="Y57" i="8"/>
  <c r="Y79" i="8" s="1"/>
  <c r="X91" i="8"/>
  <c r="Y91" i="8"/>
  <c r="X31" i="9"/>
  <c r="Y53" i="9"/>
  <c r="X41" i="12"/>
  <c r="X84" i="3"/>
  <c r="X82" i="3" s="1"/>
  <c r="X46" i="3"/>
  <c r="X43" i="3" s="1"/>
  <c r="Y54" i="3"/>
  <c r="Y206" i="3" s="1"/>
  <c r="Y43" i="9"/>
  <c r="X53" i="3"/>
  <c r="Y41" i="12"/>
  <c r="X19" i="12"/>
  <c r="X69" i="12" s="1"/>
  <c r="Y75" i="3"/>
  <c r="X3" i="20"/>
  <c r="X22" i="20" s="1"/>
  <c r="Y7" i="18"/>
  <c r="Y23" i="18" s="1"/>
  <c r="Y39" i="12"/>
  <c r="X227" i="3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3" i="15" s="1"/>
  <c r="X13" i="14"/>
  <c r="X19" i="14" s="1"/>
  <c r="Y15" i="3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25" i="19"/>
  <c r="X21" i="19"/>
  <c r="X61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Y18" i="15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1" i="3" l="1"/>
  <c r="X11" i="9"/>
  <c r="X236" i="3"/>
  <c r="Y3" i="16"/>
  <c r="X55" i="10"/>
  <c r="X25" i="8"/>
  <c r="X11" i="17"/>
  <c r="X21" i="20"/>
  <c r="X23" i="20"/>
  <c r="Y227" i="3"/>
  <c r="Y20" i="16"/>
  <c r="Y11" i="20"/>
  <c r="X4" i="8"/>
  <c r="X108" i="8" s="1"/>
  <c r="X96" i="8"/>
  <c r="X243" i="3"/>
  <c r="X118" i="11"/>
  <c r="Y3" i="19"/>
  <c r="Y28" i="19" s="1"/>
  <c r="Y3" i="12"/>
  <c r="Y52" i="12" s="1"/>
  <c r="Y20" i="14"/>
  <c r="X21" i="15"/>
  <c r="X36" i="8"/>
  <c r="Y57" i="3"/>
  <c r="Y209" i="3" s="1"/>
  <c r="X52" i="3"/>
  <c r="Y13" i="18"/>
  <c r="X24" i="19"/>
  <c r="Y13" i="15"/>
  <c r="X43" i="11"/>
  <c r="X80" i="11"/>
  <c r="Y17" i="15"/>
  <c r="X122" i="11"/>
  <c r="Y52" i="3"/>
  <c r="Y204" i="3" s="1"/>
  <c r="X3" i="16"/>
  <c r="X28" i="16" s="1"/>
  <c r="X60" i="3"/>
  <c r="X212" i="3" s="1"/>
  <c r="X86" i="3"/>
  <c r="X238" i="3" s="1"/>
  <c r="Y21" i="14"/>
  <c r="X198" i="3"/>
  <c r="X22" i="3"/>
  <c r="X234" i="3" s="1"/>
  <c r="Y197" i="3"/>
  <c r="Y25" i="14"/>
  <c r="Y22" i="13"/>
  <c r="X116" i="11"/>
  <c r="X25" i="14"/>
  <c r="X22" i="10"/>
  <c r="X192" i="3"/>
  <c r="Y36" i="8"/>
  <c r="X41" i="9"/>
  <c r="X29" i="19"/>
  <c r="X9" i="20"/>
  <c r="Y73" i="3"/>
  <c r="X112" i="8"/>
  <c r="X233" i="3"/>
  <c r="X22" i="17"/>
  <c r="X13" i="20"/>
  <c r="X44" i="10"/>
  <c r="X205" i="3"/>
  <c r="Y13" i="3"/>
  <c r="X100" i="8"/>
  <c r="Y198" i="3"/>
  <c r="X111" i="8"/>
  <c r="X76" i="11"/>
  <c r="X10" i="20"/>
  <c r="X20" i="19"/>
  <c r="X113" i="8"/>
  <c r="Y22" i="18"/>
  <c r="Y21" i="18"/>
  <c r="X13" i="11"/>
  <c r="X117" i="11"/>
  <c r="X224" i="3"/>
  <c r="Y111" i="11"/>
  <c r="Y42" i="13"/>
  <c r="Y12" i="14"/>
  <c r="Y24" i="14" s="1"/>
  <c r="X183" i="3"/>
  <c r="X182" i="3"/>
  <c r="X13" i="3"/>
  <c r="X195" i="3" s="1"/>
  <c r="X37" i="9"/>
  <c r="X3" i="12"/>
  <c r="X49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3" i="16"/>
  <c r="Y19" i="16"/>
  <c r="Y28" i="16"/>
  <c r="X85" i="8"/>
  <c r="X15" i="8"/>
  <c r="X24" i="9" s="1"/>
  <c r="X49" i="10"/>
  <c r="X8" i="10"/>
  <c r="X60" i="10" s="1"/>
  <c r="Y44" i="10"/>
  <c r="Y55" i="10"/>
  <c r="Y33" i="10"/>
  <c r="Y81" i="3"/>
  <c r="X105" i="8"/>
  <c r="X94" i="8"/>
  <c r="X106" i="8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27" i="19"/>
  <c r="Y23" i="19"/>
  <c r="Y19" i="19"/>
  <c r="X109" i="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Y9" i="17"/>
  <c r="X33" i="10"/>
  <c r="X193" i="3"/>
  <c r="X39" i="3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X35" i="9"/>
  <c r="X10" i="9"/>
  <c r="X57" i="9" s="1"/>
  <c r="Y22" i="17"/>
  <c r="Y53" i="12"/>
  <c r="Y55" i="12"/>
  <c r="X23" i="18"/>
  <c r="X28" i="19"/>
  <c r="Y47" i="12" l="1"/>
  <c r="Y56" i="3"/>
  <c r="X38" i="10"/>
  <c r="Y17" i="12"/>
  <c r="Y67" i="12" s="1"/>
  <c r="Y29" i="19"/>
  <c r="Y54" i="12"/>
  <c r="Y50" i="12"/>
  <c r="Y9" i="20"/>
  <c r="Y48" i="12"/>
  <c r="Y49" i="12"/>
  <c r="Y51" i="12"/>
  <c r="X51" i="12"/>
  <c r="Y195" i="3"/>
  <c r="X95" i="11"/>
  <c r="X29" i="16"/>
  <c r="X19" i="16"/>
  <c r="X27" i="16"/>
  <c r="X204" i="3"/>
  <c r="X59" i="3"/>
  <c r="X153" i="3" s="1"/>
  <c r="X23" i="16"/>
  <c r="X9" i="17"/>
  <c r="Y225" i="3"/>
  <c r="X225" i="3"/>
  <c r="X62" i="10"/>
  <c r="X56" i="3"/>
  <c r="X208" i="3" s="1"/>
  <c r="Y18" i="14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60" i="9"/>
  <c r="X64" i="9"/>
  <c r="X56" i="9"/>
  <c r="X62" i="9"/>
  <c r="X45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1" i="3" l="1"/>
  <c r="X211" i="3"/>
  <c r="X152" i="3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L10" i="20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W23" i="20"/>
  <c r="U18" i="18"/>
  <c r="M22" i="20"/>
  <c r="E23" i="18"/>
  <c r="E22" i="18"/>
  <c r="E13" i="20"/>
  <c r="I22" i="18"/>
  <c r="Q21" i="19"/>
  <c r="U19" i="18"/>
  <c r="Q25" i="19"/>
  <c r="E13" i="18"/>
  <c r="J11" i="20"/>
  <c r="F22" i="20"/>
  <c r="N13" i="20"/>
  <c r="N29" i="3"/>
  <c r="N241" i="3" s="1"/>
  <c r="M23" i="20"/>
  <c r="P10" i="20"/>
  <c r="W24" i="19"/>
  <c r="R21" i="19"/>
  <c r="G18" i="18"/>
  <c r="H25" i="19"/>
  <c r="K23" i="18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21" i="3" l="1"/>
  <c r="N123" i="3"/>
  <c r="U121" i="3"/>
  <c r="F183" i="3"/>
  <c r="U122" i="3"/>
  <c r="H23" i="19"/>
  <c r="N19" i="19"/>
  <c r="N27" i="19"/>
  <c r="Q9" i="20"/>
  <c r="F182" i="3"/>
  <c r="N122" i="3"/>
  <c r="E27" i="19"/>
  <c r="N9" i="20"/>
  <c r="E23" i="19"/>
  <c r="W9" i="20"/>
  <c r="M28" i="19"/>
  <c r="M29" i="19"/>
  <c r="M9" i="20"/>
  <c r="N29" i="19"/>
  <c r="M19" i="19"/>
  <c r="M23" i="19"/>
  <c r="W29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6" i="1"/>
  <c r="B20" i="1"/>
  <c r="B11" i="1"/>
  <c r="B12" i="1"/>
  <c r="B16" i="1"/>
  <c r="B9" i="1"/>
  <c r="B21" i="1"/>
  <c r="B15" i="1"/>
  <c r="B4" i="1"/>
  <c r="B22" i="1"/>
  <c r="B17" i="1"/>
  <c r="B13" i="1"/>
  <c r="B18" i="1"/>
  <c r="B8" i="1"/>
  <c r="B7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 s="1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<sst xmlns="http://schemas.openxmlformats.org/spreadsheetml/2006/main" count="2657" uniqueCount="1169">
  <si>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</si>
  <si>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</si>
  <si>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</si>
  <si>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</si>
  <si>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</si>
  <si>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</si>
  <si>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</si>
  <si>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</si>
  <si>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</si>
  <si>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</si>
  <si>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</si>
  <si>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</si>
  <si>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</si>
  <si>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</si>
  <si>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</si>
  <si>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</si>
  <si>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</si>
  <si>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</si>
  <si>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</si>
  <si>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</si>
  <si>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</si>
  <si>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</si>
  <si>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</si>
  <si>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</si>
  <si>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</si>
  <si>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</si>
  <si>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</si>
  <si>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</si>
  <si>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</si>
  <si>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</si>
  <si>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</si>
  <si>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</si>
  <si>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</si>
  <si>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</si>
  <si>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</si>
  <si>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</si>
  <si>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</si>
  <si>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</si>
  <si>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</si>
  <si>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</si>
  <si>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</si>
  <si>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</si>
  <si>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</si>
  <si>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</si>
  <si>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</si>
  <si>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</si>
  <si>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</si>
  <si>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</si>
  <si>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</si>
  <si>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</si>
  <si>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</si>
  <si>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</si>
  <si>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</si>
  <si>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</si>
  <si>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</si>
  <si>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</si>
  <si>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</si>
  <si>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</si>
  <si>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</si>
  <si>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</si>
  <si>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</si>
  <si>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</si>
  <si>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</si>
  <si>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</si>
  <si>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</si>
  <si>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</si>
  <si>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</si>
  <si>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</si>
  <si>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</si>
  <si>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</si>
  <si>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</si>
  <si>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</si>
  <si>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</si>
  <si>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</si>
  <si>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</si>
  <si>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</si>
  <si>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</si>
  <si>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</si>
  <si>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</si>
  <si>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</si>
  <si>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</si>
  <si>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</si>
  <si>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</si>
  <si>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</si>
  <si>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</si>
  <si>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</si>
  <si>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</si>
  <si>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</si>
  <si>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</si>
  <si>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</si>
  <si>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</si>
  <si>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</si>
  <si>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</si>
  <si>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</si>
  <si>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</si>
  <si>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</si>
  <si>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</si>
  <si>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</si>
  <si>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</si>
  <si>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</si>
  <si>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</si>
  <si>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</si>
  <si>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</si>
  <si>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</si>
  <si>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</si>
  <si>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</si>
  <si>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</si>
  <si>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</si>
  <si>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</si>
  <si>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</si>
  <si>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</si>
  <si>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</si>
  <si>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</si>
  <si>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</si>
  <si>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</si>
  <si>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</si>
  <si>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</si>
  <si>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</si>
  <si>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</si>
  <si>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</si>
  <si>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</si>
  <si>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</si>
  <si>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</si>
  <si>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</si>
  <si>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</si>
  <si>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</si>
  <si>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</si>
  <si>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</si>
  <si>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</si>
  <si>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</si>
  <si>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</si>
  <si>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</si>
  <si>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</si>
  <si>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</si>
  <si>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</si>
  <si>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</si>
  <si>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</si>
  <si>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</si>
  <si>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</si>
  <si>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</si>
  <si>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</si>
  <si>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</si>
  <si>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</si>
  <si>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</si>
  <si>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</si>
  <si>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</si>
  <si>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</si>
  <si>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</si>
  <si>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</si>
  <si>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</si>
  <si>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</si>
  <si>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</si>
  <si>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</si>
  <si>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</si>
  <si>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</si>
  <si>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</si>
  <si>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</si>
  <si>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</si>
  <si>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</si>
  <si>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</si>
  <si>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</si>
  <si>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</si>
  <si>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</si>
  <si>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</si>
  <si>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</si>
  <si>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</si>
  <si>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</si>
  <si>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</si>
  <si>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</si>
  <si>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</si>
  <si>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</si>
  <si>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</si>
  <si>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</si>
  <si>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</si>
  <si>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</si>
  <si>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</si>
  <si>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</si>
  <si>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</si>
  <si>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</si>
  <si>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</si>
  <si>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</si>
  <si>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</si>
  <si>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</si>
  <si>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</si>
  <si>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</si>
  <si>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</si>
  <si>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</si>
  <si>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BG</t>
  </si>
  <si>
    <t>Bulgaria</t>
  </si>
  <si>
    <t>Aviation - BG - Bulgaria</t>
  </si>
  <si>
    <t>Activity.Mpkm.BG.Tr.Avia.Passenger</t>
  </si>
  <si>
    <t>Activity.Mpkm.BG.Tr.Avia.Passenger.Domestic</t>
  </si>
  <si>
    <t>Activity.Mpkm.BG.Tr.Avia.Passenger.IntraEEAwCHUK</t>
  </si>
  <si>
    <t>Activity.Mpkm.BG.Tr.Avia.Passenger.ExtraEEAwCHUK</t>
  </si>
  <si>
    <t>Activity.Mtkm.BG.Tr.Avia.Freight</t>
  </si>
  <si>
    <t>Activity.Mtkm.BG.Tr.Avia.Freight.Domestic</t>
  </si>
  <si>
    <t>Activity.Mtkm.BG.Tr.Avia.Freight.IntraEEAwCHUK</t>
  </si>
  <si>
    <t>Activity.Mtkm.BG.Tr.Avia.Freight.ExtraEEAwCHUK</t>
  </si>
  <si>
    <t>VehicleKm.Mkm.BG.Tr.Avia</t>
  </si>
  <si>
    <t>VehicleKm.Mkm.BG.Tr.Avia.Passenger</t>
  </si>
  <si>
    <t>VehicleKm.Mkm.BG.Tr.Avia.Passenger.Domestic</t>
  </si>
  <si>
    <t>VehicleKm.Mkm.BG.Tr.Avia.Passenger.IntraEEAwCHUK</t>
  </si>
  <si>
    <t>VehicleKm.Mkm.BG.Tr.Avia.Passenger.ExtraEEAwCHUK</t>
  </si>
  <si>
    <t>VehicleKm.Mkm.BG.Tr.Avia.Freight</t>
  </si>
  <si>
    <t>VehicleKm.Mkm.BG.Tr.Avia.Freight.Domestic</t>
  </si>
  <si>
    <t>VehicleKm.Mkm.BG.Tr.Avia.Freight.IntraEEAwCHUK</t>
  </si>
  <si>
    <t>VehicleKm.Mkm.BG.Tr.Avia.Freight.ExtraEEAwCHUK</t>
  </si>
  <si>
    <t>Flights.number.BG.Tr.Avia</t>
  </si>
  <si>
    <t>Flights.number.BG.Tr.Avia.Passenger</t>
  </si>
  <si>
    <t>Flights.number.BG.Tr.Avia.Passenger.Domestic</t>
  </si>
  <si>
    <t>Flights.number.BG.Tr.Avia.Passenger.IntraEEAwCHUK</t>
  </si>
  <si>
    <t>Flights.number.BG.Tr.Avia.Passenger.ExtraEEAwCHUK</t>
  </si>
  <si>
    <t>Flights.number.BG.Tr.Avia.Freight</t>
  </si>
  <si>
    <t>Flights.number.BG.Tr.Avia.Freight.Domestic</t>
  </si>
  <si>
    <t>Flights.number.BG.Tr.Avia.Freight.IntraEEAwCHUK</t>
  </si>
  <si>
    <t>Flights.number.BG.Tr.Avia.Freight.ExtraEEAwCHUK</t>
  </si>
  <si>
    <t>VolCarried.passenger.BG.Tr.Avia.Passenger</t>
  </si>
  <si>
    <t>VolCarried.passenger.BG.Tr.Avia.Passenger.Domestic</t>
  </si>
  <si>
    <t>VolCarried.passenger.BG.Tr.Avia.Passenger.IntraEEAwCHUK</t>
  </si>
  <si>
    <t>VolCarried.passenger.BG.Tr.Avia.Passenger.ExtraEEAwCHUK</t>
  </si>
  <si>
    <t>VolCarried.t.BG.Tr.Avia.Freight</t>
  </si>
  <si>
    <t>VolCarried.t.BG.Tr.Avia.Freight.Domestic</t>
  </si>
  <si>
    <t>VolCarried.t.BG.Tr.Avia.Freight.IntraEEAwCHUK</t>
  </si>
  <si>
    <t>VolCarried.t.BG.Tr.Avia.Freight.ExtraEEAwCHUK</t>
  </si>
  <si>
    <t>Stock.number.BG.Tr.Avia</t>
  </si>
  <si>
    <t>Stock.number.BG.Tr.Avia.Passenger</t>
  </si>
  <si>
    <t>Stock.number.BG.Tr.Avia.Passenger.Domestic</t>
  </si>
  <si>
    <t>Stock.number.BG.Tr.Avia.Passenger.IntraEEAwCHUK</t>
  </si>
  <si>
    <t>Stock.number.BG.Tr.Avia.Passenger.ExtraEEAwCHUK</t>
  </si>
  <si>
    <t>Stock.number.BG.Tr.Avia.Freight</t>
  </si>
  <si>
    <t>Stock.number.BG.Tr.Avia.Freight.Domestic</t>
  </si>
  <si>
    <t>Stock.number.BG.Tr.Avia.Freight.IntraEEAwCHUK</t>
  </si>
  <si>
    <t>Stock.number.BG.Tr.Avia.Freight.ExtraEEAwCHUK</t>
  </si>
  <si>
    <t>StockNew.number.BG.Tr.Avia</t>
  </si>
  <si>
    <t>StockNew.number.BG.Tr.Avia.Passenger</t>
  </si>
  <si>
    <t>StockNew.number.BG.Tr.Avia.Passenger.Domestic</t>
  </si>
  <si>
    <t>StockNew.number.BG.Tr.Avia.Passenger.IntraEEAwCHUK</t>
  </si>
  <si>
    <t>StockNew.number.BG.Tr.Avia.Passenger.ExtraEEAwCHUK</t>
  </si>
  <si>
    <t>StockNew.number.BG.Tr.Avia.Freight</t>
  </si>
  <si>
    <t>StockNew.number.BG.Tr.Avia.Freight.Domestic</t>
  </si>
  <si>
    <t>StockNew.number.BG.Tr.Avia.Freight.IntraEEAwCHUK</t>
  </si>
  <si>
    <t>StockNew.number.BG.Tr.Avia.Freight.ExtraEEAwCHUK</t>
  </si>
  <si>
    <t>Load.passenger_per_movement.BG.Tr.Avia.Passenger</t>
  </si>
  <si>
    <t>Load.passenger_per_movement.BG.Tr.Avia.Passenger.Domestic</t>
  </si>
  <si>
    <t>Load.passenger_per_movement.BG.Tr.Avia.Passenger.IntraEEAwCHUK</t>
  </si>
  <si>
    <t>Load.passenger_per_movement.BG.Tr.Avia.Passenger.ExtraEEAwCHUK</t>
  </si>
  <si>
    <t>Load.t_per_movement.BG.Tr.Avia.Freight</t>
  </si>
  <si>
    <t>Load.t_per_movement.BG.Tr.Avia.Freight.Domestic</t>
  </si>
  <si>
    <t>Load.t_per_movement.BG.Tr.Avia.Freight.IntraEEAwCHUK</t>
  </si>
  <si>
    <t>Load.t_per_movement.BG.Tr.Avia.Freight.ExtraEEAwCHUK</t>
  </si>
  <si>
    <t>VehicleKm_per_flight.km.BG.Tr.Avia</t>
  </si>
  <si>
    <t>VehicleKm_per_flight.km.BG.Tr.Avia.Passenger</t>
  </si>
  <si>
    <t>VehicleKm_per_flight.km.BG.Tr.Avia.Passenger.Domestic</t>
  </si>
  <si>
    <t>VehicleKm_per_flight.km.BG.Tr.Avia.Passenger.IntraEEAwCHUK</t>
  </si>
  <si>
    <t>VehicleKm_per_flight.km.BG.Tr.Avia.Passenger.ExtraEEAwCHUK</t>
  </si>
  <si>
    <t>VehicleKm_per_flight.km.BG.Tr.Avia.Freight</t>
  </si>
  <si>
    <t>VehicleKm_per_flight.km.BG.Tr.Avia.Freight.Domestic</t>
  </si>
  <si>
    <t>VehicleKm_per_flight.km.BG.Tr.Avia.Freight.IntraEEAwCHUK</t>
  </si>
  <si>
    <t>VehicleKm_per_flight.km.BG.Tr.Avia.Freight.ExtraEEAwCHUK</t>
  </si>
  <si>
    <t>Activity_per_flight.pkm.BG.Tr.Avia.Passenger</t>
  </si>
  <si>
    <t>Activity_per_flight.pkm.BG.Tr.Avia.Passenger.Domestic</t>
  </si>
  <si>
    <t>Activity_per_flight.pkm.BG.Tr.Avia.Passenger.IntraEEAwCHUK</t>
  </si>
  <si>
    <t>Activity_per_flight.pkm.BG.Tr.Avia.Passenger.ExtraEEAwCHUK</t>
  </si>
  <si>
    <t>Activity_per_flight.tkm.BG.Tr.Avia.Freight</t>
  </si>
  <si>
    <t>Activity_per_flight.tkm.BG.Tr.Avia.Freight.Domestic</t>
  </si>
  <si>
    <t>Activity_per_flight.tkm.BG.Tr.Avia.Freight.IntraEEAwCHUK</t>
  </si>
  <si>
    <t>Activity_per_flight.tkm.BG.Tr.Avia.Freight.ExtraEEAwCHUK</t>
  </si>
  <si>
    <t>Flights_per_vehicle.number.BG.Tr.Avia</t>
  </si>
  <si>
    <t>Flights_per_vehicle.number.BG.Tr.Avia.Passenger</t>
  </si>
  <si>
    <t>Flights_per_vehicle.number.BG.Tr.Avia.Passenger.Domestic</t>
  </si>
  <si>
    <t>Flights_per_vehicle.number.BG.Tr.Avia.Passenger.IntraEEAwCHUK</t>
  </si>
  <si>
    <t>Flights_per_vehicle.number.BG.Tr.Avia.Passenger.ExtraEEAwCHUK</t>
  </si>
  <si>
    <t>Flights_per_vehicle.number.BG.Tr.Avia.Freight</t>
  </si>
  <si>
    <t>Flights_per_vehicle.number.BG.Tr.Avia.Freight.Domestic</t>
  </si>
  <si>
    <t>Flights_per_vehicle.number.BG.Tr.Avia.Freight.IntraEEAwCHUK</t>
  </si>
  <si>
    <t>Flights_per_vehicle.number.BG.Tr.Avia.Freight.ExtraEEAwCHUK</t>
  </si>
  <si>
    <t>Aviation / energy consumption - BG - Bulgaria</t>
  </si>
  <si>
    <t>FEC.ktoe.BG.Tr.Avia</t>
  </si>
  <si>
    <t>FEC.ktoe.BG.Tr.Avia.Domestic</t>
  </si>
  <si>
    <t>FEC.ktoe.BG.Tr.Avia.International</t>
  </si>
  <si>
    <t>FEC.ktoe.BG.Tr.Avia.Passenger</t>
  </si>
  <si>
    <t>FEC.ktoe.BG.Tr.Avia.Passenger.Domestic</t>
  </si>
  <si>
    <t>FEC.ktoe.BG.Tr.Avia.Passenger.IntraEEAwCHUK</t>
  </si>
  <si>
    <t>FEC.ktoe.BG.Tr.Avia.Passenger.ExtraEEAwCHUK</t>
  </si>
  <si>
    <t>FEC.ktoe.BG.Tr.Avia.Freight</t>
  </si>
  <si>
    <t>FEC.ktoe.BG.Tr.Avia.Freight.Domestic</t>
  </si>
  <si>
    <t>FEC.ktoe.BG.Tr.Avia.Freight.IntraEEAwCHUK</t>
  </si>
  <si>
    <t>FEC.ktoe.BG.Tr.Avia.Freight.ExtraEEAwCHUK</t>
  </si>
  <si>
    <t>Eff.kgoe_per_100km.BG.Tr.Avia</t>
  </si>
  <si>
    <t>Eff.kgoe_per_100km.BG.Tr.Avia.Passenger</t>
  </si>
  <si>
    <t>Eff.kgoe_per_100km.BG.Tr.Avia.Passenger.Domestic</t>
  </si>
  <si>
    <t>Eff.kgoe_per_100km.BG.Tr.Avia.Passenger.IntraEEAwCHUK</t>
  </si>
  <si>
    <t>Eff.kgoe_per_100km.BG.Tr.Avia.Passenger.ExtraEEAwCHUK</t>
  </si>
  <si>
    <t>Eff.kgoe_per_100km.BG.Tr.Avia.Freight</t>
  </si>
  <si>
    <t>Eff.kgoe_per_100km.BG.Tr.Avia.Freight.Domestic</t>
  </si>
  <si>
    <t>Eff.kgoe_per_100km.BG.Tr.Avia.Freight.IntraEEAwCHUK</t>
  </si>
  <si>
    <t>Eff.kgoe_per_100km.BG.Tr.Avia.Freight.ExtraEEAwCHUK</t>
  </si>
  <si>
    <t>Eff.kgoe_per_kpkm.BG.Tr.Avia.Passenger</t>
  </si>
  <si>
    <t>Eff.kgoe_per_kpkm.BG.Tr.Avia.Passenger.Domestic</t>
  </si>
  <si>
    <t>Eff.kgoe_per_kpkm.BG.Tr.Avia.Passenger.IntraEEAwCHUK</t>
  </si>
  <si>
    <t>Eff.kgoe_per_kpkm.BG.Tr.Avia.Passenger.ExtraEEAwCHUK</t>
  </si>
  <si>
    <t>Eff.kgoe_per_ktkm.BG.Tr.Avia.Freight</t>
  </si>
  <si>
    <t>Eff.kgoe_per_ktkm.BG.Tr.Avia.Freight.Domestic</t>
  </si>
  <si>
    <t>Eff.kgoe_per_ktkm.BG.Tr.Avia.Freight.IntraEEAwCHUK</t>
  </si>
  <si>
    <t>Eff.kgoe_per_ktkm.BG.Tr.Avia.Freight.ExtraEEAwCHUK</t>
  </si>
  <si>
    <t>FEC_per_flight.kgoe.BG.Tr.Avia</t>
  </si>
  <si>
    <t>FEC_per_flight.kgoe.BG.Tr.Avia.Passenger</t>
  </si>
  <si>
    <t>FEC_per_flight.kgoe.BG.Tr.Avia.Passenger.Domestic</t>
  </si>
  <si>
    <t>FEC_per_flight.kgoe.BG.Tr.Avia.Passenger.IntraEEAwCHUK</t>
  </si>
  <si>
    <t>FEC_per_flight.kgoe.BG.Tr.Avia.Passenger.ExtraEEAwCHUK</t>
  </si>
  <si>
    <t>FEC_per_flight.kgoe.BG.Tr.Avia.Freight</t>
  </si>
  <si>
    <t>FEC_per_flight.kgoe.BG.Tr.Avia.Freight.Domestic</t>
  </si>
  <si>
    <t>FEC_per_flight.kgoe.BG.Tr.Avia.Freight.IntraEEAwCHUK</t>
  </si>
  <si>
    <t>FEC_per_flight.kgoe.BG.Tr.Avia.Freight.ExtraEEAwCHUK</t>
  </si>
  <si>
    <t>Eff_theor.kgoe_per_100km.BG.Tr.Avia</t>
  </si>
  <si>
    <t>Eff_theor.kgoe_per_100km.BG.Tr.Avia.Passenger</t>
  </si>
  <si>
    <t>Eff_theor.kgoe_per_100km.BG.Tr.Avia.Passenger.Domestic</t>
  </si>
  <si>
    <t>Eff_theor.kgoe_per_100km.BG.Tr.Avia.Passenger.IntraEEAwCHUK</t>
  </si>
  <si>
    <t>Eff_theor.kgoe_per_100km.BG.Tr.Avia.Passenger.ExtraEEAwCHUK</t>
  </si>
  <si>
    <t>Eff_theor.kgoe_per_100km.BG.Tr.Avia.Freight</t>
  </si>
  <si>
    <t>Eff_theor.kgoe_per_100km.BG.Tr.Avia.Freight.Domestic</t>
  </si>
  <si>
    <t>Eff_theor.kgoe_per_100km.BG.Tr.Avia.Freight.IntraEEAwCHUK</t>
  </si>
  <si>
    <t>Eff_theor.kgoe_per_100km.BG.Tr.Avia.Freight.ExtraEEAwCHUK</t>
  </si>
  <si>
    <t>Aviation / CO2 emissions - BG - Bulgaria</t>
  </si>
  <si>
    <t>EMI.ktCO2.BG.Tr.Avia</t>
  </si>
  <si>
    <t>EMI.ktCO2.BG.Tr.Avia.Domestic</t>
  </si>
  <si>
    <t>EMI.ktCO2.BG.Tr.Avia.International</t>
  </si>
  <si>
    <t>EMI.ktCO2.BG.Tr.Avia.Passenger</t>
  </si>
  <si>
    <t>EMI.ktCO2.BG.Tr.Avia.Passenger.Domestic</t>
  </si>
  <si>
    <t>EMI.ktCO2.BG.Tr.Avia.Passenger.IntraEEAwCHUK</t>
  </si>
  <si>
    <t>EMI.ktCO2.BG.Tr.Avia.Passenger.ExtraEEAwCHUK</t>
  </si>
  <si>
    <t>EMI.ktCO2.BG.Tr.Avia.Freight</t>
  </si>
  <si>
    <t>EMI.ktCO2.BG.Tr.Avia.Freight.Domestic</t>
  </si>
  <si>
    <t>EMI.ktCO2.BG.Tr.Avia.Freight.IntraEEAwCHUK</t>
  </si>
  <si>
    <t>EMI.ktCO2.BG.Tr.Avia.Freight.ExtraEEAwCHUK</t>
  </si>
  <si>
    <t>EMIint.gCO2_per_km.BG.Tr.Avia</t>
  </si>
  <si>
    <t>EMIint.gCO2_per_km.BG.Tr.Avia.Passenger</t>
  </si>
  <si>
    <t>EMIint.gCO2_per_km.BG.Tr.Avia.Passenger.Domestic</t>
  </si>
  <si>
    <t>EMIint.gCO2_per_km.BG.Tr.Avia.Passenger.IntraEEAwCHUK</t>
  </si>
  <si>
    <t>EMIint.gCO2_per_km.BG.Tr.Avia.Passenger.ExtraEEAwCHUK</t>
  </si>
  <si>
    <t>EMIint.gCO2_per_km.BG.Tr.Avia.Freight</t>
  </si>
  <si>
    <t>EMIint.gCO2_per_km.BG.Tr.Avia.Freight.Domestic</t>
  </si>
  <si>
    <t>EMIint.gCO2_per_km.BG.Tr.Avia.Freight.IntraEEAwCHUK</t>
  </si>
  <si>
    <t>EMIint.gCO2_per_km.BG.Tr.Avia.Freight.ExtraEEAwCHUK</t>
  </si>
  <si>
    <t>EMIint.gCO2_per_pkm.BG.Tr.Avia.Passenger</t>
  </si>
  <si>
    <t>EMIint.gCO2_per_pkm.BG.Tr.Avia.Passenger.Domestic</t>
  </si>
  <si>
    <t>EMIint.gCO2_per_pkm.BG.Tr.Avia.Passenger.IntraEEAwCHUK</t>
  </si>
  <si>
    <t>EMIint.gCO2_per_pkm.BG.Tr.Avia.Passenger.ExtraEEAwCHUK</t>
  </si>
  <si>
    <t>EMIint.gCO2_per_tkm.BG.Tr.Avia.Freight</t>
  </si>
  <si>
    <t>EMIint.gCO2_per_tkm.BG.Tr.Avia.Freight.Domestic</t>
  </si>
  <si>
    <t>EMIint.gCO2_per_tkm.BG.Tr.Avia.Freight.IntraEEAwCHUK</t>
  </si>
  <si>
    <t>EMIint.gCO2_per_tkm.BG.Tr.Avia.Freight.ExtraEEAwCHUK</t>
  </si>
  <si>
    <t>EMI_per_flight.kgCO2.BG.Tr.Avia</t>
  </si>
  <si>
    <t>EMI_per_flight.kgCO2.BG.Tr.Avia.Passenger</t>
  </si>
  <si>
    <t>EMI_per_flight.kgCO2.BG.Tr.Avia.Passenger.Domestic</t>
  </si>
  <si>
    <t>EMI_per_flight.kgCO2.BG.Tr.Avia.Passenger.IntraEEAwCHUK</t>
  </si>
  <si>
    <t>EMI_per_flight.kgCO2.BG.Tr.Avia.Passenger.ExtraEEAwCHUK</t>
  </si>
  <si>
    <t>EMI_per_flight.kgCO2.BG.Tr.Avia.Freight</t>
  </si>
  <si>
    <t>EMI_per_flight.kgCO2.BG.Tr.Avia.Freight.Domestic</t>
  </si>
  <si>
    <t>EMI_per_flight.kgCO2.BG.Tr.Avia.Freight.IntraEEAwCHUK</t>
  </si>
  <si>
    <t>EMI_per_flight.kgCO2.BG.Tr.Avia.Freight.ExtraEEAwCHUK</t>
  </si>
  <si>
    <t>Aviation / passenger transport specific data - BG - Bulgaria</t>
  </si>
  <si>
    <t>TrCap.seats.BG.Tr.Avia.Passenger</t>
  </si>
  <si>
    <t>TrCap.seats.BG.Tr.Avia.Passenger.Domestic</t>
  </si>
  <si>
    <t>TrCap.seats.BG.Tr.Avia.Passenger.IntraEEAwCHUK</t>
  </si>
  <si>
    <t>TrCap.seats.BG.Tr.Avia.Passenger.ExtraEEAwCHUK</t>
  </si>
  <si>
    <t>TrCap_per_flight.seats.BG.Tr.Avia.Passenger</t>
  </si>
  <si>
    <t>TrCap_per_flight.seats.BG.Tr.Avia.Passenger.Domestic</t>
  </si>
  <si>
    <t>TrCap_per_flight.seats.BG.Tr.Avia.Passenger.IntraEEAwCHUK</t>
  </si>
  <si>
    <t>TrCap_per_flight.seats.BG.Tr.Avia.Passenger.ExtraEEAwCHUK</t>
  </si>
  <si>
    <t>Transport overview - BG - Bulgaria</t>
  </si>
  <si>
    <t>Activity.Mpkm.BG.Tr</t>
  </si>
  <si>
    <t>Activity.Mpkm.BG.Tr.Road.Passenger</t>
  </si>
  <si>
    <t>Activity.Mpkm.BG.Tr.Road.Passenger.P2W</t>
  </si>
  <si>
    <t>Activity.Mpkm.BG.Tr.Road.Passenger.Car</t>
  </si>
  <si>
    <t>Activity.Mpkm.BG.Tr.Road.Passenger.Bus</t>
  </si>
  <si>
    <t>Activity.Mpkm.BG.Tr.Rail.Passenger</t>
  </si>
  <si>
    <t>Activity.Mpkm.BG.Tr.Rail.Passenger.MTU</t>
  </si>
  <si>
    <t>Activity.Mpkm.BG.Tr.Rail.Passenger.CPT</t>
  </si>
  <si>
    <t>Activity.Mpkm.BG.Tr.Rail.Passenger.HST</t>
  </si>
  <si>
    <t>Activity.Mtkm.BG.Tr</t>
  </si>
  <si>
    <t>Activity.Mtkm.BG.Tr.Road.Freight</t>
  </si>
  <si>
    <t>Activity.Mtkm.BG.Tr.Road.Freight.LCV</t>
  </si>
  <si>
    <t>Activity.Mtkm.BG.Tr.Road.Freight.HGV_All</t>
  </si>
  <si>
    <t>Activity.Mtkm.BG.Tr.Rail.Freight</t>
  </si>
  <si>
    <t>Activity.Mtkm.BG.Tr.DNavi.Freight</t>
  </si>
  <si>
    <t>Activity.Mtkm.BG.Tr.DNavi.Freight.DCS</t>
  </si>
  <si>
    <t>Activity.Mtkm.BG.Tr.DNavi.Freight.IWW</t>
  </si>
  <si>
    <t>Activity.Mtkm.BG.MBunk.Freight</t>
  </si>
  <si>
    <t>Activity.Mtkm.BG.MBunk.Freight.IntraEEA</t>
  </si>
  <si>
    <t>Activity.Mtkm.BG.MBunk.Freight.ExtraEEA</t>
  </si>
  <si>
    <t>FEC.ktoe.BG.Tr.Road.Passenger</t>
  </si>
  <si>
    <t>FEC.ktoe.BG.Tr.Road.Passenger.P2W</t>
  </si>
  <si>
    <t>FEC.ktoe.BG.Tr.Road.Passenger.Car</t>
  </si>
  <si>
    <t>FEC.ktoe.BG.Tr.Road.Passenger.Bus</t>
  </si>
  <si>
    <t>FEC.ktoe.BG.Tr.Rail.Passenger</t>
  </si>
  <si>
    <t>FEC.ktoe.BG.Tr.Rail.Passenger.MTU</t>
  </si>
  <si>
    <t>FEC.ktoe.BG.Tr.Rail.Passenger.CPT</t>
  </si>
  <si>
    <t>FEC.ktoe.BG.Tr.Rail.Passenger.HST</t>
  </si>
  <si>
    <t>FEC.ktoe.BG.Tr.Road.Freight</t>
  </si>
  <si>
    <t>FEC.ktoe.BG.Tr.Road.Freight.LCV</t>
  </si>
  <si>
    <t>FEC.ktoe.BG.Tr.Road.Freight.HGV_All</t>
  </si>
  <si>
    <t>FEC.ktoe.BG.Tr.Rail.Freight</t>
  </si>
  <si>
    <t>EMI.ktCO2.BG.Tr.Road.Passenger</t>
  </si>
  <si>
    <t>EMI.ktCO2.BG.Tr.Road.Passenger.P2W</t>
  </si>
  <si>
    <t>EMI.ktCO2.BG.Tr.Road.Passenger.Car</t>
  </si>
  <si>
    <t>EMI.ktCO2.BG.Tr.Road.Passenger.Bus</t>
  </si>
  <si>
    <t>EMI.ktCO2.BG.Tr.Rail.Passenger</t>
  </si>
  <si>
    <t>EMI.ktCO2.BG.Tr.Rail.Passenger.MTU</t>
  </si>
  <si>
    <t>EMI.ktCO2.BG.Tr.Rail.Passenger.CPT</t>
  </si>
  <si>
    <t>EMI.ktCO2.BG.Tr.Rail.Passenger.HST</t>
  </si>
  <si>
    <t>EMI.ktCO2.BG.Tr.Road.Freight</t>
  </si>
  <si>
    <t>EMI.ktCO2.BG.Tr.Road.Freight.LCV</t>
  </si>
  <si>
    <t>EMI.ktCO2.BG.Tr.Road.Freight.HGV_All</t>
  </si>
  <si>
    <t>EMI.ktCO2.BG.Tr.Rail.Freight</t>
  </si>
  <si>
    <t>Eff.kgoe_per_kpkm.BG.Tr</t>
  </si>
  <si>
    <t>Eff.kgoe_per_kpkm.BG.Tr.Road.Passenger</t>
  </si>
  <si>
    <t>Eff.kgoe_per_kpkm.BG.Tr.Road.Passenger.P2W</t>
  </si>
  <si>
    <t>Eff.kgoe_per_kpkm.BG.Tr.Road.Passenger.Car</t>
  </si>
  <si>
    <t>Eff.kgoe_per_kpkm.BG.Tr.Road.Passenger.Bus</t>
  </si>
  <si>
    <t>Eff.kgoe_per_kpkm.BG.Tr.Rail.Passenger</t>
  </si>
  <si>
    <t>Eff.kgoe_per_kpkm.BG.Tr.Rail.Passenger.MTU</t>
  </si>
  <si>
    <t>Eff.kgoe_per_kpkm.BG.Tr.Rail.Passenger.CPT</t>
  </si>
  <si>
    <t>Eff.kgoe_per_kpkm.BG.Tr.Rail.Passenger.HST</t>
  </si>
  <si>
    <t>Eff.kgoe_per_ktkm.BG.Tr</t>
  </si>
  <si>
    <t>Eff.kgoe_per_ktkm.BG.Tr.Road.Freight</t>
  </si>
  <si>
    <t>Eff.kgoe_per_ktkm.BG.Tr.Road.Freight.LCV</t>
  </si>
  <si>
    <t>Eff.kgoe_per_ktkm.BG.Tr.Road.Freight.HGV_All</t>
  </si>
  <si>
    <t>Eff.kgoe_per_ktkm.BG.Tr.Rail.Freight</t>
  </si>
  <si>
    <t>Eff.kgoe_per_ktkm.BG.Tr.DNavi.Freight</t>
  </si>
  <si>
    <t>Eff.kgoe_per_ktkm.BG.Tr.DNavi.Freight.DCS</t>
  </si>
  <si>
    <t>Eff.kgoe_per_ktkm.BG.Tr.DNavi.Freight.IWW</t>
  </si>
  <si>
    <t>Eff.kgoe_per_ktkm.BG.MBunk.Freight</t>
  </si>
  <si>
    <t>Eff.kgoe_per_ktkm.BG.MBunk.Freight.IntraEEA</t>
  </si>
  <si>
    <t>Eff.kgoe_per_ktkm.BG.MBunk.Freight.ExtraEEA</t>
  </si>
  <si>
    <t>EMIint.gCO2_per_pkm.BG.Tr</t>
  </si>
  <si>
    <t>EMIint.gCO2_per_pkm.BG.Tr.Road.Passenger</t>
  </si>
  <si>
    <t>EMIint.gCO2_per_pkm.BG.Tr.Road.Passenger.P2W</t>
  </si>
  <si>
    <t>EMIint.gCO2_per_pkm.BG.Tr.Road.Passenger.Car</t>
  </si>
  <si>
    <t>EMIint.gCO2_per_pkm.BG.Tr.Road.Passenger.Bus</t>
  </si>
  <si>
    <t>EMIint.gCO2_per_pkm.BG.Tr.Rail.Passenger</t>
  </si>
  <si>
    <t>EMIint.gCO2_per_pkm.BG.Tr.Rail.Passenger.MTU</t>
  </si>
  <si>
    <t>EMIint.gCO2_per_pkm.BG.Tr.Rail.Passenger.CPT</t>
  </si>
  <si>
    <t>EMIint.gCO2_per_pkm.BG.Tr.Rail.Passenger.HST</t>
  </si>
  <si>
    <t>EMIint.gCO2_per_tkm.BG.Tr</t>
  </si>
  <si>
    <t>EMIint.gCO2_per_tkm.BG.Tr.Road.Freight</t>
  </si>
  <si>
    <t>EMIint.gCO2_per_tkm.BG.Tr.Road.Freight.LCV</t>
  </si>
  <si>
    <t>EMIint.gCO2_per_tkm.BG.Tr.Road.Freight.HGV_All</t>
  </si>
  <si>
    <t>EMIint.gCO2_per_tkm.BG.Tr.Rail.Freight</t>
  </si>
  <si>
    <t>EMIint.gCO2_per_tkm.BG.Tr.DNavi.Freight</t>
  </si>
  <si>
    <t>EMIint.gCO2_per_tkm.BG.Tr.DNavi.Freight.DCS</t>
  </si>
  <si>
    <t>EMIint.gCO2_per_tkm.BG.Tr.DNavi.Freight.IWW</t>
  </si>
  <si>
    <t>EMIint.gCO2_per_tkm.BG.MBunk.Freight</t>
  </si>
  <si>
    <t>EMIint.gCO2_per_tkm.BG.MBunk.Freight.IntraEEA</t>
  </si>
  <si>
    <t>EMIint.gCO2_per_tkm.BG.MBunk.Freight.ExtraEEA</t>
  </si>
  <si>
    <t>Road transport - BG - Bulgaria</t>
  </si>
  <si>
    <t>Activity.Mpkm.BG.Tr.Road.Passenger.Car.ICE.Gasoline</t>
  </si>
  <si>
    <t>Activity.Mpkm.BG.Tr.Road.Passenger.Car.ICE.Diesel</t>
  </si>
  <si>
    <t>Activity.Mpkm.BG.Tr.Road.Passenger.Car.ICE.LPG</t>
  </si>
  <si>
    <t>Activity.Mpkm.BG.Tr.Road.Passenger.Car.ICE.NGas</t>
  </si>
  <si>
    <t>Activity.Mpkm.BG.Tr.Road.Passenger.Car.PHEV.Gasoline</t>
  </si>
  <si>
    <t>Activity.Mpkm.BG.Tr.Road.Passenger.Car.BEV</t>
  </si>
  <si>
    <t>Activity.Mpkm.BG.Tr.Road.Passenger.Bus.ICE.Gasoline</t>
  </si>
  <si>
    <t>Activity.Mpkm.BG.Tr.Road.Passenger.Bus.ICE.Diesel</t>
  </si>
  <si>
    <t>Activity.Mpkm.BG.Tr.Road.Passenger.Bus.ICE.LPG</t>
  </si>
  <si>
    <t>Activity.Mpkm.BG.Tr.Road.Passenger.Bus.ICE.NGas</t>
  </si>
  <si>
    <t>Activity.Mpkm.BG.Tr.Road.Passenger.Bus.BEV</t>
  </si>
  <si>
    <t>Activity.Mtkm.BG.Tr.Road.Freight.LCV.ICE.Gasoline</t>
  </si>
  <si>
    <t>Activity.Mtkm.BG.Tr.Road.Freight.LCV.ICE.Diesel</t>
  </si>
  <si>
    <t>Activity.Mtkm.BG.Tr.Road.Freight.LCV.ICE.LPG</t>
  </si>
  <si>
    <t>Activity.Mtkm.BG.Tr.Road.Freight.LCV.ICE.NGas</t>
  </si>
  <si>
    <t>Activity.Mtkm.BG.Tr.Road.Freight.LCV.BEV</t>
  </si>
  <si>
    <t>Activity.Mtkm.BG.Tr.Road.Freight.HGV_Domestic</t>
  </si>
  <si>
    <t>Activity.Mtkm.BG.Tr.Road.Freight.HGV_International</t>
  </si>
  <si>
    <t>VehicleKm.Mkm.BG.Tr.Road</t>
  </si>
  <si>
    <t>VehicleKm.Mkm.BG.Tr.Road.Passenger</t>
  </si>
  <si>
    <t>VehicleKm.Mkm.BG.Tr.Road.Passenger.P2W</t>
  </si>
  <si>
    <t>VehicleKm.Mkm.BG.Tr.Road.Passenger.Car</t>
  </si>
  <si>
    <t>VehicleKm.Mkm.BG.Tr.Road.Passenger.Car.ICE.Gasoline</t>
  </si>
  <si>
    <t>VehicleKm.Mkm.BG.Tr.Road.Passenger.Car.ICE.Diesel</t>
  </si>
  <si>
    <t>VehicleKm.Mkm.BG.Tr.Road.Passenger.Car.ICE.LPG</t>
  </si>
  <si>
    <t>VehicleKm.Mkm.BG.Tr.Road.Passenger.Car.ICE.NGas</t>
  </si>
  <si>
    <t>VehicleKm.Mkm.BG.Tr.Road.Passenger.Car.PHEV.Gasoline</t>
  </si>
  <si>
    <t>VehicleKm.Mkm.BG.Tr.Road.Passenger.Car.BEV</t>
  </si>
  <si>
    <t>VehicleKm.Mkm.BG.Tr.Road.Passenger.Bus</t>
  </si>
  <si>
    <t>VehicleKm.Mkm.BG.Tr.Road.Passenger.Bus.ICE.Gasoline</t>
  </si>
  <si>
    <t>VehicleKm.Mkm.BG.Tr.Road.Passenger.Bus.ICE.Diesel</t>
  </si>
  <si>
    <t>VehicleKm.Mkm.BG.Tr.Road.Passenger.Bus.ICE.LPG</t>
  </si>
  <si>
    <t>VehicleKm.Mkm.BG.Tr.Road.Passenger.Bus.ICE.NGas</t>
  </si>
  <si>
    <t>VehicleKm.Mkm.BG.Tr.Road.Passenger.Bus.BEV</t>
  </si>
  <si>
    <t>VehicleKm.Mkm.BG.Tr.Road.Freight</t>
  </si>
  <si>
    <t>VehicleKm.Mkm.BG.Tr.Road.Freight.LCV</t>
  </si>
  <si>
    <t>VehicleKm.Mkm.BG.Tr.Road.Freight.LCV.ICE.Gasoline</t>
  </si>
  <si>
    <t>VehicleKm.Mkm.BG.Tr.Road.Freight.LCV.ICE.Diesel</t>
  </si>
  <si>
    <t>VehicleKm.Mkm.BG.Tr.Road.Freight.LCV.ICE.LPG</t>
  </si>
  <si>
    <t>VehicleKm.Mkm.BG.Tr.Road.Freight.LCV.ICE.NGas</t>
  </si>
  <si>
    <t>VehicleKm.Mkm.BG.Tr.Road.Freight.LCV.BEV</t>
  </si>
  <si>
    <t>VehicleKm.Mkm.BG.Tr.Road.Freight.HGV_All</t>
  </si>
  <si>
    <t>VehicleKm.Mkm.BG.Tr.Road.Freight.HGV_Domestic</t>
  </si>
  <si>
    <t>VehicleKm.Mkm.BG.Tr.Road.Freight.HGV_International</t>
  </si>
  <si>
    <t>Stock.number.BG.Tr.Road</t>
  </si>
  <si>
    <t>Stock.number.BG.Tr.Road.Passenger</t>
  </si>
  <si>
    <t>Stock.number.BG.Tr.Road.Passenger.P2W</t>
  </si>
  <si>
    <t>Stock.number.BG.Tr.Road.Passenger.Car</t>
  </si>
  <si>
    <t>Stock.number.BG.Tr.Road.Passenger.Car.ICE.Gasoline</t>
  </si>
  <si>
    <t>Stock.number.BG.Tr.Road.Passenger.Car.ICE.Diesel</t>
  </si>
  <si>
    <t>Stock.number.BG.Tr.Road.Passenger.Car.ICE.LPG</t>
  </si>
  <si>
    <t>Stock.number.BG.Tr.Road.Passenger.Car.ICE.NGas</t>
  </si>
  <si>
    <t>Stock.number.BG.Tr.Road.Passenger.Car.PHEV.Gasoline</t>
  </si>
  <si>
    <t>Stock.number.BG.Tr.Road.Passenger.Car.BEV</t>
  </si>
  <si>
    <t>Stock.number.BG.Tr.Road.Passenger.Bus</t>
  </si>
  <si>
    <t>Stock.number.BG.Tr.Road.Passenger.Bus.ICE.Gasoline</t>
  </si>
  <si>
    <t>Stock.number.BG.Tr.Road.Passenger.Bus.ICE.Diesel</t>
  </si>
  <si>
    <t>Stock.number.BG.Tr.Road.Passenger.Bus.ICE.LPG</t>
  </si>
  <si>
    <t>Stock.number.BG.Tr.Road.Passenger.Bus.ICE.NGas</t>
  </si>
  <si>
    <t>Stock.number.BG.Tr.Road.Passenger.Bus.BEV</t>
  </si>
  <si>
    <t>Stock.number.BG.Tr.Road.Freight</t>
  </si>
  <si>
    <t>Stock.number.BG.Tr.Road.Freight.LCV</t>
  </si>
  <si>
    <t>Stock.number.BG.Tr.Road.Freight.LCV.ICE.Gasoline</t>
  </si>
  <si>
    <t>Stock.number.BG.Tr.Road.Freight.LCV.ICE.Diesel</t>
  </si>
  <si>
    <t>Stock.number.BG.Tr.Road.Freight.LCV.ICE.LPG</t>
  </si>
  <si>
    <t>Stock.number.BG.Tr.Road.Freight.LCV.ICE.NGas</t>
  </si>
  <si>
    <t>Stock.number.BG.Tr.Road.Freight.LCV.BEV</t>
  </si>
  <si>
    <t>Stock.number.BG.Tr.Road.Freight.HGV_All</t>
  </si>
  <si>
    <t>Stock.number.BG.Tr.Road.Freight.HGV_Domestic</t>
  </si>
  <si>
    <t>Stock.number.BG.Tr.Road.Freight.HGV_International</t>
  </si>
  <si>
    <t>StockNew.number.BG.Tr.Road</t>
  </si>
  <si>
    <t>StockNew.number.BG.Tr.Road.Passenger</t>
  </si>
  <si>
    <t>StockNew.number.BG.Tr.Road.Passenger.P2W</t>
  </si>
  <si>
    <t>StockNew.number.BG.Tr.Road.Passenger.Car</t>
  </si>
  <si>
    <t>StockNew.number.BG.Tr.Road.Passenger.Car.ICE.Gasoline</t>
  </si>
  <si>
    <t>StockNew.number.BG.Tr.Road.Passenger.Car.ICE.Diesel</t>
  </si>
  <si>
    <t>StockNew.number.BG.Tr.Road.Passenger.Car.ICE.LPG</t>
  </si>
  <si>
    <t>StockNew.number.BG.Tr.Road.Passenger.Car.ICE.NGas</t>
  </si>
  <si>
    <t>StockNew.number.BG.Tr.Road.Passenger.Car.PHEV.Gasoline</t>
  </si>
  <si>
    <t>StockNew.number.BG.Tr.Road.Passenger.Car.BEV</t>
  </si>
  <si>
    <t>StockNew.number.BG.Tr.Road.Passenger.Bus</t>
  </si>
  <si>
    <t>StockNew.number.BG.Tr.Road.Passenger.Bus.ICE.Gasoline</t>
  </si>
  <si>
    <t>StockNew.number.BG.Tr.Road.Passenger.Bus.ICE.Diesel</t>
  </si>
  <si>
    <t>StockNew.number.BG.Tr.Road.Passenger.Bus.ICE.LPG</t>
  </si>
  <si>
    <t>StockNew.number.BG.Tr.Road.Passenger.Bus.ICE.NGas</t>
  </si>
  <si>
    <t>StockNew.number.BG.Tr.Road.Passenger.Bus.BEV</t>
  </si>
  <si>
    <t>StockNew.number.BG.Tr.Road.Freight</t>
  </si>
  <si>
    <t>StockNew.number.BG.Tr.Road.Freight.LCV</t>
  </si>
  <si>
    <t>StockNew.number.BG.Tr.Road.Freight.LCV.ICE.Gasoline</t>
  </si>
  <si>
    <t>StockNew.number.BG.Tr.Road.Freight.LCV.ICE.Diesel</t>
  </si>
  <si>
    <t>StockNew.number.BG.Tr.Road.Freight.LCV.ICE.LPG</t>
  </si>
  <si>
    <t>StockNew.number.BG.Tr.Road.Freight.LCV.ICE.NGas</t>
  </si>
  <si>
    <t>StockNew.number.BG.Tr.Road.Freight.LCV.BEV</t>
  </si>
  <si>
    <t>StockNew.number.BG.Tr.Road.Freight.HGV_All</t>
  </si>
  <si>
    <t>StockNew.number.BG.Tr.Road.Freight.HGV_Domestic</t>
  </si>
  <si>
    <t>StockNew.number.BG.Tr.Road.Freight.HGV_International</t>
  </si>
  <si>
    <t>Load.passenger_per_movement.BG.Tr.Road.Passenger</t>
  </si>
  <si>
    <t>Load.passenger_per_movement.BG.Tr.Road.Passenger.P2W</t>
  </si>
  <si>
    <t>Load.passenger_per_movement.BG.Tr.Road.Passenger.Car</t>
  </si>
  <si>
    <t>Load.passenger_per_movement.BG.Tr.Road.Passenger.Car.ICE.Gasoline</t>
  </si>
  <si>
    <t>Load.passenger_per_movement.BG.Tr.Road.Passenger.Car.ICE.Diesel</t>
  </si>
  <si>
    <t>Load.passenger_per_movement.BG.Tr.Road.Passenger.Car.ICE.LPG</t>
  </si>
  <si>
    <t>Load.passenger_per_movement.BG.Tr.Road.Passenger.Car.ICE.NGas</t>
  </si>
  <si>
    <t>Load.passenger_per_movement.BG.Tr.Road.Passenger.Car.PHEV.Gasoline</t>
  </si>
  <si>
    <t>Load.passenger_per_movement.BG.Tr.Road.Passenger.Car.BEV</t>
  </si>
  <si>
    <t>Load.passenger_per_movement.BG.Tr.Road.Passenger.Bus</t>
  </si>
  <si>
    <t>Load.passenger_per_movement.BG.Tr.Road.Passenger.Bus.ICE.Gasoline</t>
  </si>
  <si>
    <t>Load.passenger_per_movement.BG.Tr.Road.Passenger.Bus.ICE.Diesel</t>
  </si>
  <si>
    <t>Load.passenger_per_movement.BG.Tr.Road.Passenger.Bus.ICE.LPG</t>
  </si>
  <si>
    <t>Load.passenger_per_movement.BG.Tr.Road.Passenger.Bus.ICE.NGas</t>
  </si>
  <si>
    <t>Load.passenger_per_movement.BG.Tr.Road.Passenger.Bus.BEV</t>
  </si>
  <si>
    <t>Load.t_per_movement.BG.Tr.Road.Freight</t>
  </si>
  <si>
    <t>Load.t_per_movement.BG.Tr.Road.Freight.LCV</t>
  </si>
  <si>
    <t>Load.t_per_movement.BG.Tr.Road.Freight.LCV.ICE.Gasoline</t>
  </si>
  <si>
    <t>Load.t_per_movement.BG.Tr.Road.Freight.LCV.ICE.Diesel</t>
  </si>
  <si>
    <t>Load.t_per_movement.BG.Tr.Road.Freight.LCV.ICE.LPG</t>
  </si>
  <si>
    <t>Load.t_per_movement.BG.Tr.Road.Freight.LCV.ICE.NGas</t>
  </si>
  <si>
    <t>Load.t_per_movement.BG.Tr.Road.Freight.LCV.BEV</t>
  </si>
  <si>
    <t>Load.t_per_movement.BG.Tr.Road.Freight.HGV_All</t>
  </si>
  <si>
    <t>Load.t_per_movement.BG.Tr.Road.Freight.HGV_Domestic</t>
  </si>
  <si>
    <t>Load.t_per_movement.BG.Tr.Road.Freight.HGV_International</t>
  </si>
  <si>
    <t>VehicleKm_per_vehicle.km.BG.Tr.Road</t>
  </si>
  <si>
    <t>VehicleKm_per_vehicle.km.BG.Tr.Road.Passenger</t>
  </si>
  <si>
    <t>VehicleKm_per_vehicle.km.BG.Tr.Road.Passenger.P2W</t>
  </si>
  <si>
    <t>VehicleKm_per_vehicle.km.BG.Tr.Road.Passenger.Car</t>
  </si>
  <si>
    <t>VehicleKm_per_vehicle.km.BG.Tr.Road.Passenger.Car.ICE.Gasoline</t>
  </si>
  <si>
    <t>VehicleKm_per_vehicle.km.BG.Tr.Road.Passenger.Car.ICE.Diesel</t>
  </si>
  <si>
    <t>VehicleKm_per_vehicle.km.BG.Tr.Road.Passenger.Car.ICE.LPG</t>
  </si>
  <si>
    <t>VehicleKm_per_vehicle.km.BG.Tr.Road.Passenger.Car.ICE.NGas</t>
  </si>
  <si>
    <t>VehicleKm_per_vehicle.km.BG.Tr.Road.Passenger.Car.PHEV.Gasoline</t>
  </si>
  <si>
    <t>VehicleKm_per_vehicle.km.BG.Tr.Road.Passenger.Car.BEV</t>
  </si>
  <si>
    <t>VehicleKm_per_vehicle.km.BG.Tr.Road.Passenger.Bus</t>
  </si>
  <si>
    <t>VehicleKm_per_vehicle.km.BG.Tr.Road.Passenger.Bus.ICE.Gasoline</t>
  </si>
  <si>
    <t>VehicleKm_per_vehicle.km.BG.Tr.Road.Passenger.Bus.ICE.Diesel</t>
  </si>
  <si>
    <t>VehicleKm_per_vehicle.km.BG.Tr.Road.Passenger.Bus.ICE.LPG</t>
  </si>
  <si>
    <t>VehicleKm_per_vehicle.km.BG.Tr.Road.Passenger.Bus.ICE.NGas</t>
  </si>
  <si>
    <t>VehicleKm_per_vehicle.km.BG.Tr.Road.Passenger.Bus.BEV</t>
  </si>
  <si>
    <t>VehicleKm_per_vehicle.km.BG.Tr.Road.Freight</t>
  </si>
  <si>
    <t>VehicleKm_per_vehicle.km.BG.Tr.Road.Freight.LCV</t>
  </si>
  <si>
    <t>VehicleKm_per_vehicle.km.BG.Tr.Road.Freight.LCV.ICE.Gasoline</t>
  </si>
  <si>
    <t>VehicleKm_per_vehicle.km.BG.Tr.Road.Freight.LCV.ICE.Diesel</t>
  </si>
  <si>
    <t>VehicleKm_per_vehicle.km.BG.Tr.Road.Freight.LCV.ICE.LPG</t>
  </si>
  <si>
    <t>VehicleKm_per_vehicle.km.BG.Tr.Road.Freight.LCV.ICE.NGas</t>
  </si>
  <si>
    <t>VehicleKm_per_vehicle.km.BG.Tr.Road.Freight.LCV.BEV</t>
  </si>
  <si>
    <t>VehicleKm_per_vehicle.km.BG.Tr.Road.Freight.HGV_All</t>
  </si>
  <si>
    <t>VehicleKm_per_vehicle.km.BG.Tr.Road.Freight.HGV_Domestic</t>
  </si>
  <si>
    <t>VehicleKm_per_vehicle.km.BG.Tr.Road.Freight.HGV_International</t>
  </si>
  <si>
    <t>Activity_per_vehicle.pkm.BG.Tr.Road.Passenger</t>
  </si>
  <si>
    <t>Activity_per_vehicle.pkm.BG.Tr.Road.Passenger.P2W</t>
  </si>
  <si>
    <t>Activity_per_vehicle.pkm.BG.Tr.Road.Passenger.Car</t>
  </si>
  <si>
    <t>Activity_per_vehicle.pkm.BG.Tr.Road.Passenger.Car.ICE.Gasoline</t>
  </si>
  <si>
    <t>Activity_per_vehicle.pkm.BG.Tr.Road.Passenger.Car.ICE.Diesel</t>
  </si>
  <si>
    <t>Activity_per_vehicle.pkm.BG.Tr.Road.Passenger.Car.ICE.LPG</t>
  </si>
  <si>
    <t>Activity_per_vehicle.pkm.BG.Tr.Road.Passenger.Car.ICE.NGas</t>
  </si>
  <si>
    <t>Activity_per_vehicle.pkm.BG.Tr.Road.Passenger.Car.PHEV.Gasoline</t>
  </si>
  <si>
    <t>Activity_per_vehicle.pkm.BG.Tr.Road.Passenger.Car.BEV</t>
  </si>
  <si>
    <t>Activity_per_vehicle.pkm.BG.Tr.Road.Passenger.Bus</t>
  </si>
  <si>
    <t>Activity_per_vehicle.pkm.BG.Tr.Road.Passenger.Bus.ICE.Gasoline</t>
  </si>
  <si>
    <t>Activity_per_vehicle.pkm.BG.Tr.Road.Passenger.Bus.ICE.Diesel</t>
  </si>
  <si>
    <t>Activity_per_vehicle.pkm.BG.Tr.Road.Passenger.Bus.ICE.LPG</t>
  </si>
  <si>
    <t>Activity_per_vehicle.pkm.BG.Tr.Road.Passenger.Bus.ICE.NGas</t>
  </si>
  <si>
    <t>Activity_per_vehicle.pkm.BG.Tr.Road.Passenger.Bus.BEV</t>
  </si>
  <si>
    <t>Activity_per_vehicle.tkm.BG.Tr.Road.Freight</t>
  </si>
  <si>
    <t>Activity_per_vehicle.tkm.BG.Tr.Road.Freight.LCV</t>
  </si>
  <si>
    <t>Activity_per_vehicle.tkm.BG.Tr.Road.Freight.LCV.ICE.Gasoline</t>
  </si>
  <si>
    <t>Activity_per_vehicle.tkm.BG.Tr.Road.Freight.LCV.ICE.Diesel</t>
  </si>
  <si>
    <t>Activity_per_vehicle.tkm.BG.Tr.Road.Freight.LCV.ICE.LPG</t>
  </si>
  <si>
    <t>Activity_per_vehicle.tkm.BG.Tr.Road.Freight.LCV.ICE.NGas</t>
  </si>
  <si>
    <t>Activity_per_vehicle.tkm.BG.Tr.Road.Freight.LCV.BEV</t>
  </si>
  <si>
    <t>Activity_per_vehicle.tkm.BG.Tr.Road.Freight.HGV_All</t>
  </si>
  <si>
    <t>Activity_per_vehicle.tkm.BG.Tr.Road.Freight.HGV_Domestic</t>
  </si>
  <si>
    <t>Activity_per_vehicle.tkm.BG.Tr.Road.Freight.HGV_International</t>
  </si>
  <si>
    <t>Road transport / energy consumption - BG - Bulgaria</t>
  </si>
  <si>
    <t>FEC.ktoe.BG.ES.Tr.Road</t>
  </si>
  <si>
    <t>FEC.ktoe.BG.ES.Tr.Road.LPG</t>
  </si>
  <si>
    <t>FEC.ktoe.BG.ES.Tr.Road.Gasoline</t>
  </si>
  <si>
    <t>FEC.ktoe.BG.ES.Tr.Road.Diesel</t>
  </si>
  <si>
    <t>FEC.ktoe.BG.ES.Tr.Road.NG</t>
  </si>
  <si>
    <t>FEC.ktoe.BG.ES.Tr.Road.Biogas</t>
  </si>
  <si>
    <t>FEC.ktoe.BG.ES.Tr.Road.Biogasoline</t>
  </si>
  <si>
    <t>FEC.ktoe.BG.ES.Tr.Road.Biodiesel</t>
  </si>
  <si>
    <t>FEC.ktoe.BG.ES.Tr.Road.OthLiqBio</t>
  </si>
  <si>
    <t>FEC.ktoe.BG.ES.Tr.Road.Elec</t>
  </si>
  <si>
    <t>FEC.ktoe.BG.Tr.Road</t>
  </si>
  <si>
    <t>FEC.ktoe.BG.Tr.Road.Passenger.P2W.Total.Total.Biogasoline</t>
  </si>
  <si>
    <t>FEC.ktoe.BG.Tr.Road.Passenger.Car.ICE.Gasoline</t>
  </si>
  <si>
    <t>FEC.ktoe.BG.Tr.Road.Passenger.Car.ICE.Gasoline.Biogasoline</t>
  </si>
  <si>
    <t>FEC.ktoe.BG.Tr.Road.Passenger.Car.ICE.Diesel</t>
  </si>
  <si>
    <t>FEC.ktoe.BG.Tr.Road.Passenger.Car.ICE.Diesel.BioDiesel_OthLiqBio</t>
  </si>
  <si>
    <t>FEC.ktoe.BG.Tr.Road.Passenger.Car.ICE.LPG</t>
  </si>
  <si>
    <t>FEC.ktoe.BG.Tr.Road.Passenger.Car.ICE.NGas</t>
  </si>
  <si>
    <t>FEC.ktoe.BG.Tr.Road.Passenger.Car.ICE.NGas.Biogas</t>
  </si>
  <si>
    <t>FEC.ktoe.BG.Tr.Road.Passenger.Car.PHEV.Gasoline</t>
  </si>
  <si>
    <t>FEC.ktoe.BG.Tr.Road.Passenger.Car.PHEV.Gasoline.Biogasoline</t>
  </si>
  <si>
    <t>FEC.ktoe.BG.Tr.Road.Passenger.Car.PHEV.Gasoline.Elec</t>
  </si>
  <si>
    <t>FEC.ktoe.BG.Tr.Road.Passenger.Car.BEV</t>
  </si>
  <si>
    <t>FEC.ktoe.BG.Tr.Road.Passenger.Bus.ICE.Gasoline</t>
  </si>
  <si>
    <t>FEC.ktoe.BG.Tr.Road.Passenger.Bus.ICE.Gasoline.Biogasoline</t>
  </si>
  <si>
    <t>FEC.ktoe.BG.Tr.Road.Passenger.Bus.ICE.Diesel</t>
  </si>
  <si>
    <t>FEC.ktoe.BG.Tr.Road.Passenger.Bus.ICE.Diesel.BioDiesel_OthLiqBio</t>
  </si>
  <si>
    <t>FEC.ktoe.BG.Tr.Road.Passenger.Bus.ICE.LPG</t>
  </si>
  <si>
    <t>FEC.ktoe.BG.Tr.Road.Passenger.Bus.ICE.NGas</t>
  </si>
  <si>
    <t>FEC.ktoe.BG.Tr.Road.Passenger.Bus.ICE.NGas.Biogas</t>
  </si>
  <si>
    <t>FEC.ktoe.BG.Tr.Road.Passenger.Bus.BEV</t>
  </si>
  <si>
    <t>FEC.ktoe.BG.Tr.Road.Freight.LCV.ICE.Gasoline</t>
  </si>
  <si>
    <t>FEC.ktoe.BG.Tr.Road.Freight.LCV.ICE.Gasoline.Biogasoline</t>
  </si>
  <si>
    <t>FEC.ktoe.BG.Tr.Road.Freight.LCV.ICE.Diesel</t>
  </si>
  <si>
    <t>FEC.ktoe.BG.Tr.Road.Freight.LCV.ICE.Diesel.BioDiesel_OthLiqBio</t>
  </si>
  <si>
    <t>FEC.ktoe.BG.Tr.Road.Freight.LCV.ICE.LPG</t>
  </si>
  <si>
    <t>FEC.ktoe.BG.Tr.Road.Freight.LCV.ICE.NGas</t>
  </si>
  <si>
    <t>FEC.ktoe.BG.Tr.Road.Freight.LCV.ICE.NGas.Biogas</t>
  </si>
  <si>
    <t>FEC.ktoe.BG.Tr.Road.Freight.LCV.BEV</t>
  </si>
  <si>
    <t>FEC.ktoe.BG.Tr.Road.Freight.HGV_Domestic</t>
  </si>
  <si>
    <t>FEC.ktoe.BG.Tr.Road.Freight.HGV_Domestic.Total.Total.BioDiesel_OthLiqBio</t>
  </si>
  <si>
    <t>FEC.ktoe.BG.Tr.Road.Freight.HGV_International</t>
  </si>
  <si>
    <t>FEC.ktoe.BG.Tr.Road.Freight.HGV_International.Total.Total.BioDiesel_OthLiqBio</t>
  </si>
  <si>
    <t>Eff.kgoe_per_100km.BG.Tr.Road</t>
  </si>
  <si>
    <t>Eff.kgoe_per_100km.BG.Tr.Road.Passenger</t>
  </si>
  <si>
    <t>Eff.kgoe_per_100km.BG.Tr.Road.Passenger.P2W</t>
  </si>
  <si>
    <t>Eff.kgoe_per_100km.BG.Tr.Road.Passenger.Car</t>
  </si>
  <si>
    <t>Eff.kgoe_per_100km.BG.Tr.Road.Passenger.Car.ICE.Gasoline</t>
  </si>
  <si>
    <t>Eff.kgoe_per_100km.BG.Tr.Road.Passenger.Car.ICE.Diesel</t>
  </si>
  <si>
    <t>Eff.kgoe_per_100km.BG.Tr.Road.Passenger.Car.ICE.LPG</t>
  </si>
  <si>
    <t>Eff.kgoe_per_100km.BG.Tr.Road.Passenger.Car.ICE.NGas</t>
  </si>
  <si>
    <t>Eff.kgoe_per_100km.BG.Tr.Road.Passenger.Car.PHEV.Gasoline</t>
  </si>
  <si>
    <t>Eff.kgoe_per_100km.BG.Tr.Road.Passenger.Car.BEV</t>
  </si>
  <si>
    <t>Eff.kgoe_per_100km.BG.Tr.Road.Passenger.Bus</t>
  </si>
  <si>
    <t>Eff.kgoe_per_100km.BG.Tr.Road.Passenger.Bus.ICE.Gasoline</t>
  </si>
  <si>
    <t>Eff.kgoe_per_100km.BG.Tr.Road.Passenger.Bus.ICE.Diesel</t>
  </si>
  <si>
    <t>Eff.kgoe_per_100km.BG.Tr.Road.Passenger.Bus.ICE.LPG</t>
  </si>
  <si>
    <t>Eff.kgoe_per_100km.BG.Tr.Road.Passenger.Bus.ICE.NGas</t>
  </si>
  <si>
    <t>Eff.kgoe_per_100km.BG.Tr.Road.Passenger.Bus.BEV</t>
  </si>
  <si>
    <t>Eff.kgoe_per_100km.BG.Tr.Road.Freight</t>
  </si>
  <si>
    <t>Eff.kgoe_per_100km.BG.Tr.Road.Freight.LCV</t>
  </si>
  <si>
    <t>Eff.kgoe_per_100km.BG.Tr.Road.Freight.LCV.ICE.Gasoline</t>
  </si>
  <si>
    <t>Eff.kgoe_per_100km.BG.Tr.Road.Freight.LCV.ICE.Diesel</t>
  </si>
  <si>
    <t>Eff.kgoe_per_100km.BG.Tr.Road.Freight.LCV.ICE.LPG</t>
  </si>
  <si>
    <t>Eff.kgoe_per_100km.BG.Tr.Road.Freight.LCV.ICE.NGas</t>
  </si>
  <si>
    <t>Eff.kgoe_per_100km.BG.Tr.Road.Freight.LCV.BEV</t>
  </si>
  <si>
    <t>Eff.kgoe_per_100km.BG.Tr.Road.Freight.HGV_All</t>
  </si>
  <si>
    <t>Eff.kgoe_per_100km.BG.Tr.Road.Freight.HGV_Domestic</t>
  </si>
  <si>
    <t>Eff.kgoe_per_100km.BG.Tr.Road.Freight.HGV_International</t>
  </si>
  <si>
    <t>Eff.kgoe_per_kpkm.BG.Tr.Road.Passenger.Car.ICE.Gasoline</t>
  </si>
  <si>
    <t>Eff.kgoe_per_kpkm.BG.Tr.Road.Passenger.Car.ICE.Diesel</t>
  </si>
  <si>
    <t>Eff.kgoe_per_kpkm.BG.Tr.Road.Passenger.Car.ICE.LPG</t>
  </si>
  <si>
    <t>Eff.kgoe_per_kpkm.BG.Tr.Road.Passenger.Car.ICE.NGas</t>
  </si>
  <si>
    <t>Eff.kgoe_per_kpkm.BG.Tr.Road.Passenger.Car.PHEV.Gasoline</t>
  </si>
  <si>
    <t>Eff.kgoe_per_kpkm.BG.Tr.Road.Passenger.Car.BEV</t>
  </si>
  <si>
    <t>Eff.kgoe_per_kpkm.BG.Tr.Road.Passenger.Bus.ICE.Gasoline</t>
  </si>
  <si>
    <t>Eff.kgoe_per_kpkm.BG.Tr.Road.Passenger.Bus.ICE.Diesel</t>
  </si>
  <si>
    <t>Eff.kgoe_per_kpkm.BG.Tr.Road.Passenger.Bus.ICE.LPG</t>
  </si>
  <si>
    <t>Eff.kgoe_per_kpkm.BG.Tr.Road.Passenger.Bus.ICE.NGas</t>
  </si>
  <si>
    <t>Eff.kgoe_per_kpkm.BG.Tr.Road.Passenger.Bus.BEV</t>
  </si>
  <si>
    <t>Eff.kgoe_per_ktkm.BG.Tr.Road.Freight.LCV.ICE.Gasoline</t>
  </si>
  <si>
    <t>Eff.kgoe_per_ktkm.BG.Tr.Road.Freight.LCV.ICE.Diesel</t>
  </si>
  <si>
    <t>Eff.kgoe_per_ktkm.BG.Tr.Road.Freight.LCV.ICE.LPG</t>
  </si>
  <si>
    <t>Eff.kgoe_per_ktkm.BG.Tr.Road.Freight.LCV.ICE.NGas</t>
  </si>
  <si>
    <t>Eff.kgoe_per_ktkm.BG.Tr.Road.Freight.LCV.BEV</t>
  </si>
  <si>
    <t>Eff.kgoe_per_ktkm.BG.Tr.Road.Freight.HGV_Domestic</t>
  </si>
  <si>
    <t>Eff.kgoe_per_ktkm.BG.Tr.Road.Freight.HGV_International</t>
  </si>
  <si>
    <t>FEC_per_vehicle.kgoe.BG.Tr.Road.Passenger.P2W</t>
  </si>
  <si>
    <t>FEC_per_vehicle.kgoe.BG.Tr.Road.Passenger.Car</t>
  </si>
  <si>
    <t>FEC_per_vehicle.kgoe.BG.Tr.Road.Passenger.Car.ICE.Gasoline</t>
  </si>
  <si>
    <t>FEC_per_vehicle.kgoe.BG.Tr.Road.Passenger.Car.ICE.Diesel</t>
  </si>
  <si>
    <t>FEC_per_vehicle.kgoe.BG.Tr.Road.Passenger.Car.ICE.LPG</t>
  </si>
  <si>
    <t>FEC_per_vehicle.kgoe.BG.Tr.Road.Passenger.Car.ICE.NGas</t>
  </si>
  <si>
    <t>FEC_per_vehicle.kgoe.BG.Tr.Road.Passenger.Car.PHEV.Gasoline</t>
  </si>
  <si>
    <t>FEC_per_vehicle.kgoe.BG.Tr.Road.Passenger.Car.BEV</t>
  </si>
  <si>
    <t>FEC_per_vehicle.kgoe.BG.Tr.Road.Passenger.Bus</t>
  </si>
  <si>
    <t>FEC_per_vehicle.kgoe.BG.Tr.Road.Passenger.Bus.ICE.Gasoline</t>
  </si>
  <si>
    <t>FEC_per_vehicle.kgoe.BG.Tr.Road.Passenger.Bus.ICE.Diesel</t>
  </si>
  <si>
    <t>FEC_per_vehicle.kgoe.BG.Tr.Road.Passenger.Bus.ICE.LPG</t>
  </si>
  <si>
    <t>FEC_per_vehicle.kgoe.BG.Tr.Road.Passenger.Bus.ICE.NGas</t>
  </si>
  <si>
    <t>FEC_per_vehicle.kgoe.BG.Tr.Road.Passenger.Bus.BEV</t>
  </si>
  <si>
    <t>FEC_per_vehicle.kgoe.BG.Tr.Road.Freight.LCV</t>
  </si>
  <si>
    <t>FEC_per_vehicle.kgoe.BG.Tr.Road.Freight.LCV.ICE.Gasoline</t>
  </si>
  <si>
    <t>FEC_per_vehicle.kgoe.BG.Tr.Road.Freight.LCV.ICE.Diesel</t>
  </si>
  <si>
    <t>FEC_per_vehicle.kgoe.BG.Tr.Road.Freight.LCV.ICE.LPG</t>
  </si>
  <si>
    <t>FEC_per_vehicle.kgoe.BG.Tr.Road.Freight.LCV.ICE.NGas</t>
  </si>
  <si>
    <t>FEC_per_vehicle.kgoe.BG.Tr.Road.Freight.LCV.BEV</t>
  </si>
  <si>
    <t>FEC_per_vehicle.kgoe.BG.Tr.Road.Freight.HGV_All</t>
  </si>
  <si>
    <t>FEC_per_vehicle.kgoe.BG.Tr.Road.Freight.HGV_Domestic</t>
  </si>
  <si>
    <t>FEC_per_vehicle.kgoe.BG.Tr.Road.Freight.HGV_International</t>
  </si>
  <si>
    <t>Road transport / CO2 emissions - BG - Bulgaria</t>
  </si>
  <si>
    <t>EMI.ktCO2.BG.ES.Tr.Road</t>
  </si>
  <si>
    <t>EMI.ktCO2.BG.ES.Tr.Road.LPG</t>
  </si>
  <si>
    <t>EMI.ktCO2.BG.ES.Tr.Road.Gasoline</t>
  </si>
  <si>
    <t>EMI.ktCO2.BG.ES.Tr.Road.Diesel</t>
  </si>
  <si>
    <t>EMI.ktCO2.BG.ES.Tr.Road.NG</t>
  </si>
  <si>
    <t>EMI.ktCO2.BG.ES.Tr.Road.Biogas</t>
  </si>
  <si>
    <t>EMI.ktCO2.BG.ES.Tr.Road.Biogasoline</t>
  </si>
  <si>
    <t>EMI.ktCO2.BG.ES.Tr.Road.Biodiesel</t>
  </si>
  <si>
    <t>EMI.ktCO2.BG.ES.Tr.Road.OthLiqBio</t>
  </si>
  <si>
    <t>EMI.ktCO2.BG.ES.Tr.Road.Elec</t>
  </si>
  <si>
    <t>EMI.ktCO2.BG.Tr.Road</t>
  </si>
  <si>
    <t>EMI.ktCO2.BG.Tr.Road.Passenger.Car.ICE.Gasoline</t>
  </si>
  <si>
    <t>EMI.ktCO2.BG.Tr.Road.Passenger.Car.ICE.Diesel</t>
  </si>
  <si>
    <t>EMI.ktCO2.BG.Tr.Road.Passenger.Car.ICE.LPG</t>
  </si>
  <si>
    <t>EMI.ktCO2.BG.Tr.Road.Passenger.Car.ICE.NGas</t>
  </si>
  <si>
    <t>EMI.ktCO2.BG.Tr.Road.Passenger.Car.PHEV.Gasoline</t>
  </si>
  <si>
    <t>EMI.ktCO2.BG.Tr.Road.Passenger.Car.BEV</t>
  </si>
  <si>
    <t>EMI.ktCO2.BG.Tr.Road.Passenger.Bus.ICE.Gasoline</t>
  </si>
  <si>
    <t>EMI.ktCO2.BG.Tr.Road.Passenger.Bus.ICE.Diesel</t>
  </si>
  <si>
    <t>EMI.ktCO2.BG.Tr.Road.Passenger.Bus.ICE.LPG</t>
  </si>
  <si>
    <t>EMI.ktCO2.BG.Tr.Road.Passenger.Bus.ICE.NGas</t>
  </si>
  <si>
    <t>EMI.ktCO2.BG.Tr.Road.Passenger.Bus.BEV</t>
  </si>
  <si>
    <t>EMI.ktCO2.BG.Tr.Road.Freight.LCV.ICE.Gasoline</t>
  </si>
  <si>
    <t>EMI.ktCO2.BG.Tr.Road.Freight.LCV.ICE.Diesel</t>
  </si>
  <si>
    <t>EMI.ktCO2.BG.Tr.Road.Freight.LCV.ICE.LPG</t>
  </si>
  <si>
    <t>EMI.ktCO2.BG.Tr.Road.Freight.LCV.ICE.NGas</t>
  </si>
  <si>
    <t>EMI.ktCO2.BG.Tr.Road.Freight.LCV.BEV</t>
  </si>
  <si>
    <t>EMI.ktCO2.BG.Tr.Road.Freight.HGV_Domestic</t>
  </si>
  <si>
    <t>EMI.ktCO2.BG.Tr.Road.Freight.HGV_International</t>
  </si>
  <si>
    <t>EMIint.gCO2_per_km.BG.Tr.Road</t>
  </si>
  <si>
    <t>EMIint.gCO2_per_km.BG.Tr.Road.Passenger</t>
  </si>
  <si>
    <t>EMIint.gCO2_per_km.BG.Tr.Road.Passenger.P2W</t>
  </si>
  <si>
    <t>EMIint.gCO2_per_km.BG.Tr.Road.Passenger.Car</t>
  </si>
  <si>
    <t>EMIint.gCO2_per_km.BG.Tr.Road.Passenger.Car.ICE.Gasoline</t>
  </si>
  <si>
    <t>EMIint.gCO2_per_km.BG.Tr.Road.Passenger.Car.ICE.Diesel</t>
  </si>
  <si>
    <t>EMIint.gCO2_per_km.BG.Tr.Road.Passenger.Car.ICE.LPG</t>
  </si>
  <si>
    <t>EMIint.gCO2_per_km.BG.Tr.Road.Passenger.Car.ICE.NGas</t>
  </si>
  <si>
    <t>EMIint.gCO2_per_km.BG.Tr.Road.Passenger.Car.PHEV.Gasoline</t>
  </si>
  <si>
    <t>EMIint.gCO2_per_km.BG.Tr.Road.Passenger.Car.BEV</t>
  </si>
  <si>
    <t>EMIint.gCO2_per_km.BG.Tr.Road.Passenger.Bus</t>
  </si>
  <si>
    <t>EMIint.gCO2_per_km.BG.Tr.Road.Passenger.Bus.ICE.Gasoline</t>
  </si>
  <si>
    <t>EMIint.gCO2_per_km.BG.Tr.Road.Passenger.Bus.ICE.Diesel</t>
  </si>
  <si>
    <t>EMIint.gCO2_per_km.BG.Tr.Road.Passenger.Bus.ICE.LPG</t>
  </si>
  <si>
    <t>EMIint.gCO2_per_km.BG.Tr.Road.Passenger.Bus.ICE.NGas</t>
  </si>
  <si>
    <t>EMIint.gCO2_per_km.BG.Tr.Road.Passenger.Bus.BEV</t>
  </si>
  <si>
    <t>EMIint.gCO2_per_km.BG.Tr.Road.Freight</t>
  </si>
  <si>
    <t>EMIint.gCO2_per_km.BG.Tr.Road.Freight.LCV</t>
  </si>
  <si>
    <t>EMIint.gCO2_per_km.BG.Tr.Road.Freight.LCV.ICE.Gasoline</t>
  </si>
  <si>
    <t>EMIint.gCO2_per_km.BG.Tr.Road.Freight.LCV.ICE.Diesel</t>
  </si>
  <si>
    <t>EMIint.gCO2_per_km.BG.Tr.Road.Freight.LCV.ICE.LPG</t>
  </si>
  <si>
    <t>EMIint.gCO2_per_km.BG.Tr.Road.Freight.LCV.ICE.NGas</t>
  </si>
  <si>
    <t>EMIint.gCO2_per_km.BG.Tr.Road.Freight.LCV.BEV</t>
  </si>
  <si>
    <t>EMIint.gCO2_per_km.BG.Tr.Road.Freight.HGV_All</t>
  </si>
  <si>
    <t>EMIint.gCO2_per_km.BG.Tr.Road.Freight.HGV_Domestic</t>
  </si>
  <si>
    <t>EMIint.gCO2_per_km.BG.Tr.Road.Freight.HGV_International</t>
  </si>
  <si>
    <t>EMIint.gCO2_per_pkm.BG.Tr.Road.Passenger.Car.ICE.Gasoline</t>
  </si>
  <si>
    <t>EMIint.gCO2_per_pkm.BG.Tr.Road.Passenger.Car.ICE.Diesel</t>
  </si>
  <si>
    <t>EMIint.gCO2_per_pkm.BG.Tr.Road.Passenger.Car.ICE.LPG</t>
  </si>
  <si>
    <t>EMIint.gCO2_per_pkm.BG.Tr.Road.Passenger.Car.ICE.NGas</t>
  </si>
  <si>
    <t>EMIint.gCO2_per_pkm.BG.Tr.Road.Passenger.Car.PHEV.Gasoline</t>
  </si>
  <si>
    <t>EMIint.gCO2_per_pkm.BG.Tr.Road.Passenger.Car.BEV</t>
  </si>
  <si>
    <t>EMIint.gCO2_per_pkm.BG.Tr.Road.Passenger.Bus.ICE.Gasoline</t>
  </si>
  <si>
    <t>EMIint.gCO2_per_pkm.BG.Tr.Road.Passenger.Bus.ICE.Diesel</t>
  </si>
  <si>
    <t>EMIint.gCO2_per_pkm.BG.Tr.Road.Passenger.Bus.ICE.LPG</t>
  </si>
  <si>
    <t>EMIint.gCO2_per_pkm.BG.Tr.Road.Passenger.Bus.ICE.NGas</t>
  </si>
  <si>
    <t>EMIint.gCO2_per_pkm.BG.Tr.Road.Passenger.Bus.BEV</t>
  </si>
  <si>
    <t>EMIint.gCO2_per_tkm.BG.Tr.Road.Freight.LCV.ICE.Gasoline</t>
  </si>
  <si>
    <t>EMIint.gCO2_per_tkm.BG.Tr.Road.Freight.LCV.ICE.Diesel</t>
  </si>
  <si>
    <t>EMIint.gCO2_per_tkm.BG.Tr.Road.Freight.LCV.ICE.LPG</t>
  </si>
  <si>
    <t>EMIint.gCO2_per_tkm.BG.Tr.Road.Freight.LCV.ICE.NGas</t>
  </si>
  <si>
    <t>EMIint.gCO2_per_tkm.BG.Tr.Road.Freight.LCV.BEV</t>
  </si>
  <si>
    <t>EMIint.gCO2_per_tkm.BG.Tr.Road.Freight.HGV_Domestic</t>
  </si>
  <si>
    <t>EMIint.gCO2_per_tkm.BG.Tr.Road.Freight.HGV_International</t>
  </si>
  <si>
    <t>EMI_per_vehicle.kgCO2.BG.Tr.Road.Passenger.P2W</t>
  </si>
  <si>
    <t>EMI_per_vehicle.kgCO2.BG.Tr.Road.Passenger.Car</t>
  </si>
  <si>
    <t>EMI_per_vehicle.kgCO2.BG.Tr.Road.Passenger.Car.ICE.Gasoline</t>
  </si>
  <si>
    <t>EMI_per_vehicle.kgCO2.BG.Tr.Road.Passenger.Car.ICE.Diesel</t>
  </si>
  <si>
    <t>EMI_per_vehicle.kgCO2.BG.Tr.Road.Passenger.Car.ICE.LPG</t>
  </si>
  <si>
    <t>EMI_per_vehicle.kgCO2.BG.Tr.Road.Passenger.Car.ICE.NGas</t>
  </si>
  <si>
    <t>EMI_per_vehicle.kgCO2.BG.Tr.Road.Passenger.Car.PHEV.Gasoline</t>
  </si>
  <si>
    <t>EMI_per_vehicle.kgCO2.BG.Tr.Road.Passenger.Car.BEV</t>
  </si>
  <si>
    <t>EMI_per_vehicle.kgCO2.BG.Tr.Road.Passenger.Bus</t>
  </si>
  <si>
    <t>EMI_per_vehicle.kgCO2.BG.Tr.Road.Passenger.Bus.ICE.Gasoline</t>
  </si>
  <si>
    <t>EMI_per_vehicle.kgCO2.BG.Tr.Road.Passenger.Bus.ICE.Diesel</t>
  </si>
  <si>
    <t>EMI_per_vehicle.kgCO2.BG.Tr.Road.Passenger.Bus.ICE.LPG</t>
  </si>
  <si>
    <t>EMI_per_vehicle.kgCO2.BG.Tr.Road.Passenger.Bus.ICE.NGas</t>
  </si>
  <si>
    <t>EMI_per_vehicle.kgCO2.BG.Tr.Road.Passenger.Bus.BEV</t>
  </si>
  <si>
    <t>EMI_per_vehicle.kgCO2.BG.Tr.Road.Freight.LCV</t>
  </si>
  <si>
    <t>EMI_per_vehicle.kgCO2.BG.Tr.Road.Freight.LCV.ICE.Gasoline</t>
  </si>
  <si>
    <t>EMI_per_vehicle.kgCO2.BG.Tr.Road.Freight.LCV.ICE.Diesel</t>
  </si>
  <si>
    <t>EMI_per_vehicle.kgCO2.BG.Tr.Road.Freight.LCV.ICE.LPG</t>
  </si>
  <si>
    <t>EMI_per_vehicle.kgCO2.BG.Tr.Road.Freight.LCV.ICE.NGas</t>
  </si>
  <si>
    <t>EMI_per_vehicle.kgCO2.BG.Tr.Road.Freight.LCV.BEV</t>
  </si>
  <si>
    <t>EMI_per_vehicle.kgCO2.BG.Tr.Road.Freight.HGV_All</t>
  </si>
  <si>
    <t>EMI_per_vehicle.kgCO2.BG.Tr.Road.Freight.HGV_Domestic</t>
  </si>
  <si>
    <t>EMI_per_vehicle.kgCO2.BG.Tr.Road.Freight.HGV_International</t>
  </si>
  <si>
    <t>Road transport / technologies - BG - Bulgaria</t>
  </si>
  <si>
    <t>Stock.number.BG.Tr.Road.Freight.HGV_all</t>
  </si>
  <si>
    <t>StockVin.number.BG.Tr.Road</t>
  </si>
  <si>
    <t>StockVin.number.BG.Tr.Road.Passenger</t>
  </si>
  <si>
    <t>StockVin.number.BG.Tr.Road.Passenger.P2W</t>
  </si>
  <si>
    <t>StockVin.number.BG.Tr.Road.Passenger.Car</t>
  </si>
  <si>
    <t>StockVin.number.BG.Tr.Road.Passenger.Car.ICE.Gasoline</t>
  </si>
  <si>
    <t>StockVin.number.BG.Tr.Road.Passenger.Car.ICE.Diesel</t>
  </si>
  <si>
    <t>StockVin.number.BG.Tr.Road.Passenger.Car.ICE.LPG</t>
  </si>
  <si>
    <t>StockVin.number.BG.Tr.Road.Passenger.Car.ICE.NGas</t>
  </si>
  <si>
    <t>StockVin.number.BG.Tr.Road.Passenger.Car.PHEV.Gasoline</t>
  </si>
  <si>
    <t>StockVin.number.BG.Tr.Road.Passenger.Car.BEV</t>
  </si>
  <si>
    <t>StockVin.number.BG.Tr.Road.Passenger.Bus</t>
  </si>
  <si>
    <t>StockVin.number.BG.Tr.Road.Passenger.Bus.ICE.Gasoline</t>
  </si>
  <si>
    <t>StockVin.number.BG.Tr.Road.Passenger.Bus.ICE.Diesel</t>
  </si>
  <si>
    <t>StockVin.number.BG.Tr.Road.Passenger.Bus.ICE.LPG</t>
  </si>
  <si>
    <t>StockVin.number.BG.Tr.Road.Passenger.Bus.ICE.NGas</t>
  </si>
  <si>
    <t>StockVin.number.BG.Tr.Road.Passenger.Bus.BEV</t>
  </si>
  <si>
    <t>StockVin.number.BG.Tr.Road.Freight</t>
  </si>
  <si>
    <t>StockVin.number.BG.Tr.Road.Freight.LCV</t>
  </si>
  <si>
    <t>StockVin.number.BG.Tr.Road.Freight.LCV.ICE.Gasoline</t>
  </si>
  <si>
    <t>StockVin.number.BG.Tr.Road.Freight.LCV.ICE.Diesel</t>
  </si>
  <si>
    <t>StockVin.number.BG.Tr.Road.Freight.LCV.ICE.LPG</t>
  </si>
  <si>
    <t>StockVin.number.BG.Tr.Road.Freight.LCV.ICE.NGas</t>
  </si>
  <si>
    <t>StockVin.number.BG.Tr.Road.Freight.LCV.BEV</t>
  </si>
  <si>
    <t>StockVin.number.BG.Tr.Road.Freight.HGV_All</t>
  </si>
  <si>
    <t>StockVin.number.BG.Tr.Road.Freight.HGV_Domestic</t>
  </si>
  <si>
    <t>StockVin.number.BG.Tr.Road.Freight.HGV_International</t>
  </si>
  <si>
    <t>Eff_test_stock.kgoe_per_100km.BG.Tr.Road.Passenger.P2W</t>
  </si>
  <si>
    <t>Eff_test_stock.kgoe_per_100km.BG.Tr.Road.Passenger.Car</t>
  </si>
  <si>
    <t>Eff_test_stock.kgoe_per_100km.BG.Tr.Road.Passenger.Car.ICE.Gasoline</t>
  </si>
  <si>
    <t>Eff_test_stock.kgoe_per_100km.BG.Tr.Road.Passenger.Car.ICE.Diesel</t>
  </si>
  <si>
    <t>Eff_test_stock.kgoe_per_100km.BG.Tr.Road.Passenger.Car.ICE.LPG</t>
  </si>
  <si>
    <t>Eff_test_stock.kgoe_per_100km.BG.Tr.Road.Passenger.Car.ICE.NGas</t>
  </si>
  <si>
    <t>Eff_test_stock.kgoe_per_100km.BG.Tr.Road.Passenger.Car.PHEV.Gasoline</t>
  </si>
  <si>
    <t>Eff_test_stock.kgoe_per_100km.BG.Tr.Road.Passenger.Car.BEV</t>
  </si>
  <si>
    <t>Eff_test_stock.kgoe_per_100km.BG.Tr.Road.Passenger.Bus</t>
  </si>
  <si>
    <t>Eff_test_stock.kgoe_per_100km.BG.Tr.Road.Passenger.Bus.ICE.Gasoline</t>
  </si>
  <si>
    <t>Eff_test_stock.kgoe_per_100km.BG.Tr.Road.Passenger.Bus.ICE.Diesel</t>
  </si>
  <si>
    <t>Eff_test_stock.kgoe_per_100km.BG.Tr.Road.Passenger.Bus.ICE.LPG</t>
  </si>
  <si>
    <t>Eff_test_stock.kgoe_per_100km.BG.Tr.Road.Passenger.Bus.ICE.NGas</t>
  </si>
  <si>
    <t>Eff_test_stock.kgoe_per_100km.BG.Tr.Road.Passenger.Bus.BEV</t>
  </si>
  <si>
    <t>Eff_test_stock.kgoe_per_100km.BG.Tr.Road.Freight.LCV</t>
  </si>
  <si>
    <t>Eff_test_stock.kgoe_per_100km.BG.Tr.Road.Freight.LCV.ICE.Gasoline</t>
  </si>
  <si>
    <t>Eff_test_stock.kgoe_per_100km.BG.Tr.Road.Freight.LCV.ICE.Diesel</t>
  </si>
  <si>
    <t>Eff_test_stock.kgoe_per_100km.BG.Tr.Road.Freight.LCV.ICE.LPG</t>
  </si>
  <si>
    <t>Eff_test_stock.kgoe_per_100km.BG.Tr.Road.Freight.LCV.ICE.NGas</t>
  </si>
  <si>
    <t>Eff_test_stock.kgoe_per_100km.BG.Tr.Road.Freight.LCV.BEV</t>
  </si>
  <si>
    <t>Eff_test_stock.kgoe_per_100km.BG.Tr.Road.Freight.HGV_All</t>
  </si>
  <si>
    <t>Eff_test_stock.kgoe_per_100km.BG.Tr.Road.Freight.HGV_Domestic</t>
  </si>
  <si>
    <t>Eff_test_stock.kgoe_per_100km.BG.Tr.Road.Freight.HGV_International</t>
  </si>
  <si>
    <t>Eff_test_new.kgoe_per_100km.BG.Tr.Road.Passenger.P2W</t>
  </si>
  <si>
    <t>Eff_test_new.kgoe_per_100km.BG.Tr.Road.Passenger.Car</t>
  </si>
  <si>
    <t>Eff_test_new.kgoe_per_100km.BG.Tr.Road.Passenger.Car.ICE.Gasoline</t>
  </si>
  <si>
    <t>Eff_test_new.kgoe_per_100km.BG.Tr.Road.Passenger.Car.ICE.Diesel</t>
  </si>
  <si>
    <t>Eff_test_new.kgoe_per_100km.BG.Tr.Road.Passenger.Car.ICE.LPG</t>
  </si>
  <si>
    <t>Eff_test_new.kgoe_per_100km.BG.Tr.Road.Passenger.Car.ICE.NGas</t>
  </si>
  <si>
    <t>Eff_test_new.kgoe_per_100km.BG.Tr.Road.Passenger.Car.PHEV.Gasoline</t>
  </si>
  <si>
    <t>Eff_test_new.kgoe_per_100km.BG.Tr.Road.Passenger.Car.BEV</t>
  </si>
  <si>
    <t>Eff_test_new.kgoe_per_100km.BG.Tr.Road.Passenger.Bus</t>
  </si>
  <si>
    <t>Eff_test_new.kgoe_per_100km.BG.Tr.Road.Passenger.Bus.ICE.Gasoline</t>
  </si>
  <si>
    <t>Eff_test_new.kgoe_per_100km.BG.Tr.Road.Passenger.Bus.ICE.Diesel</t>
  </si>
  <si>
    <t>Eff_test_new.kgoe_per_100km.BG.Tr.Road.Passenger.Bus.ICE.LPG</t>
  </si>
  <si>
    <t>Eff_test_new.kgoe_per_100km.BG.Tr.Road.Passenger.Bus.ICE.NGas</t>
  </si>
  <si>
    <t>Eff_test_new.kgoe_per_100km.BG.Tr.Road.Passenger.Bus.BEV</t>
  </si>
  <si>
    <t>Eff_test_new.kgoe_per_100km.BG.Tr.Road.Freight.LCV</t>
  </si>
  <si>
    <t>Eff_test_new.kgoe_per_100km.BG.Tr.Road.Freight.LCV.ICE.Gasoline</t>
  </si>
  <si>
    <t>Eff_test_new.kgoe_per_100km.BG.Tr.Road.Freight.LCV.ICE.Diesel</t>
  </si>
  <si>
    <t>Eff_test_new.kgoe_per_100km.BG.Tr.Road.Freight.LCV.ICE.LPG</t>
  </si>
  <si>
    <t>Eff_test_new.kgoe_per_100km.BG.Tr.Road.Freight.LCV.ICE.NGas</t>
  </si>
  <si>
    <t>Eff_test_new.kgoe_per_100km.BG.Tr.Road.Freight.LCV.BEV</t>
  </si>
  <si>
    <t>Eff_test_new.kgoe_per_100km.BG.Tr.Road.Freight.HGV_All</t>
  </si>
  <si>
    <t>Eff_test_new.kgoe_per_100km.BG.Tr.Road.Freight.HGV_Domestic</t>
  </si>
  <si>
    <t>Eff_test_new.kgoe_per_100km.BG.Tr.Road.Freight.HGV_International</t>
  </si>
  <si>
    <t>EMIint_test_stock.gCO2_per_km.BG.Tr.Road.Passenger.P2W</t>
  </si>
  <si>
    <t>EMIint_test_stock.gCO2_per_km.BG.Tr.Road.Passenger.Car</t>
  </si>
  <si>
    <t>EMIint_test_stock.gCO2_per_km.BG.Tr.Road.Passenger.Car.ICE.Gasoline</t>
  </si>
  <si>
    <t>EMIint_test_stock.gCO2_per_km.BG.Tr.Road.Passenger.Car.ICE.Diesel</t>
  </si>
  <si>
    <t>EMIint_test_stock.gCO2_per_km.BG.Tr.Road.Passenger.Car.ICE.LPG</t>
  </si>
  <si>
    <t>EMIint_test_stock.gCO2_per_km.BG.Tr.Road.Passenger.Car.ICE.NGas</t>
  </si>
  <si>
    <t>EMIint_test_stock.gCO2_per_km.BG.Tr.Road.Passenger.Car.PHEV.Gasoline</t>
  </si>
  <si>
    <t>EMIint_test_stock.gCO2_per_km.BG.Tr.Road.Passenger.Car.BEV</t>
  </si>
  <si>
    <t>EMIint_test_stock.gCO2_per_km.BG.Tr.Road.Passenger.Bus</t>
  </si>
  <si>
    <t>EMIint_test_stock.gCO2_per_km.BG.Tr.Road.Passenger.Bus.ICE.Gasoline</t>
  </si>
  <si>
    <t>EMIint_test_stock.gCO2_per_km.BG.Tr.Road.Passenger.Bus.ICE.Diesel</t>
  </si>
  <si>
    <t>EMIint_test_stock.gCO2_per_km.BG.Tr.Road.Passenger.Bus.ICE.LPG</t>
  </si>
  <si>
    <t>EMIint_test_stock.gCO2_per_km.BG.Tr.Road.Passenger.Bus.ICE.NGas</t>
  </si>
  <si>
    <t>EMIint_test_stock.gCO2_per_km.BG.Tr.Road.Passenger.Bus.BEV</t>
  </si>
  <si>
    <t>EMIint_test_stock.gCO2_per_km.BG.Tr.Road.Freight.LCV</t>
  </si>
  <si>
    <t>EMIint_test_stock.gCO2_per_km.BG.Tr.Road.Freight.LCV.ICE.Gasoline</t>
  </si>
  <si>
    <t>EMIint_test_stock.gCO2_per_km.BG.Tr.Road.Freight.LCV.ICE.Diesel</t>
  </si>
  <si>
    <t>EMIint_test_stock.gCO2_per_km.BG.Tr.Road.Freight.LCV.ICE.LPG</t>
  </si>
  <si>
    <t>EMIint_test_stock.gCO2_per_km.BG.Tr.Road.Freight.LCV.ICE.NGas</t>
  </si>
  <si>
    <t>EMIint_test_stock.gCO2_per_km.BG.Tr.Road.Freight.LCV.BEV</t>
  </si>
  <si>
    <t>EMIint_test_stock.gCO2_per_km.BG.Tr.Road.Freight.HGV_All</t>
  </si>
  <si>
    <t>EMIint_test_stock.gCO2_per_km.BG.Tr.Road.Freight.HGV_Domestic</t>
  </si>
  <si>
    <t>EMIint_test_stock.gCO2_per_km.BG.Tr.Road.Freight.HGV_International</t>
  </si>
  <si>
    <t>EMIint_test_new.gCO2_per_km.BG.Tr.Road.Passenger.P2W</t>
  </si>
  <si>
    <t>EMIint_test_new.gCO2_per_km.BG.Tr.Road.Passenger.Car</t>
  </si>
  <si>
    <t>EMIint_test_new.gCO2_per_km.BG.Tr.Road.Passenger.Car.ICE.Gasoline</t>
  </si>
  <si>
    <t>EMIint_test_new.gCO2_per_km.BG.Tr.Road.Passenger.Car.ICE.Diesel</t>
  </si>
  <si>
    <t>EMIint_test_new.gCO2_per_km.BG.Tr.Road.Passenger.Car.ICE.LPG</t>
  </si>
  <si>
    <t>EMIint_test_new.gCO2_per_km.BG.Tr.Road.Passenger.Car.ICE.NGas</t>
  </si>
  <si>
    <t>EMIint_test_new.gCO2_per_km.BG.Tr.Road.Passenger.Car.PHEV.Gasoline</t>
  </si>
  <si>
    <t>EMIint_test_new.gCO2_per_km.BG.Tr.Road.Passenger.Car.BEV</t>
  </si>
  <si>
    <t>EMIint_test_new.gCO2_per_km.BG.Tr.Road.Passenger.Bus</t>
  </si>
  <si>
    <t>EMIint_test_new.gCO2_per_km.BG.Tr.Road.Passenger.Bus.ICE.Gasoline</t>
  </si>
  <si>
    <t>EMIint_test_new.gCO2_per_km.BG.Tr.Road.Passenger.Bus.ICE.Diesel</t>
  </si>
  <si>
    <t>EMIint_test_new.gCO2_per_km.BG.Tr.Road.Passenger.Bus.ICE.LPG</t>
  </si>
  <si>
    <t>EMIint_test_new.gCO2_per_km.BG.Tr.Road.Passenger.Bus.ICE.NGas</t>
  </si>
  <si>
    <t>EMIint_test_new.gCO2_per_km.BG.Tr.Road.Passenger.Bus.BEV</t>
  </si>
  <si>
    <t>EMIint_test_new.gCO2_per_km.BG.Tr.Road.Freight.LCV</t>
  </si>
  <si>
    <t>EMIint_test_new.gCO2_per_km.BG.Tr.Road.Freight.LCV.ICE.Gasoline</t>
  </si>
  <si>
    <t>EMIint_test_new.gCO2_per_km.BG.Tr.Road.Freight.LCV.ICE.Diesel</t>
  </si>
  <si>
    <t>EMIint_test_new.gCO2_per_km.BG.Tr.Road.Freight.LCV.ICE.LPG</t>
  </si>
  <si>
    <t>EMIint_test_new.gCO2_per_km.BG.Tr.Road.Freight.LCV.ICE.NGas</t>
  </si>
  <si>
    <t>EMIint_test_new.gCO2_per_km.BG.Tr.Road.Freight.LCV.BEV</t>
  </si>
  <si>
    <t>EMIint_test_new.gCO2_per_km.BG.Tr.Road.Freight.HGV_All</t>
  </si>
  <si>
    <t>EMIint_test_new.gCO2_per_km.BG.Tr.Road.Freight.HGV_Domestic</t>
  </si>
  <si>
    <t>EMIint_test_new.gCO2_per_km.BG.Tr.Road.Freight.HGV_International</t>
  </si>
  <si>
    <t>FEC.ktoe.BG.MBunk</t>
  </si>
  <si>
    <t>FEC.ktoe.BG.MBunk.IntraEEA</t>
  </si>
  <si>
    <t>FEC.ktoe.BG.MBunk.ExtraEEA</t>
  </si>
  <si>
    <t>EMI.ktCO2.BG.MBunk</t>
  </si>
  <si>
    <t>EMI.ktCO2.BG.MBunk.IntraEEA</t>
  </si>
  <si>
    <t>EMI.ktCO2.BG.MBunk.ExtraEEA</t>
  </si>
  <si>
    <t>International maritime bunkers - BG - Bulgaria</t>
  </si>
  <si>
    <t>VehicleKm.Mkm.BG.MBunk.Freight</t>
  </si>
  <si>
    <t>VehicleKm.Mkm.BG.MBunk.Freight.IntraEEA</t>
  </si>
  <si>
    <t>VehicleKm.Mkm.BG.MBunk.Freight.ExtraEEA</t>
  </si>
  <si>
    <t>Load.t_per_movement.BG.MBunk.Freight</t>
  </si>
  <si>
    <t>Load.t_per_movement.BG.MBunk.Freight.IntraEEA</t>
  </si>
  <si>
    <t>Load.t_per_movement.BG.MBunk.Freight.ExtraEEA</t>
  </si>
  <si>
    <t>International maritime bunkers / energy consumption - BG - Bulgaria</t>
  </si>
  <si>
    <t>FEC.ktoe.BG.ES.MBunk</t>
  </si>
  <si>
    <t>FEC.ktoe.BG.ES.MBunk.IntraEEA</t>
  </si>
  <si>
    <t>FEC.ktoe.BG.ES.MBunk.IntraEEA.Diesel</t>
  </si>
  <si>
    <t>FEC.ktoe.BG.ES.MBunk.IntraEEA.RFO_Other</t>
  </si>
  <si>
    <t>FEC.ktoe.BG.ES.MBunk.IntraEEA.LiqBio</t>
  </si>
  <si>
    <t>FEC.ktoe.BG.ES.MBunk.IntraEEA.NG</t>
  </si>
  <si>
    <t>FEC.ktoe.BG.ES.MBunk.IntraEEA.Biogas</t>
  </si>
  <si>
    <t>FEC.ktoe.BG.ES.MBunk.ExtraEEA</t>
  </si>
  <si>
    <t>FEC.ktoe.BG.ES.MBunk.ExtraEEA.Diesel</t>
  </si>
  <si>
    <t>FEC.ktoe.BG.ES.MBunk.ExtraEEA.RFO_Other</t>
  </si>
  <si>
    <t>FEC.ktoe.BG.ES.MBunk.ExtraEEA.LiqBio</t>
  </si>
  <si>
    <t>FEC.ktoe.BG.ES.MBunk.ExtraEEA.NG</t>
  </si>
  <si>
    <t>FEC.ktoe.BG.ES.MBunk.ExtraEEA.Biogas</t>
  </si>
  <si>
    <t>Eff.kgoe_per_100km.BG.MBunk.Freight</t>
  </si>
  <si>
    <t>Eff.kgoe_per_100km.BG.MBunk.Freight.IntraEEA</t>
  </si>
  <si>
    <t>Eff.kgoe_per_100km.BG.MBunk.Freight.ExtraEEA</t>
  </si>
  <si>
    <t>International maritime bunkers / CO2 emissions - BG - Bulgaria</t>
  </si>
  <si>
    <t>EMI.ktCO2.BG.ES.MBunk</t>
  </si>
  <si>
    <t>EMI.ktCO2.BG.ES.MBunk.IntraEEA</t>
  </si>
  <si>
    <t>EMI.ktCO2.BG.ES.MBunk.ExtraEEA</t>
  </si>
  <si>
    <t>EMIint.gCO2_per_km.BG.MBunk.Freight</t>
  </si>
  <si>
    <t>EMIint.gCO2_per_km.BG.MBunk.Freight.IntraEEA</t>
  </si>
  <si>
    <t>EMIint.gCO2_per_km.BG.MBunk.Freight.ExtraEEA</t>
  </si>
  <si>
    <t>FEC.ktoe.BG.Tr.DNavi</t>
  </si>
  <si>
    <t>FEC.ktoe.BG.Tr.Dnavi.DCS</t>
  </si>
  <si>
    <t>FEC.ktoe.BG.Tr.Dnavi.IWW</t>
  </si>
  <si>
    <t>EMI.ktCO2.BG.Tr.DNavi</t>
  </si>
  <si>
    <t>EMI.ktCO2.BG.Tr.Dnavi.DCS</t>
  </si>
  <si>
    <t>EMI.ktCO2.BG.Tr.Dnavi.IWW</t>
  </si>
  <si>
    <t>Domestic navigation - BG - Bulgaria</t>
  </si>
  <si>
    <t>VehicleKm.Mkm.BG.Tr.DNavi.Freight</t>
  </si>
  <si>
    <t>VehicleKm.Mkm.BG.Tr.DNavi.Freight.DCS</t>
  </si>
  <si>
    <t>VehicleKm.Mkm.BG.Tr.DNavi.Freight.IWW</t>
  </si>
  <si>
    <t>Load.t_per_movement.BG.Tr.DNavi.Freight</t>
  </si>
  <si>
    <t>Load.t_per_movement.BG.Tr.DNavi.Freight.DCS</t>
  </si>
  <si>
    <t>Load.t_per_movement.BG.Tr.DNavi.Freight.IWW</t>
  </si>
  <si>
    <t>Domestic navigation / energy consumption - BG - Bulgaria</t>
  </si>
  <si>
    <t>FEC.ktoe.BG.ES.Tr.DNavi</t>
  </si>
  <si>
    <t>FEC.ktoe.BG.ES.Tr.DNavi.DCS</t>
  </si>
  <si>
    <t>FEC.ktoe.BG.ES.Tr.DNavi.DCS.Diesel</t>
  </si>
  <si>
    <t>FEC.ktoe.BG.ES.Tr.DNavi.DCS.RFO_Other</t>
  </si>
  <si>
    <t>FEC.ktoe.BG.ES.Tr.DNavi.DCS.LiqBio</t>
  </si>
  <si>
    <t>FEC.ktoe.BG.ES.Tr.DNavi.DCS.NG</t>
  </si>
  <si>
    <t>FEC.ktoe.BG.ES.Tr.DNavi.DCS.Biogas</t>
  </si>
  <si>
    <t>FEC.ktoe.BG.ES.Tr.DNavi.IWW</t>
  </si>
  <si>
    <t>FEC.ktoe.BG.ES.Tr.DNavi.IWW.Diesel</t>
  </si>
  <si>
    <t>FEC.ktoe.BG.ES.Tr.DNavi.IWW.RFO_Other</t>
  </si>
  <si>
    <t>FEC.ktoe.BG.ES.Tr.DNavi.IWW.LiqBio</t>
  </si>
  <si>
    <t>FEC.ktoe.BG.ES.Tr.DNavi.IWW.NG</t>
  </si>
  <si>
    <t>FEC.ktoe.BG.ES.Tr.DNavi.IWW.Biogas</t>
  </si>
  <si>
    <t>Eff.kgoe_per_100km.BG.Tr.DNavi.Freight</t>
  </si>
  <si>
    <t>Eff.kgoe_per_100km.BG.Tr.DNavi.Freight.DCS</t>
  </si>
  <si>
    <t>Eff.kgoe_per_100km.BG.Tr.DNavi.Freight.IWW</t>
  </si>
  <si>
    <t>Domestic navigation / CO2 emissions - BG - Bulgaria</t>
  </si>
  <si>
    <t>EMI.ktCO2.BG.ES.Tr.DNavi</t>
  </si>
  <si>
    <t>EMI.ktCO2.BG.ES.Tr.DNavi.DCS</t>
  </si>
  <si>
    <t>EMI.ktCO2.BG.ES.Tr.DNavi.IWW</t>
  </si>
  <si>
    <t>EMIint.gCO2_per_km.BG.Tr.DNavi.Freight</t>
  </si>
  <si>
    <t>EMIint.gCO2_per_km.BG.Tr.DNavi.Freight.DCS</t>
  </si>
  <si>
    <t>EMIint.gCO2_per_km.BG.Tr.DNavi.Freight.IWW</t>
  </si>
  <si>
    <t>Rail, metro and tram - BG - Bulgaria</t>
  </si>
  <si>
    <t>Activity.Mpkm.BG.Tr.Rail.Passenger.CPT.Diesel</t>
  </si>
  <si>
    <t>Activity.Mpkm.BG.Tr.Rail.Passenger.CPT.Elc</t>
  </si>
  <si>
    <t>Activity.Mtkm.BG.Tr.Rail.Freight.Diesel</t>
  </si>
  <si>
    <t>Activity.Mtkm.BG.Tr.Rail.Freight.Elc</t>
  </si>
  <si>
    <t>VehicleKm.Mkm.BG.Tr.Rail</t>
  </si>
  <si>
    <t>VehicleKm.Mkm.BG.Tr.Rail.Passenger</t>
  </si>
  <si>
    <t>VehicleKm.Mkm.BG.Tr.Rail.Passenger.MTU</t>
  </si>
  <si>
    <t>VehicleKm.Mkm.BG.Tr.Rail.Passenger.CPT</t>
  </si>
  <si>
    <t>VehicleKm.Mkm.BG.Tr.Rail.Passenger.CPT.Diesel</t>
  </si>
  <si>
    <t>VehicleKm.Mkm.BG.Tr.Rail.Passenger.CPT.Elc</t>
  </si>
  <si>
    <t>VehicleKm.Mkm.BG.Tr.Rail.Passenger.HST</t>
  </si>
  <si>
    <t>VehicleKm.Mkm.BG.Tr.Rail.Freight</t>
  </si>
  <si>
    <t>VehicleKm.Mkm.BG.Tr.Rail.Freight.Diesel</t>
  </si>
  <si>
    <t>VehicleKm.Mkm.BG.Tr.Rail.Freight.Elc</t>
  </si>
  <si>
    <t>Stock.number.BG.Tr.Rail</t>
  </si>
  <si>
    <t>Stock.number.BG.Tr.Rail.Passenger</t>
  </si>
  <si>
    <t>Stock.number.BG.Tr.Rail.Passenger.MTU</t>
  </si>
  <si>
    <t>Stock.number.BG.Tr.Rail.Passenger.CPT</t>
  </si>
  <si>
    <t>Stock.number.BG.Tr.Rail.Passenger.CPT.Diesel</t>
  </si>
  <si>
    <t>Stock.number.BG.Tr.Rail.Passenger.CPT.Elc</t>
  </si>
  <si>
    <t>Stock.number.BG.Tr.Rail.Passenger.HST</t>
  </si>
  <si>
    <t>Stock.number.BG.Tr.Rail.Freight</t>
  </si>
  <si>
    <t>Stock.number.BG.Tr.Rail.Freight.Diesel</t>
  </si>
  <si>
    <t>Stock.number.BG.Tr.Rail.Freight.Elc</t>
  </si>
  <si>
    <t>StockNew.number.BG.Tr.Rail</t>
  </si>
  <si>
    <t>StockNew.number.BG.Tr.Rail.Passenger</t>
  </si>
  <si>
    <t>StockNew.number.BG.Tr.Rail.Passenger.MTU</t>
  </si>
  <si>
    <t>StockNew.number.BG.Tr.Rail.Passenger.CPT</t>
  </si>
  <si>
    <t>StockNew.number.BG.Tr.Rail.Passenger.CPT.Diesel</t>
  </si>
  <si>
    <t>StockNew.number.BG.Tr.Rail.Passenger.CPT.Elc</t>
  </si>
  <si>
    <t>StockNew.number.BG.Tr.Rail.Passenger.HST</t>
  </si>
  <si>
    <t>StockNew.number.BG.Tr.Rail.Freight</t>
  </si>
  <si>
    <t>StockNew.number.BG.Tr.Rail.Freight.Diesel</t>
  </si>
  <si>
    <t>StockNew.number.BG.Tr.Rail.Freight.Elc</t>
  </si>
  <si>
    <t>Load.passenger_per_movement.BG.Tr.Rail.Passenger</t>
  </si>
  <si>
    <t>Load.passenger_per_movement.BG.Tr.Rail.Passenger.MTU</t>
  </si>
  <si>
    <t>Load.passenger_per_movement.BG.Tr.Rail.Passenger.CPT</t>
  </si>
  <si>
    <t>Load.passenger_per_movement.BG.Tr.Rail.Passenger.CPT.Diesel</t>
  </si>
  <si>
    <t>Load.passenger_per_movement.BG.Tr.Rail.Passenger.CPT.Elc</t>
  </si>
  <si>
    <t>Load.passenger_per_movement.BG.Tr.Rail.Passenger.HST</t>
  </si>
  <si>
    <t>Load.t_per_movement.BG.Tr.Rail.Freight</t>
  </si>
  <si>
    <t>Load.t_per_movement.BG.Tr.Rail.Freight.Diesel</t>
  </si>
  <si>
    <t>Load.t_per_movement.BG.Tr.Rail.Freight.Elc</t>
  </si>
  <si>
    <t>TrCap.seats.BG.Tr.Rail.Passenger</t>
  </si>
  <si>
    <t>TrCap.seats.BG.Tr.Rail.Passenger.MTU</t>
  </si>
  <si>
    <t>TrCap.seats.BG.Tr.Rail.Passenger.CPT</t>
  </si>
  <si>
    <t>TrCap.seats.BG.Tr.Rail.Passenger.CPT.Diesel</t>
  </si>
  <si>
    <t>TrCap.seats.BG.Tr.Rail.Passenger.CPT.Elc</t>
  </si>
  <si>
    <t>TrCap.seats.BG.Tr.Rail.Passenger.HST</t>
  </si>
  <si>
    <t>TrCap.t.BG.Tr.Rail.Freight</t>
  </si>
  <si>
    <t>TrCap.t.BG.Tr.Rail.Freight.Diesel</t>
  </si>
  <si>
    <t>TrCap.t.BG.Tr.Rail.Freight.Elc</t>
  </si>
  <si>
    <t>VehicleKm_per_vehicle.km.BG.Tr.Rail</t>
  </si>
  <si>
    <t>VehicleKm_per_vehicle.km.BG.Tr.Rail.Passenger</t>
  </si>
  <si>
    <t>VehicleKm_per_vehicle.km.BG.Tr.Rail.Passenger.MTU</t>
  </si>
  <si>
    <t>VehicleKm_per_vehicle.km.BG.Tr.Rail.Passenger.CPT</t>
  </si>
  <si>
    <t>VehicleKm_per_vehicle.km.BG.Tr.Rail.Passenger.CPT.Diesel</t>
  </si>
  <si>
    <t>VehicleKm_per_vehicle.km.BG.Tr.Rail.Passenger.CPT.Elc</t>
  </si>
  <si>
    <t>VehicleKm_per_vehicle.km.BG.Tr.Rail.Passenger.HST</t>
  </si>
  <si>
    <t>VehicleKm_per_vehicle.km.BG.Tr.Rail.Freight</t>
  </si>
  <si>
    <t>VehicleKm_per_vehicle.km.BG.Tr.Rail.Freight.Diesel</t>
  </si>
  <si>
    <t>VehicleKm_per_vehicle.km.BG.Tr.Rail.Freight.Elc</t>
  </si>
  <si>
    <t>Activity_per_vehicle.pkm.BG.Tr.Rail.Passenger</t>
  </si>
  <si>
    <t>Activity_per_vehicle.pkm.BG.Tr.Rail.Passenger.MTU</t>
  </si>
  <si>
    <t>Activity_per_vehicle.pkm.BG.Tr.Rail.Passenger.CPT</t>
  </si>
  <si>
    <t>Activity_per_vehicle.pkm.BG.Tr.Rail.Passenger.CPT.Diesel</t>
  </si>
  <si>
    <t>Activity_per_vehicle.pkm.BG.Tr.Rail.Passenger.CPT.Elc</t>
  </si>
  <si>
    <t>Activity_per_vehicle.pkm.BG.Tr.Rail.Passenger.HST</t>
  </si>
  <si>
    <t>Activity_per_vehicle.tkm.BG.Tr.Rail.Freight</t>
  </si>
  <si>
    <t>Activity_per_vehicle.tkm.BG.Tr.Rail.Freight.Diesel</t>
  </si>
  <si>
    <t>Activity_per_vehicle.tkm.BG.Tr.Rail.Freight.Elc</t>
  </si>
  <si>
    <t>Rail, metro and tram / energy consumption - BG - Bulgaria</t>
  </si>
  <si>
    <t>FEC.ktoe.BG.ES.Tr.Rail</t>
  </si>
  <si>
    <t>FEC.ktoe.BG.ES.Tr.Rail.Diesel</t>
  </si>
  <si>
    <t>FEC.ktoe.BG.ES.Tr.Rail.LiqBio</t>
  </si>
  <si>
    <t>FEC.ktoe.BG.ES.Tr.Rail.Elec</t>
  </si>
  <si>
    <t>FEC.ktoe.BG.Tr.Rail</t>
  </si>
  <si>
    <t>FEC.ktoe.BG.Tr.Rail.Passenger.CPT.Diesel</t>
  </si>
  <si>
    <t>FEC.ktoe.BG.Tr.Rail.Passenger.CPT.Elc</t>
  </si>
  <si>
    <t>FEC.ktoe.BG.Tr.Rail.Freight.Diesel</t>
  </si>
  <si>
    <t>FEC.ktoe.BG.Tr.Rail.Freight.Elc</t>
  </si>
  <si>
    <t>Eff.kgoe_per_100km.BG.Tr.Rail</t>
  </si>
  <si>
    <t>Eff.kgoe_per_100km.BG.Tr.Rail.Passenger</t>
  </si>
  <si>
    <t>Eff.kgoe_per_100km.BG.Tr.Rail.Passenger.MTU</t>
  </si>
  <si>
    <t>Eff.kgoe_per_100km.BG.Tr.Rail.Passenger.CPT</t>
  </si>
  <si>
    <t>Eff.kgoe_per_100km.BG.Tr.Rail.Passenger.CPT.Diesel</t>
  </si>
  <si>
    <t>Eff.kgoe_per_100km.BG.Tr.Rail.Passenger.CPT.Elc</t>
  </si>
  <si>
    <t>Eff.kgoe_per_100km.BG.Tr.Rail.Passenger.HST</t>
  </si>
  <si>
    <t>Eff.kgoe_per_100km.BG.Tr.Rail.Freight</t>
  </si>
  <si>
    <t>Eff.kgoe_per_100km.BG.Tr.Rail.Freight.Diesel</t>
  </si>
  <si>
    <t>Eff.kgoe_per_100km.BG.Tr.Rail.Freight.Elc</t>
  </si>
  <si>
    <t>Eff.kgoe_per_kpkm.BG.Tr.Rail.Passenger.CPT.Diesel</t>
  </si>
  <si>
    <t>Eff.kgoe_per_kpkm.BG.Tr.Rail.Passenger.CPT.Elc</t>
  </si>
  <si>
    <t>Eff.kgoe_per_ktkm.BG.Tr.Rail.Freight.Diesel</t>
  </si>
  <si>
    <t>Eff.kgoe_per_ktkm.BG.Tr.Rail.Freight.Elc</t>
  </si>
  <si>
    <t>FEC_per_vehicle.kgoe.BG.Tr.Rail</t>
  </si>
  <si>
    <t>FEC_per_vehicle.kgoe.BG.Tr.Rail.Passenger</t>
  </si>
  <si>
    <t>FEC_per_vehicle.kgoe.BG.Tr.Rail.Passenger.MTU</t>
  </si>
  <si>
    <t>FEC_per_vehicle.kgoe.BG.Tr.Rail.Passenger.CPT</t>
  </si>
  <si>
    <t>FEC_per_vehicle.kgoe.BG.Tr.Rail.Passenger.CPT.Diesel</t>
  </si>
  <si>
    <t>FEC_per_vehicle.kgoe.BG.Tr.Rail.Passenger.CPT.Elc</t>
  </si>
  <si>
    <t>FEC_per_vehicle.kgoe.BG.Tr.Rail.Passenger.HST</t>
  </si>
  <si>
    <t>FEC_per_vehicle.kgoe.BG.Tr.Rail.Freight</t>
  </si>
  <si>
    <t>FEC_per_vehicle.kgoe.BG.Tr.Rail.Freight.Diesel</t>
  </si>
  <si>
    <t>FEC_per_vehicle.kgoe.BG.Tr.Rail.Freight.Elc</t>
  </si>
  <si>
    <t>Rail, metro and tram / CO2 emissions - BG - Bulgaria</t>
  </si>
  <si>
    <t>EMI.ktCO2.BG.ES.Tr.Rail</t>
  </si>
  <si>
    <t>EMI.ktCO2.BG.ES.Tr.Rail.Diesel</t>
  </si>
  <si>
    <t>EMI.ktCO2.BG.ES.Tr.Rail.Elec</t>
  </si>
  <si>
    <t>EMI.ktCO2.BG.Tr.Rail</t>
  </si>
  <si>
    <t>EMI.ktCO2.BG.Tr.Rail.Passenger.CPT.Diesel</t>
  </si>
  <si>
    <t>EMI.ktCO2.BG.Tr.Rail.Passenger.CPT.Elc</t>
  </si>
  <si>
    <t>EMI.ktCO2.BG.Tr.Rail.Freight.Diesel</t>
  </si>
  <si>
    <t>EMI.ktCO2.BG.Tr.Rail.Freight.Elc</t>
  </si>
  <si>
    <t>EMIint.gCO2_per_km.BG.Tr.Rail</t>
  </si>
  <si>
    <t>EMIint.gCO2_per_km.BG.Tr.Rail.Passenger</t>
  </si>
  <si>
    <t>EMIint.gCO2_per_km.BG.Tr.Rail.Passenger.MTU</t>
  </si>
  <si>
    <t>EMIint.gCO2_per_km.BG.Tr.Rail.Passenger.CPT</t>
  </si>
  <si>
    <t>EMIint.gCO2_per_km.BG.Tr.Rail.Passenger.CPT.Diesel</t>
  </si>
  <si>
    <t>EMIint.gCO2_per_km.BG.Tr.Rail.Passenger.CPT.Elc</t>
  </si>
  <si>
    <t>EMIint.gCO2_per_km.BG.Tr.Rail.Passenger.HST</t>
  </si>
  <si>
    <t>EMIint.gCO2_per_km.BG.Tr.Rail.Freight</t>
  </si>
  <si>
    <t>EMIint.gCO2_per_km.BG.Tr.Rail.Freight.Diesel</t>
  </si>
  <si>
    <t>EMIint.gCO2_per_km.BG.Tr.Rail.Freight.Elc</t>
  </si>
  <si>
    <t>EMIint.gCO2_per_pkm.BG.Tr.Rail.Passenger.CPT.Diesel</t>
  </si>
  <si>
    <t>EMIint.gCO2_per_pkm.BG.Tr.Rail.Passenger.CPT.Elc</t>
  </si>
  <si>
    <t>EMIint.gCO2_per_tkm.BG.Tr.Rail.Freight.Diesel</t>
  </si>
  <si>
    <t>EMIint.gCO2_per_tkm.BG.Tr.Rail.Freight.Elc</t>
  </si>
  <si>
    <t>EMI_per_vehicle.tCO2.BG.Tr.Rail</t>
  </si>
  <si>
    <t>EMI_per_vehicle.tCO2.BG.Tr.Rail.Passenger</t>
  </si>
  <si>
    <t>EMI_per_vehicle.tCO2.BG.Tr.Rail.Passenger.MTU</t>
  </si>
  <si>
    <t>EMI_per_vehicle.tCO2.BG.Tr.Rail.Passenger.CPT</t>
  </si>
  <si>
    <t>EMI_per_vehicle.tCO2.BG.Tr.Rail.Passenger.CPT.Diesel</t>
  </si>
  <si>
    <t>EMI_per_vehicle.tCO2.BG.Tr.Rail.Passenger.CPT.Elc</t>
  </si>
  <si>
    <t>EMI_per_vehicle.tCO2.BG.Tr.Rail.Passenger.HST</t>
  </si>
  <si>
    <t>EMI_per_vehicle.tCO2.BG.Tr.Rail.Freight</t>
  </si>
  <si>
    <t>EMI_per_vehicle.tCO2.BG.Tr.Rail.Freight.Diesel</t>
  </si>
  <si>
    <t>EMI_per_vehicle.tCO2.BG.Tr.Rail.Freight.Elc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</si>
</sst>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45967.47216435185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47767.147161881585</v>
      </c>
      <c r="C4" s="28">
        <f t="shared" si="0"/>
        <v>49353.532484514995</v>
      </c>
      <c r="D4" s="28">
        <f t="shared" si="0"/>
        <v>52866.96298289486</v>
      </c>
      <c r="E4" s="28">
        <f t="shared" si="0"/>
        <v>52510.096948148166</v>
      </c>
      <c r="F4" s="28">
        <f t="shared" si="0"/>
        <v>52825.377312067627</v>
      </c>
      <c r="G4" s="28">
        <f t="shared" si="0"/>
        <v>56422.146733866248</v>
      </c>
      <c r="H4" s="28">
        <f t="shared" si="0"/>
        <v>58864.265887129441</v>
      </c>
      <c r="I4" s="28">
        <f t="shared" si="0"/>
        <v>62482.835166954508</v>
      </c>
      <c r="J4" s="28">
        <f t="shared" si="0"/>
        <v>65634.4606397803</v>
      </c>
      <c r="K4" s="28">
        <f t="shared" si="0"/>
        <v>64879.691129400511</v>
      </c>
      <c r="L4" s="28">
        <f t="shared" si="0"/>
        <v>66222.554732886027</v>
      </c>
      <c r="M4" s="28">
        <f t="shared" si="0"/>
        <v>67796.489043045789</v>
      </c>
      <c r="N4" s="28">
        <f t="shared" si="0"/>
        <v>69285.915326308037</v>
      </c>
      <c r="O4" s="28">
        <f t="shared" si="0"/>
        <v>70951.288022941284</v>
      </c>
      <c r="P4" s="28">
        <f t="shared" si="0"/>
        <v>74751.759665754624</v>
      </c>
      <c r="Q4" s="28">
        <f t="shared" si="0"/>
        <v>78616.468263487346</v>
      </c>
      <c r="R4" s="28">
        <f t="shared" ref="R4:V4" si="1">R5+R9+R13</f>
        <v>79746.488189109135</v>
      </c>
      <c r="S4" s="28">
        <f t="shared" si="1"/>
        <v>80638.606810382218</v>
      </c>
      <c r="T4" s="28">
        <f t="shared" si="1"/>
        <v>80263.887988555754</v>
      </c>
      <c r="U4" s="28">
        <f t="shared" si="1"/>
        <v>81815.222756905292</v>
      </c>
      <c r="V4" s="28">
        <f t="shared" si="1"/>
        <v>60957.087663105565</v>
      </c>
      <c r="W4" s="28">
        <f t="shared" ref="W4:Y4" si="2">W5+W9+W13</f>
        <v>63922.4302219948</v>
      </c>
      <c r="X4" s="28">
        <f t="shared" si="2"/>
        <v>72283.130982329414</v>
      </c>
      <c r="Y4" s="28">
        <f t="shared" si="2"/>
        <v>77588.324845796757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41812.382090762505</v>
      </c>
      <c r="C5" s="137">
        <f t="shared" si="3"/>
        <v>43197.662625014127</v>
      </c>
      <c r="D5" s="137">
        <f t="shared" si="3"/>
        <v>46629.532251980418</v>
      </c>
      <c r="E5" s="137">
        <f t="shared" si="3"/>
        <v>45449.096046442413</v>
      </c>
      <c r="F5" s="137">
        <f t="shared" si="3"/>
        <v>46199.757693466905</v>
      </c>
      <c r="G5" s="137">
        <f t="shared" si="3"/>
        <v>49185.184523559918</v>
      </c>
      <c r="H5" s="137">
        <f t="shared" si="3"/>
        <v>50950.800319418559</v>
      </c>
      <c r="I5" s="137">
        <f t="shared" si="3"/>
        <v>54404.968027773139</v>
      </c>
      <c r="J5" s="137">
        <f t="shared" si="3"/>
        <v>57532.926528992699</v>
      </c>
      <c r="K5" s="137">
        <f t="shared" si="3"/>
        <v>57278.231667354092</v>
      </c>
      <c r="L5" s="137">
        <f t="shared" si="3"/>
        <v>58087.172469468358</v>
      </c>
      <c r="M5" s="137">
        <f t="shared" si="3"/>
        <v>59519.375253725186</v>
      </c>
      <c r="N5" s="137">
        <f t="shared" si="3"/>
        <v>60843.874194119555</v>
      </c>
      <c r="O5" s="137">
        <f t="shared" si="3"/>
        <v>62382.037878036695</v>
      </c>
      <c r="P5" s="137">
        <f t="shared" si="3"/>
        <v>66174.463605772602</v>
      </c>
      <c r="Q5" s="137">
        <f t="shared" si="3"/>
        <v>70156.842488044262</v>
      </c>
      <c r="R5" s="137">
        <f t="shared" ref="R5:V5" si="4">R6+R7+R8</f>
        <v>69699.598359713622</v>
      </c>
      <c r="S5" s="137">
        <f t="shared" si="4"/>
        <v>69047.820357390417</v>
      </c>
      <c r="T5" s="137">
        <f t="shared" si="4"/>
        <v>67924.247970269236</v>
      </c>
      <c r="U5" s="137">
        <f t="shared" si="4"/>
        <v>69814.473535915196</v>
      </c>
      <c r="V5" s="137">
        <f t="shared" si="4"/>
        <v>55919.795462378686</v>
      </c>
      <c r="W5" s="137">
        <f t="shared" ref="W5:Y5" si="5">W6+W7+W8</f>
        <v>57756.172061647536</v>
      </c>
      <c r="X5" s="137">
        <f t="shared" si="5"/>
        <v>62841.964279366708</v>
      </c>
      <c r="Y5" s="137">
        <f t="shared" si="5"/>
        <v>66861.552453344309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325.38209076250575</v>
      </c>
      <c r="C6" s="102">
        <f>TrRoad_act!C$5</f>
        <v>334.66262501412734</v>
      </c>
      <c r="D6" s="102">
        <f>TrRoad_act!D$5</f>
        <v>344.53225198042213</v>
      </c>
      <c r="E6" s="102">
        <f>TrRoad_act!E$5</f>
        <v>349.09604644242228</v>
      </c>
      <c r="F6" s="102">
        <f>TrRoad_act!F$5</f>
        <v>370.75769346690845</v>
      </c>
      <c r="G6" s="102">
        <f>TrRoad_act!G$5</f>
        <v>397.18452355992008</v>
      </c>
      <c r="H6" s="102">
        <f>TrRoad_act!H$5</f>
        <v>408.80031941855941</v>
      </c>
      <c r="I6" s="102">
        <f>TrRoad_act!I$5</f>
        <v>433.96802777313593</v>
      </c>
      <c r="J6" s="102">
        <f>TrRoad_act!J$5</f>
        <v>493.9265289927082</v>
      </c>
      <c r="K6" s="102">
        <f>TrRoad_act!K$5</f>
        <v>527.23166735409211</v>
      </c>
      <c r="L6" s="102">
        <f>TrRoad_act!L$5</f>
        <v>574.17246946836417</v>
      </c>
      <c r="M6" s="102">
        <f>TrRoad_act!M$5</f>
        <v>608.3377643403943</v>
      </c>
      <c r="N6" s="102">
        <f>TrRoad_act!N$5</f>
        <v>658.93726825716044</v>
      </c>
      <c r="O6" s="102">
        <f>TrRoad_act!O$5</f>
        <v>700.92386641919472</v>
      </c>
      <c r="P6" s="102">
        <f>TrRoad_act!P$5</f>
        <v>740.64084201945604</v>
      </c>
      <c r="Q6" s="102">
        <f>TrRoad_act!Q$5</f>
        <v>802.75315000730416</v>
      </c>
      <c r="R6" s="102">
        <f>TrRoad_act!R$5</f>
        <v>861.87292516142941</v>
      </c>
      <c r="S6" s="102">
        <f>TrRoad_act!S$5</f>
        <v>821.41538803863432</v>
      </c>
      <c r="T6" s="102">
        <f>TrRoad_act!T$5</f>
        <v>789.99099437229347</v>
      </c>
      <c r="U6" s="102">
        <f>TrRoad_act!U$5</f>
        <v>846.36736367121102</v>
      </c>
      <c r="V6" s="102">
        <f>TrRoad_act!V$5</f>
        <v>760.75212668955612</v>
      </c>
      <c r="W6" s="102">
        <f>TrRoad_act!W$5</f>
        <v>792.71366455554607</v>
      </c>
      <c r="X6" s="102">
        <f>TrRoad_act!X$5</f>
        <v>807.43443252988789</v>
      </c>
      <c r="Y6" s="102">
        <f>TrRoad_act!Y$5</f>
        <v>885.79071128424698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26900</v>
      </c>
      <c r="C7" s="102">
        <f>TrRoad_act!C$6</f>
        <v>27900</v>
      </c>
      <c r="D7" s="102">
        <f>TrRoad_act!D$6</f>
        <v>29300</v>
      </c>
      <c r="E7" s="102">
        <f>TrRoad_act!E$6</f>
        <v>30699.999999999996</v>
      </c>
      <c r="F7" s="102">
        <f>TrRoad_act!F$6</f>
        <v>32800</v>
      </c>
      <c r="G7" s="102">
        <f>TrRoad_act!G$6</f>
        <v>35100</v>
      </c>
      <c r="H7" s="102">
        <f>TrRoad_act!H$6</f>
        <v>37600</v>
      </c>
      <c r="I7" s="102">
        <f>TrRoad_act!I$6</f>
        <v>40400</v>
      </c>
      <c r="J7" s="102">
        <f>TrRoad_act!J$6</f>
        <v>43199.999999999993</v>
      </c>
      <c r="K7" s="102">
        <f>TrRoad_act!K$6</f>
        <v>46300</v>
      </c>
      <c r="L7" s="102">
        <f>TrRoad_act!L$6</f>
        <v>46899.999999999993</v>
      </c>
      <c r="M7" s="102">
        <f>TrRoad_act!M$6</f>
        <v>48068.037489384791</v>
      </c>
      <c r="N7" s="102">
        <f>TrRoad_act!N$6</f>
        <v>49702.936925862392</v>
      </c>
      <c r="O7" s="102">
        <f>TrRoad_act!O$6</f>
        <v>51364.114011617501</v>
      </c>
      <c r="P7" s="102">
        <f>TrRoad_act!P$6</f>
        <v>53956.822763753145</v>
      </c>
      <c r="Q7" s="102">
        <f>TrRoad_act!Q$6</f>
        <v>56846.089338036967</v>
      </c>
      <c r="R7" s="102">
        <f>TrRoad_act!R$6</f>
        <v>56627.725434552187</v>
      </c>
      <c r="S7" s="102">
        <f>TrRoad_act!S$6</f>
        <v>57673.404969351788</v>
      </c>
      <c r="T7" s="102">
        <f>TrRoad_act!T$6</f>
        <v>57248.256975896948</v>
      </c>
      <c r="U7" s="102">
        <f>TrRoad_act!U$6</f>
        <v>58133.106172243992</v>
      </c>
      <c r="V7" s="102">
        <f>TrRoad_act!V$6</f>
        <v>50122.04333568913</v>
      </c>
      <c r="W7" s="102">
        <f>TrRoad_act!W$6</f>
        <v>52013.458397091992</v>
      </c>
      <c r="X7" s="102">
        <f>TrRoad_act!X$6</f>
        <v>55294.52984683682</v>
      </c>
      <c r="Y7" s="102">
        <f>TrRoad_act!Y$6</f>
        <v>59015.761742060058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14587</v>
      </c>
      <c r="C8" s="102">
        <f>TrRoad_act!C$13</f>
        <v>14963</v>
      </c>
      <c r="D8" s="102">
        <f>TrRoad_act!D$13</f>
        <v>16985</v>
      </c>
      <c r="E8" s="102">
        <f>TrRoad_act!E$13</f>
        <v>14400</v>
      </c>
      <c r="F8" s="102">
        <f>TrRoad_act!F$13</f>
        <v>13029</v>
      </c>
      <c r="G8" s="102">
        <f>TrRoad_act!G$13</f>
        <v>13688</v>
      </c>
      <c r="H8" s="102">
        <f>TrRoad_act!H$13</f>
        <v>12942</v>
      </c>
      <c r="I8" s="102">
        <f>TrRoad_act!I$13</f>
        <v>13571</v>
      </c>
      <c r="J8" s="102">
        <f>TrRoad_act!J$13</f>
        <v>13839</v>
      </c>
      <c r="K8" s="102">
        <f>TrRoad_act!K$13</f>
        <v>10451</v>
      </c>
      <c r="L8" s="102">
        <f>TrRoad_act!L$13</f>
        <v>10613</v>
      </c>
      <c r="M8" s="102">
        <f>TrRoad_act!M$13</f>
        <v>10843</v>
      </c>
      <c r="N8" s="102">
        <f>TrRoad_act!N$13</f>
        <v>10482.000000000002</v>
      </c>
      <c r="O8" s="102">
        <f>TrRoad_act!O$13</f>
        <v>10317</v>
      </c>
      <c r="P8" s="102">
        <f>TrRoad_act!P$13</f>
        <v>11477</v>
      </c>
      <c r="Q8" s="102">
        <f>TrRoad_act!Q$13</f>
        <v>12507.999999999998</v>
      </c>
      <c r="R8" s="102">
        <f>TrRoad_act!R$13</f>
        <v>12210</v>
      </c>
      <c r="S8" s="102">
        <f>TrRoad_act!S$13</f>
        <v>10553</v>
      </c>
      <c r="T8" s="102">
        <f>TrRoad_act!T$13</f>
        <v>9886</v>
      </c>
      <c r="U8" s="102">
        <f>TrRoad_act!U$13</f>
        <v>10835</v>
      </c>
      <c r="V8" s="102">
        <f>TrRoad_act!V$13</f>
        <v>5036.9999999999991</v>
      </c>
      <c r="W8" s="102">
        <f>TrRoad_act!W$13</f>
        <v>4950</v>
      </c>
      <c r="X8" s="102">
        <f>TrRoad_act!X$13</f>
        <v>6740</v>
      </c>
      <c r="Y8" s="102">
        <f>TrRoad_act!Y$13</f>
        <v>6960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3891</v>
      </c>
      <c r="C9" s="110">
        <f t="shared" si="6"/>
        <v>3459</v>
      </c>
      <c r="D9" s="110">
        <f t="shared" si="6"/>
        <v>3034</v>
      </c>
      <c r="E9" s="110">
        <f t="shared" si="6"/>
        <v>3003</v>
      </c>
      <c r="F9" s="110">
        <f t="shared" si="6"/>
        <v>2844</v>
      </c>
      <c r="G9" s="110">
        <f t="shared" si="6"/>
        <v>2823</v>
      </c>
      <c r="H9" s="110">
        <f t="shared" si="6"/>
        <v>2857</v>
      </c>
      <c r="I9" s="110">
        <f t="shared" si="6"/>
        <v>2847</v>
      </c>
      <c r="J9" s="110">
        <f t="shared" si="6"/>
        <v>2803</v>
      </c>
      <c r="K9" s="110">
        <f t="shared" si="6"/>
        <v>2826</v>
      </c>
      <c r="L9" s="110">
        <f t="shared" si="6"/>
        <v>2999</v>
      </c>
      <c r="M9" s="110">
        <f t="shared" si="6"/>
        <v>2931</v>
      </c>
      <c r="N9" s="110">
        <f t="shared" si="6"/>
        <v>2890</v>
      </c>
      <c r="O9" s="110">
        <f t="shared" si="6"/>
        <v>2831</v>
      </c>
      <c r="P9" s="110">
        <f t="shared" si="6"/>
        <v>2427</v>
      </c>
      <c r="Q9" s="110">
        <f t="shared" si="6"/>
        <v>2289.4780000000001</v>
      </c>
      <c r="R9" s="110">
        <f t="shared" ref="R9:V9" si="7">R10+R11+R12</f>
        <v>2270</v>
      </c>
      <c r="S9" s="110">
        <f t="shared" si="7"/>
        <v>2504</v>
      </c>
      <c r="T9" s="110">
        <f t="shared" si="7"/>
        <v>2561</v>
      </c>
      <c r="U9" s="110">
        <f t="shared" si="7"/>
        <v>2574</v>
      </c>
      <c r="V9" s="110">
        <f t="shared" si="7"/>
        <v>1808</v>
      </c>
      <c r="W9" s="110">
        <f t="shared" ref="W9:Y9" si="8">W10+W11+W12</f>
        <v>1953</v>
      </c>
      <c r="X9" s="110">
        <f t="shared" si="8"/>
        <v>2560</v>
      </c>
      <c r="Y9" s="110">
        <f t="shared" si="8"/>
        <v>2662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419</v>
      </c>
      <c r="C10" s="102">
        <f>TrRail_act!C$5</f>
        <v>469</v>
      </c>
      <c r="D10" s="102">
        <f>TrRail_act!D$5</f>
        <v>436</v>
      </c>
      <c r="E10" s="102">
        <f>TrRail_act!E$5</f>
        <v>486</v>
      </c>
      <c r="F10" s="102">
        <f>TrRail_act!F$5</f>
        <v>440</v>
      </c>
      <c r="G10" s="102">
        <f>TrRail_act!G$5</f>
        <v>434</v>
      </c>
      <c r="H10" s="102">
        <f>TrRail_act!H$5</f>
        <v>446</v>
      </c>
      <c r="I10" s="102">
        <f>TrRail_act!I$5</f>
        <v>443</v>
      </c>
      <c r="J10" s="102">
        <f>TrRail_act!J$5</f>
        <v>486</v>
      </c>
      <c r="K10" s="102">
        <f>TrRail_act!K$5</f>
        <v>688</v>
      </c>
      <c r="L10" s="102">
        <f>TrRail_act!L$5</f>
        <v>909</v>
      </c>
      <c r="M10" s="102">
        <f>TrRail_act!M$5</f>
        <v>872</v>
      </c>
      <c r="N10" s="102">
        <f>TrRail_act!N$5</f>
        <v>1020</v>
      </c>
      <c r="O10" s="102">
        <f>TrRail_act!O$5</f>
        <v>1010</v>
      </c>
      <c r="P10" s="102">
        <f>TrRail_act!P$5</f>
        <v>729</v>
      </c>
      <c r="Q10" s="102">
        <f>TrRail_act!Q$5</f>
        <v>740.47799999999995</v>
      </c>
      <c r="R10" s="102">
        <f>TrRail_act!R$5</f>
        <v>815</v>
      </c>
      <c r="S10" s="102">
        <f>TrRail_act!S$5</f>
        <v>1070</v>
      </c>
      <c r="T10" s="102">
        <f>TrRail_act!T$5</f>
        <v>1085</v>
      </c>
      <c r="U10" s="102">
        <f>TrRail_act!U$5</f>
        <v>1054</v>
      </c>
      <c r="V10" s="102">
        <f>TrRail_act!V$5</f>
        <v>690</v>
      </c>
      <c r="W10" s="102">
        <f>TrRail_act!W$5</f>
        <v>750</v>
      </c>
      <c r="X10" s="102">
        <f>TrRail_act!X$5</f>
        <v>960</v>
      </c>
      <c r="Y10" s="102">
        <f>TrRail_act!Y$5</f>
        <v>1070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3472</v>
      </c>
      <c r="C11" s="102">
        <f>TrRail_act!C$6</f>
        <v>2990</v>
      </c>
      <c r="D11" s="102">
        <f>TrRail_act!D$6</f>
        <v>2598</v>
      </c>
      <c r="E11" s="102">
        <f>TrRail_act!E$6</f>
        <v>2517</v>
      </c>
      <c r="F11" s="102">
        <f>TrRail_act!F$6</f>
        <v>2404</v>
      </c>
      <c r="G11" s="102">
        <f>TrRail_act!G$6</f>
        <v>2389</v>
      </c>
      <c r="H11" s="102">
        <f>TrRail_act!H$6</f>
        <v>2411</v>
      </c>
      <c r="I11" s="102">
        <f>TrRail_act!I$6</f>
        <v>2404</v>
      </c>
      <c r="J11" s="102">
        <f>TrRail_act!J$6</f>
        <v>2317</v>
      </c>
      <c r="K11" s="102">
        <f>TrRail_act!K$6</f>
        <v>2138</v>
      </c>
      <c r="L11" s="102">
        <f>TrRail_act!L$6</f>
        <v>2090</v>
      </c>
      <c r="M11" s="102">
        <f>TrRail_act!M$6</f>
        <v>2059</v>
      </c>
      <c r="N11" s="102">
        <f>TrRail_act!N$6</f>
        <v>1870</v>
      </c>
      <c r="O11" s="102">
        <f>TrRail_act!O$6</f>
        <v>1821</v>
      </c>
      <c r="P11" s="102">
        <f>TrRail_act!P$6</f>
        <v>1698</v>
      </c>
      <c r="Q11" s="102">
        <f>TrRail_act!Q$6</f>
        <v>1549</v>
      </c>
      <c r="R11" s="102">
        <f>TrRail_act!R$6</f>
        <v>1455</v>
      </c>
      <c r="S11" s="102">
        <f>TrRail_act!S$6</f>
        <v>1434</v>
      </c>
      <c r="T11" s="102">
        <f>TrRail_act!T$6</f>
        <v>1476</v>
      </c>
      <c r="U11" s="102">
        <f>TrRail_act!U$6</f>
        <v>1520</v>
      </c>
      <c r="V11" s="102">
        <f>TrRail_act!V$6</f>
        <v>1118</v>
      </c>
      <c r="W11" s="102">
        <f>TrRail_act!W$6</f>
        <v>1203</v>
      </c>
      <c r="X11" s="102">
        <f>TrRail_act!X$6</f>
        <v>1600</v>
      </c>
      <c r="Y11" s="102">
        <f>TrRail_act!Y$6</f>
        <v>1592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2063.7650711190831</v>
      </c>
      <c r="C13" s="110">
        <f t="shared" ref="C13:V13" si="10">C14+C15+C16</f>
        <v>2696.8698595008673</v>
      </c>
      <c r="D13" s="110">
        <f t="shared" si="10"/>
        <v>3203.4307309144397</v>
      </c>
      <c r="E13" s="110">
        <f t="shared" si="10"/>
        <v>4058.000901705755</v>
      </c>
      <c r="F13" s="110">
        <f t="shared" si="10"/>
        <v>3781.6196186007191</v>
      </c>
      <c r="G13" s="110">
        <f t="shared" si="10"/>
        <v>4413.9622103063321</v>
      </c>
      <c r="H13" s="110">
        <f t="shared" si="10"/>
        <v>5056.4655677108794</v>
      </c>
      <c r="I13" s="110">
        <f t="shared" si="10"/>
        <v>5230.8671391813696</v>
      </c>
      <c r="J13" s="110">
        <f t="shared" si="10"/>
        <v>5298.5341107875938</v>
      </c>
      <c r="K13" s="110">
        <f t="shared" si="10"/>
        <v>4775.4594620464159</v>
      </c>
      <c r="L13" s="110">
        <f t="shared" si="10"/>
        <v>5136.3822634176649</v>
      </c>
      <c r="M13" s="110">
        <f t="shared" si="10"/>
        <v>5346.1137893206014</v>
      </c>
      <c r="N13" s="110">
        <f t="shared" si="10"/>
        <v>5552.0411321884849</v>
      </c>
      <c r="O13" s="110">
        <f t="shared" si="10"/>
        <v>5738.2501449045831</v>
      </c>
      <c r="P13" s="110">
        <f t="shared" si="10"/>
        <v>6150.2960599820281</v>
      </c>
      <c r="Q13" s="110">
        <f t="shared" si="10"/>
        <v>6170.1477754430834</v>
      </c>
      <c r="R13" s="110">
        <f t="shared" si="10"/>
        <v>7776.8898293955181</v>
      </c>
      <c r="S13" s="110">
        <f t="shared" si="10"/>
        <v>9086.7864529918043</v>
      </c>
      <c r="T13" s="110">
        <f t="shared" si="10"/>
        <v>9778.64001828652</v>
      </c>
      <c r="U13" s="110">
        <f t="shared" si="10"/>
        <v>9426.7492209900902</v>
      </c>
      <c r="V13" s="110">
        <f t="shared" si="10"/>
        <v>3229.2922007268762</v>
      </c>
      <c r="W13" s="110">
        <f t="shared" ref="W13:Y13" si="11">W14+W15+W16</f>
        <v>4213.2581603472618</v>
      </c>
      <c r="X13" s="110">
        <f t="shared" si="11"/>
        <v>6881.1667029627024</v>
      </c>
      <c r="Y13" s="110">
        <f t="shared" si="11"/>
        <v>8064.7723924524489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11.618779579814783</v>
      </c>
      <c r="C14" s="102">
        <f>TrAvia_act!C$5</f>
        <v>26.873350389762784</v>
      </c>
      <c r="D14" s="102">
        <f>TrAvia_act!D$5</f>
        <v>16.568022702950227</v>
      </c>
      <c r="E14" s="102">
        <f>TrAvia_act!E$5</f>
        <v>15.310667331693995</v>
      </c>
      <c r="F14" s="102">
        <f>TrAvia_act!F$5</f>
        <v>12.960846365222796</v>
      </c>
      <c r="G14" s="102">
        <f>TrAvia_act!G$5</f>
        <v>14.767308342609345</v>
      </c>
      <c r="H14" s="102">
        <f>TrAvia_act!H$5</f>
        <v>22.621798444620001</v>
      </c>
      <c r="I14" s="102">
        <f>TrAvia_act!I$5</f>
        <v>33.930937893759655</v>
      </c>
      <c r="J14" s="102">
        <f>TrAvia_act!J$5</f>
        <v>52.74628370270522</v>
      </c>
      <c r="K14" s="102">
        <f>TrAvia_act!K$5</f>
        <v>62.163519633300268</v>
      </c>
      <c r="L14" s="102">
        <f>TrAvia_act!L$5</f>
        <v>65.090960892059229</v>
      </c>
      <c r="M14" s="102">
        <f>TrAvia_act!M$5</f>
        <v>73.822700867393621</v>
      </c>
      <c r="N14" s="102">
        <f>TrAvia_act!N$5</f>
        <v>75.967799852320383</v>
      </c>
      <c r="O14" s="102">
        <f>TrAvia_act!O$5</f>
        <v>64.753095412406836</v>
      </c>
      <c r="P14" s="102">
        <f>TrAvia_act!P$5</f>
        <v>58.351105668017517</v>
      </c>
      <c r="Q14" s="102">
        <f>TrAvia_act!Q$5</f>
        <v>59.380850727014987</v>
      </c>
      <c r="R14" s="102">
        <f>TrAvia_act!R$5</f>
        <v>59.858682344644123</v>
      </c>
      <c r="S14" s="102">
        <f>TrAvia_act!S$5</f>
        <v>105.6945115197579</v>
      </c>
      <c r="T14" s="102">
        <f>TrAvia_act!T$5</f>
        <v>118.71147552756409</v>
      </c>
      <c r="U14" s="102">
        <f>TrAvia_act!U$5</f>
        <v>108.41214455745151</v>
      </c>
      <c r="V14" s="102">
        <f>TrAvia_act!V$5</f>
        <v>51.955464294821184</v>
      </c>
      <c r="W14" s="102">
        <f>TrAvia_act!W$5</f>
        <v>80.487459044269571</v>
      </c>
      <c r="X14" s="102">
        <f>TrAvia_act!X$5</f>
        <v>90.868958565520757</v>
      </c>
      <c r="Y14" s="102">
        <f>TrAvia_act!Y$5</f>
        <v>95.077051639987218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1789.7737120523484</v>
      </c>
      <c r="C15" s="102">
        <f>TrAvia_act!C$6</f>
        <v>2329.2405249806934</v>
      </c>
      <c r="D15" s="102">
        <f>TrAvia_act!D$6</f>
        <v>2776.8714122978799</v>
      </c>
      <c r="E15" s="102">
        <f>TrAvia_act!E$6</f>
        <v>3512.4919119886749</v>
      </c>
      <c r="F15" s="102">
        <f>TrAvia_act!F$6</f>
        <v>3263.857852352493</v>
      </c>
      <c r="G15" s="102">
        <f>TrAvia_act!G$6</f>
        <v>3885.8197900599953</v>
      </c>
      <c r="H15" s="102">
        <f>TrAvia_act!H$6</f>
        <v>4478.5197386817308</v>
      </c>
      <c r="I15" s="102">
        <f>TrAvia_act!I$6</f>
        <v>4491.2972752171745</v>
      </c>
      <c r="J15" s="102">
        <f>TrAvia_act!J$6</f>
        <v>4398.4665540873721</v>
      </c>
      <c r="K15" s="102">
        <f>TrAvia_act!K$6</f>
        <v>3891.6880686466243</v>
      </c>
      <c r="L15" s="102">
        <f>TrAvia_act!L$6</f>
        <v>3998.6673918314759</v>
      </c>
      <c r="M15" s="102">
        <f>TrAvia_act!M$6</f>
        <v>4136.8758690715722</v>
      </c>
      <c r="N15" s="102">
        <f>TrAvia_act!N$6</f>
        <v>4177.9073024046011</v>
      </c>
      <c r="O15" s="102">
        <f>TrAvia_act!O$6</f>
        <v>4157.0063300506463</v>
      </c>
      <c r="P15" s="102">
        <f>TrAvia_act!P$6</f>
        <v>4315.8143841354122</v>
      </c>
      <c r="Q15" s="102">
        <f>TrAvia_act!Q$6</f>
        <v>4512.5973661821254</v>
      </c>
      <c r="R15" s="102">
        <f>TrAvia_act!R$6</f>
        <v>5683.3003817099698</v>
      </c>
      <c r="S15" s="102">
        <f>TrAvia_act!S$6</f>
        <v>7060.1388011521349</v>
      </c>
      <c r="T15" s="102">
        <f>TrAvia_act!T$6</f>
        <v>7662.0470790977106</v>
      </c>
      <c r="U15" s="102">
        <f>TrAvia_act!U$6</f>
        <v>7400.5533359022202</v>
      </c>
      <c r="V15" s="102">
        <f>TrAvia_act!V$6</f>
        <v>2699.6872281365168</v>
      </c>
      <c r="W15" s="102">
        <f>TrAvia_act!W$6</f>
        <v>3276.1369475092388</v>
      </c>
      <c r="X15" s="102">
        <f>TrAvia_act!X$6</f>
        <v>5905.5188584399439</v>
      </c>
      <c r="Y15" s="102">
        <f>TrAvia_act!Y$6</f>
        <v>6927.687115767355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262.37257948691979</v>
      </c>
      <c r="C16" s="102">
        <f>TrAvia_act!C$7</f>
        <v>340.75598413041081</v>
      </c>
      <c r="D16" s="102">
        <f>TrAvia_act!D$7</f>
        <v>409.99129591360929</v>
      </c>
      <c r="E16" s="102">
        <f>TrAvia_act!E$7</f>
        <v>530.19832238538629</v>
      </c>
      <c r="F16" s="102">
        <f>TrAvia_act!F$7</f>
        <v>504.80091988300313</v>
      </c>
      <c r="G16" s="102">
        <f>TrAvia_act!G$7</f>
        <v>513.37511190372788</v>
      </c>
      <c r="H16" s="102">
        <f>TrAvia_act!H$7</f>
        <v>555.32403058452826</v>
      </c>
      <c r="I16" s="102">
        <f>TrAvia_act!I$7</f>
        <v>705.63892607043567</v>
      </c>
      <c r="J16" s="102">
        <f>TrAvia_act!J$7</f>
        <v>847.32127299751676</v>
      </c>
      <c r="K16" s="102">
        <f>TrAvia_act!K$7</f>
        <v>821.60787376649125</v>
      </c>
      <c r="L16" s="102">
        <f>TrAvia_act!L$7</f>
        <v>1072.6239106941302</v>
      </c>
      <c r="M16" s="102">
        <f>TrAvia_act!M$7</f>
        <v>1135.4152193816353</v>
      </c>
      <c r="N16" s="102">
        <f>TrAvia_act!N$7</f>
        <v>1298.1660299315633</v>
      </c>
      <c r="O16" s="102">
        <f>TrAvia_act!O$7</f>
        <v>1516.4907194415296</v>
      </c>
      <c r="P16" s="102">
        <f>TrAvia_act!P$7</f>
        <v>1776.1305701785989</v>
      </c>
      <c r="Q16" s="102">
        <f>TrAvia_act!Q$7</f>
        <v>1598.1695585339435</v>
      </c>
      <c r="R16" s="102">
        <f>TrAvia_act!R$7</f>
        <v>2033.7307653409046</v>
      </c>
      <c r="S16" s="102">
        <f>TrAvia_act!S$7</f>
        <v>1920.9531403199123</v>
      </c>
      <c r="T16" s="102">
        <f>TrAvia_act!T$7</f>
        <v>1997.8814636612447</v>
      </c>
      <c r="U16" s="102">
        <f>TrAvia_act!U$7</f>
        <v>1917.7837405304183</v>
      </c>
      <c r="V16" s="102">
        <f>TrAvia_act!V$7</f>
        <v>477.64950829553845</v>
      </c>
      <c r="W16" s="102">
        <f>TrAvia_act!W$7</f>
        <v>856.63375379375327</v>
      </c>
      <c r="X16" s="102">
        <f>TrAvia_act!X$7</f>
        <v>884.77888595723709</v>
      </c>
      <c r="Y16" s="102">
        <f>TrAvia_act!Y$7</f>
        <v>1042.0082250451071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13640.269215389457</v>
      </c>
      <c r="C17" s="28">
        <f t="shared" si="12"/>
        <v>13644.005227798578</v>
      </c>
      <c r="D17" s="28">
        <f t="shared" si="12"/>
        <v>14413.69163166523</v>
      </c>
      <c r="E17" s="28">
        <f t="shared" si="12"/>
        <v>15887.383049588861</v>
      </c>
      <c r="F17" s="28">
        <f t="shared" si="12"/>
        <v>16813.510937021943</v>
      </c>
      <c r="G17" s="28">
        <f t="shared" si="12"/>
        <v>17439.278836008834</v>
      </c>
      <c r="H17" s="28">
        <f t="shared" si="12"/>
        <v>17737.239650989035</v>
      </c>
      <c r="I17" s="28">
        <f t="shared" si="12"/>
        <v>17347.671138570571</v>
      </c>
      <c r="J17" s="28">
        <f t="shared" si="12"/>
        <v>18062.240756646883</v>
      </c>
      <c r="K17" s="28">
        <f t="shared" si="12"/>
        <v>18052.602125493991</v>
      </c>
      <c r="L17" s="28">
        <f t="shared" si="12"/>
        <v>18739.720731184381</v>
      </c>
      <c r="M17" s="28">
        <f t="shared" si="12"/>
        <v>18133.177608977901</v>
      </c>
      <c r="N17" s="28">
        <f t="shared" si="12"/>
        <v>18356.264666219198</v>
      </c>
      <c r="O17" s="28">
        <f t="shared" si="12"/>
        <v>20412.494853174358</v>
      </c>
      <c r="P17" s="28">
        <f t="shared" si="12"/>
        <v>19735.852622021754</v>
      </c>
      <c r="Q17" s="28">
        <f t="shared" si="12"/>
        <v>21417.216610766438</v>
      </c>
      <c r="R17" s="28">
        <f t="shared" ref="R17:V17" si="13">R18+R21+R22+R26</f>
        <v>21077.032767176788</v>
      </c>
      <c r="S17" s="28">
        <f t="shared" si="13"/>
        <v>22100.216199745646</v>
      </c>
      <c r="T17" s="28">
        <f t="shared" si="13"/>
        <v>20663.392600385218</v>
      </c>
      <c r="U17" s="28">
        <f t="shared" si="13"/>
        <v>19276.393880656055</v>
      </c>
      <c r="V17" s="28">
        <f t="shared" si="13"/>
        <v>22521.398003636823</v>
      </c>
      <c r="W17" s="28">
        <f t="shared" ref="W17:Y17" si="14">W18+W21+W22+W26</f>
        <v>24441.802741911244</v>
      </c>
      <c r="X17" s="28">
        <f t="shared" si="14"/>
        <v>23522.773805263158</v>
      </c>
      <c r="Y17" s="28">
        <f t="shared" si="14"/>
        <v>24385.378465774673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7779.6002097903211</v>
      </c>
      <c r="C18" s="137">
        <f t="shared" si="15"/>
        <v>8317.389504658704</v>
      </c>
      <c r="D18" s="137">
        <f t="shared" si="15"/>
        <v>9216.2725944624199</v>
      </c>
      <c r="E18" s="137">
        <f t="shared" si="15"/>
        <v>9990.1980992718145</v>
      </c>
      <c r="F18" s="137">
        <f t="shared" si="15"/>
        <v>10895.235107528963</v>
      </c>
      <c r="G18" s="137">
        <f t="shared" si="15"/>
        <v>11507.375903218863</v>
      </c>
      <c r="H18" s="137">
        <f t="shared" si="15"/>
        <v>11543.06884487378</v>
      </c>
      <c r="I18" s="137">
        <f t="shared" si="15"/>
        <v>11081.369967176328</v>
      </c>
      <c r="J18" s="137">
        <f t="shared" si="15"/>
        <v>10464.992473694654</v>
      </c>
      <c r="K18" s="137">
        <f t="shared" si="15"/>
        <v>9452.3504960245336</v>
      </c>
      <c r="L18" s="137">
        <f t="shared" si="15"/>
        <v>9596.0506654966539</v>
      </c>
      <c r="M18" s="137">
        <f t="shared" si="15"/>
        <v>10509.117570757111</v>
      </c>
      <c r="N18" s="137">
        <f t="shared" si="15"/>
        <v>10088.879077327383</v>
      </c>
      <c r="O18" s="137">
        <f t="shared" si="15"/>
        <v>11779.564090677584</v>
      </c>
      <c r="P18" s="137">
        <f t="shared" si="15"/>
        <v>11203.316321846194</v>
      </c>
      <c r="Q18" s="137">
        <f t="shared" si="15"/>
        <v>12135.138742865656</v>
      </c>
      <c r="R18" s="137">
        <f t="shared" ref="R18:V18" si="16">R19+R20</f>
        <v>12120.012267216551</v>
      </c>
      <c r="S18" s="137">
        <f t="shared" si="16"/>
        <v>12839.515364847259</v>
      </c>
      <c r="T18" s="137">
        <f t="shared" si="16"/>
        <v>11942.343509853734</v>
      </c>
      <c r="U18" s="137">
        <f t="shared" si="16"/>
        <v>9481.6700822808671</v>
      </c>
      <c r="V18" s="137">
        <f t="shared" si="16"/>
        <v>11743.829475928002</v>
      </c>
      <c r="W18" s="137">
        <f t="shared" ref="W18:Y18" si="17">W19+W20</f>
        <v>13975.166254960841</v>
      </c>
      <c r="X18" s="137">
        <f t="shared" si="17"/>
        <v>14469.937874469113</v>
      </c>
      <c r="Y18" s="137">
        <f t="shared" si="17"/>
        <v>15559.278666941951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416.1826622779837</v>
      </c>
      <c r="C19" s="102">
        <f>TrRoad_act!C$20</f>
        <v>398.58615862042979</v>
      </c>
      <c r="D19" s="102">
        <f>TrRoad_act!D$20</f>
        <v>404.64820807779017</v>
      </c>
      <c r="E19" s="102">
        <f>TrRoad_act!E$20</f>
        <v>444.91711706399178</v>
      </c>
      <c r="F19" s="102">
        <f>TrRoad_act!F$20</f>
        <v>526.93187778224512</v>
      </c>
      <c r="G19" s="102">
        <f>TrRoad_act!G$20</f>
        <v>500.34009269146514</v>
      </c>
      <c r="H19" s="102">
        <f>TrRoad_act!H$20</f>
        <v>570.19626859859738</v>
      </c>
      <c r="I19" s="102">
        <f>TrRoad_act!I$20</f>
        <v>641.5822122778668</v>
      </c>
      <c r="J19" s="102">
        <f>TrRoad_act!J$20</f>
        <v>696.01189558660178</v>
      </c>
      <c r="K19" s="102">
        <f>TrRoad_act!K$20</f>
        <v>705.81536894222324</v>
      </c>
      <c r="L19" s="102">
        <f>TrRoad_act!L$20</f>
        <v>701.90327886725333</v>
      </c>
      <c r="M19" s="102">
        <f>TrRoad_act!M$20</f>
        <v>779.93801333314184</v>
      </c>
      <c r="N19" s="102">
        <f>TrRoad_act!N$20</f>
        <v>821.61135758004252</v>
      </c>
      <c r="O19" s="102">
        <f>TrRoad_act!O$20</f>
        <v>824.50687664035922</v>
      </c>
      <c r="P19" s="102">
        <f>TrRoad_act!P$20</f>
        <v>860.33517432270833</v>
      </c>
      <c r="Q19" s="102">
        <f>TrRoad_act!Q$20</f>
        <v>956.3247236757361</v>
      </c>
      <c r="R19" s="102">
        <f>TrRoad_act!R$20</f>
        <v>945.61226984154075</v>
      </c>
      <c r="S19" s="102">
        <f>TrRoad_act!S$20</f>
        <v>803.66762342849643</v>
      </c>
      <c r="T19" s="102">
        <f>TrRoad_act!T$20</f>
        <v>799.34350985373408</v>
      </c>
      <c r="U19" s="102">
        <f>TrRoad_act!U$20</f>
        <v>775.67008228086615</v>
      </c>
      <c r="V19" s="102">
        <f>TrRoad_act!V$20</f>
        <v>738.82947592800122</v>
      </c>
      <c r="W19" s="102">
        <f>TrRoad_act!W$20</f>
        <v>700.16625496084146</v>
      </c>
      <c r="X19" s="102">
        <f>TrRoad_act!X$20</f>
        <v>644.93787446911256</v>
      </c>
      <c r="Y19" s="102">
        <f>TrRoad_act!Y$20</f>
        <v>585.27866694195166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7363.4175475123375</v>
      </c>
      <c r="C20" s="102">
        <f>TrRoad_act!C$26</f>
        <v>7918.803346038274</v>
      </c>
      <c r="D20" s="102">
        <f>TrRoad_act!D$26</f>
        <v>8811.6243863846303</v>
      </c>
      <c r="E20" s="102">
        <f>TrRoad_act!E$26</f>
        <v>9545.2809822078234</v>
      </c>
      <c r="F20" s="102">
        <f>TrRoad_act!F$26</f>
        <v>10368.303229746718</v>
      </c>
      <c r="G20" s="102">
        <f>TrRoad_act!G$26</f>
        <v>11007.035810527397</v>
      </c>
      <c r="H20" s="102">
        <f>TrRoad_act!H$26</f>
        <v>10972.872576275182</v>
      </c>
      <c r="I20" s="102">
        <f>TrRoad_act!I$26</f>
        <v>10439.787754898462</v>
      </c>
      <c r="J20" s="102">
        <f>TrRoad_act!J$26</f>
        <v>9768.9805781080522</v>
      </c>
      <c r="K20" s="102">
        <f>TrRoad_act!K$26</f>
        <v>8746.5351270823103</v>
      </c>
      <c r="L20" s="102">
        <f>TrRoad_act!L$26</f>
        <v>8894.1473866294</v>
      </c>
      <c r="M20" s="102">
        <f>TrRoad_act!M$26</f>
        <v>9729.1795574239695</v>
      </c>
      <c r="N20" s="102">
        <f>TrRoad_act!N$26</f>
        <v>9267.2677197473404</v>
      </c>
      <c r="O20" s="102">
        <f>TrRoad_act!O$26</f>
        <v>10955.057214037226</v>
      </c>
      <c r="P20" s="102">
        <f>TrRoad_act!P$26</f>
        <v>10342.981147523486</v>
      </c>
      <c r="Q20" s="102">
        <f>TrRoad_act!Q$26</f>
        <v>11178.81401918992</v>
      </c>
      <c r="R20" s="102">
        <f>TrRoad_act!R$26</f>
        <v>11174.399997375011</v>
      </c>
      <c r="S20" s="102">
        <f>TrRoad_act!S$26</f>
        <v>12035.847741418762</v>
      </c>
      <c r="T20" s="102">
        <f>TrRoad_act!T$26</f>
        <v>11143</v>
      </c>
      <c r="U20" s="102">
        <f>TrRoad_act!U$26</f>
        <v>8706</v>
      </c>
      <c r="V20" s="102">
        <f>TrRoad_act!V$26</f>
        <v>11005</v>
      </c>
      <c r="W20" s="102">
        <f>TrRoad_act!W$26</f>
        <v>13275</v>
      </c>
      <c r="X20" s="102">
        <f>TrRoad_act!X$26</f>
        <v>13825</v>
      </c>
      <c r="Y20" s="102">
        <f>TrRoad_act!Y$26</f>
        <v>14974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5538</v>
      </c>
      <c r="C21" s="110">
        <f>TrRail_act!C$10</f>
        <v>4900</v>
      </c>
      <c r="D21" s="110">
        <f>TrRail_act!D$10</f>
        <v>4627</v>
      </c>
      <c r="E21" s="110">
        <f>TrRail_act!E$10</f>
        <v>5274</v>
      </c>
      <c r="F21" s="110">
        <f>TrRail_act!F$10</f>
        <v>5211</v>
      </c>
      <c r="G21" s="110">
        <f>TrRail_act!G$10</f>
        <v>5163</v>
      </c>
      <c r="H21" s="110">
        <f>TrRail_act!H$10</f>
        <v>5396</v>
      </c>
      <c r="I21" s="110">
        <f>TrRail_act!I$10</f>
        <v>5241</v>
      </c>
      <c r="J21" s="110">
        <f>TrRail_act!J$10</f>
        <v>4693</v>
      </c>
      <c r="K21" s="110">
        <f>TrRail_act!K$10</f>
        <v>3145</v>
      </c>
      <c r="L21" s="110">
        <f>TrRail_act!L$10</f>
        <v>3064</v>
      </c>
      <c r="M21" s="110">
        <f>TrRail_act!M$10</f>
        <v>3291</v>
      </c>
      <c r="N21" s="110">
        <f>TrRail_act!N$10</f>
        <v>2907</v>
      </c>
      <c r="O21" s="110">
        <f>TrRail_act!O$10</f>
        <v>3246</v>
      </c>
      <c r="P21" s="110">
        <f>TrRail_act!P$10</f>
        <v>3439</v>
      </c>
      <c r="Q21" s="110">
        <f>TrRail_act!Q$10</f>
        <v>3650</v>
      </c>
      <c r="R21" s="110">
        <f>TrRail_act!R$10</f>
        <v>3434</v>
      </c>
      <c r="S21" s="110">
        <f>TrRail_act!S$10</f>
        <v>3931</v>
      </c>
      <c r="T21" s="110">
        <f>TrRail_act!T$10</f>
        <v>3824</v>
      </c>
      <c r="U21" s="110">
        <f>TrRail_act!U$10</f>
        <v>3902</v>
      </c>
      <c r="V21" s="110">
        <f>TrRail_act!V$10</f>
        <v>4503</v>
      </c>
      <c r="W21" s="110">
        <f>TrRail_act!W$10</f>
        <v>4657</v>
      </c>
      <c r="X21" s="110">
        <f>TrRail_act!X$10</f>
        <v>5239</v>
      </c>
      <c r="Y21" s="110">
        <f>TrRail_act!Y$10</f>
        <v>4555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9.6690055991351915</v>
      </c>
      <c r="C22" s="110">
        <f t="shared" ref="C22:V22" si="19">C23+C24+C25</f>
        <v>8.6157231398733209</v>
      </c>
      <c r="D22" s="110">
        <f t="shared" si="19"/>
        <v>9.4190372028093687</v>
      </c>
      <c r="E22" s="110">
        <f t="shared" si="19"/>
        <v>10.184950317047097</v>
      </c>
      <c r="F22" s="110">
        <f t="shared" si="19"/>
        <v>10.275829492982217</v>
      </c>
      <c r="G22" s="110">
        <f t="shared" si="19"/>
        <v>11.902932789974164</v>
      </c>
      <c r="H22" s="110">
        <f t="shared" si="19"/>
        <v>13.17080611525753</v>
      </c>
      <c r="I22" s="110">
        <f t="shared" si="19"/>
        <v>14.301171394244324</v>
      </c>
      <c r="J22" s="110">
        <f t="shared" si="19"/>
        <v>14.248282952226582</v>
      </c>
      <c r="K22" s="110">
        <f t="shared" si="19"/>
        <v>19.251629469459189</v>
      </c>
      <c r="L22" s="110">
        <f t="shared" si="19"/>
        <v>31.670065687728911</v>
      </c>
      <c r="M22" s="110">
        <f t="shared" si="19"/>
        <v>23.060038220788083</v>
      </c>
      <c r="N22" s="110">
        <f t="shared" si="19"/>
        <v>11.385588891816923</v>
      </c>
      <c r="O22" s="110">
        <f t="shared" si="19"/>
        <v>12.9307624967756</v>
      </c>
      <c r="P22" s="110">
        <f t="shared" si="19"/>
        <v>19.536300175560768</v>
      </c>
      <c r="Q22" s="110">
        <f t="shared" si="19"/>
        <v>37.077867900783282</v>
      </c>
      <c r="R22" s="110">
        <f t="shared" si="19"/>
        <v>46.020499960239675</v>
      </c>
      <c r="S22" s="110">
        <f t="shared" si="19"/>
        <v>50.700834898386361</v>
      </c>
      <c r="T22" s="110">
        <f t="shared" si="19"/>
        <v>39.049090531484396</v>
      </c>
      <c r="U22" s="110">
        <f t="shared" si="19"/>
        <v>25.723798375185048</v>
      </c>
      <c r="V22" s="110">
        <f t="shared" si="19"/>
        <v>18.568527708821648</v>
      </c>
      <c r="W22" s="110">
        <f t="shared" ref="W22:Y22" si="20">W23+W24+W25</f>
        <v>17.636486950403139</v>
      </c>
      <c r="X22" s="110">
        <f t="shared" si="20"/>
        <v>26.835930794044494</v>
      </c>
      <c r="Y22" s="110">
        <f t="shared" si="20"/>
        <v>18.099798832722804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6.5658557127147459</v>
      </c>
      <c r="C24" s="102">
        <f>TrAvia_act!C$10</f>
        <v>4.2799169988795258</v>
      </c>
      <c r="D24" s="102">
        <f>TrAvia_act!D$10</f>
        <v>4.4155330687813699</v>
      </c>
      <c r="E24" s="102">
        <f>TrAvia_act!E$10</f>
        <v>4.7087021320457918</v>
      </c>
      <c r="F24" s="102">
        <f>TrAvia_act!F$10</f>
        <v>4.5595637733560261</v>
      </c>
      <c r="G24" s="102">
        <f>TrAvia_act!G$10</f>
        <v>5.6761226239284159</v>
      </c>
      <c r="H24" s="102">
        <f>TrAvia_act!H$10</f>
        <v>6.3289921967257436</v>
      </c>
      <c r="I24" s="102">
        <f>TrAvia_act!I$10</f>
        <v>6.6967168124831362</v>
      </c>
      <c r="J24" s="102">
        <f>TrAvia_act!J$10</f>
        <v>7.4037313777854123</v>
      </c>
      <c r="K24" s="102">
        <f>TrAvia_act!K$10</f>
        <v>6.4533554281422383</v>
      </c>
      <c r="L24" s="102">
        <f>TrAvia_act!L$10</f>
        <v>6.638951789084043</v>
      </c>
      <c r="M24" s="102">
        <f>TrAvia_act!M$10</f>
        <v>6.1687496549196128</v>
      </c>
      <c r="N24" s="102">
        <f>TrAvia_act!N$10</f>
        <v>6.694365795193205</v>
      </c>
      <c r="O24" s="102">
        <f>TrAvia_act!O$10</f>
        <v>7.1660275102481901</v>
      </c>
      <c r="P24" s="102">
        <f>TrAvia_act!P$10</f>
        <v>8.368337227228885</v>
      </c>
      <c r="Q24" s="102">
        <f>TrAvia_act!Q$10</f>
        <v>8.702660631556947</v>
      </c>
      <c r="R24" s="102">
        <f>TrAvia_act!R$10</f>
        <v>9.2253032464052911</v>
      </c>
      <c r="S24" s="102">
        <f>TrAvia_act!S$10</f>
        <v>9.9978959670495371</v>
      </c>
      <c r="T24" s="102">
        <f>TrAvia_act!T$10</f>
        <v>11.161510279439531</v>
      </c>
      <c r="U24" s="102">
        <f>TrAvia_act!U$10</f>
        <v>13.677114783906868</v>
      </c>
      <c r="V24" s="102">
        <f>TrAvia_act!V$10</f>
        <v>11.184544607820907</v>
      </c>
      <c r="W24" s="102">
        <f>TrAvia_act!W$10</f>
        <v>10.814912317025033</v>
      </c>
      <c r="X24" s="102">
        <f>TrAvia_act!X$10</f>
        <v>17.737396257866472</v>
      </c>
      <c r="Y24" s="102">
        <f>TrAvia_act!Y$10</f>
        <v>11.555205528947294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3.1031498864204452</v>
      </c>
      <c r="C25" s="102">
        <f>TrAvia_act!C$11</f>
        <v>4.3358061409937951</v>
      </c>
      <c r="D25" s="102">
        <f>TrAvia_act!D$11</f>
        <v>5.0035041340279989</v>
      </c>
      <c r="E25" s="102">
        <f>TrAvia_act!E$11</f>
        <v>5.4762481850013058</v>
      </c>
      <c r="F25" s="102">
        <f>TrAvia_act!F$11</f>
        <v>5.7162657196261906</v>
      </c>
      <c r="G25" s="102">
        <f>TrAvia_act!G$11</f>
        <v>6.2268101660457482</v>
      </c>
      <c r="H25" s="102">
        <f>TrAvia_act!H$11</f>
        <v>6.8418139185317877</v>
      </c>
      <c r="I25" s="102">
        <f>TrAvia_act!I$11</f>
        <v>7.6044545817611873</v>
      </c>
      <c r="J25" s="102">
        <f>TrAvia_act!J$11</f>
        <v>6.8445515744411685</v>
      </c>
      <c r="K25" s="102">
        <f>TrAvia_act!K$11</f>
        <v>12.798274041316953</v>
      </c>
      <c r="L25" s="102">
        <f>TrAvia_act!L$11</f>
        <v>25.031113898644868</v>
      </c>
      <c r="M25" s="102">
        <f>TrAvia_act!M$11</f>
        <v>16.891288565868471</v>
      </c>
      <c r="N25" s="102">
        <f>TrAvia_act!N$11</f>
        <v>4.6912230966237169</v>
      </c>
      <c r="O25" s="102">
        <f>TrAvia_act!O$11</f>
        <v>5.7647349865274089</v>
      </c>
      <c r="P25" s="102">
        <f>TrAvia_act!P$11</f>
        <v>11.167962948331885</v>
      </c>
      <c r="Q25" s="102">
        <f>TrAvia_act!Q$11</f>
        <v>28.375207269226337</v>
      </c>
      <c r="R25" s="102">
        <f>TrAvia_act!R$11</f>
        <v>36.795196713834386</v>
      </c>
      <c r="S25" s="102">
        <f>TrAvia_act!S$11</f>
        <v>40.702938931336824</v>
      </c>
      <c r="T25" s="102">
        <f>TrAvia_act!T$11</f>
        <v>27.887580252044867</v>
      </c>
      <c r="U25" s="102">
        <f>TrAvia_act!U$11</f>
        <v>12.04668359127818</v>
      </c>
      <c r="V25" s="102">
        <f>TrAvia_act!V$11</f>
        <v>7.3839831010007391</v>
      </c>
      <c r="W25" s="102">
        <f>TrAvia_act!W$11</f>
        <v>6.8215746333781073</v>
      </c>
      <c r="X25" s="102">
        <f>TrAvia_act!X$11</f>
        <v>9.0985345361780219</v>
      </c>
      <c r="Y25" s="102">
        <f>TrAvia_act!Y$11</f>
        <v>6.5445933037755104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313</v>
      </c>
      <c r="C26" s="110">
        <f t="shared" si="21"/>
        <v>418</v>
      </c>
      <c r="D26" s="110">
        <f t="shared" si="21"/>
        <v>561</v>
      </c>
      <c r="E26" s="110">
        <f t="shared" si="21"/>
        <v>613</v>
      </c>
      <c r="F26" s="110">
        <f t="shared" si="21"/>
        <v>697</v>
      </c>
      <c r="G26" s="110">
        <f t="shared" si="21"/>
        <v>757</v>
      </c>
      <c r="H26" s="110">
        <f t="shared" si="21"/>
        <v>785</v>
      </c>
      <c r="I26" s="110">
        <f t="shared" si="21"/>
        <v>1010.9999999999999</v>
      </c>
      <c r="J26" s="110">
        <f t="shared" si="21"/>
        <v>2890</v>
      </c>
      <c r="K26" s="110">
        <f t="shared" si="21"/>
        <v>5436</v>
      </c>
      <c r="L26" s="110">
        <f t="shared" si="21"/>
        <v>6048</v>
      </c>
      <c r="M26" s="110">
        <f t="shared" si="21"/>
        <v>4310</v>
      </c>
      <c r="N26" s="110">
        <f t="shared" si="21"/>
        <v>5349</v>
      </c>
      <c r="O26" s="110">
        <f t="shared" si="21"/>
        <v>5374</v>
      </c>
      <c r="P26" s="110">
        <f t="shared" si="21"/>
        <v>5074</v>
      </c>
      <c r="Q26" s="110">
        <f t="shared" si="21"/>
        <v>5595</v>
      </c>
      <c r="R26" s="110">
        <f t="shared" ref="R26:V26" si="22">R27+R28</f>
        <v>5477</v>
      </c>
      <c r="S26" s="110">
        <f t="shared" si="22"/>
        <v>5279</v>
      </c>
      <c r="T26" s="110">
        <f t="shared" si="22"/>
        <v>4858</v>
      </c>
      <c r="U26" s="110">
        <f t="shared" si="22"/>
        <v>5867</v>
      </c>
      <c r="V26" s="110">
        <f t="shared" si="22"/>
        <v>6256</v>
      </c>
      <c r="W26" s="110">
        <f t="shared" ref="W26:Y26" si="23">W27+W28</f>
        <v>5792</v>
      </c>
      <c r="X26" s="110">
        <f t="shared" si="23"/>
        <v>3787</v>
      </c>
      <c r="Y26" s="110">
        <f t="shared" si="23"/>
        <v>4253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313</v>
      </c>
      <c r="C28" s="169">
        <f>TrNavi_act!C5</f>
        <v>418</v>
      </c>
      <c r="D28" s="169">
        <f>TrNavi_act!D5</f>
        <v>561</v>
      </c>
      <c r="E28" s="169">
        <f>TrNavi_act!E5</f>
        <v>613</v>
      </c>
      <c r="F28" s="169">
        <f>TrNavi_act!F5</f>
        <v>697</v>
      </c>
      <c r="G28" s="169">
        <f>TrNavi_act!G5</f>
        <v>757</v>
      </c>
      <c r="H28" s="169">
        <f>TrNavi_act!H5</f>
        <v>785</v>
      </c>
      <c r="I28" s="169">
        <f>TrNavi_act!I5</f>
        <v>1010.9999999999999</v>
      </c>
      <c r="J28" s="169">
        <f>TrNavi_act!J5</f>
        <v>2890</v>
      </c>
      <c r="K28" s="169">
        <f>TrNavi_act!K5</f>
        <v>5436</v>
      </c>
      <c r="L28" s="169">
        <f>TrNavi_act!L5</f>
        <v>6048</v>
      </c>
      <c r="M28" s="169">
        <f>TrNavi_act!M5</f>
        <v>4310</v>
      </c>
      <c r="N28" s="169">
        <f>TrNavi_act!N5</f>
        <v>5349</v>
      </c>
      <c r="O28" s="169">
        <f>TrNavi_act!O5</f>
        <v>5374</v>
      </c>
      <c r="P28" s="169">
        <f>TrNavi_act!P5</f>
        <v>5074</v>
      </c>
      <c r="Q28" s="169">
        <f>TrNavi_act!Q5</f>
        <v>5595</v>
      </c>
      <c r="R28" s="169">
        <f>TrNavi_act!R5</f>
        <v>5477</v>
      </c>
      <c r="S28" s="169">
        <f>TrNavi_act!S5</f>
        <v>5279</v>
      </c>
      <c r="T28" s="169">
        <f>TrNavi_act!T5</f>
        <v>4858</v>
      </c>
      <c r="U28" s="169">
        <f>TrNavi_act!U5</f>
        <v>5867</v>
      </c>
      <c r="V28" s="169">
        <f>TrNavi_act!V5</f>
        <v>6256</v>
      </c>
      <c r="W28" s="169">
        <f>TrNavi_act!W5</f>
        <v>5792</v>
      </c>
      <c r="X28" s="169">
        <f>TrNavi_act!X5</f>
        <v>3787</v>
      </c>
      <c r="Y28" s="169">
        <f>TrNavi_act!Y5</f>
        <v>4253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28461.815849999999</v>
      </c>
      <c r="C29" s="28">
        <f t="shared" si="24"/>
        <v>42274.941124999998</v>
      </c>
      <c r="D29" s="28">
        <f t="shared" si="24"/>
        <v>41103.690401</v>
      </c>
      <c r="E29" s="28">
        <f t="shared" si="24"/>
        <v>47131.873369000008</v>
      </c>
      <c r="F29" s="28">
        <f t="shared" si="24"/>
        <v>48088.492197999993</v>
      </c>
      <c r="G29" s="28">
        <f t="shared" si="24"/>
        <v>50414.280232999998</v>
      </c>
      <c r="H29" s="28">
        <f t="shared" si="24"/>
        <v>54577.504864999995</v>
      </c>
      <c r="I29" s="28">
        <f t="shared" si="24"/>
        <v>39533.332917</v>
      </c>
      <c r="J29" s="28">
        <f t="shared" si="24"/>
        <v>39031.284270999997</v>
      </c>
      <c r="K29" s="28">
        <f t="shared" si="24"/>
        <v>33276.079912000001</v>
      </c>
      <c r="L29" s="28">
        <f t="shared" si="24"/>
        <v>34139.172581999999</v>
      </c>
      <c r="M29" s="28">
        <f t="shared" si="24"/>
        <v>32107.797025</v>
      </c>
      <c r="N29" s="28">
        <f t="shared" si="24"/>
        <v>31559.266976999999</v>
      </c>
      <c r="O29" s="28">
        <f t="shared" si="24"/>
        <v>43158.272568999993</v>
      </c>
      <c r="P29" s="28">
        <f t="shared" si="24"/>
        <v>44637.227810999997</v>
      </c>
      <c r="Q29" s="28">
        <f t="shared" si="24"/>
        <v>43454.054472999997</v>
      </c>
      <c r="R29" s="28">
        <f t="shared" si="24"/>
        <v>47839.235759000003</v>
      </c>
      <c r="S29" s="28">
        <f t="shared" si="24"/>
        <v>48200.252543999995</v>
      </c>
      <c r="T29" s="28">
        <f t="shared" si="24"/>
        <v>47593.309628000003</v>
      </c>
      <c r="U29" s="28">
        <f t="shared" si="24"/>
        <v>51025.941193999999</v>
      </c>
      <c r="V29" s="28">
        <f t="shared" si="24"/>
        <v>38741.923796000003</v>
      </c>
      <c r="W29" s="28">
        <f t="shared" si="24"/>
        <v>45852.124675999992</v>
      </c>
      <c r="X29" s="28">
        <f t="shared" ref="X29:Y29" si="25">X30+X31</f>
        <v>48660.794063000001</v>
      </c>
      <c r="Y29" s="28">
        <f t="shared" si="25"/>
        <v>60839.916257999997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6801.1359659999998</v>
      </c>
      <c r="C30" s="102">
        <f>MBunk_act!C$4</f>
        <v>9904.2685430000001</v>
      </c>
      <c r="D30" s="102">
        <f>MBunk_act!D$4</f>
        <v>10044.867182</v>
      </c>
      <c r="E30" s="102">
        <f>MBunk_act!E$4</f>
        <v>7254.067153</v>
      </c>
      <c r="F30" s="102">
        <f>MBunk_act!F$4</f>
        <v>6609.9567299999999</v>
      </c>
      <c r="G30" s="102">
        <f>MBunk_act!G$4</f>
        <v>6715.6699619999999</v>
      </c>
      <c r="H30" s="102">
        <f>MBunk_act!H$4</f>
        <v>8568.1017780000002</v>
      </c>
      <c r="I30" s="102">
        <f>MBunk_act!I$4</f>
        <v>4040.0720379999998</v>
      </c>
      <c r="J30" s="102">
        <f>MBunk_act!J$4</f>
        <v>5102.6238890000004</v>
      </c>
      <c r="K30" s="102">
        <f>MBunk_act!K$4</f>
        <v>9422.0155740000009</v>
      </c>
      <c r="L30" s="102">
        <f>MBunk_act!L$4</f>
        <v>7928.3024070000001</v>
      </c>
      <c r="M30" s="102">
        <f>MBunk_act!M$4</f>
        <v>9634.1764210000001</v>
      </c>
      <c r="N30" s="102">
        <f>MBunk_act!N$4</f>
        <v>9022.7573999999986</v>
      </c>
      <c r="O30" s="102">
        <f>MBunk_act!O$4</f>
        <v>12692.614036999999</v>
      </c>
      <c r="P30" s="102">
        <f>MBunk_act!P$4</f>
        <v>10726.698391</v>
      </c>
      <c r="Q30" s="102">
        <f>MBunk_act!Q$4</f>
        <v>8797.6347800000003</v>
      </c>
      <c r="R30" s="102">
        <f>MBunk_act!R$4</f>
        <v>12011.876811</v>
      </c>
      <c r="S30" s="102">
        <f>MBunk_act!S$4</f>
        <v>13484.234697</v>
      </c>
      <c r="T30" s="102">
        <f>MBunk_act!T$4</f>
        <v>14949.169989</v>
      </c>
      <c r="U30" s="102">
        <f>MBunk_act!U$4</f>
        <v>14655.011950999999</v>
      </c>
      <c r="V30" s="102">
        <f>MBunk_act!V$4</f>
        <v>11466.506813</v>
      </c>
      <c r="W30" s="102">
        <f>MBunk_act!W$4</f>
        <v>11175.071433999999</v>
      </c>
      <c r="X30" s="102">
        <f>MBunk_act!X$4</f>
        <v>10833.293279</v>
      </c>
      <c r="Y30" s="102">
        <f>MBunk_act!Y$4</f>
        <v>11811.083705999999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21660.679884000001</v>
      </c>
      <c r="C31" s="86">
        <f>MBunk_act!C$5</f>
        <v>32370.672581999999</v>
      </c>
      <c r="D31" s="86">
        <f>MBunk_act!D$5</f>
        <v>31058.823219000002</v>
      </c>
      <c r="E31" s="86">
        <f>MBunk_act!E$5</f>
        <v>39877.806216000004</v>
      </c>
      <c r="F31" s="86">
        <f>MBunk_act!F$5</f>
        <v>41478.535467999995</v>
      </c>
      <c r="G31" s="86">
        <f>MBunk_act!G$5</f>
        <v>43698.610270999998</v>
      </c>
      <c r="H31" s="86">
        <f>MBunk_act!H$5</f>
        <v>46009.403086999999</v>
      </c>
      <c r="I31" s="86">
        <f>MBunk_act!I$5</f>
        <v>35493.260879000001</v>
      </c>
      <c r="J31" s="86">
        <f>MBunk_act!J$5</f>
        <v>33928.660381999995</v>
      </c>
      <c r="K31" s="86">
        <f>MBunk_act!K$5</f>
        <v>23854.064338</v>
      </c>
      <c r="L31" s="86">
        <f>MBunk_act!L$5</f>
        <v>26210.870175</v>
      </c>
      <c r="M31" s="86">
        <f>MBunk_act!M$5</f>
        <v>22473.620604</v>
      </c>
      <c r="N31" s="86">
        <f>MBunk_act!N$5</f>
        <v>22536.509577000001</v>
      </c>
      <c r="O31" s="86">
        <f>MBunk_act!O$5</f>
        <v>30465.658531999998</v>
      </c>
      <c r="P31" s="86">
        <f>MBunk_act!P$5</f>
        <v>33910.529419999999</v>
      </c>
      <c r="Q31" s="86">
        <f>MBunk_act!Q$5</f>
        <v>34656.419692999996</v>
      </c>
      <c r="R31" s="86">
        <f>MBunk_act!R$5</f>
        <v>35827.358948000001</v>
      </c>
      <c r="S31" s="86">
        <f>MBunk_act!S$5</f>
        <v>34716.017846999996</v>
      </c>
      <c r="T31" s="86">
        <f>MBunk_act!T$5</f>
        <v>32644.139639000001</v>
      </c>
      <c r="U31" s="86">
        <f>MBunk_act!U$5</f>
        <v>36370.929242999999</v>
      </c>
      <c r="V31" s="86">
        <f>MBunk_act!V$5</f>
        <v>27275.416982999999</v>
      </c>
      <c r="W31" s="86">
        <f>MBunk_act!W$5</f>
        <v>34677.053241999994</v>
      </c>
      <c r="X31" s="86">
        <f>MBunk_act!X$5</f>
        <v>37827.500784000003</v>
      </c>
      <c r="Y31" s="86">
        <f>MBunk_act!Y$5</f>
        <v>49028.832552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1474.9754183254913</v>
      </c>
      <c r="C34" s="28">
        <f t="shared" si="26"/>
        <v>1551.7153988993132</v>
      </c>
      <c r="D34" s="28">
        <f t="shared" si="26"/>
        <v>1671.6845126758069</v>
      </c>
      <c r="E34" s="28">
        <f t="shared" si="26"/>
        <v>1795.6662354897476</v>
      </c>
      <c r="F34" s="28">
        <f t="shared" si="26"/>
        <v>1852.8656047892941</v>
      </c>
      <c r="G34" s="28">
        <f t="shared" si="26"/>
        <v>2058.6071238107966</v>
      </c>
      <c r="H34" s="28">
        <f t="shared" si="26"/>
        <v>2171.6109123627302</v>
      </c>
      <c r="I34" s="28">
        <f t="shared" si="26"/>
        <v>2110.4997194288567</v>
      </c>
      <c r="J34" s="28">
        <f t="shared" si="26"/>
        <v>2207.612196231697</v>
      </c>
      <c r="K34" s="28">
        <f t="shared" si="26"/>
        <v>2198.3020521020608</v>
      </c>
      <c r="L34" s="28">
        <f t="shared" si="26"/>
        <v>2157.511627172601</v>
      </c>
      <c r="M34" s="28">
        <f t="shared" si="26"/>
        <v>2154.5836315685269</v>
      </c>
      <c r="N34" s="28">
        <f t="shared" si="26"/>
        <v>2280.5971343756</v>
      </c>
      <c r="O34" s="28">
        <f t="shared" si="26"/>
        <v>2048.2872259925098</v>
      </c>
      <c r="P34" s="28">
        <f t="shared" si="26"/>
        <v>2323.5851006165253</v>
      </c>
      <c r="Q34" s="28">
        <f t="shared" si="26"/>
        <v>2572.7042995049142</v>
      </c>
      <c r="R34" s="28">
        <f t="shared" ref="R34:V34" si="27">R35+R39+R43</f>
        <v>2668.5383385679247</v>
      </c>
      <c r="S34" s="28">
        <f t="shared" si="27"/>
        <v>2732.6300553615474</v>
      </c>
      <c r="T34" s="28">
        <f t="shared" si="27"/>
        <v>2848.8673845119301</v>
      </c>
      <c r="U34" s="28">
        <f t="shared" si="27"/>
        <v>3002.4476164867715</v>
      </c>
      <c r="V34" s="28">
        <f t="shared" si="27"/>
        <v>2664.6021259539975</v>
      </c>
      <c r="W34" s="28">
        <f t="shared" ref="W34:Y34" si="28">W35+W39+W43</f>
        <v>2905.6673810121915</v>
      </c>
      <c r="X34" s="28">
        <f t="shared" si="28"/>
        <v>3010.4955370654461</v>
      </c>
      <c r="Y34" s="28">
        <f t="shared" si="28"/>
        <v>3075.5118702207883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1331.949325850039</v>
      </c>
      <c r="C35" s="137">
        <f t="shared" si="29"/>
        <v>1361.8228298157039</v>
      </c>
      <c r="D35" s="137">
        <f t="shared" si="29"/>
        <v>1479.4675973538356</v>
      </c>
      <c r="E35" s="137">
        <f t="shared" si="29"/>
        <v>1576.1444945715109</v>
      </c>
      <c r="F35" s="137">
        <f t="shared" si="29"/>
        <v>1648.7123677877707</v>
      </c>
      <c r="G35" s="137">
        <f t="shared" si="29"/>
        <v>1826.0461810305071</v>
      </c>
      <c r="H35" s="137">
        <f t="shared" si="29"/>
        <v>1935.0021787691005</v>
      </c>
      <c r="I35" s="137">
        <f t="shared" si="29"/>
        <v>1858.548125479022</v>
      </c>
      <c r="J35" s="137">
        <f t="shared" si="29"/>
        <v>1951.0608855171113</v>
      </c>
      <c r="K35" s="137">
        <f t="shared" si="29"/>
        <v>1990.0860070131353</v>
      </c>
      <c r="L35" s="137">
        <f t="shared" si="29"/>
        <v>1946.8484462591398</v>
      </c>
      <c r="M35" s="137">
        <f t="shared" si="29"/>
        <v>1940.3536026470908</v>
      </c>
      <c r="N35" s="137">
        <f t="shared" si="29"/>
        <v>2078.7095992925451</v>
      </c>
      <c r="O35" s="137">
        <f t="shared" si="29"/>
        <v>1858.2771514982683</v>
      </c>
      <c r="P35" s="137">
        <f t="shared" si="29"/>
        <v>2130.0968707000934</v>
      </c>
      <c r="Q35" s="137">
        <f t="shared" si="29"/>
        <v>2360.6702682948735</v>
      </c>
      <c r="R35" s="137">
        <f t="shared" ref="R35:V35" si="30">R36+R37+R38</f>
        <v>2416.0873206060924</v>
      </c>
      <c r="S35" s="137">
        <f t="shared" si="30"/>
        <v>2452.3346656801868</v>
      </c>
      <c r="T35" s="137">
        <f t="shared" si="30"/>
        <v>2555.3405626556737</v>
      </c>
      <c r="U35" s="137">
        <f t="shared" si="30"/>
        <v>2730.3459796769857</v>
      </c>
      <c r="V35" s="137">
        <f t="shared" si="30"/>
        <v>2505.2076424768429</v>
      </c>
      <c r="W35" s="137">
        <f t="shared" ref="W35:Y35" si="31">W36+W37+W38</f>
        <v>2717.5070664509585</v>
      </c>
      <c r="X35" s="137">
        <f t="shared" si="31"/>
        <v>2766.6624394050036</v>
      </c>
      <c r="Y35" s="137">
        <f t="shared" si="31"/>
        <v>2811.0473141295943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12.42420710908906</v>
      </c>
      <c r="C36" s="102">
        <f>TrRoad_ene!C$19</f>
        <v>12.733976628173769</v>
      </c>
      <c r="D36" s="102">
        <f>TrRoad_ene!D$19</f>
        <v>13.053311796047891</v>
      </c>
      <c r="E36" s="102">
        <f>TrRoad_ene!E$19</f>
        <v>13.148560550106373</v>
      </c>
      <c r="F36" s="102">
        <f>TrRoad_ene!F$19</f>
        <v>13.265780285444622</v>
      </c>
      <c r="G36" s="102">
        <f>TrRoad_ene!G$19</f>
        <v>14.196730538315887</v>
      </c>
      <c r="H36" s="102">
        <f>TrRoad_ene!H$19</f>
        <v>14.575427914144155</v>
      </c>
      <c r="I36" s="102">
        <f>TrRoad_ene!I$19</f>
        <v>15.18320978006815</v>
      </c>
      <c r="J36" s="102">
        <f>TrRoad_ene!J$19</f>
        <v>16.930558164060134</v>
      </c>
      <c r="K36" s="102">
        <f>TrRoad_ene!K$19</f>
        <v>17.797269072386236</v>
      </c>
      <c r="L36" s="102">
        <f>TrRoad_ene!L$19</f>
        <v>19.193208011010206</v>
      </c>
      <c r="M36" s="102">
        <f>TrRoad_ene!M$19</f>
        <v>20.090120944721331</v>
      </c>
      <c r="N36" s="102">
        <f>TrRoad_ene!N$19</f>
        <v>21.594847073432376</v>
      </c>
      <c r="O36" s="102">
        <f>TrRoad_ene!O$19</f>
        <v>22.679870280803705</v>
      </c>
      <c r="P36" s="102">
        <f>TrRoad_ene!P$19</f>
        <v>23.733623338523309</v>
      </c>
      <c r="Q36" s="102">
        <f>TrRoad_ene!Q$19</f>
        <v>25.357064954965129</v>
      </c>
      <c r="R36" s="102">
        <f>TrRoad_ene!R$19</f>
        <v>26.868831917781389</v>
      </c>
      <c r="S36" s="102">
        <f>TrRoad_ene!S$19</f>
        <v>25.420202530240143</v>
      </c>
      <c r="T36" s="102">
        <f>TrRoad_ene!T$19</f>
        <v>24.185892373789994</v>
      </c>
      <c r="U36" s="102">
        <f>TrRoad_ene!U$19</f>
        <v>25.645199331418148</v>
      </c>
      <c r="V36" s="102">
        <f>TrRoad_ene!V$19</f>
        <v>23.001517953758125</v>
      </c>
      <c r="W36" s="102">
        <f>TrRoad_ene!W$19</f>
        <v>23.891728766376616</v>
      </c>
      <c r="X36" s="102">
        <f>TrRoad_ene!X$19</f>
        <v>24.256052220095299</v>
      </c>
      <c r="Y36" s="102">
        <f>TrRoad_ene!Y$19</f>
        <v>26.393477605406225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1048.8634581368174</v>
      </c>
      <c r="C37" s="102">
        <f>TrRoad_ene!C$21</f>
        <v>1070.3110530657489</v>
      </c>
      <c r="D37" s="102">
        <f>TrRoad_ene!D$21</f>
        <v>1150.6550677910286</v>
      </c>
      <c r="E37" s="102">
        <f>TrRoad_ene!E$21</f>
        <v>1290.5454037518971</v>
      </c>
      <c r="F37" s="102">
        <f>TrRoad_ene!F$21</f>
        <v>1385.094926297148</v>
      </c>
      <c r="G37" s="102">
        <f>TrRoad_ene!G$21</f>
        <v>1546.4642516565816</v>
      </c>
      <c r="H37" s="102">
        <f>TrRoad_ene!H$21</f>
        <v>1666.3394881891436</v>
      </c>
      <c r="I37" s="102">
        <f>TrRoad_ene!I$21</f>
        <v>1572.873012048723</v>
      </c>
      <c r="J37" s="102">
        <f>TrRoad_ene!J$21</f>
        <v>1688.1564379344882</v>
      </c>
      <c r="K37" s="102">
        <f>TrRoad_ene!K$21</f>
        <v>1715.3244358377424</v>
      </c>
      <c r="L37" s="102">
        <f>TrRoad_ene!L$21</f>
        <v>1689.2031489214276</v>
      </c>
      <c r="M37" s="102">
        <f>TrRoad_ene!M$21</f>
        <v>1658.2496282908628</v>
      </c>
      <c r="N37" s="102">
        <f>TrRoad_ene!N$21</f>
        <v>1815.0986108274747</v>
      </c>
      <c r="O37" s="102">
        <f>TrRoad_ene!O$21</f>
        <v>1611.8533439916655</v>
      </c>
      <c r="P37" s="102">
        <f>TrRoad_ene!P$21</f>
        <v>1886.4870947594738</v>
      </c>
      <c r="Q37" s="102">
        <f>TrRoad_ene!Q$21</f>
        <v>2093.4717645185533</v>
      </c>
      <c r="R37" s="102">
        <f>TrRoad_ene!R$21</f>
        <v>2169.271599339836</v>
      </c>
      <c r="S37" s="102">
        <f>TrRoad_ene!S$21</f>
        <v>2222.0836857524469</v>
      </c>
      <c r="T37" s="102">
        <f>TrRoad_ene!T$21</f>
        <v>2323.0641865950829</v>
      </c>
      <c r="U37" s="102">
        <f>TrRoad_ene!U$21</f>
        <v>2476.4790108783427</v>
      </c>
      <c r="V37" s="102">
        <f>TrRoad_ene!V$21</f>
        <v>2259.1506938572957</v>
      </c>
      <c r="W37" s="102">
        <f>TrRoad_ene!W$21</f>
        <v>2467.7376483082003</v>
      </c>
      <c r="X37" s="102">
        <f>TrRoad_ene!X$21</f>
        <v>2517.5266068169954</v>
      </c>
      <c r="Y37" s="102">
        <f>TrRoad_ene!Y$21</f>
        <v>2561.6330374710528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270.66166060413246</v>
      </c>
      <c r="C38" s="102">
        <f>TrRoad_ene!C$33</f>
        <v>278.77780012178113</v>
      </c>
      <c r="D38" s="102">
        <f>TrRoad_ene!D$33</f>
        <v>315.75921776675921</v>
      </c>
      <c r="E38" s="102">
        <f>TrRoad_ene!E$33</f>
        <v>272.45053026950745</v>
      </c>
      <c r="F38" s="102">
        <f>TrRoad_ene!F$33</f>
        <v>250.351661205178</v>
      </c>
      <c r="G38" s="102">
        <f>TrRoad_ene!G$33</f>
        <v>265.38519883560951</v>
      </c>
      <c r="H38" s="102">
        <f>TrRoad_ene!H$33</f>
        <v>254.08726266581257</v>
      </c>
      <c r="I38" s="102">
        <f>TrRoad_ene!I$33</f>
        <v>270.49190365023088</v>
      </c>
      <c r="J38" s="102">
        <f>TrRoad_ene!J$33</f>
        <v>245.97388941856292</v>
      </c>
      <c r="K38" s="102">
        <f>TrRoad_ene!K$33</f>
        <v>256.96430210300667</v>
      </c>
      <c r="L38" s="102">
        <f>TrRoad_ene!L$33</f>
        <v>238.45208932670201</v>
      </c>
      <c r="M38" s="102">
        <f>TrRoad_ene!M$33</f>
        <v>262.01385341150672</v>
      </c>
      <c r="N38" s="102">
        <f>TrRoad_ene!N$33</f>
        <v>242.01614139163783</v>
      </c>
      <c r="O38" s="102">
        <f>TrRoad_ene!O$33</f>
        <v>223.74393722579904</v>
      </c>
      <c r="P38" s="102">
        <f>TrRoad_ene!P$33</f>
        <v>219.8761526020964</v>
      </c>
      <c r="Q38" s="102">
        <f>TrRoad_ene!Q$33</f>
        <v>241.84143882135481</v>
      </c>
      <c r="R38" s="102">
        <f>TrRoad_ene!R$33</f>
        <v>219.94688934847497</v>
      </c>
      <c r="S38" s="102">
        <f>TrRoad_ene!S$33</f>
        <v>204.83077739749962</v>
      </c>
      <c r="T38" s="102">
        <f>TrRoad_ene!T$33</f>
        <v>208.09048368680072</v>
      </c>
      <c r="U38" s="102">
        <f>TrRoad_ene!U$33</f>
        <v>228.22176946722482</v>
      </c>
      <c r="V38" s="102">
        <f>TrRoad_ene!V$33</f>
        <v>223.05543066578915</v>
      </c>
      <c r="W38" s="102">
        <f>TrRoad_ene!W$33</f>
        <v>225.87768937638148</v>
      </c>
      <c r="X38" s="102">
        <f>TrRoad_ene!X$33</f>
        <v>224.87978036791299</v>
      </c>
      <c r="Y38" s="102">
        <f>TrRoad_ene!Y$33</f>
        <v>223.02079905313531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41.524940539503547</v>
      </c>
      <c r="C39" s="110">
        <f t="shared" si="32"/>
        <v>38.44233191992862</v>
      </c>
      <c r="D39" s="110">
        <f t="shared" si="32"/>
        <v>38.83175364829264</v>
      </c>
      <c r="E39" s="110">
        <f t="shared" si="32"/>
        <v>33.622808313466777</v>
      </c>
      <c r="F39" s="110">
        <f t="shared" si="32"/>
        <v>32.812819381922417</v>
      </c>
      <c r="G39" s="110">
        <f t="shared" si="32"/>
        <v>32.924365392145944</v>
      </c>
      <c r="H39" s="110">
        <f t="shared" si="32"/>
        <v>33.925545871788415</v>
      </c>
      <c r="I39" s="110">
        <f t="shared" si="32"/>
        <v>31.389533555067207</v>
      </c>
      <c r="J39" s="110">
        <f t="shared" si="32"/>
        <v>34.379825482464291</v>
      </c>
      <c r="K39" s="110">
        <f t="shared" si="32"/>
        <v>34.874777495352767</v>
      </c>
      <c r="L39" s="110">
        <f t="shared" si="32"/>
        <v>30.856426922866174</v>
      </c>
      <c r="M39" s="110">
        <f t="shared" si="32"/>
        <v>25.588117206221707</v>
      </c>
      <c r="N39" s="110">
        <f t="shared" si="32"/>
        <v>29.16894988430802</v>
      </c>
      <c r="O39" s="110">
        <f t="shared" si="32"/>
        <v>20.453258665090761</v>
      </c>
      <c r="P39" s="110">
        <f t="shared" si="32"/>
        <v>16.844005370878087</v>
      </c>
      <c r="Q39" s="110">
        <f t="shared" si="32"/>
        <v>24.771322730233603</v>
      </c>
      <c r="R39" s="110">
        <f t="shared" ref="R39:V39" si="33">R40+R41+R42</f>
        <v>22.954980219949054</v>
      </c>
      <c r="S39" s="110">
        <f t="shared" si="33"/>
        <v>24.757480774417068</v>
      </c>
      <c r="T39" s="110">
        <f t="shared" si="33"/>
        <v>22.702230990174616</v>
      </c>
      <c r="U39" s="110">
        <f t="shared" si="33"/>
        <v>29.275668240050386</v>
      </c>
      <c r="V39" s="110">
        <f t="shared" si="33"/>
        <v>21.433611540930166</v>
      </c>
      <c r="W39" s="110">
        <f t="shared" ref="W39:Y39" si="34">W40+W41+W42</f>
        <v>22.459302115928001</v>
      </c>
      <c r="X39" s="110">
        <f t="shared" si="34"/>
        <v>21.701129472106143</v>
      </c>
      <c r="Y39" s="110">
        <f t="shared" si="34"/>
        <v>25.760761127254611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2.2826776204541912</v>
      </c>
      <c r="C40" s="102">
        <f>TrRail_ene!C$12</f>
        <v>2.6219572578502985</v>
      </c>
      <c r="D40" s="102">
        <f>TrRail_ene!D$12</f>
        <v>2.4961171932902868</v>
      </c>
      <c r="E40" s="102">
        <f>TrRail_ene!E$12</f>
        <v>2.7524310847394924</v>
      </c>
      <c r="F40" s="102">
        <f>TrRail_ene!F$12</f>
        <v>2.4688754653953136</v>
      </c>
      <c r="G40" s="102">
        <f>TrRail_ene!G$12</f>
        <v>2.3200948654425533</v>
      </c>
      <c r="H40" s="102">
        <f>TrRail_ene!H$12</f>
        <v>2.358419475260205</v>
      </c>
      <c r="I40" s="102">
        <f>TrRail_ene!I$12</f>
        <v>2.3300314998234506</v>
      </c>
      <c r="J40" s="102">
        <f>TrRail_ene!J$12</f>
        <v>2.543448483544037</v>
      </c>
      <c r="K40" s="102">
        <f>TrRail_ene!K$12</f>
        <v>3.618148822802802</v>
      </c>
      <c r="L40" s="102">
        <f>TrRail_ene!L$12</f>
        <v>4.786800010195928</v>
      </c>
      <c r="M40" s="102">
        <f>TrRail_ene!M$12</f>
        <v>4.5132672672487599</v>
      </c>
      <c r="N40" s="102">
        <f>TrRail_ene!N$12</f>
        <v>5.171747779498773</v>
      </c>
      <c r="O40" s="102">
        <f>TrRail_ene!O$12</f>
        <v>5.0553425264808265</v>
      </c>
      <c r="P40" s="102">
        <f>TrRail_ene!P$12</f>
        <v>3.6841040668514777</v>
      </c>
      <c r="Q40" s="102">
        <f>TrRail_ene!Q$12</f>
        <v>3.7637496446230392</v>
      </c>
      <c r="R40" s="102">
        <f>TrRail_ene!R$12</f>
        <v>4.1590109361083263</v>
      </c>
      <c r="S40" s="102">
        <f>TrRail_ene!S$12</f>
        <v>5.3287960268570007</v>
      </c>
      <c r="T40" s="102">
        <f>TrRail_ene!T$12</f>
        <v>5.2999965993760734</v>
      </c>
      <c r="U40" s="102">
        <f>TrRail_ene!U$12</f>
        <v>5.6543707148626874</v>
      </c>
      <c r="V40" s="102">
        <f>TrRail_ene!V$12</f>
        <v>5.481005735221502</v>
      </c>
      <c r="W40" s="102">
        <f>TrRail_ene!W$12</f>
        <v>5.6484164831454997</v>
      </c>
      <c r="X40" s="102">
        <f>TrRail_ene!X$12</f>
        <v>5.8321589250727568</v>
      </c>
      <c r="Y40" s="102">
        <f>TrRail_ene!Y$12</f>
        <v>4.8334801036547015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39.242262919049352</v>
      </c>
      <c r="C41" s="102">
        <f>TrRail_ene!C$13</f>
        <v>35.820374662078322</v>
      </c>
      <c r="D41" s="102">
        <f>TrRail_ene!D$13</f>
        <v>36.335636455002351</v>
      </c>
      <c r="E41" s="102">
        <f>TrRail_ene!E$13</f>
        <v>30.870377228727286</v>
      </c>
      <c r="F41" s="102">
        <f>TrRail_ene!F$13</f>
        <v>30.343943916527103</v>
      </c>
      <c r="G41" s="102">
        <f>TrRail_ene!G$13</f>
        <v>30.604270526703392</v>
      </c>
      <c r="H41" s="102">
        <f>TrRail_ene!H$13</f>
        <v>31.567126396528209</v>
      </c>
      <c r="I41" s="102">
        <f>TrRail_ene!I$13</f>
        <v>29.059502055243755</v>
      </c>
      <c r="J41" s="102">
        <f>TrRail_ene!J$13</f>
        <v>31.836376998920251</v>
      </c>
      <c r="K41" s="102">
        <f>TrRail_ene!K$13</f>
        <v>31.256628672549965</v>
      </c>
      <c r="L41" s="102">
        <f>TrRail_ene!L$13</f>
        <v>26.069626912670245</v>
      </c>
      <c r="M41" s="102">
        <f>TrRail_ene!M$13</f>
        <v>21.074849938972946</v>
      </c>
      <c r="N41" s="102">
        <f>TrRail_ene!N$13</f>
        <v>23.997202104809247</v>
      </c>
      <c r="O41" s="102">
        <f>TrRail_ene!O$13</f>
        <v>15.397916138609935</v>
      </c>
      <c r="P41" s="102">
        <f>TrRail_ene!P$13</f>
        <v>13.159901304026608</v>
      </c>
      <c r="Q41" s="102">
        <f>TrRail_ene!Q$13</f>
        <v>21.007573085610563</v>
      </c>
      <c r="R41" s="102">
        <f>TrRail_ene!R$13</f>
        <v>18.795969283840726</v>
      </c>
      <c r="S41" s="102">
        <f>TrRail_ene!S$13</f>
        <v>19.428684747560069</v>
      </c>
      <c r="T41" s="102">
        <f>TrRail_ene!T$13</f>
        <v>17.402234390798544</v>
      </c>
      <c r="U41" s="102">
        <f>TrRail_ene!U$13</f>
        <v>23.6212975251877</v>
      </c>
      <c r="V41" s="102">
        <f>TrRail_ene!V$13</f>
        <v>15.952605805708664</v>
      </c>
      <c r="W41" s="102">
        <f>TrRail_ene!W$13</f>
        <v>16.810885632782501</v>
      </c>
      <c r="X41" s="102">
        <f>TrRail_ene!X$13</f>
        <v>15.868970547033387</v>
      </c>
      <c r="Y41" s="102">
        <f>TrRail_ene!Y$13</f>
        <v>20.92728102359991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101.50115193594874</v>
      </c>
      <c r="C43" s="110">
        <f t="shared" si="35"/>
        <v>151.45023716368067</v>
      </c>
      <c r="D43" s="110">
        <f t="shared" si="35"/>
        <v>153.38516167367885</v>
      </c>
      <c r="E43" s="110">
        <f t="shared" si="35"/>
        <v>185.8989326047699</v>
      </c>
      <c r="F43" s="110">
        <f t="shared" si="35"/>
        <v>171.34041761960091</v>
      </c>
      <c r="G43" s="110">
        <f t="shared" si="35"/>
        <v>199.63657738814348</v>
      </c>
      <c r="H43" s="110">
        <f t="shared" si="35"/>
        <v>202.68318772184145</v>
      </c>
      <c r="I43" s="110">
        <f t="shared" si="35"/>
        <v>220.5620603947676</v>
      </c>
      <c r="J43" s="110">
        <f t="shared" si="35"/>
        <v>222.1714852321216</v>
      </c>
      <c r="K43" s="110">
        <f t="shared" si="35"/>
        <v>173.34126759357264</v>
      </c>
      <c r="L43" s="110">
        <f t="shared" si="35"/>
        <v>179.80675399059487</v>
      </c>
      <c r="M43" s="110">
        <f t="shared" si="35"/>
        <v>188.64191171521409</v>
      </c>
      <c r="N43" s="110">
        <f t="shared" si="35"/>
        <v>172.71858519874684</v>
      </c>
      <c r="O43" s="110">
        <f t="shared" si="35"/>
        <v>169.55681582915093</v>
      </c>
      <c r="P43" s="110">
        <f t="shared" si="35"/>
        <v>176.64422454555367</v>
      </c>
      <c r="Q43" s="110">
        <f t="shared" si="35"/>
        <v>187.26270847980689</v>
      </c>
      <c r="R43" s="110">
        <f t="shared" ref="R43:V43" si="36">R44+R45+R46</f>
        <v>229.4960377418833</v>
      </c>
      <c r="S43" s="110">
        <f t="shared" si="36"/>
        <v>255.53790890694333</v>
      </c>
      <c r="T43" s="110">
        <f t="shared" si="36"/>
        <v>270.82459086608185</v>
      </c>
      <c r="U43" s="110">
        <f t="shared" si="36"/>
        <v>242.82596856973544</v>
      </c>
      <c r="V43" s="110">
        <f t="shared" si="36"/>
        <v>137.96087193622449</v>
      </c>
      <c r="W43" s="110">
        <f t="shared" ref="W43:Y43" si="37">W44+W45+W46</f>
        <v>165.70101244530485</v>
      </c>
      <c r="X43" s="110">
        <f t="shared" si="37"/>
        <v>222.13196818833637</v>
      </c>
      <c r="Y43" s="110">
        <f t="shared" si="37"/>
        <v>238.70379496393929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21.066208082545138</v>
      </c>
      <c r="C44" s="102">
        <f>TrAvia_ene!C$7</f>
        <v>46.350472914875311</v>
      </c>
      <c r="D44" s="102">
        <f>TrAvia_ene!D$7</f>
        <v>27.390885640584688</v>
      </c>
      <c r="E44" s="102">
        <f>TrAvia_ene!E$7</f>
        <v>24.230954428202917</v>
      </c>
      <c r="F44" s="102">
        <f>TrAvia_ene!F$7</f>
        <v>19.588220120378324</v>
      </c>
      <c r="G44" s="102">
        <f>TrAvia_ene!G$7</f>
        <v>13.408770421324157</v>
      </c>
      <c r="H44" s="102">
        <f>TrAvia_ene!H$7</f>
        <v>24.71771281169389</v>
      </c>
      <c r="I44" s="102">
        <f>TrAvia_ene!I$7</f>
        <v>41.08151332760103</v>
      </c>
      <c r="J44" s="102">
        <f>TrAvia_ene!J$7</f>
        <v>13.375322441960442</v>
      </c>
      <c r="K44" s="102">
        <f>TrAvia_ene!K$7</f>
        <v>23.645743766122095</v>
      </c>
      <c r="L44" s="102">
        <f>TrAvia_ene!L$7</f>
        <v>15.429406706792783</v>
      </c>
      <c r="M44" s="102">
        <f>TrAvia_ene!M$7</f>
        <v>21.591659501289769</v>
      </c>
      <c r="N44" s="102">
        <f>TrAvia_ene!N$7</f>
        <v>11.321238177128112</v>
      </c>
      <c r="O44" s="102">
        <f>TrAvia_ene!O$7</f>
        <v>12.348323301805673</v>
      </c>
      <c r="P44" s="102">
        <f>TrAvia_ene!P$7</f>
        <v>9.2672398968185714</v>
      </c>
      <c r="Q44" s="102">
        <f>TrAvia_ene!Q$7</f>
        <v>13.375322441960442</v>
      </c>
      <c r="R44" s="102">
        <f>TrAvia_ene!R$7</f>
        <v>19.51367153912296</v>
      </c>
      <c r="S44" s="102">
        <f>TrAvia_ene!S$7</f>
        <v>20.602063628546862</v>
      </c>
      <c r="T44" s="102">
        <f>TrAvia_ene!T$7</f>
        <v>17.52476354256234</v>
      </c>
      <c r="U44" s="102">
        <f>TrAvia_ene!U$7</f>
        <v>7.2072226999140145</v>
      </c>
      <c r="V44" s="102">
        <f>TrAvia_ene!V$7</f>
        <v>3.8766981943250216</v>
      </c>
      <c r="W44" s="102">
        <f>TrAvia_ene!W$7</f>
        <v>5.0638005159071362</v>
      </c>
      <c r="X44" s="102">
        <f>TrAvia_ene!X$7</f>
        <v>7.9614789337919163</v>
      </c>
      <c r="Y44" s="102">
        <f>TrAvia_ene!Y$7</f>
        <v>5.631470335339638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68.31944798828313</v>
      </c>
      <c r="C45" s="102">
        <f>TrAvia_ene!C$8</f>
        <v>89.274989404002653</v>
      </c>
      <c r="D45" s="102">
        <f>TrAvia_ene!D$8</f>
        <v>107.02260764204343</v>
      </c>
      <c r="E45" s="102">
        <f>TrAvia_ene!E$8</f>
        <v>137.32973007683665</v>
      </c>
      <c r="F45" s="102">
        <f>TrAvia_ene!F$8</f>
        <v>128.90416266733831</v>
      </c>
      <c r="G45" s="102">
        <f>TrAvia_ene!G$8</f>
        <v>159.65252470275178</v>
      </c>
      <c r="H45" s="102">
        <f>TrAvia_ene!H$8</f>
        <v>154.34447935449313</v>
      </c>
      <c r="I45" s="102">
        <f>TrAvia_ene!I$8</f>
        <v>155.9811289403776</v>
      </c>
      <c r="J45" s="102">
        <f>TrAvia_ene!J$8</f>
        <v>181.10396049189478</v>
      </c>
      <c r="K45" s="102">
        <f>TrAvia_ene!K$8</f>
        <v>128.32523214383642</v>
      </c>
      <c r="L45" s="102">
        <f>TrAvia_ene!L$8</f>
        <v>140.52711095018859</v>
      </c>
      <c r="M45" s="102">
        <f>TrAvia_ene!M$8</f>
        <v>142.90894647657234</v>
      </c>
      <c r="N45" s="102">
        <f>TrAvia_ene!N$8</f>
        <v>137.51881457442724</v>
      </c>
      <c r="O45" s="102">
        <f>TrAvia_ene!O$8</f>
        <v>134.1653636645195</v>
      </c>
      <c r="P45" s="102">
        <f>TrAvia_ene!P$8</f>
        <v>143.04306744354369</v>
      </c>
      <c r="Q45" s="102">
        <f>TrAvia_ene!Q$8</f>
        <v>149.17973453376698</v>
      </c>
      <c r="R45" s="102">
        <f>TrAvia_ene!R$8</f>
        <v>183.32599675399439</v>
      </c>
      <c r="S45" s="102">
        <f>TrAvia_ene!S$8</f>
        <v>207.02475078141669</v>
      </c>
      <c r="T45" s="102">
        <f>TrAvia_ene!T$8</f>
        <v>222.88993691162432</v>
      </c>
      <c r="U45" s="102">
        <f>TrAvia_ene!U$8</f>
        <v>206.91621329373388</v>
      </c>
      <c r="V45" s="102">
        <f>TrAvia_ene!V$8</f>
        <v>112.34343737318326</v>
      </c>
      <c r="W45" s="102">
        <f>TrAvia_ene!W$8</f>
        <v>136.61267454654399</v>
      </c>
      <c r="X45" s="102">
        <f>TrAvia_ene!X$8</f>
        <v>189.37234713039527</v>
      </c>
      <c r="Y45" s="102">
        <f>TrAvia_ene!Y$8</f>
        <v>205.18913175091419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12.115495865120467</v>
      </c>
      <c r="C46" s="102">
        <f>TrAvia_ene!C$9</f>
        <v>15.824774844802691</v>
      </c>
      <c r="D46" s="102">
        <f>TrAvia_ene!D$9</f>
        <v>18.971668391050748</v>
      </c>
      <c r="E46" s="102">
        <f>TrAvia_ene!E$9</f>
        <v>24.338248099730322</v>
      </c>
      <c r="F46" s="102">
        <f>TrAvia_ene!F$9</f>
        <v>22.848034831884295</v>
      </c>
      <c r="G46" s="102">
        <f>TrAvia_ene!G$9</f>
        <v>26.575282264067528</v>
      </c>
      <c r="H46" s="102">
        <f>TrAvia_ene!H$9</f>
        <v>23.620995555654414</v>
      </c>
      <c r="I46" s="102">
        <f>TrAvia_ene!I$9</f>
        <v>23.499418126788989</v>
      </c>
      <c r="J46" s="102">
        <f>TrAvia_ene!J$9</f>
        <v>27.692202298266391</v>
      </c>
      <c r="K46" s="102">
        <f>TrAvia_ene!K$9</f>
        <v>21.370291683614155</v>
      </c>
      <c r="L46" s="102">
        <f>TrAvia_ene!L$9</f>
        <v>23.850236333613495</v>
      </c>
      <c r="M46" s="102">
        <f>TrAvia_ene!M$9</f>
        <v>24.141305737351992</v>
      </c>
      <c r="N46" s="102">
        <f>TrAvia_ene!N$9</f>
        <v>23.878532447191471</v>
      </c>
      <c r="O46" s="102">
        <f>TrAvia_ene!O$9</f>
        <v>23.043128862825757</v>
      </c>
      <c r="P46" s="102">
        <f>TrAvia_ene!P$9</f>
        <v>24.333917205191398</v>
      </c>
      <c r="Q46" s="102">
        <f>TrAvia_ene!Q$9</f>
        <v>24.707651504079486</v>
      </c>
      <c r="R46" s="102">
        <f>TrAvia_ene!R$9</f>
        <v>26.656369448765965</v>
      </c>
      <c r="S46" s="102">
        <f>TrAvia_ene!S$9</f>
        <v>27.911094496979786</v>
      </c>
      <c r="T46" s="102">
        <f>TrAvia_ene!T$9</f>
        <v>30.409890411895205</v>
      </c>
      <c r="U46" s="102">
        <f>TrAvia_ene!U$9</f>
        <v>28.702532576087563</v>
      </c>
      <c r="V46" s="102">
        <f>TrAvia_ene!V$9</f>
        <v>21.740736368716206</v>
      </c>
      <c r="W46" s="102">
        <f>TrAvia_ene!W$9</f>
        <v>24.024537382853726</v>
      </c>
      <c r="X46" s="102">
        <f>TrAvia_ene!X$9</f>
        <v>24.79814212414918</v>
      </c>
      <c r="Y46" s="102">
        <f>TrAvia_ene!Y$9</f>
        <v>27.883192877685467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367.58692045352853</v>
      </c>
      <c r="C47" s="28">
        <f t="shared" si="38"/>
        <v>396.1040336028363</v>
      </c>
      <c r="D47" s="28">
        <f t="shared" si="38"/>
        <v>380.23113650733967</v>
      </c>
      <c r="E47" s="28">
        <f t="shared" si="38"/>
        <v>524.38724688342552</v>
      </c>
      <c r="F47" s="28">
        <f t="shared" si="38"/>
        <v>579.52364714535724</v>
      </c>
      <c r="G47" s="28">
        <f t="shared" si="38"/>
        <v>622.72804385902259</v>
      </c>
      <c r="H47" s="28">
        <f t="shared" si="38"/>
        <v>630.40937998464722</v>
      </c>
      <c r="I47" s="28">
        <f t="shared" si="38"/>
        <v>569.87887042496959</v>
      </c>
      <c r="J47" s="28">
        <f t="shared" si="38"/>
        <v>623.54671926271897</v>
      </c>
      <c r="K47" s="28">
        <f t="shared" si="38"/>
        <v>566.71747132203222</v>
      </c>
      <c r="L47" s="28">
        <f t="shared" si="38"/>
        <v>555.20936672494099</v>
      </c>
      <c r="M47" s="28">
        <f t="shared" si="38"/>
        <v>561.87271512759503</v>
      </c>
      <c r="N47" s="28">
        <f t="shared" si="38"/>
        <v>588.21005825788586</v>
      </c>
      <c r="O47" s="28">
        <f t="shared" si="38"/>
        <v>547.27550857827543</v>
      </c>
      <c r="P47" s="28">
        <f t="shared" si="38"/>
        <v>591.02457264946474</v>
      </c>
      <c r="Q47" s="28">
        <f t="shared" si="38"/>
        <v>668.67745941473038</v>
      </c>
      <c r="R47" s="28">
        <f t="shared" ref="R47:V47" si="39">R48+R51+R52+R56</f>
        <v>668.3562938461863</v>
      </c>
      <c r="S47" s="28">
        <f t="shared" si="39"/>
        <v>659.6290003362592</v>
      </c>
      <c r="T47" s="28">
        <f t="shared" si="39"/>
        <v>646.73028430292129</v>
      </c>
      <c r="U47" s="28">
        <f t="shared" si="39"/>
        <v>598.01527327690121</v>
      </c>
      <c r="V47" s="28">
        <f t="shared" si="39"/>
        <v>650.07483792904964</v>
      </c>
      <c r="W47" s="28">
        <f t="shared" ref="W47:Y47" si="40">W48+W51+W52+W56</f>
        <v>640.72298628939654</v>
      </c>
      <c r="X47" s="28">
        <f t="shared" si="40"/>
        <v>596.37648779474387</v>
      </c>
      <c r="Y47" s="28">
        <f t="shared" si="40"/>
        <v>597.99912365369812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326.87017543972888</v>
      </c>
      <c r="C48" s="137">
        <f t="shared" si="41"/>
        <v>358.36828110433038</v>
      </c>
      <c r="D48" s="137">
        <f t="shared" si="41"/>
        <v>342.80237943034302</v>
      </c>
      <c r="E48" s="137">
        <f t="shared" si="41"/>
        <v>484.86066106047554</v>
      </c>
      <c r="F48" s="137">
        <f t="shared" si="41"/>
        <v>535.81594089666555</v>
      </c>
      <c r="G48" s="137">
        <f t="shared" si="41"/>
        <v>577.91120246046421</v>
      </c>
      <c r="H48" s="137">
        <f t="shared" si="41"/>
        <v>589.5973947476665</v>
      </c>
      <c r="I48" s="137">
        <f t="shared" si="41"/>
        <v>532.30319180386721</v>
      </c>
      <c r="J48" s="137">
        <f t="shared" si="41"/>
        <v>566.11817959037455</v>
      </c>
      <c r="K48" s="137">
        <f t="shared" si="41"/>
        <v>492.91544934302988</v>
      </c>
      <c r="L48" s="137">
        <f t="shared" si="41"/>
        <v>480.45526216978641</v>
      </c>
      <c r="M48" s="137">
        <f t="shared" si="41"/>
        <v>500.90813871799037</v>
      </c>
      <c r="N48" s="137">
        <f t="shared" si="41"/>
        <v>522.08697855160267</v>
      </c>
      <c r="O48" s="137">
        <f t="shared" si="41"/>
        <v>483.03155297793415</v>
      </c>
      <c r="P48" s="137">
        <f t="shared" si="41"/>
        <v>524.31759706288699</v>
      </c>
      <c r="Q48" s="137">
        <f t="shared" si="41"/>
        <v>586.04788529373047</v>
      </c>
      <c r="R48" s="137">
        <f t="shared" ref="R48:V48" si="42">R49+R50</f>
        <v>589.76801258187936</v>
      </c>
      <c r="S48" s="137">
        <f t="shared" si="42"/>
        <v>580.83764453180709</v>
      </c>
      <c r="T48" s="137">
        <f t="shared" si="42"/>
        <v>561.25762378600484</v>
      </c>
      <c r="U48" s="137">
        <f t="shared" si="42"/>
        <v>498.93191180637757</v>
      </c>
      <c r="V48" s="137">
        <f t="shared" si="42"/>
        <v>538.89709268737374</v>
      </c>
      <c r="W48" s="137">
        <f t="shared" ref="W48:Y48" si="43">W49+W50</f>
        <v>615.14907901056051</v>
      </c>
      <c r="X48" s="137">
        <f t="shared" si="43"/>
        <v>568.45558717487677</v>
      </c>
      <c r="Y48" s="137">
        <f t="shared" si="43"/>
        <v>579.3301457810054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127.63818988942762</v>
      </c>
      <c r="C49" s="102">
        <f>TrRoad_ene!C$43</f>
        <v>123.62239196430548</v>
      </c>
      <c r="D49" s="102">
        <f>TrRoad_ene!D$43</f>
        <v>125.7164966346062</v>
      </c>
      <c r="E49" s="102">
        <f>TrRoad_ene!E$43</f>
        <v>133.16978318948119</v>
      </c>
      <c r="F49" s="102">
        <f>TrRoad_ene!F$43</f>
        <v>148.74772550623854</v>
      </c>
      <c r="G49" s="102">
        <f>TrRoad_ene!G$43</f>
        <v>137.71127651010738</v>
      </c>
      <c r="H49" s="102">
        <f>TrRoad_ene!H$43</f>
        <v>147.05577306059556</v>
      </c>
      <c r="I49" s="102">
        <f>TrRoad_ene!I$43</f>
        <v>157.79240493520726</v>
      </c>
      <c r="J49" s="102">
        <f>TrRoad_ene!J$43</f>
        <v>167.08209032785169</v>
      </c>
      <c r="K49" s="102">
        <f>TrRoad_ene!K$43</f>
        <v>164.76550782561711</v>
      </c>
      <c r="L49" s="102">
        <f>TrRoad_ene!L$43</f>
        <v>160.8537752922752</v>
      </c>
      <c r="M49" s="102">
        <f>TrRoad_ene!M$43</f>
        <v>178.00643509044963</v>
      </c>
      <c r="N49" s="102">
        <f>TrRoad_ene!N$43</f>
        <v>186.83961966064342</v>
      </c>
      <c r="O49" s="102">
        <f>TrRoad_ene!O$43</f>
        <v>185.79115998006949</v>
      </c>
      <c r="P49" s="102">
        <f>TrRoad_ene!P$43</f>
        <v>193.33842095554726</v>
      </c>
      <c r="Q49" s="102">
        <f>TrRoad_ene!Q$43</f>
        <v>215.2585010546172</v>
      </c>
      <c r="R49" s="102">
        <f>TrRoad_ene!R$43</f>
        <v>210.86002221150773</v>
      </c>
      <c r="S49" s="102">
        <f>TrRoad_ene!S$43</f>
        <v>179.25702374849678</v>
      </c>
      <c r="T49" s="102">
        <f>TrRoad_ene!T$43</f>
        <v>178.21822818829071</v>
      </c>
      <c r="U49" s="102">
        <f>TrRoad_ene!U$43</f>
        <v>173.95521136090744</v>
      </c>
      <c r="V49" s="102">
        <f>TrRoad_ene!V$43</f>
        <v>167.24649024807886</v>
      </c>
      <c r="W49" s="102">
        <f>TrRoad_ene!W$43</f>
        <v>161.22879928418675</v>
      </c>
      <c r="X49" s="102">
        <f>TrRoad_ene!X$43</f>
        <v>150.69558321477155</v>
      </c>
      <c r="Y49" s="102">
        <f>TrRoad_ene!Y$43</f>
        <v>139.34743679688265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199.23198555030123</v>
      </c>
      <c r="C50" s="102">
        <f>TrRoad_ene!C$52</f>
        <v>234.7458891400249</v>
      </c>
      <c r="D50" s="102">
        <f>TrRoad_ene!D$52</f>
        <v>217.08588279573684</v>
      </c>
      <c r="E50" s="102">
        <f>TrRoad_ene!E$52</f>
        <v>351.69087787099431</v>
      </c>
      <c r="F50" s="102">
        <f>TrRoad_ene!F$52</f>
        <v>387.06821539042699</v>
      </c>
      <c r="G50" s="102">
        <f>TrRoad_ene!G$52</f>
        <v>440.19992595035683</v>
      </c>
      <c r="H50" s="102">
        <f>TrRoad_ene!H$52</f>
        <v>442.54162168707091</v>
      </c>
      <c r="I50" s="102">
        <f>TrRoad_ene!I$52</f>
        <v>374.51078686865992</v>
      </c>
      <c r="J50" s="102">
        <f>TrRoad_ene!J$52</f>
        <v>399.03608926252286</v>
      </c>
      <c r="K50" s="102">
        <f>TrRoad_ene!K$52</f>
        <v>328.1499415174128</v>
      </c>
      <c r="L50" s="102">
        <f>TrRoad_ene!L$52</f>
        <v>319.60148687751121</v>
      </c>
      <c r="M50" s="102">
        <f>TrRoad_ene!M$52</f>
        <v>322.90170362754077</v>
      </c>
      <c r="N50" s="102">
        <f>TrRoad_ene!N$52</f>
        <v>335.24735889095922</v>
      </c>
      <c r="O50" s="102">
        <f>TrRoad_ene!O$52</f>
        <v>297.24039299786466</v>
      </c>
      <c r="P50" s="102">
        <f>TrRoad_ene!P$52</f>
        <v>330.97917610733975</v>
      </c>
      <c r="Q50" s="102">
        <f>TrRoad_ene!Q$52</f>
        <v>370.78938423911325</v>
      </c>
      <c r="R50" s="102">
        <f>TrRoad_ene!R$52</f>
        <v>378.90799037037164</v>
      </c>
      <c r="S50" s="102">
        <f>TrRoad_ene!S$52</f>
        <v>401.58062078331034</v>
      </c>
      <c r="T50" s="102">
        <f>TrRoad_ene!T$52</f>
        <v>383.03939559771413</v>
      </c>
      <c r="U50" s="102">
        <f>TrRoad_ene!U$52</f>
        <v>324.9767004454701</v>
      </c>
      <c r="V50" s="102">
        <f>TrRoad_ene!V$52</f>
        <v>371.65060243929486</v>
      </c>
      <c r="W50" s="102">
        <f>TrRoad_ene!W$52</f>
        <v>453.92027972637379</v>
      </c>
      <c r="X50" s="102">
        <f>TrRoad_ene!X$52</f>
        <v>417.76000396010522</v>
      </c>
      <c r="Y50" s="102">
        <f>TrRoad_ene!Y$52</f>
        <v>439.98270898412272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36.453477345277193</v>
      </c>
      <c r="C51" s="110">
        <f>TrRail_ene!C$17</f>
        <v>33.025165930458307</v>
      </c>
      <c r="D51" s="110">
        <f>TrRail_ene!D$17</f>
        <v>31.613474210692736</v>
      </c>
      <c r="E51" s="110">
        <f>TrRail_ene!E$17</f>
        <v>32.623451359792043</v>
      </c>
      <c r="F51" s="110">
        <f>TrRail_ene!F$17</f>
        <v>32.525271761671732</v>
      </c>
      <c r="G51" s="110">
        <f>TrRail_ene!G$17</f>
        <v>32.371335381714772</v>
      </c>
      <c r="H51" s="110">
        <f>TrRail_ene!H$17</f>
        <v>28.952356105855607</v>
      </c>
      <c r="I51" s="110">
        <f>TrRail_ene!I$17</f>
        <v>26.284585103574244</v>
      </c>
      <c r="J51" s="110">
        <f>TrRail_ene!J$17</f>
        <v>27.872969014526255</v>
      </c>
      <c r="K51" s="110">
        <f>TrRail_ene!K$17</f>
        <v>16.371998085042762</v>
      </c>
      <c r="L51" s="110">
        <f>TrRail_ene!L$17</f>
        <v>14.543401108088258</v>
      </c>
      <c r="M51" s="110">
        <f>TrRail_ene!M$17</f>
        <v>14.351693627828165</v>
      </c>
      <c r="N51" s="110">
        <f>TrRail_ene!N$17</f>
        <v>13.006458542175213</v>
      </c>
      <c r="O51" s="110">
        <f>TrRail_ene!O$17</f>
        <v>11.362648471624633</v>
      </c>
      <c r="P51" s="110">
        <f>TrRail_ene!P$17</f>
        <v>11.874825239612024</v>
      </c>
      <c r="Q51" s="110">
        <f>TrRail_ene!Q$17</f>
        <v>14.695573228493817</v>
      </c>
      <c r="R51" s="110">
        <f>TrRail_ene!R$17</f>
        <v>13.738914878933148</v>
      </c>
      <c r="S51" s="110">
        <f>TrRail_ene!S$17</f>
        <v>14.966594891962981</v>
      </c>
      <c r="T51" s="110">
        <f>TrRail_ene!T$17</f>
        <v>14.266728597099672</v>
      </c>
      <c r="U51" s="110">
        <f>TrRail_ene!U$17</f>
        <v>15.794581115065689</v>
      </c>
      <c r="V51" s="110">
        <f>TrRail_ene!V$17</f>
        <v>20.34781580214808</v>
      </c>
      <c r="W51" s="110">
        <f>TrRail_ene!W$17</f>
        <v>22.222899087855318</v>
      </c>
      <c r="X51" s="110">
        <f>TrRail_ene!X$17</f>
        <v>23.049429427291969</v>
      </c>
      <c r="Y51" s="110">
        <f>TrRail_ene!Y$17</f>
        <v>15.721096138437559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1.7232676685224795</v>
      </c>
      <c r="C52" s="110">
        <f t="shared" si="44"/>
        <v>1.2845865680476711</v>
      </c>
      <c r="D52" s="110">
        <f t="shared" si="44"/>
        <v>1.4562828663039316</v>
      </c>
      <c r="E52" s="110">
        <f t="shared" si="44"/>
        <v>1.5951344631579749</v>
      </c>
      <c r="F52" s="110">
        <f t="shared" si="44"/>
        <v>1.7034344870198999</v>
      </c>
      <c r="G52" s="110">
        <f t="shared" si="44"/>
        <v>2.2445060168436251</v>
      </c>
      <c r="H52" s="110">
        <f t="shared" si="44"/>
        <v>2.2676291311250814</v>
      </c>
      <c r="I52" s="110">
        <f t="shared" si="44"/>
        <v>2.3050935175281362</v>
      </c>
      <c r="J52" s="110">
        <f t="shared" si="44"/>
        <v>2.7735706578181936</v>
      </c>
      <c r="K52" s="110">
        <f t="shared" si="44"/>
        <v>2.306023893959567</v>
      </c>
      <c r="L52" s="110">
        <f t="shared" si="44"/>
        <v>3.0297034470663116</v>
      </c>
      <c r="M52" s="110">
        <f t="shared" si="44"/>
        <v>2.4108827817764817</v>
      </c>
      <c r="N52" s="110">
        <f t="shared" si="44"/>
        <v>1.9016211641079384</v>
      </c>
      <c r="O52" s="110">
        <f t="shared" si="44"/>
        <v>1.9823071287166223</v>
      </c>
      <c r="P52" s="110">
        <f t="shared" si="44"/>
        <v>2.0841503469656604</v>
      </c>
      <c r="Q52" s="110">
        <f t="shared" si="44"/>
        <v>2.7630008925060854</v>
      </c>
      <c r="R52" s="110">
        <f t="shared" si="44"/>
        <v>2.6143663853737773</v>
      </c>
      <c r="S52" s="110">
        <f t="shared" si="44"/>
        <v>3.0297609124891949</v>
      </c>
      <c r="T52" s="110">
        <f t="shared" si="44"/>
        <v>2.759931919816728</v>
      </c>
      <c r="U52" s="110">
        <f t="shared" si="44"/>
        <v>2.5577803554579046</v>
      </c>
      <c r="V52" s="110">
        <f t="shared" si="44"/>
        <v>3.4759294395278291</v>
      </c>
      <c r="W52" s="110">
        <f t="shared" ref="W52:Y52" si="45">W53+W54+W55</f>
        <v>3.2317476578766144</v>
      </c>
      <c r="X52" s="110">
        <f t="shared" si="45"/>
        <v>4.7117979337616411</v>
      </c>
      <c r="Y52" s="110">
        <f t="shared" si="45"/>
        <v>2.8003322931544727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1.4390290411616682</v>
      </c>
      <c r="C54" s="102">
        <f>TrAvia_ene!C$12</f>
        <v>0.90247878645847546</v>
      </c>
      <c r="D54" s="102">
        <f>TrAvia_ene!D$12</f>
        <v>0.98946716485919994</v>
      </c>
      <c r="E54" s="102">
        <f>TrAvia_ene!E$12</f>
        <v>1.0324731700323537</v>
      </c>
      <c r="F54" s="102">
        <f>TrAvia_ene!F$12</f>
        <v>1.0997417639392713</v>
      </c>
      <c r="G54" s="102">
        <f>TrAvia_ene!G$12</f>
        <v>1.4369516816980914</v>
      </c>
      <c r="H54" s="102">
        <f>TrAvia_ene!H$12</f>
        <v>1.5174709938010358</v>
      </c>
      <c r="I54" s="102">
        <f>TrAvia_ene!I$12</f>
        <v>1.6404259952582401</v>
      </c>
      <c r="J54" s="102">
        <f>TrAvia_ene!J$12</f>
        <v>2.1764054951147997</v>
      </c>
      <c r="K54" s="102">
        <f>TrAvia_ene!K$12</f>
        <v>1.482301267955457</v>
      </c>
      <c r="L54" s="102">
        <f>TrAvia_ene!L$12</f>
        <v>1.5859332380615596</v>
      </c>
      <c r="M54" s="102">
        <f>TrAvia_ene!M$12</f>
        <v>1.5106683270255761</v>
      </c>
      <c r="N54" s="102">
        <f>TrAvia_ene!N$12</f>
        <v>1.6239685115589078</v>
      </c>
      <c r="O54" s="102">
        <f>TrAvia_ene!O$12</f>
        <v>1.7066420393947779</v>
      </c>
      <c r="P54" s="102">
        <f>TrAvia_ene!P$12</f>
        <v>1.7175374339444915</v>
      </c>
      <c r="Q54" s="102">
        <f>TrAvia_ene!Q$12</f>
        <v>1.8141766078286916</v>
      </c>
      <c r="R54" s="102">
        <f>TrAvia_ene!R$12</f>
        <v>1.6660109234202343</v>
      </c>
      <c r="S54" s="102">
        <f>TrAvia_ene!S$12</f>
        <v>1.8542430611129019</v>
      </c>
      <c r="T54" s="102">
        <f>TrAvia_ene!T$12</f>
        <v>1.9803571335716885</v>
      </c>
      <c r="U54" s="102">
        <f>TrAvia_ene!U$12</f>
        <v>2.1631359220254542</v>
      </c>
      <c r="V54" s="102">
        <f>TrAvia_ene!V$12</f>
        <v>2.9308257633565766</v>
      </c>
      <c r="W54" s="102">
        <f>TrAvia_ene!W$12</f>
        <v>2.9115423820057877</v>
      </c>
      <c r="X54" s="102">
        <f>TrAvia_ene!X$12</f>
        <v>4.0036517919468864</v>
      </c>
      <c r="Y54" s="102">
        <f>TrAvia_ene!Y$12</f>
        <v>2.3537233629276217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0.28423862736081118</v>
      </c>
      <c r="C55" s="102">
        <f>TrAvia_ene!C$13</f>
        <v>0.38210778158919556</v>
      </c>
      <c r="D55" s="102">
        <f>TrAvia_ene!D$13</f>
        <v>0.4668157014447315</v>
      </c>
      <c r="E55" s="102">
        <f>TrAvia_ene!E$13</f>
        <v>0.5626612931256213</v>
      </c>
      <c r="F55" s="102">
        <f>TrAvia_ene!F$13</f>
        <v>0.6036927230806286</v>
      </c>
      <c r="G55" s="102">
        <f>TrAvia_ene!G$13</f>
        <v>0.80755433514553376</v>
      </c>
      <c r="H55" s="102">
        <f>TrAvia_ene!H$13</f>
        <v>0.75015813732404568</v>
      </c>
      <c r="I55" s="102">
        <f>TrAvia_ene!I$13</f>
        <v>0.66466752226989623</v>
      </c>
      <c r="J55" s="102">
        <f>TrAvia_ene!J$13</f>
        <v>0.59716516270339381</v>
      </c>
      <c r="K55" s="102">
        <f>TrAvia_ene!K$13</f>
        <v>0.82372262600410995</v>
      </c>
      <c r="L55" s="102">
        <f>TrAvia_ene!L$13</f>
        <v>1.4437702090047522</v>
      </c>
      <c r="M55" s="102">
        <f>TrAvia_ene!M$13</f>
        <v>0.90021445475090556</v>
      </c>
      <c r="N55" s="102">
        <f>TrAvia_ene!N$13</f>
        <v>0.27765265254903049</v>
      </c>
      <c r="O55" s="102">
        <f>TrAvia_ene!O$13</f>
        <v>0.27566508932184447</v>
      </c>
      <c r="P55" s="102">
        <f>TrAvia_ene!P$13</f>
        <v>0.36661291302116866</v>
      </c>
      <c r="Q55" s="102">
        <f>TrAvia_ene!Q$13</f>
        <v>0.94882428467739366</v>
      </c>
      <c r="R55" s="102">
        <f>TrAvia_ene!R$13</f>
        <v>0.94835546195354292</v>
      </c>
      <c r="S55" s="102">
        <f>TrAvia_ene!S$13</f>
        <v>1.1755178513762929</v>
      </c>
      <c r="T55" s="102">
        <f>TrAvia_ene!T$13</f>
        <v>0.77957478624503962</v>
      </c>
      <c r="U55" s="102">
        <f>TrAvia_ene!U$13</f>
        <v>0.39464443343245054</v>
      </c>
      <c r="V55" s="102">
        <f>TrAvia_ene!V$13</f>
        <v>0.54510367617125222</v>
      </c>
      <c r="W55" s="102">
        <f>TrAvia_ene!W$13</f>
        <v>0.32020527587082676</v>
      </c>
      <c r="X55" s="102">
        <f>TrAvia_ene!X$13</f>
        <v>0.70814614181475488</v>
      </c>
      <c r="Y55" s="102">
        <f>TrAvia_ene!Y$13</f>
        <v>0.44660893022685116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2.54</v>
      </c>
      <c r="C56" s="110">
        <f t="shared" si="46"/>
        <v>3.4260000000000002</v>
      </c>
      <c r="D56" s="110">
        <f t="shared" si="46"/>
        <v>4.359</v>
      </c>
      <c r="E56" s="110">
        <f t="shared" si="46"/>
        <v>5.3079999999999998</v>
      </c>
      <c r="F56" s="110">
        <f t="shared" si="46"/>
        <v>9.4789999999999992</v>
      </c>
      <c r="G56" s="110">
        <f t="shared" si="46"/>
        <v>10.201000000000001</v>
      </c>
      <c r="H56" s="110">
        <f t="shared" si="46"/>
        <v>9.5920000000000005</v>
      </c>
      <c r="I56" s="110">
        <f t="shared" si="46"/>
        <v>8.9860000000000007</v>
      </c>
      <c r="J56" s="110">
        <f t="shared" si="46"/>
        <v>26.782</v>
      </c>
      <c r="K56" s="110">
        <f t="shared" si="46"/>
        <v>55.124000000000002</v>
      </c>
      <c r="L56" s="110">
        <f t="shared" si="46"/>
        <v>57.180999999999997</v>
      </c>
      <c r="M56" s="110">
        <f t="shared" si="46"/>
        <v>44.201999999999998</v>
      </c>
      <c r="N56" s="110">
        <f t="shared" si="46"/>
        <v>51.215000000000003</v>
      </c>
      <c r="O56" s="110">
        <f t="shared" si="46"/>
        <v>50.899000000000001</v>
      </c>
      <c r="P56" s="110">
        <f t="shared" si="46"/>
        <v>52.747999999999998</v>
      </c>
      <c r="Q56" s="110">
        <f t="shared" si="46"/>
        <v>65.171000000000006</v>
      </c>
      <c r="R56" s="110">
        <f t="shared" ref="R56:V56" si="47">R57+R58</f>
        <v>62.234999999999999</v>
      </c>
      <c r="S56" s="110">
        <f t="shared" si="47"/>
        <v>60.795000000000002</v>
      </c>
      <c r="T56" s="110">
        <f t="shared" si="47"/>
        <v>68.445999999999998</v>
      </c>
      <c r="U56" s="110">
        <f t="shared" si="47"/>
        <v>80.730999999999995</v>
      </c>
      <c r="V56" s="110">
        <f t="shared" si="47"/>
        <v>87.353999999999999</v>
      </c>
      <c r="W56" s="110">
        <f t="shared" ref="W56:Y56" si="48">W57+W58</f>
        <v>0.11926053310404131</v>
      </c>
      <c r="X56" s="110">
        <f t="shared" si="48"/>
        <v>0.1596732588134136</v>
      </c>
      <c r="Y56" s="110">
        <f t="shared" si="48"/>
        <v>0.14754944110060189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2.54</v>
      </c>
      <c r="C58" s="169">
        <f>TrNavi_ene!C10</f>
        <v>3.4260000000000002</v>
      </c>
      <c r="D58" s="169">
        <f>TrNavi_ene!D10</f>
        <v>4.359</v>
      </c>
      <c r="E58" s="169">
        <f>TrNavi_ene!E10</f>
        <v>5.3079999999999998</v>
      </c>
      <c r="F58" s="169">
        <f>TrNavi_ene!F10</f>
        <v>9.4789999999999992</v>
      </c>
      <c r="G58" s="169">
        <f>TrNavi_ene!G10</f>
        <v>10.201000000000001</v>
      </c>
      <c r="H58" s="169">
        <f>TrNavi_ene!H10</f>
        <v>9.5920000000000005</v>
      </c>
      <c r="I58" s="169">
        <f>TrNavi_ene!I10</f>
        <v>8.9860000000000007</v>
      </c>
      <c r="J58" s="169">
        <f>TrNavi_ene!J10</f>
        <v>26.782</v>
      </c>
      <c r="K58" s="169">
        <f>TrNavi_ene!K10</f>
        <v>55.124000000000002</v>
      </c>
      <c r="L58" s="169">
        <f>TrNavi_ene!L10</f>
        <v>57.180999999999997</v>
      </c>
      <c r="M58" s="169">
        <f>TrNavi_ene!M10</f>
        <v>44.201999999999998</v>
      </c>
      <c r="N58" s="169">
        <f>TrNavi_ene!N10</f>
        <v>51.215000000000003</v>
      </c>
      <c r="O58" s="169">
        <f>TrNavi_ene!O10</f>
        <v>50.899000000000001</v>
      </c>
      <c r="P58" s="169">
        <f>TrNavi_ene!P10</f>
        <v>52.747999999999998</v>
      </c>
      <c r="Q58" s="169">
        <f>TrNavi_ene!Q10</f>
        <v>65.171000000000006</v>
      </c>
      <c r="R58" s="169">
        <f>TrNavi_ene!R10</f>
        <v>62.234999999999999</v>
      </c>
      <c r="S58" s="169">
        <f>TrNavi_ene!S10</f>
        <v>60.795000000000002</v>
      </c>
      <c r="T58" s="169">
        <f>TrNavi_ene!T10</f>
        <v>68.445999999999998</v>
      </c>
      <c r="U58" s="169">
        <f>TrNavi_ene!U10</f>
        <v>80.730999999999995</v>
      </c>
      <c r="V58" s="169">
        <f>TrNavi_ene!V10</f>
        <v>87.353999999999999</v>
      </c>
      <c r="W58" s="169">
        <f>TrNavi_ene!W10</f>
        <v>0.11926053310404131</v>
      </c>
      <c r="X58" s="169">
        <f>TrNavi_ene!X10</f>
        <v>0.1596732588134136</v>
      </c>
      <c r="Y58" s="169">
        <f>TrNavi_ene!Y10</f>
        <v>0.14754944110060189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65.730352536543421</v>
      </c>
      <c r="C59" s="28">
        <f t="shared" ref="C59:W59" si="49">C60+C61</f>
        <v>98.5334479793637</v>
      </c>
      <c r="D59" s="28">
        <f t="shared" si="49"/>
        <v>107.83895098882201</v>
      </c>
      <c r="E59" s="28">
        <f t="shared" si="49"/>
        <v>140.70412725709369</v>
      </c>
      <c r="F59" s="28">
        <f t="shared" si="49"/>
        <v>118.10928632846088</v>
      </c>
      <c r="G59" s="28">
        <f t="shared" si="49"/>
        <v>112.9741186586414</v>
      </c>
      <c r="H59" s="28">
        <f t="shared" si="49"/>
        <v>106</v>
      </c>
      <c r="I59" s="28">
        <f t="shared" si="49"/>
        <v>52.536543422183996</v>
      </c>
      <c r="J59" s="28">
        <f t="shared" si="49"/>
        <v>122.37987962166807</v>
      </c>
      <c r="K59" s="28">
        <f t="shared" si="49"/>
        <v>206.00455717970769</v>
      </c>
      <c r="L59" s="28">
        <f t="shared" si="49"/>
        <v>96.484178847807385</v>
      </c>
      <c r="M59" s="28">
        <f t="shared" si="49"/>
        <v>75.468099742046434</v>
      </c>
      <c r="N59" s="28">
        <f t="shared" si="49"/>
        <v>63.616595012897676</v>
      </c>
      <c r="O59" s="28">
        <f t="shared" si="49"/>
        <v>90.235941530524499</v>
      </c>
      <c r="P59" s="28">
        <f t="shared" si="49"/>
        <v>81.417798796216672</v>
      </c>
      <c r="Q59" s="28">
        <f t="shared" si="49"/>
        <v>86.744024075666374</v>
      </c>
      <c r="R59" s="28">
        <f t="shared" si="49"/>
        <v>77.761049011177988</v>
      </c>
      <c r="S59" s="28">
        <f t="shared" si="49"/>
        <v>80.080481513327584</v>
      </c>
      <c r="T59" s="28">
        <f t="shared" si="49"/>
        <v>82.119432502149607</v>
      </c>
      <c r="U59" s="28">
        <f t="shared" si="49"/>
        <v>75.8462596732588</v>
      </c>
      <c r="V59" s="28">
        <f t="shared" si="49"/>
        <v>84.746431642304387</v>
      </c>
      <c r="W59" s="28">
        <f t="shared" si="49"/>
        <v>85.220722269991398</v>
      </c>
      <c r="X59" s="28">
        <f t="shared" ref="X59:Y59" si="50">X60+X61</f>
        <v>68.352708512467743</v>
      </c>
      <c r="Y59" s="28">
        <f t="shared" si="50"/>
        <v>66.642132416165083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32.239397793887228</v>
      </c>
      <c r="C60" s="102">
        <f>MBunk_ene!C$4</f>
        <v>48.111348580748832</v>
      </c>
      <c r="D60" s="102">
        <f>MBunk_ene!D$4</f>
        <v>53.316540480887113</v>
      </c>
      <c r="E60" s="102">
        <f>MBunk_ene!E$4</f>
        <v>56.446871728760449</v>
      </c>
      <c r="F60" s="102">
        <f>MBunk_ene!F$4</f>
        <v>44.289567581428273</v>
      </c>
      <c r="G60" s="102">
        <f>MBunk_ene!G$4</f>
        <v>42.06316880944879</v>
      </c>
      <c r="H60" s="102">
        <f>MBunk_ene!H$4</f>
        <v>43.000029987704735</v>
      </c>
      <c r="I60" s="102">
        <f>MBunk_ene!I$4</f>
        <v>16.630589254116192</v>
      </c>
      <c r="J60" s="102">
        <f>MBunk_ene!J$4</f>
        <v>44.001030138106898</v>
      </c>
      <c r="K60" s="102">
        <f>MBunk_ene!K$4</f>
        <v>107.54071744392701</v>
      </c>
      <c r="L60" s="102">
        <f>MBunk_ene!L$4</f>
        <v>44.673515949692636</v>
      </c>
      <c r="M60" s="102">
        <f>MBunk_ene!M$4</f>
        <v>37.719036569657412</v>
      </c>
      <c r="N60" s="102">
        <f>MBunk_ene!N$4</f>
        <v>31.648390309779504</v>
      </c>
      <c r="O60" s="102">
        <f>MBunk_ene!O$4</f>
        <v>47.15470285721198</v>
      </c>
      <c r="P60" s="102">
        <f>MBunk_ene!P$4</f>
        <v>40.687562859888473</v>
      </c>
      <c r="Q60" s="102">
        <f>MBunk_ene!Q$4</f>
        <v>40.931133992476084</v>
      </c>
      <c r="R60" s="102">
        <f>MBunk_ene!R$4</f>
        <v>39.529304753235785</v>
      </c>
      <c r="S60" s="102">
        <f>MBunk_ene!S$4</f>
        <v>42.597776688173312</v>
      </c>
      <c r="T60" s="102">
        <f>MBunk_ene!T$4</f>
        <v>44.525506866903406</v>
      </c>
      <c r="U60" s="102">
        <f>MBunk_ene!U$4</f>
        <v>40.162042722592275</v>
      </c>
      <c r="V60" s="102">
        <f>MBunk_ene!V$4</f>
        <v>41.761132249995484</v>
      </c>
      <c r="W60" s="102">
        <f>MBunk_ene!W$4</f>
        <v>39.004352707311163</v>
      </c>
      <c r="X60" s="102">
        <f>MBunk_ene!X$4</f>
        <v>31.765999731235521</v>
      </c>
      <c r="Y60" s="102">
        <f>MBunk_ene!Y$4</f>
        <v>30.17257502569856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33.490954742656193</v>
      </c>
      <c r="C61" s="86">
        <f>MBunk_ene!C$10</f>
        <v>50.422099398614868</v>
      </c>
      <c r="D61" s="86">
        <f>MBunk_ene!D$10</f>
        <v>54.522410507934893</v>
      </c>
      <c r="E61" s="86">
        <f>MBunk_ene!E$10</f>
        <v>84.257255528333246</v>
      </c>
      <c r="F61" s="86">
        <f>MBunk_ene!F$10</f>
        <v>73.81971874703261</v>
      </c>
      <c r="G61" s="86">
        <f>MBunk_ene!G$10</f>
        <v>70.910949849192605</v>
      </c>
      <c r="H61" s="86">
        <f>MBunk_ene!H$10</f>
        <v>62.999970012295265</v>
      </c>
      <c r="I61" s="86">
        <f>MBunk_ene!I$10</f>
        <v>35.905954168067808</v>
      </c>
      <c r="J61" s="86">
        <f>MBunk_ene!J$10</f>
        <v>78.378849483561169</v>
      </c>
      <c r="K61" s="86">
        <f>MBunk_ene!K$10</f>
        <v>98.463839735780681</v>
      </c>
      <c r="L61" s="86">
        <f>MBunk_ene!L$10</f>
        <v>51.810662898114749</v>
      </c>
      <c r="M61" s="86">
        <f>MBunk_ene!M$10</f>
        <v>37.749063172389022</v>
      </c>
      <c r="N61" s="86">
        <f>MBunk_ene!N$10</f>
        <v>31.968204703118175</v>
      </c>
      <c r="O61" s="86">
        <f>MBunk_ene!O$10</f>
        <v>43.081238673312519</v>
      </c>
      <c r="P61" s="86">
        <f>MBunk_ene!P$10</f>
        <v>40.730235936328199</v>
      </c>
      <c r="Q61" s="86">
        <f>MBunk_ene!Q$10</f>
        <v>45.812890083190283</v>
      </c>
      <c r="R61" s="86">
        <f>MBunk_ene!R$10</f>
        <v>38.231744257942196</v>
      </c>
      <c r="S61" s="86">
        <f>MBunk_ene!S$10</f>
        <v>37.482704825154272</v>
      </c>
      <c r="T61" s="86">
        <f>MBunk_ene!T$10</f>
        <v>37.593925635246201</v>
      </c>
      <c r="U61" s="86">
        <f>MBunk_ene!U$10</f>
        <v>35.684216950666524</v>
      </c>
      <c r="V61" s="86">
        <f>MBunk_ene!V$10</f>
        <v>42.985299392308903</v>
      </c>
      <c r="W61" s="86">
        <f>MBunk_ene!W$10</f>
        <v>46.216369562680228</v>
      </c>
      <c r="X61" s="86">
        <f>MBunk_ene!X$10</f>
        <v>36.586708781232218</v>
      </c>
      <c r="Y61" s="86">
        <f>MBunk_ene!Y$10</f>
        <v>36.46955739046652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4257.4286267910538</v>
      </c>
      <c r="C64" s="28">
        <f t="shared" si="51"/>
        <v>4477.839020668287</v>
      </c>
      <c r="D64" s="28">
        <f t="shared" si="51"/>
        <v>4812.3801674864662</v>
      </c>
      <c r="E64" s="28">
        <f t="shared" si="51"/>
        <v>5196.2626409961613</v>
      </c>
      <c r="F64" s="28">
        <f t="shared" si="51"/>
        <v>5377.2785556207655</v>
      </c>
      <c r="G64" s="28">
        <f t="shared" si="51"/>
        <v>5979.5748037955054</v>
      </c>
      <c r="H64" s="28">
        <f t="shared" si="51"/>
        <v>6297.0707113922645</v>
      </c>
      <c r="I64" s="28">
        <f t="shared" si="51"/>
        <v>6137.5096066235801</v>
      </c>
      <c r="J64" s="28">
        <f t="shared" si="51"/>
        <v>6442.5863752678624</v>
      </c>
      <c r="K64" s="28">
        <f t="shared" si="51"/>
        <v>6377.7845458884185</v>
      </c>
      <c r="L64" s="28">
        <f t="shared" si="51"/>
        <v>6245.5559780228978</v>
      </c>
      <c r="M64" s="28">
        <f t="shared" si="51"/>
        <v>6263.6260841816429</v>
      </c>
      <c r="N64" s="28">
        <f t="shared" si="51"/>
        <v>6502.3450223257823</v>
      </c>
      <c r="O64" s="28">
        <f t="shared" si="51"/>
        <v>5742.5355022348904</v>
      </c>
      <c r="P64" s="28">
        <f t="shared" si="51"/>
        <v>6533.3356546641335</v>
      </c>
      <c r="Q64" s="28">
        <f t="shared" si="51"/>
        <v>7174.7077870912008</v>
      </c>
      <c r="R64" s="28">
        <f t="shared" ref="R64:V64" si="52">R65+R69+R73</f>
        <v>7426.069827076909</v>
      </c>
      <c r="S64" s="28">
        <f t="shared" si="52"/>
        <v>7616.0589919518052</v>
      </c>
      <c r="T64" s="28">
        <f t="shared" si="52"/>
        <v>7982.8907764473042</v>
      </c>
      <c r="U64" s="28">
        <f t="shared" si="52"/>
        <v>8384.153365561102</v>
      </c>
      <c r="V64" s="28">
        <f t="shared" si="52"/>
        <v>7416.7956724799151</v>
      </c>
      <c r="W64" s="28">
        <f t="shared" ref="W64:Y64" si="53">W65+W69+W73</f>
        <v>8166.469281000177</v>
      </c>
      <c r="X64" s="28">
        <f t="shared" si="53"/>
        <v>8427.1708155737069</v>
      </c>
      <c r="Y64" s="28">
        <f t="shared" si="53"/>
        <v>8640.0771000145978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3895.6421570386742</v>
      </c>
      <c r="C65" s="137">
        <f t="shared" si="54"/>
        <v>3974.6862027313487</v>
      </c>
      <c r="D65" s="137">
        <f t="shared" si="54"/>
        <v>4309.8229956501536</v>
      </c>
      <c r="E65" s="137">
        <f t="shared" si="54"/>
        <v>4604.054643045034</v>
      </c>
      <c r="F65" s="137">
        <f t="shared" si="54"/>
        <v>4827.8510828606713</v>
      </c>
      <c r="G65" s="137">
        <f t="shared" si="54"/>
        <v>5341.8510470362635</v>
      </c>
      <c r="H65" s="137">
        <f t="shared" si="54"/>
        <v>5642.3340393433864</v>
      </c>
      <c r="I65" s="137">
        <f t="shared" si="54"/>
        <v>5435.968035089496</v>
      </c>
      <c r="J65" s="137">
        <f t="shared" si="54"/>
        <v>5727.7438780315642</v>
      </c>
      <c r="K65" s="137">
        <f t="shared" si="54"/>
        <v>5823.1962370033298</v>
      </c>
      <c r="L65" s="137">
        <f t="shared" si="54"/>
        <v>5669.00618065052</v>
      </c>
      <c r="M65" s="137">
        <f t="shared" si="54"/>
        <v>5665.1013310223843</v>
      </c>
      <c r="N65" s="137">
        <f t="shared" si="54"/>
        <v>5938.795303840534</v>
      </c>
      <c r="O65" s="137">
        <f t="shared" si="54"/>
        <v>5205.1321418099005</v>
      </c>
      <c r="P65" s="137">
        <f t="shared" si="54"/>
        <v>5982.2911568653408</v>
      </c>
      <c r="Q65" s="137">
        <f t="shared" si="54"/>
        <v>6587.4175363363338</v>
      </c>
      <c r="R65" s="137">
        <f t="shared" ref="R65:V65" si="55">R66+R67+R68</f>
        <v>6713.0269388297093</v>
      </c>
      <c r="S65" s="137">
        <f t="shared" si="55"/>
        <v>6824.5624458594666</v>
      </c>
      <c r="T65" s="137">
        <f t="shared" si="55"/>
        <v>7149.8356933516752</v>
      </c>
      <c r="U65" s="137">
        <f t="shared" si="55"/>
        <v>7636.3991564062826</v>
      </c>
      <c r="V65" s="137">
        <f t="shared" si="55"/>
        <v>6989.7556494680503</v>
      </c>
      <c r="W65" s="137">
        <f t="shared" ref="W65:Y65" si="56">W66+W67+W68</f>
        <v>7655.102006460028</v>
      </c>
      <c r="X65" s="137">
        <f t="shared" si="56"/>
        <v>7745.4825048441435</v>
      </c>
      <c r="Y65" s="137">
        <f t="shared" si="56"/>
        <v>7907.4926351460936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36.048245534763517</v>
      </c>
      <c r="C66" s="102">
        <f>TrRoad_emi!C$19</f>
        <v>36.947027049358695</v>
      </c>
      <c r="D66" s="102">
        <f>TrRoad_emi!D$19</f>
        <v>37.873562838591468</v>
      </c>
      <c r="E66" s="102">
        <f>TrRoad_emi!E$19</f>
        <v>38.149922564651455</v>
      </c>
      <c r="F66" s="102">
        <f>TrRoad_emi!F$19</f>
        <v>38.490030047075983</v>
      </c>
      <c r="G66" s="102">
        <f>TrRoad_emi!G$19</f>
        <v>41.191137892549925</v>
      </c>
      <c r="H66" s="102">
        <f>TrRoad_emi!H$19</f>
        <v>42.289910302520553</v>
      </c>
      <c r="I66" s="102">
        <f>TrRoad_emi!I$19</f>
        <v>44.05336045608221</v>
      </c>
      <c r="J66" s="102">
        <f>TrRoad_emi!J$19</f>
        <v>49.123208618451869</v>
      </c>
      <c r="K66" s="102">
        <f>TrRoad_emi!K$19</f>
        <v>51.637929063520822</v>
      </c>
      <c r="L66" s="102">
        <f>TrRoad_emi!L$19</f>
        <v>55.688179447244792</v>
      </c>
      <c r="M66" s="102">
        <f>TrRoad_emi!M$19</f>
        <v>58.29052963135198</v>
      </c>
      <c r="N66" s="102">
        <f>TrRoad_emi!N$19</f>
        <v>62.656420868843348</v>
      </c>
      <c r="O66" s="102">
        <f>TrRoad_emi!O$19</f>
        <v>64.580860745269263</v>
      </c>
      <c r="P66" s="102">
        <f>TrRoad_emi!P$19</f>
        <v>66.899009022883504</v>
      </c>
      <c r="Q66" s="102">
        <f>TrRoad_emi!Q$19</f>
        <v>69.278212867200594</v>
      </c>
      <c r="R66" s="102">
        <f>TrRoad_emi!R$19</f>
        <v>73.082016362972226</v>
      </c>
      <c r="S66" s="102">
        <f>TrRoad_emi!S$19</f>
        <v>70.058089609995221</v>
      </c>
      <c r="T66" s="102">
        <f>TrRoad_emi!T$19</f>
        <v>66.2093714235031</v>
      </c>
      <c r="U66" s="102">
        <f>TrRoad_emi!U$19</f>
        <v>69.716660845340499</v>
      </c>
      <c r="V66" s="102">
        <f>TrRoad_emi!V$19</f>
        <v>63.095902817339514</v>
      </c>
      <c r="W66" s="102">
        <f>TrRoad_emi!W$19</f>
        <v>66.565581323038217</v>
      </c>
      <c r="X66" s="102">
        <f>TrRoad_emi!X$19</f>
        <v>67.679754353615266</v>
      </c>
      <c r="Y66" s="102">
        <f>TrRoad_emi!Y$19</f>
        <v>73.592923305186943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3019.8880872064306</v>
      </c>
      <c r="C67" s="102">
        <f>TrRoad_emi!C$20</f>
        <v>3072.8536875615337</v>
      </c>
      <c r="D67" s="102">
        <f>TrRoad_emi!D$20</f>
        <v>3292.3320993386742</v>
      </c>
      <c r="E67" s="102">
        <f>TrRoad_emi!E$20</f>
        <v>3720.6490733022929</v>
      </c>
      <c r="F67" s="102">
        <f>TrRoad_emi!F$20</f>
        <v>4013.6120908508969</v>
      </c>
      <c r="G67" s="102">
        <f>TrRoad_emi!G$20</f>
        <v>4479.3976986488115</v>
      </c>
      <c r="H67" s="102">
        <f>TrRoad_emi!H$20</f>
        <v>4818.3922037305319</v>
      </c>
      <c r="I67" s="102">
        <f>TrRoad_emi!I$20</f>
        <v>4560.420917984221</v>
      </c>
      <c r="J67" s="102">
        <f>TrRoad_emi!J$20</f>
        <v>4924.1034121566145</v>
      </c>
      <c r="K67" s="102">
        <f>TrRoad_emi!K$20</f>
        <v>4986.6943388553927</v>
      </c>
      <c r="L67" s="102">
        <f>TrRoad_emi!L$20</f>
        <v>4895.6682037018545</v>
      </c>
      <c r="M67" s="102">
        <f>TrRoad_emi!M$20</f>
        <v>4818.6278935087848</v>
      </c>
      <c r="N67" s="102">
        <f>TrRoad_emi!N$20</f>
        <v>5178.1301307469212</v>
      </c>
      <c r="O67" s="102">
        <f>TrRoad_emi!O$20</f>
        <v>4518.7019553741457</v>
      </c>
      <c r="P67" s="102">
        <f>TrRoad_emi!P$20</f>
        <v>5299.6674019635093</v>
      </c>
      <c r="Q67" s="102">
        <f>TrRoad_emi!Q$20</f>
        <v>5845.0789796922918</v>
      </c>
      <c r="R67" s="102">
        <f>TrRoad_emi!R$20</f>
        <v>6035.3882897765288</v>
      </c>
      <c r="S67" s="102">
        <f>TrRoad_emi!S$20</f>
        <v>6195.3390835473856</v>
      </c>
      <c r="T67" s="102">
        <f>TrRoad_emi!T$20</f>
        <v>6512.5183665624636</v>
      </c>
      <c r="U67" s="102">
        <f>TrRoad_emi!U$20</f>
        <v>6942.5405910000818</v>
      </c>
      <c r="V67" s="102">
        <f>TrRoad_emi!V$20</f>
        <v>6317.1060087838214</v>
      </c>
      <c r="W67" s="102">
        <f>TrRoad_emi!W$20</f>
        <v>6972.2766345022847</v>
      </c>
      <c r="X67" s="102">
        <f>TrRoad_emi!X$20</f>
        <v>7063.3352218821128</v>
      </c>
      <c r="Y67" s="102">
        <f>TrRoad_emi!Y$20</f>
        <v>7219.9972673523916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839.70582429747992</v>
      </c>
      <c r="C68" s="102">
        <f>TrRoad_emi!C$27</f>
        <v>864.88548812045599</v>
      </c>
      <c r="D68" s="102">
        <f>TrRoad_emi!D$27</f>
        <v>979.61733347288782</v>
      </c>
      <c r="E68" s="102">
        <f>TrRoad_emi!E$27</f>
        <v>845.25564717808902</v>
      </c>
      <c r="F68" s="102">
        <f>TrRoad_emi!F$27</f>
        <v>775.74896196269844</v>
      </c>
      <c r="G68" s="102">
        <f>TrRoad_emi!G$27</f>
        <v>821.26221049490209</v>
      </c>
      <c r="H68" s="102">
        <f>TrRoad_emi!H$27</f>
        <v>781.65192531033426</v>
      </c>
      <c r="I68" s="102">
        <f>TrRoad_emi!I$27</f>
        <v>831.49375664919273</v>
      </c>
      <c r="J68" s="102">
        <f>TrRoad_emi!J$27</f>
        <v>754.51725725649749</v>
      </c>
      <c r="K68" s="102">
        <f>TrRoad_emi!K$27</f>
        <v>784.86396908441679</v>
      </c>
      <c r="L68" s="102">
        <f>TrRoad_emi!L$27</f>
        <v>717.64979750142106</v>
      </c>
      <c r="M68" s="102">
        <f>TrRoad_emi!M$27</f>
        <v>788.18290788224749</v>
      </c>
      <c r="N68" s="102">
        <f>TrRoad_emi!N$27</f>
        <v>698.00875222476986</v>
      </c>
      <c r="O68" s="102">
        <f>TrRoad_emi!O$27</f>
        <v>621.84932569048613</v>
      </c>
      <c r="P68" s="102">
        <f>TrRoad_emi!P$27</f>
        <v>615.72474587894817</v>
      </c>
      <c r="Q68" s="102">
        <f>TrRoad_emi!Q$27</f>
        <v>673.06034377684102</v>
      </c>
      <c r="R68" s="102">
        <f>TrRoad_emi!R$27</f>
        <v>604.55663269020783</v>
      </c>
      <c r="S68" s="102">
        <f>TrRoad_emi!S$27</f>
        <v>559.16527270208542</v>
      </c>
      <c r="T68" s="102">
        <f>TrRoad_emi!T$27</f>
        <v>571.10795536570868</v>
      </c>
      <c r="U68" s="102">
        <f>TrRoad_emi!U$27</f>
        <v>624.14190456085987</v>
      </c>
      <c r="V68" s="102">
        <f>TrRoad_emi!V$27</f>
        <v>609.55373786688983</v>
      </c>
      <c r="W68" s="102">
        <f>TrRoad_emi!W$27</f>
        <v>616.25979063470527</v>
      </c>
      <c r="X68" s="102">
        <f>TrRoad_emi!X$27</f>
        <v>614.46752860841571</v>
      </c>
      <c r="Y68" s="102">
        <f>TrRoad_emi!Y$27</f>
        <v>613.90244448851502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56.236618268995628</v>
      </c>
      <c r="C69" s="110">
        <f t="shared" si="57"/>
        <v>47.32494870092863</v>
      </c>
      <c r="D69" s="110">
        <f t="shared" si="57"/>
        <v>40.904581546550091</v>
      </c>
      <c r="E69" s="110">
        <f t="shared" si="57"/>
        <v>32.678903900808052</v>
      </c>
      <c r="F69" s="110">
        <f t="shared" si="57"/>
        <v>33.723360507967151</v>
      </c>
      <c r="G69" s="110">
        <f t="shared" si="57"/>
        <v>36.83945443120146</v>
      </c>
      <c r="H69" s="110">
        <f t="shared" si="57"/>
        <v>44.597607364491509</v>
      </c>
      <c r="I69" s="110">
        <f t="shared" si="57"/>
        <v>37.581571956759269</v>
      </c>
      <c r="J69" s="110">
        <f t="shared" si="57"/>
        <v>46.12122974437812</v>
      </c>
      <c r="K69" s="110">
        <f t="shared" si="57"/>
        <v>32.86109478849513</v>
      </c>
      <c r="L69" s="110">
        <f t="shared" si="57"/>
        <v>35.359470092353213</v>
      </c>
      <c r="M69" s="110">
        <f t="shared" si="57"/>
        <v>30.737869297361616</v>
      </c>
      <c r="N69" s="110">
        <f t="shared" si="57"/>
        <v>43.696970930476908</v>
      </c>
      <c r="O69" s="110">
        <f t="shared" si="57"/>
        <v>27.068516291790555</v>
      </c>
      <c r="P69" s="110">
        <f t="shared" si="57"/>
        <v>19.374362002445739</v>
      </c>
      <c r="Q69" s="110">
        <f t="shared" si="57"/>
        <v>23.655195081186655</v>
      </c>
      <c r="R69" s="110">
        <f t="shared" ref="R69:V69" si="58">R70+R71+R72</f>
        <v>22.188854469260889</v>
      </c>
      <c r="S69" s="110">
        <f t="shared" si="58"/>
        <v>22.286718281005186</v>
      </c>
      <c r="T69" s="110">
        <f t="shared" si="58"/>
        <v>17.821514665227276</v>
      </c>
      <c r="U69" s="110">
        <f t="shared" si="58"/>
        <v>16.79344093043369</v>
      </c>
      <c r="V69" s="110">
        <f t="shared" si="58"/>
        <v>11.747849702226786</v>
      </c>
      <c r="W69" s="110">
        <f t="shared" ref="W69:Y69" si="59">W70+W71+W72</f>
        <v>12.575390566733835</v>
      </c>
      <c r="X69" s="110">
        <f t="shared" si="59"/>
        <v>13.016028558108008</v>
      </c>
      <c r="Y69" s="110">
        <f t="shared" si="59"/>
        <v>14.01223481364485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56.236618268995628</v>
      </c>
      <c r="C71" s="102">
        <f>TrRail_emi!C$11</f>
        <v>47.32494870092863</v>
      </c>
      <c r="D71" s="102">
        <f>TrRail_emi!D$11</f>
        <v>40.904581546550091</v>
      </c>
      <c r="E71" s="102">
        <f>TrRail_emi!E$11</f>
        <v>32.678903900808052</v>
      </c>
      <c r="F71" s="102">
        <f>TrRail_emi!F$11</f>
        <v>33.723360507967151</v>
      </c>
      <c r="G71" s="102">
        <f>TrRail_emi!G$11</f>
        <v>36.83945443120146</v>
      </c>
      <c r="H71" s="102">
        <f>TrRail_emi!H$11</f>
        <v>44.597607364491509</v>
      </c>
      <c r="I71" s="102">
        <f>TrRail_emi!I$11</f>
        <v>37.581571956759269</v>
      </c>
      <c r="J71" s="102">
        <f>TrRail_emi!J$11</f>
        <v>46.12122974437812</v>
      </c>
      <c r="K71" s="102">
        <f>TrRail_emi!K$11</f>
        <v>32.86109478849513</v>
      </c>
      <c r="L71" s="102">
        <f>TrRail_emi!L$11</f>
        <v>35.359470092353213</v>
      </c>
      <c r="M71" s="102">
        <f>TrRail_emi!M$11</f>
        <v>30.737869297361616</v>
      </c>
      <c r="N71" s="102">
        <f>TrRail_emi!N$11</f>
        <v>43.696970930476908</v>
      </c>
      <c r="O71" s="102">
        <f>TrRail_emi!O$11</f>
        <v>27.068516291790555</v>
      </c>
      <c r="P71" s="102">
        <f>TrRail_emi!P$11</f>
        <v>19.374362002445739</v>
      </c>
      <c r="Q71" s="102">
        <f>TrRail_emi!Q$11</f>
        <v>23.655195081186655</v>
      </c>
      <c r="R71" s="102">
        <f>TrRail_emi!R$11</f>
        <v>22.188854469260889</v>
      </c>
      <c r="S71" s="102">
        <f>TrRail_emi!S$11</f>
        <v>22.286718281005186</v>
      </c>
      <c r="T71" s="102">
        <f>TrRail_emi!T$11</f>
        <v>17.821514665227276</v>
      </c>
      <c r="U71" s="102">
        <f>TrRail_emi!U$11</f>
        <v>16.79344093043369</v>
      </c>
      <c r="V71" s="102">
        <f>TrRail_emi!V$11</f>
        <v>11.747849702226786</v>
      </c>
      <c r="W71" s="102">
        <f>TrRail_emi!W$11</f>
        <v>12.575390566733835</v>
      </c>
      <c r="X71" s="102">
        <f>TrRail_emi!X$11</f>
        <v>13.016028558108008</v>
      </c>
      <c r="Y71" s="102">
        <f>TrRail_emi!Y$11</f>
        <v>14.01223481364485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305.54985148338426</v>
      </c>
      <c r="C73" s="110">
        <f t="shared" si="60"/>
        <v>455.8278692360098</v>
      </c>
      <c r="D73" s="110">
        <f t="shared" si="60"/>
        <v>461.652590289763</v>
      </c>
      <c r="E73" s="110">
        <f t="shared" si="60"/>
        <v>559.5290940503188</v>
      </c>
      <c r="F73" s="110">
        <f t="shared" si="60"/>
        <v>515.70411225212695</v>
      </c>
      <c r="G73" s="110">
        <f t="shared" si="60"/>
        <v>600.88430232804012</v>
      </c>
      <c r="H73" s="110">
        <f t="shared" si="60"/>
        <v>610.13906468438631</v>
      </c>
      <c r="I73" s="110">
        <f t="shared" si="60"/>
        <v>663.95999957732465</v>
      </c>
      <c r="J73" s="110">
        <f t="shared" si="60"/>
        <v>668.72126749191989</v>
      </c>
      <c r="K73" s="110">
        <f t="shared" si="60"/>
        <v>521.72721409659368</v>
      </c>
      <c r="L73" s="110">
        <f t="shared" si="60"/>
        <v>541.19032728002446</v>
      </c>
      <c r="M73" s="110">
        <f t="shared" si="60"/>
        <v>567.78688386189674</v>
      </c>
      <c r="N73" s="110">
        <f t="shared" si="60"/>
        <v>519.85274755477121</v>
      </c>
      <c r="O73" s="110">
        <f t="shared" si="60"/>
        <v>510.33484413319877</v>
      </c>
      <c r="P73" s="110">
        <f t="shared" si="60"/>
        <v>531.67013579634636</v>
      </c>
      <c r="Q73" s="110">
        <f t="shared" si="60"/>
        <v>563.63505567368065</v>
      </c>
      <c r="R73" s="110">
        <f t="shared" ref="R73:V73" si="61">R74+R75+R76</f>
        <v>690.85403377793864</v>
      </c>
      <c r="S73" s="110">
        <f t="shared" si="61"/>
        <v>769.20982781133341</v>
      </c>
      <c r="T73" s="110">
        <f t="shared" si="61"/>
        <v>815.2335684304021</v>
      </c>
      <c r="U73" s="110">
        <f t="shared" si="61"/>
        <v>730.96076822438579</v>
      </c>
      <c r="V73" s="110">
        <f t="shared" si="61"/>
        <v>415.29217330963849</v>
      </c>
      <c r="W73" s="110">
        <f t="shared" ref="W73:Y73" si="62">W74+W75+W76</f>
        <v>498.79188397341568</v>
      </c>
      <c r="X73" s="110">
        <f t="shared" si="62"/>
        <v>668.67228217145657</v>
      </c>
      <c r="Y73" s="110">
        <f t="shared" si="62"/>
        <v>718.57223005486003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63.415799999999997</v>
      </c>
      <c r="C74" s="102">
        <f>TrAvia_emi!C$7</f>
        <v>139.44508200000001</v>
      </c>
      <c r="D74" s="102">
        <f>TrAvia_emi!D$7</f>
        <v>82.370861999999988</v>
      </c>
      <c r="E74" s="102">
        <f>TrAvia_emi!E$7</f>
        <v>72.858491999999998</v>
      </c>
      <c r="F74" s="102">
        <f>TrAvia_emi!F$7</f>
        <v>58.883075999999988</v>
      </c>
      <c r="G74" s="102">
        <f>TrAvia_emi!G$7</f>
        <v>40.281021719999991</v>
      </c>
      <c r="H74" s="102">
        <f>TrAvia_emi!H$7</f>
        <v>74.407958279999988</v>
      </c>
      <c r="I74" s="102">
        <f>TrAvia_emi!I$7</f>
        <v>123.66805752000002</v>
      </c>
      <c r="J74" s="102">
        <f>TrAvia_emi!J$7</f>
        <v>40.180257719999986</v>
      </c>
      <c r="K74" s="102">
        <f>TrAvia_emi!K$7</f>
        <v>71.097401519999991</v>
      </c>
      <c r="L74" s="102">
        <f>TrAvia_emi!L$7</f>
        <v>46.36368648000002</v>
      </c>
      <c r="M74" s="102">
        <f>TrAvia_emi!M$7</f>
        <v>64.913972760000021</v>
      </c>
      <c r="N74" s="102">
        <f>TrAvia_emi!N$7</f>
        <v>33.996828959999988</v>
      </c>
      <c r="O74" s="102">
        <f>TrAvia_emi!O$7</f>
        <v>37.088672759999994</v>
      </c>
      <c r="P74" s="102">
        <f>TrAvia_emi!P$7</f>
        <v>27.813659040000001</v>
      </c>
      <c r="Q74" s="102">
        <f>TrAvia_emi!Q$7</f>
        <v>40.180257719999986</v>
      </c>
      <c r="R74" s="102">
        <f>TrAvia_emi!R$7</f>
        <v>58.742184960000017</v>
      </c>
      <c r="S74" s="102">
        <f>TrAvia_emi!S$7</f>
        <v>61.98029136000001</v>
      </c>
      <c r="T74" s="102">
        <f>TrAvia_emi!T$7</f>
        <v>52.722767880000013</v>
      </c>
      <c r="U74" s="102">
        <f>TrAvia_emi!U$7</f>
        <v>21.675489839999997</v>
      </c>
      <c r="V74" s="102">
        <f>TrAvia_emi!V$7</f>
        <v>11.657351520000002</v>
      </c>
      <c r="W74" s="102">
        <f>TrAvia_emi!W$7</f>
        <v>15.22420704</v>
      </c>
      <c r="X74" s="102">
        <f>TrAvia_emi!X$7</f>
        <v>23.952888000000002</v>
      </c>
      <c r="Y74" s="102">
        <f>TrAvia_emi!Y$7</f>
        <v>16.952466959999999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205.66266281805017</v>
      </c>
      <c r="C75" s="102">
        <f>TrAvia_emi!C$8</f>
        <v>268.74532193277167</v>
      </c>
      <c r="D75" s="102">
        <f>TrAvia_emi!D$8</f>
        <v>322.17114039283371</v>
      </c>
      <c r="E75" s="102">
        <f>TrAvia_emi!E$8</f>
        <v>413.40494988381806</v>
      </c>
      <c r="F75" s="102">
        <f>TrAvia_emi!F$8</f>
        <v>388.04138679578523</v>
      </c>
      <c r="G75" s="102">
        <f>TrAvia_emi!G$8</f>
        <v>480.60346391592083</v>
      </c>
      <c r="H75" s="102">
        <f>TrAvia_emi!H$8</f>
        <v>464.62460617004075</v>
      </c>
      <c r="I75" s="102">
        <f>TrAvia_emi!I$8</f>
        <v>469.5514274756049</v>
      </c>
      <c r="J75" s="102">
        <f>TrAvia_emi!J$8</f>
        <v>545.17891842518748</v>
      </c>
      <c r="K75" s="102">
        <f>TrAvia_emi!K$8</f>
        <v>386.29862691472647</v>
      </c>
      <c r="L75" s="102">
        <f>TrAvia_emi!L$8</f>
        <v>423.03005494277346</v>
      </c>
      <c r="M75" s="102">
        <f>TrAvia_emi!M$8</f>
        <v>430.20011634073319</v>
      </c>
      <c r="N75" s="102">
        <f>TrAvia_emi!N$8</f>
        <v>413.97415268649223</v>
      </c>
      <c r="O75" s="102">
        <f>TrAvia_emi!O$8</f>
        <v>403.87922856064881</v>
      </c>
      <c r="P75" s="102">
        <f>TrAvia_emi!P$8</f>
        <v>430.60386192152038</v>
      </c>
      <c r="Q75" s="102">
        <f>TrAvia_emi!Q$8</f>
        <v>449.07712732055637</v>
      </c>
      <c r="R75" s="102">
        <f>TrAvia_emi!R$8</f>
        <v>551.86793462771948</v>
      </c>
      <c r="S75" s="102">
        <f>TrAvia_emi!S$8</f>
        <v>623.20851190500582</v>
      </c>
      <c r="T75" s="102">
        <f>TrAvia_emi!T$8</f>
        <v>670.96762767248219</v>
      </c>
      <c r="U75" s="102">
        <f>TrAvia_emi!U$8</f>
        <v>622.8817805072897</v>
      </c>
      <c r="V75" s="102">
        <f>TrAvia_emi!V$8</f>
        <v>338.18848308411748</v>
      </c>
      <c r="W75" s="102">
        <f>TrAvia_emi!W$8</f>
        <v>411.24639102406718</v>
      </c>
      <c r="X75" s="102">
        <f>TrAvia_emi!X$8</f>
        <v>570.0693187922227</v>
      </c>
      <c r="Y75" s="102">
        <f>TrAvia_emi!Y$8</f>
        <v>617.68273104978891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36.471388665334104</v>
      </c>
      <c r="C76" s="102">
        <f>TrAvia_emi!C$9</f>
        <v>47.637465303238109</v>
      </c>
      <c r="D76" s="102">
        <f>TrAvia_emi!D$9</f>
        <v>57.110587896929282</v>
      </c>
      <c r="E76" s="102">
        <f>TrAvia_emi!E$9</f>
        <v>73.265652166500701</v>
      </c>
      <c r="F76" s="102">
        <f>TrAvia_emi!F$9</f>
        <v>68.779649456341772</v>
      </c>
      <c r="G76" s="102">
        <f>TrAvia_emi!G$9</f>
        <v>79.99981669211931</v>
      </c>
      <c r="H76" s="102">
        <f>TrAvia_emi!H$9</f>
        <v>71.106500234345603</v>
      </c>
      <c r="I76" s="102">
        <f>TrAvia_emi!I$9</f>
        <v>70.740514581719651</v>
      </c>
      <c r="J76" s="102">
        <f>TrAvia_emi!J$9</f>
        <v>83.362091346732484</v>
      </c>
      <c r="K76" s="102">
        <f>TrAvia_emi!K$9</f>
        <v>64.331185661867181</v>
      </c>
      <c r="L76" s="102">
        <f>TrAvia_emi!L$9</f>
        <v>71.796585857250975</v>
      </c>
      <c r="M76" s="102">
        <f>TrAvia_emi!M$9</f>
        <v>72.672794761163487</v>
      </c>
      <c r="N76" s="102">
        <f>TrAvia_emi!N$9</f>
        <v>71.881765908278993</v>
      </c>
      <c r="O76" s="102">
        <f>TrAvia_emi!O$9</f>
        <v>69.366942812549922</v>
      </c>
      <c r="P76" s="102">
        <f>TrAvia_emi!P$9</f>
        <v>73.252614834825991</v>
      </c>
      <c r="Q76" s="102">
        <f>TrAvia_emi!Q$9</f>
        <v>74.37767063312431</v>
      </c>
      <c r="R76" s="102">
        <f>TrAvia_emi!R$9</f>
        <v>80.243914190219115</v>
      </c>
      <c r="S76" s="102">
        <f>TrAvia_emi!S$9</f>
        <v>84.02102454632761</v>
      </c>
      <c r="T76" s="102">
        <f>TrAvia_emi!T$9</f>
        <v>91.543172877919929</v>
      </c>
      <c r="U76" s="102">
        <f>TrAvia_emi!U$9</f>
        <v>86.403497877096115</v>
      </c>
      <c r="V76" s="102">
        <f>TrAvia_emi!V$9</f>
        <v>65.446338705521001</v>
      </c>
      <c r="W76" s="102">
        <f>TrAvia_emi!W$9</f>
        <v>72.321285909348489</v>
      </c>
      <c r="X76" s="102">
        <f>TrAvia_emi!X$9</f>
        <v>74.650075379233826</v>
      </c>
      <c r="Y76" s="102">
        <f>TrAvia_emi!Y$9</f>
        <v>83.937032045071035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1085.9923195289462</v>
      </c>
      <c r="C77" s="28">
        <f t="shared" si="63"/>
        <v>1178.0207891717127</v>
      </c>
      <c r="D77" s="28">
        <f t="shared" si="63"/>
        <v>1133.0790024735334</v>
      </c>
      <c r="E77" s="28">
        <f t="shared" si="63"/>
        <v>1575.709724283842</v>
      </c>
      <c r="F77" s="28">
        <f t="shared" si="63"/>
        <v>1747.4513094992326</v>
      </c>
      <c r="G77" s="28">
        <f t="shared" si="63"/>
        <v>1881.0096827244952</v>
      </c>
      <c r="H77" s="28">
        <f t="shared" si="63"/>
        <v>1899.2402927277353</v>
      </c>
      <c r="I77" s="28">
        <f t="shared" si="63"/>
        <v>1719.8042658564225</v>
      </c>
      <c r="J77" s="28">
        <f t="shared" si="63"/>
        <v>1893.2775225721364</v>
      </c>
      <c r="K77" s="28">
        <f t="shared" si="63"/>
        <v>1729.7743359515803</v>
      </c>
      <c r="L77" s="28">
        <f t="shared" si="63"/>
        <v>1687.7755923771024</v>
      </c>
      <c r="M77" s="28">
        <f t="shared" si="63"/>
        <v>1703.6569594983566</v>
      </c>
      <c r="N77" s="28">
        <f t="shared" si="63"/>
        <v>1723.4751461542162</v>
      </c>
      <c r="O77" s="28">
        <f t="shared" si="63"/>
        <v>1578.2612507251079</v>
      </c>
      <c r="P77" s="28">
        <f t="shared" si="63"/>
        <v>1717.1809008158677</v>
      </c>
      <c r="Q77" s="28">
        <f t="shared" si="63"/>
        <v>1940.704980108801</v>
      </c>
      <c r="R77" s="28">
        <f t="shared" si="63"/>
        <v>1921.8471790030922</v>
      </c>
      <c r="S77" s="28">
        <f t="shared" si="63"/>
        <v>1888.2038804081935</v>
      </c>
      <c r="T77" s="28">
        <f t="shared" si="63"/>
        <v>1862.5580394326939</v>
      </c>
      <c r="U77" s="28">
        <f t="shared" si="63"/>
        <v>1713.4281869988986</v>
      </c>
      <c r="V77" s="28">
        <f t="shared" si="63"/>
        <v>1850.1614667600829</v>
      </c>
      <c r="W77" s="28">
        <f t="shared" si="63"/>
        <v>1814.3728262398215</v>
      </c>
      <c r="X77" s="28">
        <f t="shared" si="63"/>
        <v>1664.9356661862905</v>
      </c>
      <c r="Y77" s="28">
        <f t="shared" si="63"/>
        <v>1699.3315588654004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1008.0817958893259</v>
      </c>
      <c r="C78" s="137">
        <f t="shared" si="64"/>
        <v>1105.7018593798512</v>
      </c>
      <c r="D78" s="137">
        <f t="shared" si="64"/>
        <v>1057.3009194806464</v>
      </c>
      <c r="E78" s="137">
        <f t="shared" si="64"/>
        <v>1497.9028598045684</v>
      </c>
      <c r="F78" s="137">
        <f t="shared" si="64"/>
        <v>1655.8649582541266</v>
      </c>
      <c r="G78" s="137">
        <f t="shared" si="64"/>
        <v>1787.0419762249369</v>
      </c>
      <c r="H78" s="137">
        <f t="shared" si="64"/>
        <v>1817.2830889270131</v>
      </c>
      <c r="I78" s="137">
        <f t="shared" si="64"/>
        <v>1644.2077082537062</v>
      </c>
      <c r="J78" s="137">
        <f t="shared" si="64"/>
        <v>1747.6587067468342</v>
      </c>
      <c r="K78" s="137">
        <f t="shared" si="64"/>
        <v>1521.9872518654693</v>
      </c>
      <c r="L78" s="137">
        <f t="shared" si="64"/>
        <v>1473.92670890668</v>
      </c>
      <c r="M78" s="137">
        <f t="shared" si="64"/>
        <v>1533.5844703800149</v>
      </c>
      <c r="N78" s="137">
        <f t="shared" si="64"/>
        <v>1533.5998105574643</v>
      </c>
      <c r="O78" s="137">
        <f t="shared" si="64"/>
        <v>1397.570375128897</v>
      </c>
      <c r="P78" s="137">
        <f t="shared" si="64"/>
        <v>1529.0217789922594</v>
      </c>
      <c r="Q78" s="137">
        <f t="shared" si="64"/>
        <v>1703.7040725688685</v>
      </c>
      <c r="R78" s="137">
        <f t="shared" ref="R78:V78" si="65">R79+R80</f>
        <v>1702.3393582722915</v>
      </c>
      <c r="S78" s="137">
        <f t="shared" si="65"/>
        <v>1670.728892034532</v>
      </c>
      <c r="T78" s="137">
        <f t="shared" si="65"/>
        <v>1625.2350818635232</v>
      </c>
      <c r="U78" s="137">
        <f t="shared" si="65"/>
        <v>1440.9702015709181</v>
      </c>
      <c r="V78" s="137">
        <f t="shared" si="65"/>
        <v>1550.8229075967481</v>
      </c>
      <c r="W78" s="137">
        <f t="shared" ref="W78:Y78" si="66">W79+W80</f>
        <v>1784.7717709799708</v>
      </c>
      <c r="X78" s="137">
        <f t="shared" si="66"/>
        <v>1630.7932557158549</v>
      </c>
      <c r="Y78" s="137">
        <f t="shared" si="66"/>
        <v>1674.6289315739054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389.98073835674302</v>
      </c>
      <c r="C79" s="102">
        <f>TrRoad_emi!C$34</f>
        <v>377.42179968912205</v>
      </c>
      <c r="D79" s="102">
        <f>TrRoad_emi!D$34</f>
        <v>383.80959548055586</v>
      </c>
      <c r="E79" s="102">
        <f>TrRoad_emi!E$34</f>
        <v>406.81046850909149</v>
      </c>
      <c r="F79" s="102">
        <f>TrRoad_emi!F$34</f>
        <v>455.01724994441645</v>
      </c>
      <c r="G79" s="102">
        <f>TrRoad_emi!G$34</f>
        <v>421.35745019794177</v>
      </c>
      <c r="H79" s="102">
        <f>TrRoad_emi!H$34</f>
        <v>449.62007244587028</v>
      </c>
      <c r="I79" s="102">
        <f>TrRoad_emi!I$34</f>
        <v>484.32662651248859</v>
      </c>
      <c r="J79" s="102">
        <f>TrRoad_emi!J$34</f>
        <v>513.15767219014515</v>
      </c>
      <c r="K79" s="102">
        <f>TrRoad_emi!K$34</f>
        <v>506.65654937769443</v>
      </c>
      <c r="L79" s="102">
        <f>TrRoad_emi!L$34</f>
        <v>492.04617114072317</v>
      </c>
      <c r="M79" s="102">
        <f>TrRoad_emi!M$34</f>
        <v>543.54991563654755</v>
      </c>
      <c r="N79" s="102">
        <f>TrRoad_emi!N$34</f>
        <v>548.52192324790758</v>
      </c>
      <c r="O79" s="102">
        <f>TrRoad_emi!O$34</f>
        <v>537.20942993854101</v>
      </c>
      <c r="P79" s="102">
        <f>TrRoad_emi!P$34</f>
        <v>563.13913148504798</v>
      </c>
      <c r="Q79" s="102">
        <f>TrRoad_emi!Q$34</f>
        <v>624.33521660074132</v>
      </c>
      <c r="R79" s="102">
        <f>TrRoad_emi!R$34</f>
        <v>607.23418726079478</v>
      </c>
      <c r="S79" s="102">
        <f>TrRoad_emi!S$34</f>
        <v>514.45624892935302</v>
      </c>
      <c r="T79" s="102">
        <f>TrRoad_emi!T$34</f>
        <v>514.46730193215512</v>
      </c>
      <c r="U79" s="102">
        <f>TrRoad_emi!U$34</f>
        <v>500.65854702503782</v>
      </c>
      <c r="V79" s="102">
        <f>TrRoad_emi!V$34</f>
        <v>479.6838840842986</v>
      </c>
      <c r="W79" s="102">
        <f>TrRoad_emi!W$34</f>
        <v>466.05245603486304</v>
      </c>
      <c r="X79" s="102">
        <f>TrRoad_emi!X$34</f>
        <v>431.0003001728499</v>
      </c>
      <c r="Y79" s="102">
        <f>TrRoad_emi!Y$34</f>
        <v>401.16284936317885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618.1010575325829</v>
      </c>
      <c r="C80" s="102">
        <f>TrRoad_emi!C$40</f>
        <v>728.2800596907291</v>
      </c>
      <c r="D80" s="102">
        <f>TrRoad_emi!D$40</f>
        <v>673.49132400009057</v>
      </c>
      <c r="E80" s="102">
        <f>TrRoad_emi!E$40</f>
        <v>1091.0923912954768</v>
      </c>
      <c r="F80" s="102">
        <f>TrRoad_emi!F$40</f>
        <v>1200.84770830971</v>
      </c>
      <c r="G80" s="102">
        <f>TrRoad_emi!G$40</f>
        <v>1365.6845260269952</v>
      </c>
      <c r="H80" s="102">
        <f>TrRoad_emi!H$40</f>
        <v>1367.6630164811427</v>
      </c>
      <c r="I80" s="102">
        <f>TrRoad_emi!I$40</f>
        <v>1159.8810817412175</v>
      </c>
      <c r="J80" s="102">
        <f>TrRoad_emi!J$40</f>
        <v>1234.5010345566891</v>
      </c>
      <c r="K80" s="102">
        <f>TrRoad_emi!K$40</f>
        <v>1015.3307024877749</v>
      </c>
      <c r="L80" s="102">
        <f>TrRoad_emi!L$40</f>
        <v>981.88053776595689</v>
      </c>
      <c r="M80" s="102">
        <f>TrRoad_emi!M$40</f>
        <v>990.0345547434672</v>
      </c>
      <c r="N80" s="102">
        <f>TrRoad_emi!N$40</f>
        <v>985.07788730955667</v>
      </c>
      <c r="O80" s="102">
        <f>TrRoad_emi!O$40</f>
        <v>860.36094519035601</v>
      </c>
      <c r="P80" s="102">
        <f>TrRoad_emi!P$40</f>
        <v>965.88264750721146</v>
      </c>
      <c r="Q80" s="102">
        <f>TrRoad_emi!Q$40</f>
        <v>1079.368855968127</v>
      </c>
      <c r="R80" s="102">
        <f>TrRoad_emi!R$40</f>
        <v>1095.1051710114966</v>
      </c>
      <c r="S80" s="102">
        <f>TrRoad_emi!S$40</f>
        <v>1156.272643105179</v>
      </c>
      <c r="T80" s="102">
        <f>TrRoad_emi!T$40</f>
        <v>1110.7677799313681</v>
      </c>
      <c r="U80" s="102">
        <f>TrRoad_emi!U$40</f>
        <v>940.31165454588029</v>
      </c>
      <c r="V80" s="102">
        <f>TrRoad_emi!V$40</f>
        <v>1071.1390235124495</v>
      </c>
      <c r="W80" s="102">
        <f>TrRoad_emi!W$40</f>
        <v>1318.7193149451077</v>
      </c>
      <c r="X80" s="102">
        <f>TrRoad_emi!X$40</f>
        <v>1199.7929555430051</v>
      </c>
      <c r="Y80" s="102">
        <f>TrRoad_emi!Y$40</f>
        <v>1273.4660822107267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64.842811371004345</v>
      </c>
      <c r="C81" s="110">
        <f>TrRail_emi!C$15</f>
        <v>57.823040219071387</v>
      </c>
      <c r="D81" s="110">
        <f>TrRail_emi!D$15</f>
        <v>57.870777733449913</v>
      </c>
      <c r="E81" s="110">
        <f>TrRail_emi!E$15</f>
        <v>56.537377539191958</v>
      </c>
      <c r="F81" s="110">
        <f>TrRail_emi!F$15</f>
        <v>57.050658932032867</v>
      </c>
      <c r="G81" s="110">
        <f>TrRail_emi!G$15</f>
        <v>55.563275208798551</v>
      </c>
      <c r="H81" s="110">
        <f>TrRail_emi!H$15</f>
        <v>45.372537835508496</v>
      </c>
      <c r="I81" s="110">
        <f>TrRail_emi!I$15</f>
        <v>40.779178043240755</v>
      </c>
      <c r="J81" s="110">
        <f>TrRail_emi!J$15</f>
        <v>54.180530255621882</v>
      </c>
      <c r="K81" s="110">
        <f>TrRail_emi!K$15</f>
        <v>29.827505211504889</v>
      </c>
      <c r="L81" s="110">
        <f>TrRail_emi!L$15</f>
        <v>27.329129907646799</v>
      </c>
      <c r="M81" s="110">
        <f>TrRail_emi!M$15</f>
        <v>25.681870702638385</v>
      </c>
      <c r="N81" s="110">
        <f>TrRail_emi!N$15</f>
        <v>25.260489069523096</v>
      </c>
      <c r="O81" s="110">
        <f>TrRail_emi!O$15</f>
        <v>16.813503708209446</v>
      </c>
      <c r="P81" s="110">
        <f>TrRail_emi!P$15</f>
        <v>18.238797997554251</v>
      </c>
      <c r="Q81" s="110">
        <f>TrRail_emi!Q$15</f>
        <v>26.495684918813335</v>
      </c>
      <c r="R81" s="110">
        <f>TrRail_emi!R$15</f>
        <v>18.558735530739117</v>
      </c>
      <c r="S81" s="110">
        <f>TrRail_emi!S$15</f>
        <v>19.742920278994816</v>
      </c>
      <c r="T81" s="110">
        <f>TrRail_emi!T$15</f>
        <v>16.66655193477272</v>
      </c>
      <c r="U81" s="110">
        <f>TrRail_emi!U$15</f>
        <v>14.296903549566304</v>
      </c>
      <c r="V81" s="110">
        <f>TrRail_emi!V$15</f>
        <v>17.866244937773214</v>
      </c>
      <c r="W81" s="110">
        <f>TrRail_emi!W$15</f>
        <v>19.502499433266166</v>
      </c>
      <c r="X81" s="110">
        <f>TrRail_emi!X$15</f>
        <v>19.463068481891995</v>
      </c>
      <c r="Y81" s="110">
        <f>TrRail_emi!Y$15</f>
        <v>15.815001066355148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5.1875685166157695</v>
      </c>
      <c r="C82" s="110">
        <f t="shared" si="67"/>
        <v>3.8670027639903295</v>
      </c>
      <c r="D82" s="110">
        <f t="shared" si="67"/>
        <v>4.3838617102370954</v>
      </c>
      <c r="E82" s="110">
        <f t="shared" si="67"/>
        <v>4.8018479496815125</v>
      </c>
      <c r="F82" s="110">
        <f t="shared" si="67"/>
        <v>5.1278645078732872</v>
      </c>
      <c r="G82" s="110">
        <f t="shared" si="67"/>
        <v>6.7566571119597185</v>
      </c>
      <c r="H82" s="110">
        <f t="shared" si="67"/>
        <v>6.8262648356138396</v>
      </c>
      <c r="I82" s="110">
        <f t="shared" si="67"/>
        <v>6.9390442226753093</v>
      </c>
      <c r="J82" s="110">
        <f t="shared" si="67"/>
        <v>8.3493052680801618</v>
      </c>
      <c r="K82" s="110">
        <f t="shared" si="67"/>
        <v>6.9418449434063092</v>
      </c>
      <c r="L82" s="110">
        <f t="shared" si="67"/>
        <v>9.1203441599754331</v>
      </c>
      <c r="M82" s="110">
        <f t="shared" si="67"/>
        <v>7.2575026181033344</v>
      </c>
      <c r="N82" s="110">
        <f t="shared" si="67"/>
        <v>5.7244676852288361</v>
      </c>
      <c r="O82" s="110">
        <f t="shared" si="67"/>
        <v>5.9673573868012344</v>
      </c>
      <c r="P82" s="110">
        <f t="shared" si="67"/>
        <v>6.2739369636539219</v>
      </c>
      <c r="Q82" s="110">
        <f t="shared" si="67"/>
        <v>8.3174870063192792</v>
      </c>
      <c r="R82" s="110">
        <f t="shared" si="67"/>
        <v>7.8700511820614283</v>
      </c>
      <c r="S82" s="110">
        <f t="shared" si="67"/>
        <v>9.1205171486666181</v>
      </c>
      <c r="T82" s="110">
        <f t="shared" si="67"/>
        <v>8.3082484495979578</v>
      </c>
      <c r="U82" s="110">
        <f t="shared" si="67"/>
        <v>7.699709735614201</v>
      </c>
      <c r="V82" s="110">
        <f t="shared" si="67"/>
        <v>10.463622370361469</v>
      </c>
      <c r="W82" s="110">
        <f t="shared" ref="W82:Y82" si="68">W83+W84+W85</f>
        <v>9.7285597065844254</v>
      </c>
      <c r="X82" s="110">
        <f t="shared" si="68"/>
        <v>14.183968668543661</v>
      </c>
      <c r="Y82" s="110">
        <f t="shared" si="68"/>
        <v>8.4298660651400059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4.3319223616761482</v>
      </c>
      <c r="C84" s="102">
        <f>TrAvia_emi!C$12</f>
        <v>2.7167401936807836</v>
      </c>
      <c r="D84" s="102">
        <f>TrAvia_emi!D$12</f>
        <v>2.9786021094735666</v>
      </c>
      <c r="E84" s="102">
        <f>TrAvia_emi!E$12</f>
        <v>3.1080634825015583</v>
      </c>
      <c r="F84" s="102">
        <f>TrAvia_emi!F$12</f>
        <v>3.3105627496106176</v>
      </c>
      <c r="G84" s="102">
        <f>TrAvia_emi!G$12</f>
        <v>4.3256688673712356</v>
      </c>
      <c r="H84" s="102">
        <f>TrAvia_emi!H$12</f>
        <v>4.5680568933724013</v>
      </c>
      <c r="I84" s="102">
        <f>TrAvia_emi!I$12</f>
        <v>4.9381894654450358</v>
      </c>
      <c r="J84" s="102">
        <f>TrAvia_emi!J$12</f>
        <v>6.5516534848746373</v>
      </c>
      <c r="K84" s="102">
        <f>TrAvia_emi!K$12</f>
        <v>4.4621851440979778</v>
      </c>
      <c r="L84" s="102">
        <f>TrAvia_emi!L$12</f>
        <v>4.7741494171225041</v>
      </c>
      <c r="M84" s="102">
        <f>TrAvia_emi!M$12</f>
        <v>4.5475787629936999</v>
      </c>
      <c r="N84" s="102">
        <f>TrAvia_emi!N$12</f>
        <v>4.8886473508560861</v>
      </c>
      <c r="O84" s="102">
        <f>TrAvia_emi!O$12</f>
        <v>5.1375202322968638</v>
      </c>
      <c r="P84" s="102">
        <f>TrAvia_emi!P$12</f>
        <v>5.1703187387474978</v>
      </c>
      <c r="Q84" s="102">
        <f>TrAvia_emi!Q$12</f>
        <v>5.4612325329715015</v>
      </c>
      <c r="R84" s="102">
        <f>TrAvia_emi!R$12</f>
        <v>5.0152080100724277</v>
      </c>
      <c r="S84" s="102">
        <f>TrAvia_emi!S$12</f>
        <v>5.5818449459043311</v>
      </c>
      <c r="T84" s="102">
        <f>TrAvia_emi!T$12</f>
        <v>5.9614872984764826</v>
      </c>
      <c r="U84" s="102">
        <f>TrAvia_emi!U$12</f>
        <v>6.5117079669237077</v>
      </c>
      <c r="V84" s="102">
        <f>TrAvia_emi!V$12</f>
        <v>8.8226917590293272</v>
      </c>
      <c r="W84" s="102">
        <f>TrAvia_emi!W$12</f>
        <v>8.7646428187419367</v>
      </c>
      <c r="X84" s="102">
        <f>TrAvia_emi!X$12</f>
        <v>12.0522298228942</v>
      </c>
      <c r="Y84" s="102">
        <f>TrAvia_emi!Y$12</f>
        <v>7.085435093675958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0.85564615493962159</v>
      </c>
      <c r="C85" s="102">
        <f>TrAvia_emi!C$13</f>
        <v>1.1502625703095459</v>
      </c>
      <c r="D85" s="102">
        <f>TrAvia_emi!D$13</f>
        <v>1.405259600763529</v>
      </c>
      <c r="E85" s="102">
        <f>TrAvia_emi!E$13</f>
        <v>1.6937844671799545</v>
      </c>
      <c r="F85" s="102">
        <f>TrAvia_emi!F$13</f>
        <v>1.8173017582626696</v>
      </c>
      <c r="G85" s="102">
        <f>TrAvia_emi!G$13</f>
        <v>2.4309882445884834</v>
      </c>
      <c r="H85" s="102">
        <f>TrAvia_emi!H$13</f>
        <v>2.2582079422414383</v>
      </c>
      <c r="I85" s="102">
        <f>TrAvia_emi!I$13</f>
        <v>2.0008547572302735</v>
      </c>
      <c r="J85" s="102">
        <f>TrAvia_emi!J$13</f>
        <v>1.7976517832055237</v>
      </c>
      <c r="K85" s="102">
        <f>TrAvia_emi!K$13</f>
        <v>2.4796597993083314</v>
      </c>
      <c r="L85" s="102">
        <f>TrAvia_emi!L$13</f>
        <v>4.3461947428529291</v>
      </c>
      <c r="M85" s="102">
        <f>TrAvia_emi!M$13</f>
        <v>2.7099238551096345</v>
      </c>
      <c r="N85" s="102">
        <f>TrAvia_emi!N$13</f>
        <v>0.83582033437274972</v>
      </c>
      <c r="O85" s="102">
        <f>TrAvia_emi!O$13</f>
        <v>0.82983715450437034</v>
      </c>
      <c r="P85" s="102">
        <f>TrAvia_emi!P$13</f>
        <v>1.1036182249064244</v>
      </c>
      <c r="Q85" s="102">
        <f>TrAvia_emi!Q$13</f>
        <v>2.8562544733477773</v>
      </c>
      <c r="R85" s="102">
        <f>TrAvia_emi!R$13</f>
        <v>2.8548431719890006</v>
      </c>
      <c r="S85" s="102">
        <f>TrAvia_emi!S$13</f>
        <v>3.5386722027622874</v>
      </c>
      <c r="T85" s="102">
        <f>TrAvia_emi!T$13</f>
        <v>2.3467611511214761</v>
      </c>
      <c r="U85" s="102">
        <f>TrAvia_emi!U$13</f>
        <v>1.1880017686904938</v>
      </c>
      <c r="V85" s="102">
        <f>TrAvia_emi!V$13</f>
        <v>1.6409306113321416</v>
      </c>
      <c r="W85" s="102">
        <f>TrAvia_emi!W$13</f>
        <v>0.96391688784248786</v>
      </c>
      <c r="X85" s="102">
        <f>TrAvia_emi!X$13</f>
        <v>2.1317388456494619</v>
      </c>
      <c r="Y85" s="102">
        <f>TrAvia_emi!Y$13</f>
        <v>1.3444309714640481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7.8801437520000004</v>
      </c>
      <c r="C86" s="110">
        <f t="shared" si="69"/>
        <v>10.628886808800001</v>
      </c>
      <c r="D86" s="110">
        <f t="shared" si="69"/>
        <v>13.523443549200001</v>
      </c>
      <c r="E86" s="110">
        <f t="shared" si="69"/>
        <v>16.467638990400001</v>
      </c>
      <c r="F86" s="110">
        <f t="shared" si="69"/>
        <v>29.4078278052</v>
      </c>
      <c r="G86" s="110">
        <f t="shared" si="69"/>
        <v>31.647774178800002</v>
      </c>
      <c r="H86" s="110">
        <f t="shared" si="69"/>
        <v>29.758401129600003</v>
      </c>
      <c r="I86" s="110">
        <f t="shared" si="69"/>
        <v>27.878335336800003</v>
      </c>
      <c r="J86" s="110">
        <f t="shared" si="69"/>
        <v>83.088980301600003</v>
      </c>
      <c r="K86" s="110">
        <f t="shared" si="69"/>
        <v>171.01773393120001</v>
      </c>
      <c r="L86" s="110">
        <f t="shared" si="69"/>
        <v>177.39940940279999</v>
      </c>
      <c r="M86" s="110">
        <f t="shared" si="69"/>
        <v>137.1331157976</v>
      </c>
      <c r="N86" s="110">
        <f t="shared" si="69"/>
        <v>158.89037884200002</v>
      </c>
      <c r="O86" s="110">
        <f t="shared" si="69"/>
        <v>157.91001450120001</v>
      </c>
      <c r="P86" s="110">
        <f t="shared" si="69"/>
        <v>163.64638686239999</v>
      </c>
      <c r="Q86" s="110">
        <f t="shared" si="69"/>
        <v>202.18773561480003</v>
      </c>
      <c r="R86" s="110">
        <f t="shared" ref="R86:V86" si="70">R87+R88</f>
        <v>193.07903401800002</v>
      </c>
      <c r="S86" s="110">
        <f t="shared" si="70"/>
        <v>188.61155094600002</v>
      </c>
      <c r="T86" s="110">
        <f t="shared" si="70"/>
        <v>212.34815718480002</v>
      </c>
      <c r="U86" s="110">
        <f t="shared" si="70"/>
        <v>250.4613721428</v>
      </c>
      <c r="V86" s="110">
        <f t="shared" si="70"/>
        <v>271.00869185520003</v>
      </c>
      <c r="W86" s="110">
        <f t="shared" ref="W86:Y86" si="71">W87+W88</f>
        <v>0.36999612000000009</v>
      </c>
      <c r="X86" s="110">
        <f t="shared" si="71"/>
        <v>0.49537332000000006</v>
      </c>
      <c r="Y86" s="110">
        <f t="shared" si="71"/>
        <v>0.45776016000000003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7.8801437520000004</v>
      </c>
      <c r="C88" s="169">
        <f>TrNavi_emi!C$5</f>
        <v>10.628886808800001</v>
      </c>
      <c r="D88" s="169">
        <f>TrNavi_emi!D$5</f>
        <v>13.523443549200001</v>
      </c>
      <c r="E88" s="169">
        <f>TrNavi_emi!E$5</f>
        <v>16.467638990400001</v>
      </c>
      <c r="F88" s="169">
        <f>TrNavi_emi!F$5</f>
        <v>29.4078278052</v>
      </c>
      <c r="G88" s="169">
        <f>TrNavi_emi!G$5</f>
        <v>31.647774178800002</v>
      </c>
      <c r="H88" s="169">
        <f>TrNavi_emi!H$5</f>
        <v>29.758401129600003</v>
      </c>
      <c r="I88" s="169">
        <f>TrNavi_emi!I$5</f>
        <v>27.878335336800003</v>
      </c>
      <c r="J88" s="169">
        <f>TrNavi_emi!J$5</f>
        <v>83.088980301600003</v>
      </c>
      <c r="K88" s="169">
        <f>TrNavi_emi!K$5</f>
        <v>171.01773393120001</v>
      </c>
      <c r="L88" s="169">
        <f>TrNavi_emi!L$5</f>
        <v>177.39940940279999</v>
      </c>
      <c r="M88" s="169">
        <f>TrNavi_emi!M$5</f>
        <v>137.1331157976</v>
      </c>
      <c r="N88" s="169">
        <f>TrNavi_emi!N$5</f>
        <v>158.89037884200002</v>
      </c>
      <c r="O88" s="169">
        <f>TrNavi_emi!O$5</f>
        <v>157.91001450120001</v>
      </c>
      <c r="P88" s="169">
        <f>TrNavi_emi!P$5</f>
        <v>163.64638686239999</v>
      </c>
      <c r="Q88" s="169">
        <f>TrNavi_emi!Q$5</f>
        <v>202.18773561480003</v>
      </c>
      <c r="R88" s="169">
        <f>TrNavi_emi!R$5</f>
        <v>193.07903401800002</v>
      </c>
      <c r="S88" s="169">
        <f>TrNavi_emi!S$5</f>
        <v>188.61155094600002</v>
      </c>
      <c r="T88" s="169">
        <f>TrNavi_emi!T$5</f>
        <v>212.34815718480002</v>
      </c>
      <c r="U88" s="169">
        <f>TrNavi_emi!U$5</f>
        <v>250.4613721428</v>
      </c>
      <c r="V88" s="169">
        <f>TrNavi_emi!V$5</f>
        <v>271.00869185520003</v>
      </c>
      <c r="W88" s="169">
        <f>TrNavi_emi!W$5</f>
        <v>0.36999612000000009</v>
      </c>
      <c r="X88" s="169">
        <f>TrNavi_emi!X$5</f>
        <v>0.49537332000000006</v>
      </c>
      <c r="Y88" s="169">
        <f>TrNavi_emi!Y$5</f>
        <v>0.45776016000000003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203.92308144000003</v>
      </c>
      <c r="C89" s="28">
        <f t="shared" si="72"/>
        <v>305.82533879999994</v>
      </c>
      <c r="D89" s="28">
        <f t="shared" si="72"/>
        <v>334.56158891999996</v>
      </c>
      <c r="E89" s="28">
        <f t="shared" si="72"/>
        <v>436.52312963999987</v>
      </c>
      <c r="F89" s="28">
        <f t="shared" si="72"/>
        <v>366.42447036000004</v>
      </c>
      <c r="G89" s="28">
        <f t="shared" si="72"/>
        <v>350.49302963999992</v>
      </c>
      <c r="H89" s="28">
        <f t="shared" si="72"/>
        <v>328.85639279999998</v>
      </c>
      <c r="I89" s="28">
        <f t="shared" si="72"/>
        <v>162.99036000000001</v>
      </c>
      <c r="J89" s="28">
        <f t="shared" si="72"/>
        <v>381.78564191999988</v>
      </c>
      <c r="K89" s="28">
        <f t="shared" si="72"/>
        <v>646.63640712000006</v>
      </c>
      <c r="L89" s="28">
        <f t="shared" si="72"/>
        <v>305.40632904000006</v>
      </c>
      <c r="M89" s="28">
        <f t="shared" si="72"/>
        <v>237.99992616000003</v>
      </c>
      <c r="N89" s="28">
        <f t="shared" si="72"/>
        <v>199.87331904000001</v>
      </c>
      <c r="O89" s="28">
        <f t="shared" si="72"/>
        <v>284.04167616000001</v>
      </c>
      <c r="P89" s="28">
        <f t="shared" si="72"/>
        <v>256.02411095999997</v>
      </c>
      <c r="Q89" s="28">
        <f t="shared" si="72"/>
        <v>271.88828711999997</v>
      </c>
      <c r="R89" s="28">
        <f t="shared" si="72"/>
        <v>243.75533904000002</v>
      </c>
      <c r="S89" s="28">
        <f t="shared" si="72"/>
        <v>251.55641664000001</v>
      </c>
      <c r="T89" s="28">
        <f t="shared" si="72"/>
        <v>258.10741260000003</v>
      </c>
      <c r="U89" s="28">
        <f t="shared" si="72"/>
        <v>237.50302895999999</v>
      </c>
      <c r="V89" s="28">
        <f t="shared" si="72"/>
        <v>264.98887559999997</v>
      </c>
      <c r="W89" s="28">
        <f t="shared" si="72"/>
        <v>267.84444564</v>
      </c>
      <c r="X89" s="28">
        <f t="shared" ref="X89:Y89" si="73">X90+X91</f>
        <v>214.64869284000002</v>
      </c>
      <c r="Y89" s="28">
        <f t="shared" si="73"/>
        <v>209.44765619999998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100.02011381643428</v>
      </c>
      <c r="C90" s="102">
        <f>MBunk_emi!C$4</f>
        <v>149.2615523302685</v>
      </c>
      <c r="D90" s="102">
        <f>MBunk_emi!D$4</f>
        <v>165.41023753886523</v>
      </c>
      <c r="E90" s="102">
        <f>MBunk_emi!E$4</f>
        <v>175.1218360524949</v>
      </c>
      <c r="F90" s="102">
        <f>MBunk_emi!F$4</f>
        <v>137.40478710849362</v>
      </c>
      <c r="G90" s="102">
        <f>MBunk_emi!G$4</f>
        <v>130.49756570200756</v>
      </c>
      <c r="H90" s="102">
        <f>MBunk_emi!H$4</f>
        <v>133.40410143441895</v>
      </c>
      <c r="I90" s="102">
        <f>MBunk_emi!I$4</f>
        <v>51.595052757048059</v>
      </c>
      <c r="J90" s="102">
        <f>MBunk_emi!J$4</f>
        <v>136.50962311982943</v>
      </c>
      <c r="K90" s="102">
        <f>MBunk_emi!K$4</f>
        <v>333.63634356352708</v>
      </c>
      <c r="L90" s="102">
        <f>MBunk_emi!L$4</f>
        <v>138.87387258406525</v>
      </c>
      <c r="M90" s="102">
        <f>MBunk_emi!M$4</f>
        <v>117.02427615181705</v>
      </c>
      <c r="N90" s="102">
        <f>MBunk_emi!N$4</f>
        <v>98.186561086797767</v>
      </c>
      <c r="O90" s="102">
        <f>MBunk_emi!O$4</f>
        <v>146.29495086857906</v>
      </c>
      <c r="P90" s="102">
        <f>MBunk_emi!P$4</f>
        <v>126.22985994269975</v>
      </c>
      <c r="Q90" s="102">
        <f>MBunk_emi!Q$4</f>
        <v>126.98551960357688</v>
      </c>
      <c r="R90" s="102">
        <f>MBunk_emi!R$4</f>
        <v>122.63645821736809</v>
      </c>
      <c r="S90" s="102">
        <f>MBunk_emi!S$4</f>
        <v>132.15614323559063</v>
      </c>
      <c r="T90" s="102">
        <f>MBunk_emi!T$4</f>
        <v>138.13676958341023</v>
      </c>
      <c r="U90" s="102">
        <f>MBunk_emi!U$4</f>
        <v>124.59947638897349</v>
      </c>
      <c r="V90" s="102">
        <f>MBunk_emi!V$4</f>
        <v>129.56052180167228</v>
      </c>
      <c r="W90" s="102">
        <f>MBunk_emi!W$4</f>
        <v>121.00783712099305</v>
      </c>
      <c r="X90" s="102">
        <f>MBunk_emi!X$4</f>
        <v>98.551434766980037</v>
      </c>
      <c r="Y90" s="102">
        <f>MBunk_emi!Y$4</f>
        <v>93.607964004137699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103.90296762356574</v>
      </c>
      <c r="C91" s="86">
        <f>MBunk_emi!C$5</f>
        <v>156.56378646973144</v>
      </c>
      <c r="D91" s="86">
        <f>MBunk_emi!D$5</f>
        <v>169.15135138113476</v>
      </c>
      <c r="E91" s="86">
        <f>MBunk_emi!E$5</f>
        <v>261.40129358750499</v>
      </c>
      <c r="F91" s="86">
        <f>MBunk_emi!F$5</f>
        <v>229.01968325150642</v>
      </c>
      <c r="G91" s="86">
        <f>MBunk_emi!G$5</f>
        <v>219.99546393799233</v>
      </c>
      <c r="H91" s="86">
        <f>MBunk_emi!H$5</f>
        <v>195.45229136558106</v>
      </c>
      <c r="I91" s="86">
        <f>MBunk_emi!I$5</f>
        <v>111.39530724295194</v>
      </c>
      <c r="J91" s="86">
        <f>MBunk_emi!J$5</f>
        <v>245.27601880017048</v>
      </c>
      <c r="K91" s="86">
        <f>MBunk_emi!K$5</f>
        <v>313.00006355647298</v>
      </c>
      <c r="L91" s="86">
        <f>MBunk_emi!L$5</f>
        <v>166.53245645593478</v>
      </c>
      <c r="M91" s="86">
        <f>MBunk_emi!M$5</f>
        <v>120.97565000818297</v>
      </c>
      <c r="N91" s="86">
        <f>MBunk_emi!N$5</f>
        <v>101.68675795320226</v>
      </c>
      <c r="O91" s="86">
        <f>MBunk_emi!O$5</f>
        <v>137.74672529142094</v>
      </c>
      <c r="P91" s="86">
        <f>MBunk_emi!P$5</f>
        <v>129.79425101730021</v>
      </c>
      <c r="Q91" s="86">
        <f>MBunk_emi!Q$5</f>
        <v>144.90276751642307</v>
      </c>
      <c r="R91" s="86">
        <f>MBunk_emi!R$5</f>
        <v>121.11888082263195</v>
      </c>
      <c r="S91" s="86">
        <f>MBunk_emi!S$5</f>
        <v>119.40027340440936</v>
      </c>
      <c r="T91" s="86">
        <f>MBunk_emi!T$5</f>
        <v>119.9706430165898</v>
      </c>
      <c r="U91" s="86">
        <f>MBunk_emi!U$5</f>
        <v>112.90355257102652</v>
      </c>
      <c r="V91" s="86">
        <f>MBunk_emi!V$5</f>
        <v>135.42835379832769</v>
      </c>
      <c r="W91" s="86">
        <f>MBunk_emi!W$5</f>
        <v>146.83660851900697</v>
      </c>
      <c r="X91" s="86">
        <f>MBunk_emi!X$5</f>
        <v>116.09725807301997</v>
      </c>
      <c r="Y91" s="86">
        <f>MBunk_emi!Y$5</f>
        <v>115.83969219586227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0.87533764470089581</v>
      </c>
      <c r="C97" s="139">
        <f t="shared" si="75"/>
        <v>0.87526992396274139</v>
      </c>
      <c r="D97" s="139">
        <f t="shared" si="75"/>
        <v>0.88201647344613754</v>
      </c>
      <c r="E97" s="139">
        <f t="shared" si="75"/>
        <v>0.86553060626267297</v>
      </c>
      <c r="F97" s="139">
        <f t="shared" si="75"/>
        <v>0.87457506305237231</v>
      </c>
      <c r="G97" s="139">
        <f t="shared" si="75"/>
        <v>0.8717354331723346</v>
      </c>
      <c r="H97" s="139">
        <f t="shared" si="75"/>
        <v>0.86556418485053854</v>
      </c>
      <c r="I97" s="139">
        <f t="shared" si="75"/>
        <v>0.87071862028031766</v>
      </c>
      <c r="J97" s="139">
        <f t="shared" si="75"/>
        <v>0.87656584617566957</v>
      </c>
      <c r="K97" s="139">
        <f t="shared" si="75"/>
        <v>0.88283761328509491</v>
      </c>
      <c r="L97" s="139">
        <f t="shared" si="75"/>
        <v>0.87715088467618951</v>
      </c>
      <c r="M97" s="139">
        <f t="shared" si="75"/>
        <v>0.87791235348389141</v>
      </c>
      <c r="N97" s="139">
        <f t="shared" si="75"/>
        <v>0.87815646091373756</v>
      </c>
      <c r="O97" s="139">
        <f t="shared" si="75"/>
        <v>0.87922347312237914</v>
      </c>
      <c r="P97" s="139">
        <f t="shared" si="75"/>
        <v>0.88525626556037496</v>
      </c>
      <c r="Q97" s="139">
        <f t="shared" si="75"/>
        <v>0.89239371899676045</v>
      </c>
      <c r="R97" s="139">
        <f t="shared" si="75"/>
        <v>0.87401464243076721</v>
      </c>
      <c r="S97" s="139">
        <f t="shared" si="75"/>
        <v>0.85626256564368763</v>
      </c>
      <c r="T97" s="139">
        <f t="shared" si="75"/>
        <v>0.84626162116584813</v>
      </c>
      <c r="U97" s="139">
        <f t="shared" si="75"/>
        <v>0.85331887127353423</v>
      </c>
      <c r="V97" s="139">
        <f t="shared" si="75"/>
        <v>0.9173633059937718</v>
      </c>
      <c r="W97" s="139">
        <f t="shared" si="75"/>
        <v>0.90353529834625179</v>
      </c>
      <c r="X97" s="139">
        <f t="shared" si="75"/>
        <v>0.869386306671321</v>
      </c>
      <c r="Y97" s="139">
        <f t="shared" si="75"/>
        <v>0.86174759651311694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6.8118384725760267E-3</v>
      </c>
      <c r="C98" s="140">
        <f t="shared" si="76"/>
        <v>6.7809254609916729E-3</v>
      </c>
      <c r="D98" s="140">
        <f t="shared" si="76"/>
        <v>6.5169669778817399E-3</v>
      </c>
      <c r="E98" s="140">
        <f t="shared" si="76"/>
        <v>6.6481699088680422E-3</v>
      </c>
      <c r="F98" s="140">
        <f t="shared" si="76"/>
        <v>7.0185526792671139E-3</v>
      </c>
      <c r="G98" s="140">
        <f t="shared" si="76"/>
        <v>7.0395145621341294E-3</v>
      </c>
      <c r="H98" s="140">
        <f t="shared" si="76"/>
        <v>6.9447960194122258E-3</v>
      </c>
      <c r="I98" s="140">
        <f t="shared" si="76"/>
        <v>6.9453959093496763E-3</v>
      </c>
      <c r="J98" s="140">
        <f t="shared" si="76"/>
        <v>7.52541460961355E-3</v>
      </c>
      <c r="K98" s="140">
        <f t="shared" si="76"/>
        <v>8.126297431079706E-3</v>
      </c>
      <c r="L98" s="140">
        <f t="shared" si="76"/>
        <v>8.6703461046517272E-3</v>
      </c>
      <c r="M98" s="140">
        <f t="shared" si="76"/>
        <v>8.9729980553144052E-3</v>
      </c>
      <c r="N98" s="140">
        <f t="shared" si="76"/>
        <v>9.5104072040304022E-3</v>
      </c>
      <c r="O98" s="140">
        <f t="shared" si="76"/>
        <v>9.8789449205285602E-3</v>
      </c>
      <c r="P98" s="140">
        <f t="shared" si="76"/>
        <v>9.9080054480477926E-3</v>
      </c>
      <c r="Q98" s="140">
        <f t="shared" si="76"/>
        <v>1.0211004993468208E-2</v>
      </c>
      <c r="R98" s="140">
        <f t="shared" si="76"/>
        <v>1.0807659932530222E-2</v>
      </c>
      <c r="S98" s="140">
        <f t="shared" si="76"/>
        <v>1.0186378715224494E-2</v>
      </c>
      <c r="T98" s="140">
        <f t="shared" si="76"/>
        <v>9.842421220423966E-3</v>
      </c>
      <c r="U98" s="140">
        <f t="shared" si="76"/>
        <v>1.0344864135932169E-2</v>
      </c>
      <c r="V98" s="140">
        <f t="shared" si="76"/>
        <v>1.2480125869760069E-2</v>
      </c>
      <c r="W98" s="140">
        <f t="shared" si="76"/>
        <v>1.2401181585283104E-2</v>
      </c>
      <c r="X98" s="140">
        <f t="shared" si="76"/>
        <v>1.1170440759231586E-2</v>
      </c>
      <c r="Y98" s="140">
        <f t="shared" si="76"/>
        <v>1.1416546407526073E-2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0.56314855707912848</v>
      </c>
      <c r="C99" s="140">
        <f t="shared" si="77"/>
        <v>0.56530907911715977</v>
      </c>
      <c r="D99" s="140">
        <f t="shared" si="77"/>
        <v>0.55422135766489999</v>
      </c>
      <c r="E99" s="140">
        <f t="shared" si="77"/>
        <v>0.58464946332731293</v>
      </c>
      <c r="F99" s="140">
        <f t="shared" si="77"/>
        <v>0.62091369089960191</v>
      </c>
      <c r="G99" s="140">
        <f t="shared" si="77"/>
        <v>0.62209614542957359</v>
      </c>
      <c r="H99" s="140">
        <f t="shared" si="77"/>
        <v>0.63875764750208441</v>
      </c>
      <c r="I99" s="140">
        <f t="shared" si="77"/>
        <v>0.64657757433783147</v>
      </c>
      <c r="J99" s="140">
        <f t="shared" si="77"/>
        <v>0.6581908280939992</v>
      </c>
      <c r="K99" s="140">
        <f t="shared" si="77"/>
        <v>0.71362855146236903</v>
      </c>
      <c r="L99" s="140">
        <f t="shared" si="77"/>
        <v>0.70821792045285625</v>
      </c>
      <c r="M99" s="140">
        <f t="shared" si="77"/>
        <v>0.70900481968712448</v>
      </c>
      <c r="N99" s="140">
        <f t="shared" si="77"/>
        <v>0.71735989474602579</v>
      </c>
      <c r="O99" s="140">
        <f t="shared" si="77"/>
        <v>0.7239349058048038</v>
      </c>
      <c r="P99" s="140">
        <f t="shared" si="77"/>
        <v>0.72181341288841816</v>
      </c>
      <c r="Q99" s="140">
        <f t="shared" si="77"/>
        <v>0.72308118888671291</v>
      </c>
      <c r="R99" s="140">
        <f t="shared" si="77"/>
        <v>0.71009679197742726</v>
      </c>
      <c r="S99" s="140">
        <f t="shared" si="77"/>
        <v>0.71520835057292109</v>
      </c>
      <c r="T99" s="140">
        <f t="shared" si="77"/>
        <v>0.71325048425338633</v>
      </c>
      <c r="U99" s="140">
        <f t="shared" si="77"/>
        <v>0.71054143976326822</v>
      </c>
      <c r="V99" s="140">
        <f t="shared" si="77"/>
        <v>0.8222512796658038</v>
      </c>
      <c r="W99" s="140">
        <f t="shared" si="77"/>
        <v>0.81369651023053402</v>
      </c>
      <c r="X99" s="140">
        <f t="shared" si="77"/>
        <v>0.76497142687903641</v>
      </c>
      <c r="Y99" s="140">
        <f t="shared" si="77"/>
        <v>0.76062683218578542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0.30537724914919134</v>
      </c>
      <c r="C100" s="140">
        <f t="shared" si="78"/>
        <v>0.30317991938458999</v>
      </c>
      <c r="D100" s="140">
        <f t="shared" si="78"/>
        <v>0.32127814880335587</v>
      </c>
      <c r="E100" s="140">
        <f t="shared" si="78"/>
        <v>0.27423297302649208</v>
      </c>
      <c r="F100" s="140">
        <f t="shared" si="78"/>
        <v>0.24664281947350344</v>
      </c>
      <c r="G100" s="140">
        <f t="shared" si="78"/>
        <v>0.24259977318062689</v>
      </c>
      <c r="H100" s="140">
        <f t="shared" si="78"/>
        <v>0.21986174132904193</v>
      </c>
      <c r="I100" s="140">
        <f t="shared" si="78"/>
        <v>0.2171956500331364</v>
      </c>
      <c r="J100" s="140">
        <f t="shared" si="78"/>
        <v>0.21084960347205686</v>
      </c>
      <c r="K100" s="140">
        <f t="shared" si="78"/>
        <v>0.1610827643916462</v>
      </c>
      <c r="L100" s="140">
        <f t="shared" si="78"/>
        <v>0.16026261811868153</v>
      </c>
      <c r="M100" s="140">
        <f t="shared" si="78"/>
        <v>0.1599345357414525</v>
      </c>
      <c r="N100" s="140">
        <f t="shared" si="78"/>
        <v>0.15128615896368133</v>
      </c>
      <c r="O100" s="140">
        <f t="shared" si="78"/>
        <v>0.14540962239704677</v>
      </c>
      <c r="P100" s="140">
        <f t="shared" si="78"/>
        <v>0.153534847223909</v>
      </c>
      <c r="Q100" s="140">
        <f t="shared" si="78"/>
        <v>0.15910152511657938</v>
      </c>
      <c r="R100" s="140">
        <f t="shared" si="78"/>
        <v>0.15311019052080971</v>
      </c>
      <c r="S100" s="140">
        <f t="shared" si="78"/>
        <v>0.13086783635554206</v>
      </c>
      <c r="T100" s="140">
        <f t="shared" si="78"/>
        <v>0.12316871569203791</v>
      </c>
      <c r="U100" s="140">
        <f t="shared" si="78"/>
        <v>0.13243256737433395</v>
      </c>
      <c r="V100" s="140">
        <f t="shared" si="78"/>
        <v>8.2631900458208021E-2</v>
      </c>
      <c r="W100" s="140">
        <f t="shared" si="78"/>
        <v>7.7437606530434688E-2</v>
      </c>
      <c r="X100" s="140">
        <f t="shared" si="78"/>
        <v>9.3244439033053003E-2</v>
      </c>
      <c r="Y100" s="140">
        <f t="shared" si="78"/>
        <v>8.9704217919805346E-2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8.1457659315795128E-2</v>
      </c>
      <c r="C101" s="124">
        <f t="shared" si="79"/>
        <v>7.0086168626030662E-2</v>
      </c>
      <c r="D101" s="124">
        <f t="shared" si="79"/>
        <v>5.7389337855129917E-2</v>
      </c>
      <c r="E101" s="124">
        <f t="shared" si="79"/>
        <v>5.7189001249899701E-2</v>
      </c>
      <c r="F101" s="124">
        <f t="shared" si="79"/>
        <v>5.3837760271904504E-2</v>
      </c>
      <c r="G101" s="124">
        <f t="shared" si="79"/>
        <v>5.0033544687968272E-2</v>
      </c>
      <c r="H101" s="124">
        <f t="shared" si="79"/>
        <v>4.8535388268974869E-2</v>
      </c>
      <c r="I101" s="124">
        <f t="shared" si="79"/>
        <v>4.5564513716331835E-2</v>
      </c>
      <c r="J101" s="124">
        <f t="shared" si="79"/>
        <v>4.2706224332117591E-2</v>
      </c>
      <c r="K101" s="124">
        <f t="shared" si="79"/>
        <v>4.3557543983426671E-2</v>
      </c>
      <c r="L101" s="124">
        <f t="shared" si="79"/>
        <v>4.5286685361153864E-2</v>
      </c>
      <c r="M101" s="124">
        <f t="shared" si="79"/>
        <v>4.3232327239527558E-2</v>
      </c>
      <c r="N101" s="124">
        <f t="shared" si="79"/>
        <v>4.1711219176210547E-2</v>
      </c>
      <c r="O101" s="124">
        <f t="shared" si="79"/>
        <v>3.9900614617237512E-2</v>
      </c>
      <c r="P101" s="124">
        <f t="shared" si="79"/>
        <v>3.2467463118622218E-2</v>
      </c>
      <c r="Q101" s="124">
        <f t="shared" si="79"/>
        <v>2.9122117166681803E-2</v>
      </c>
      <c r="R101" s="124">
        <f t="shared" si="79"/>
        <v>2.8465203315498608E-2</v>
      </c>
      <c r="S101" s="124">
        <f t="shared" si="79"/>
        <v>3.1052123778477905E-2</v>
      </c>
      <c r="T101" s="124">
        <f t="shared" si="79"/>
        <v>3.1907250747249552E-2</v>
      </c>
      <c r="U101" s="124">
        <f t="shared" si="79"/>
        <v>3.1461137833090499E-2</v>
      </c>
      <c r="V101" s="124">
        <f t="shared" si="79"/>
        <v>2.9660209654246601E-2</v>
      </c>
      <c r="W101" s="124">
        <f t="shared" si="79"/>
        <v>3.0552655667462413E-2</v>
      </c>
      <c r="X101" s="124">
        <f t="shared" si="79"/>
        <v>3.5416285448756038E-2</v>
      </c>
      <c r="Y101" s="124">
        <f t="shared" si="79"/>
        <v>3.4309285646914059E-2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8.7717191604518522E-3</v>
      </c>
      <c r="C102" s="140">
        <f t="shared" si="80"/>
        <v>9.5028658819336174E-3</v>
      </c>
      <c r="D102" s="140">
        <f t="shared" si="80"/>
        <v>8.2471164485288864E-3</v>
      </c>
      <c r="E102" s="140">
        <f t="shared" si="80"/>
        <v>9.2553628396441073E-3</v>
      </c>
      <c r="F102" s="140">
        <f t="shared" si="80"/>
        <v>8.3293299998727088E-3</v>
      </c>
      <c r="G102" s="140">
        <f t="shared" si="80"/>
        <v>7.6920150175622494E-3</v>
      </c>
      <c r="H102" s="140">
        <f t="shared" si="80"/>
        <v>7.576752946434299E-3</v>
      </c>
      <c r="I102" s="140">
        <f t="shared" si="80"/>
        <v>7.0899471641499836E-3</v>
      </c>
      <c r="J102" s="140">
        <f t="shared" si="80"/>
        <v>7.4046468160574924E-3</v>
      </c>
      <c r="K102" s="140">
        <f t="shared" si="80"/>
        <v>1.0604242838144921E-2</v>
      </c>
      <c r="L102" s="140">
        <f t="shared" si="80"/>
        <v>1.3726441144811224E-2</v>
      </c>
      <c r="M102" s="140">
        <f t="shared" si="80"/>
        <v>1.2862022979484146E-2</v>
      </c>
      <c r="N102" s="140">
        <f t="shared" si="80"/>
        <v>1.4721606768074311E-2</v>
      </c>
      <c r="O102" s="140">
        <f t="shared" si="80"/>
        <v>1.4235118602405471E-2</v>
      </c>
      <c r="P102" s="140">
        <f t="shared" si="80"/>
        <v>9.7522787859396776E-3</v>
      </c>
      <c r="Q102" s="140">
        <f t="shared" si="80"/>
        <v>9.418866254818874E-3</v>
      </c>
      <c r="R102" s="140">
        <f t="shared" si="80"/>
        <v>1.0219885771864038E-2</v>
      </c>
      <c r="S102" s="140">
        <f t="shared" si="80"/>
        <v>1.3269078451665878E-2</v>
      </c>
      <c r="T102" s="140">
        <f t="shared" si="80"/>
        <v>1.3517909824586397E-2</v>
      </c>
      <c r="U102" s="140">
        <f t="shared" si="80"/>
        <v>1.2882688141444207E-2</v>
      </c>
      <c r="V102" s="140">
        <f t="shared" si="80"/>
        <v>1.1319438418932607E-2</v>
      </c>
      <c r="W102" s="140">
        <f t="shared" si="80"/>
        <v>1.1732970686429497E-2</v>
      </c>
      <c r="X102" s="140">
        <f t="shared" si="80"/>
        <v>1.3281107043283514E-2</v>
      </c>
      <c r="Y102" s="140">
        <f t="shared" si="80"/>
        <v>1.3790734651464328E-2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7.268594015534327E-2</v>
      </c>
      <c r="C103" s="140">
        <f t="shared" si="81"/>
        <v>6.0583302744097046E-2</v>
      </c>
      <c r="D103" s="140">
        <f t="shared" si="81"/>
        <v>4.914222140660103E-2</v>
      </c>
      <c r="E103" s="140">
        <f t="shared" si="81"/>
        <v>4.7933638410255594E-2</v>
      </c>
      <c r="F103" s="140">
        <f t="shared" si="81"/>
        <v>4.5508430272031795E-2</v>
      </c>
      <c r="G103" s="140">
        <f t="shared" si="81"/>
        <v>4.2341529670406025E-2</v>
      </c>
      <c r="H103" s="140">
        <f t="shared" si="81"/>
        <v>4.0958635322540571E-2</v>
      </c>
      <c r="I103" s="140">
        <f t="shared" si="81"/>
        <v>3.8474566552181851E-2</v>
      </c>
      <c r="J103" s="140">
        <f t="shared" si="81"/>
        <v>3.5301577516060105E-2</v>
      </c>
      <c r="K103" s="140">
        <f t="shared" si="81"/>
        <v>3.2953301145281749E-2</v>
      </c>
      <c r="L103" s="140">
        <f t="shared" si="81"/>
        <v>3.1560244216342639E-2</v>
      </c>
      <c r="M103" s="140">
        <f t="shared" si="81"/>
        <v>3.0370304260043411E-2</v>
      </c>
      <c r="N103" s="140">
        <f t="shared" si="81"/>
        <v>2.6989612408136236E-2</v>
      </c>
      <c r="O103" s="140">
        <f t="shared" si="81"/>
        <v>2.5665496014832045E-2</v>
      </c>
      <c r="P103" s="140">
        <f t="shared" si="81"/>
        <v>2.2715184332682541E-2</v>
      </c>
      <c r="Q103" s="140">
        <f t="shared" si="81"/>
        <v>1.9703250911862927E-2</v>
      </c>
      <c r="R103" s="140">
        <f t="shared" si="81"/>
        <v>1.8245317543634572E-2</v>
      </c>
      <c r="S103" s="140">
        <f t="shared" si="81"/>
        <v>1.7783045326812026E-2</v>
      </c>
      <c r="T103" s="140">
        <f t="shared" si="81"/>
        <v>1.8389340922663155E-2</v>
      </c>
      <c r="U103" s="140">
        <f t="shared" si="81"/>
        <v>1.8578449691646293E-2</v>
      </c>
      <c r="V103" s="140">
        <f t="shared" si="81"/>
        <v>1.8340771235313993E-2</v>
      </c>
      <c r="W103" s="140">
        <f t="shared" si="81"/>
        <v>1.8819684981032914E-2</v>
      </c>
      <c r="X103" s="140">
        <f t="shared" si="81"/>
        <v>2.2135178405472525E-2</v>
      </c>
      <c r="Y103" s="140">
        <f t="shared" si="81"/>
        <v>2.051855099544973E-2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4.3204695983309165E-2</v>
      </c>
      <c r="C105" s="124">
        <f t="shared" si="83"/>
        <v>5.4643907411227925E-2</v>
      </c>
      <c r="D105" s="124">
        <f t="shared" si="83"/>
        <v>6.0594188698732544E-2</v>
      </c>
      <c r="E105" s="124">
        <f t="shared" si="83"/>
        <v>7.7280392487427421E-2</v>
      </c>
      <c r="F105" s="124">
        <f t="shared" si="83"/>
        <v>7.1587176675723091E-2</v>
      </c>
      <c r="G105" s="124">
        <f t="shared" si="83"/>
        <v>7.8231022139697154E-2</v>
      </c>
      <c r="H105" s="124">
        <f t="shared" si="83"/>
        <v>8.5900426880486519E-2</v>
      </c>
      <c r="I105" s="124">
        <f t="shared" si="83"/>
        <v>8.3716866003350543E-2</v>
      </c>
      <c r="J105" s="124">
        <f t="shared" si="83"/>
        <v>8.0727929492212705E-2</v>
      </c>
      <c r="K105" s="124">
        <f t="shared" si="83"/>
        <v>7.3604842731478354E-2</v>
      </c>
      <c r="L105" s="124">
        <f t="shared" si="83"/>
        <v>7.7562429962656582E-2</v>
      </c>
      <c r="M105" s="124">
        <f t="shared" si="83"/>
        <v>7.8855319276581001E-2</v>
      </c>
      <c r="N105" s="124">
        <f t="shared" si="83"/>
        <v>8.0132319910051916E-2</v>
      </c>
      <c r="O105" s="124">
        <f t="shared" si="83"/>
        <v>8.0875912260383293E-2</v>
      </c>
      <c r="P105" s="124">
        <f t="shared" si="83"/>
        <v>8.2276271321002889E-2</v>
      </c>
      <c r="Q105" s="124">
        <f t="shared" si="83"/>
        <v>7.8484163836557749E-2</v>
      </c>
      <c r="R105" s="124">
        <f t="shared" si="83"/>
        <v>9.752015425373424E-2</v>
      </c>
      <c r="S105" s="124">
        <f t="shared" si="83"/>
        <v>0.11268531057783454</v>
      </c>
      <c r="T105" s="124">
        <f t="shared" si="83"/>
        <v>0.12183112808690236</v>
      </c>
      <c r="U105" s="124">
        <f t="shared" si="83"/>
        <v>0.11521999089337519</v>
      </c>
      <c r="V105" s="124">
        <f t="shared" si="83"/>
        <v>5.2976484351981497E-2</v>
      </c>
      <c r="W105" s="124">
        <f t="shared" si="83"/>
        <v>6.5912045986285722E-2</v>
      </c>
      <c r="X105" s="124">
        <f t="shared" si="83"/>
        <v>9.5197407879922855E-2</v>
      </c>
      <c r="Y105" s="124">
        <f t="shared" si="83"/>
        <v>0.10394311783996903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2.4323787938264452E-4</v>
      </c>
      <c r="C106" s="140">
        <f t="shared" si="84"/>
        <v>5.4450713124120308E-4</v>
      </c>
      <c r="D106" s="140">
        <f t="shared" si="84"/>
        <v>3.1339085447958912E-4</v>
      </c>
      <c r="E106" s="140">
        <f t="shared" si="84"/>
        <v>2.9157568204097451E-4</v>
      </c>
      <c r="F106" s="140">
        <f t="shared" si="84"/>
        <v>2.4535265103088952E-4</v>
      </c>
      <c r="G106" s="140">
        <f t="shared" si="84"/>
        <v>2.6172893442470826E-4</v>
      </c>
      <c r="H106" s="140">
        <f t="shared" si="84"/>
        <v>3.8430443501999428E-4</v>
      </c>
      <c r="I106" s="140">
        <f t="shared" si="84"/>
        <v>5.4304414649392887E-4</v>
      </c>
      <c r="J106" s="140">
        <f t="shared" si="84"/>
        <v>8.0363704048992061E-4</v>
      </c>
      <c r="K106" s="140">
        <f t="shared" si="84"/>
        <v>9.5813525852515347E-4</v>
      </c>
      <c r="L106" s="140">
        <f t="shared" si="84"/>
        <v>9.8291225934440062E-4</v>
      </c>
      <c r="M106" s="140">
        <f t="shared" si="84"/>
        <v>1.0888867832155973E-3</v>
      </c>
      <c r="N106" s="140">
        <f t="shared" si="84"/>
        <v>1.0964392906486612E-3</v>
      </c>
      <c r="O106" s="140">
        <f t="shared" si="84"/>
        <v>9.1264157729553359E-4</v>
      </c>
      <c r="P106" s="140">
        <f t="shared" si="84"/>
        <v>7.8059842241746458E-4</v>
      </c>
      <c r="Q106" s="140">
        <f t="shared" si="84"/>
        <v>7.5532330615510292E-4</v>
      </c>
      <c r="R106" s="140">
        <f t="shared" si="84"/>
        <v>7.5061214235160436E-4</v>
      </c>
      <c r="S106" s="140">
        <f t="shared" si="84"/>
        <v>1.3107184722113742E-3</v>
      </c>
      <c r="T106" s="140">
        <f t="shared" si="84"/>
        <v>1.4790147661983468E-3</v>
      </c>
      <c r="U106" s="140">
        <f t="shared" si="84"/>
        <v>1.3250852458053281E-3</v>
      </c>
      <c r="V106" s="140">
        <f t="shared" si="84"/>
        <v>8.5232851972794239E-4</v>
      </c>
      <c r="W106" s="140">
        <f t="shared" si="84"/>
        <v>1.2591426634554796E-3</v>
      </c>
      <c r="X106" s="140">
        <f t="shared" si="84"/>
        <v>1.257125380854558E-3</v>
      </c>
      <c r="Y106" s="140">
        <f t="shared" si="84"/>
        <v>1.2254041033744254E-3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3.7468716856521769E-2</v>
      </c>
      <c r="C107" s="140">
        <f t="shared" si="85"/>
        <v>4.7195011334021701E-2</v>
      </c>
      <c r="D107" s="140">
        <f t="shared" si="85"/>
        <v>5.252564655920066E-2</v>
      </c>
      <c r="E107" s="140">
        <f t="shared" si="85"/>
        <v>6.6891743038622359E-2</v>
      </c>
      <c r="F107" s="140">
        <f t="shared" si="85"/>
        <v>6.178579346572665E-2</v>
      </c>
      <c r="G107" s="140">
        <f t="shared" si="85"/>
        <v>6.8870470462401079E-2</v>
      </c>
      <c r="H107" s="140">
        <f t="shared" si="85"/>
        <v>7.6082147142872134E-2</v>
      </c>
      <c r="I107" s="140">
        <f t="shared" si="85"/>
        <v>7.1880497471287941E-2</v>
      </c>
      <c r="J107" s="140">
        <f t="shared" si="85"/>
        <v>6.7014591286539985E-2</v>
      </c>
      <c r="K107" s="140">
        <f t="shared" si="85"/>
        <v>5.9983147282325594E-2</v>
      </c>
      <c r="L107" s="140">
        <f t="shared" si="85"/>
        <v>6.038225809862547E-2</v>
      </c>
      <c r="M107" s="140">
        <f t="shared" si="85"/>
        <v>6.1019028086321106E-2</v>
      </c>
      <c r="N107" s="140">
        <f t="shared" si="85"/>
        <v>6.0299518058300645E-2</v>
      </c>
      <c r="O107" s="140">
        <f t="shared" si="85"/>
        <v>5.8589582316060651E-2</v>
      </c>
      <c r="P107" s="140">
        <f t="shared" si="85"/>
        <v>5.7735288151518641E-2</v>
      </c>
      <c r="Q107" s="140">
        <f t="shared" si="85"/>
        <v>5.7400153757326149E-2</v>
      </c>
      <c r="R107" s="140">
        <f t="shared" si="85"/>
        <v>7.1267092893579354E-2</v>
      </c>
      <c r="S107" s="140">
        <f t="shared" si="85"/>
        <v>8.755283703938127E-2</v>
      </c>
      <c r="T107" s="140">
        <f t="shared" si="85"/>
        <v>9.5460701831316552E-2</v>
      </c>
      <c r="U107" s="140">
        <f t="shared" si="85"/>
        <v>9.0454478843029318E-2</v>
      </c>
      <c r="V107" s="140">
        <f t="shared" si="85"/>
        <v>4.4288323665608934E-2</v>
      </c>
      <c r="W107" s="140">
        <f t="shared" si="85"/>
        <v>5.125175835980602E-2</v>
      </c>
      <c r="X107" s="140">
        <f t="shared" si="85"/>
        <v>8.1699820942781623E-2</v>
      </c>
      <c r="Y107" s="140">
        <f t="shared" si="85"/>
        <v>8.9287752113940022E-2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5.4927412474047518E-3</v>
      </c>
      <c r="C108" s="140">
        <f t="shared" si="86"/>
        <v>6.904388945965019E-3</v>
      </c>
      <c r="D108" s="140">
        <f t="shared" si="86"/>
        <v>7.7551512850522969E-3</v>
      </c>
      <c r="E108" s="140">
        <f t="shared" si="86"/>
        <v>1.0097073766764096E-2</v>
      </c>
      <c r="F108" s="140">
        <f t="shared" si="86"/>
        <v>9.5560305589655389E-3</v>
      </c>
      <c r="G108" s="140">
        <f t="shared" si="86"/>
        <v>9.0988227428713715E-3</v>
      </c>
      <c r="H108" s="140">
        <f t="shared" si="86"/>
        <v>9.4339753025943843E-3</v>
      </c>
      <c r="I108" s="140">
        <f t="shared" si="86"/>
        <v>1.129332438556868E-2</v>
      </c>
      <c r="J108" s="140">
        <f t="shared" si="86"/>
        <v>1.2909701165182806E-2</v>
      </c>
      <c r="K108" s="140">
        <f t="shared" si="86"/>
        <v>1.2663560190627605E-2</v>
      </c>
      <c r="L108" s="140">
        <f t="shared" si="86"/>
        <v>1.6197259604686719E-2</v>
      </c>
      <c r="M108" s="140">
        <f t="shared" si="86"/>
        <v>1.6747404407044295E-2</v>
      </c>
      <c r="N108" s="140">
        <f t="shared" si="86"/>
        <v>1.8736362561102608E-2</v>
      </c>
      <c r="O108" s="140">
        <f t="shared" si="86"/>
        <v>2.1373688367027105E-2</v>
      </c>
      <c r="P108" s="140">
        <f t="shared" si="86"/>
        <v>2.3760384747066793E-2</v>
      </c>
      <c r="Q108" s="140">
        <f t="shared" si="86"/>
        <v>2.0328686773076497E-2</v>
      </c>
      <c r="R108" s="140">
        <f t="shared" si="86"/>
        <v>2.5502449217803279E-2</v>
      </c>
      <c r="S108" s="140">
        <f t="shared" si="86"/>
        <v>2.3821755066241915E-2</v>
      </c>
      <c r="T108" s="140">
        <f t="shared" si="86"/>
        <v>2.4891411489387456E-2</v>
      </c>
      <c r="U108" s="140">
        <f t="shared" si="86"/>
        <v>2.3440426804540542E-2</v>
      </c>
      <c r="V108" s="140">
        <f t="shared" si="86"/>
        <v>7.8358321666446192E-3</v>
      </c>
      <c r="W108" s="140">
        <f t="shared" si="86"/>
        <v>1.3401144963024228E-2</v>
      </c>
      <c r="X108" s="140">
        <f t="shared" si="86"/>
        <v>1.2240461556286669E-2</v>
      </c>
      <c r="Y108" s="140">
        <f t="shared" si="86"/>
        <v>1.3429961622654578E-2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0.57034066461188959</v>
      </c>
      <c r="C110" s="139">
        <f t="shared" si="88"/>
        <v>0.6096002871438867</v>
      </c>
      <c r="D110" s="139">
        <f t="shared" si="88"/>
        <v>0.63941097325929497</v>
      </c>
      <c r="E110" s="139">
        <f t="shared" si="88"/>
        <v>0.62881332111712029</v>
      </c>
      <c r="F110" s="139">
        <f t="shared" si="88"/>
        <v>0.64800475928787526</v>
      </c>
      <c r="G110" s="139">
        <f t="shared" si="88"/>
        <v>0.65985388566976133</v>
      </c>
      <c r="H110" s="139">
        <f t="shared" si="88"/>
        <v>0.65078157999799779</v>
      </c>
      <c r="I110" s="139">
        <f t="shared" si="88"/>
        <v>0.63878141790099785</v>
      </c>
      <c r="J110" s="139">
        <f t="shared" si="88"/>
        <v>0.57938506161499093</v>
      </c>
      <c r="K110" s="139">
        <f t="shared" si="88"/>
        <v>0.52360044442988463</v>
      </c>
      <c r="L110" s="139">
        <f t="shared" si="88"/>
        <v>0.51207009982427676</v>
      </c>
      <c r="M110" s="139">
        <f t="shared" si="88"/>
        <v>0.57955190189908867</v>
      </c>
      <c r="N110" s="139">
        <f t="shared" si="88"/>
        <v>0.54961503665251787</v>
      </c>
      <c r="O110" s="139">
        <f t="shared" si="88"/>
        <v>0.57707615729518424</v>
      </c>
      <c r="P110" s="139">
        <f t="shared" si="88"/>
        <v>0.56766315276114576</v>
      </c>
      <c r="Q110" s="139">
        <f t="shared" si="88"/>
        <v>0.56660671474767266</v>
      </c>
      <c r="R110" s="139">
        <f t="shared" si="88"/>
        <v>0.57503408573198289</v>
      </c>
      <c r="S110" s="139">
        <f t="shared" si="88"/>
        <v>0.58096786243181775</v>
      </c>
      <c r="T110" s="139">
        <f t="shared" si="88"/>
        <v>0.57794689094912222</v>
      </c>
      <c r="U110" s="139">
        <f t="shared" si="88"/>
        <v>0.49187986824629915</v>
      </c>
      <c r="V110" s="139">
        <f t="shared" si="88"/>
        <v>0.52145206412282097</v>
      </c>
      <c r="W110" s="139">
        <f t="shared" si="88"/>
        <v>0.57177313811624531</v>
      </c>
      <c r="X110" s="139">
        <f t="shared" si="88"/>
        <v>0.61514590049033691</v>
      </c>
      <c r="Y110" s="139">
        <f t="shared" si="88"/>
        <v>0.63805770694843567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3.0511323178902584E-2</v>
      </c>
      <c r="C111" s="140">
        <f t="shared" si="89"/>
        <v>2.9213280995256594E-2</v>
      </c>
      <c r="D111" s="140">
        <f t="shared" si="89"/>
        <v>2.8073877145312613E-2</v>
      </c>
      <c r="E111" s="140">
        <f t="shared" si="89"/>
        <v>2.800443066521931E-2</v>
      </c>
      <c r="F111" s="140">
        <f t="shared" si="89"/>
        <v>3.1339788563849877E-2</v>
      </c>
      <c r="G111" s="140">
        <f t="shared" si="89"/>
        <v>2.8690411879782371E-2</v>
      </c>
      <c r="H111" s="140">
        <f t="shared" si="89"/>
        <v>3.2146843579846596E-2</v>
      </c>
      <c r="I111" s="140">
        <f t="shared" si="89"/>
        <v>3.6983766129355646E-2</v>
      </c>
      <c r="J111" s="140">
        <f t="shared" si="89"/>
        <v>3.8534083614762488E-2</v>
      </c>
      <c r="K111" s="140">
        <f t="shared" si="89"/>
        <v>3.9097708132916006E-2</v>
      </c>
      <c r="L111" s="140">
        <f t="shared" si="89"/>
        <v>3.7455375612894304E-2</v>
      </c>
      <c r="M111" s="140">
        <f t="shared" si="89"/>
        <v>4.3011656872923777E-2</v>
      </c>
      <c r="N111" s="140">
        <f t="shared" si="89"/>
        <v>4.4759180177437928E-2</v>
      </c>
      <c r="O111" s="140">
        <f t="shared" si="89"/>
        <v>4.0392263786028081E-2</v>
      </c>
      <c r="P111" s="140">
        <f t="shared" si="89"/>
        <v>4.3592500957507406E-2</v>
      </c>
      <c r="Q111" s="140">
        <f t="shared" si="89"/>
        <v>4.4652147898387111E-2</v>
      </c>
      <c r="R111" s="140">
        <f t="shared" si="89"/>
        <v>4.4864582234466155E-2</v>
      </c>
      <c r="S111" s="140">
        <f t="shared" si="89"/>
        <v>3.6364695085550611E-2</v>
      </c>
      <c r="T111" s="140">
        <f t="shared" si="89"/>
        <v>3.8684040191872091E-2</v>
      </c>
      <c r="U111" s="140">
        <f t="shared" si="89"/>
        <v>4.0239377089054736E-2</v>
      </c>
      <c r="V111" s="140">
        <f t="shared" si="89"/>
        <v>3.2805666673476168E-2</v>
      </c>
      <c r="W111" s="140">
        <f t="shared" si="89"/>
        <v>2.8646260767019489E-2</v>
      </c>
      <c r="X111" s="140">
        <f t="shared" si="89"/>
        <v>2.7417594532359507E-2</v>
      </c>
      <c r="Y111" s="140">
        <f t="shared" si="89"/>
        <v>2.4001213176305672E-2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0.539829341432987</v>
      </c>
      <c r="C112" s="140">
        <f t="shared" si="90"/>
        <v>0.58038700614863004</v>
      </c>
      <c r="D112" s="140">
        <f t="shared" si="90"/>
        <v>0.61133709611398235</v>
      </c>
      <c r="E112" s="140">
        <f t="shared" si="90"/>
        <v>0.600808890451901</v>
      </c>
      <c r="F112" s="140">
        <f t="shared" si="90"/>
        <v>0.61666497072402537</v>
      </c>
      <c r="G112" s="140">
        <f t="shared" si="90"/>
        <v>0.63116347378997895</v>
      </c>
      <c r="H112" s="140">
        <f t="shared" si="90"/>
        <v>0.61863473641815125</v>
      </c>
      <c r="I112" s="140">
        <f t="shared" si="90"/>
        <v>0.60179765177164224</v>
      </c>
      <c r="J112" s="140">
        <f t="shared" si="90"/>
        <v>0.54085097800022841</v>
      </c>
      <c r="K112" s="140">
        <f t="shared" si="90"/>
        <v>0.48450273629696861</v>
      </c>
      <c r="L112" s="140">
        <f t="shared" si="90"/>
        <v>0.4746147242113824</v>
      </c>
      <c r="M112" s="140">
        <f t="shared" si="90"/>
        <v>0.53654024502616482</v>
      </c>
      <c r="N112" s="140">
        <f t="shared" si="90"/>
        <v>0.50485585647507991</v>
      </c>
      <c r="O112" s="140">
        <f t="shared" si="90"/>
        <v>0.53668389350915624</v>
      </c>
      <c r="P112" s="140">
        <f t="shared" si="90"/>
        <v>0.52407065180363832</v>
      </c>
      <c r="Q112" s="140">
        <f t="shared" si="90"/>
        <v>0.52195456684928554</v>
      </c>
      <c r="R112" s="140">
        <f t="shared" si="90"/>
        <v>0.53016950349751679</v>
      </c>
      <c r="S112" s="140">
        <f t="shared" si="90"/>
        <v>0.54460316734626713</v>
      </c>
      <c r="T112" s="140">
        <f t="shared" si="90"/>
        <v>0.53926285075725011</v>
      </c>
      <c r="U112" s="140">
        <f t="shared" si="90"/>
        <v>0.45164049115724436</v>
      </c>
      <c r="V112" s="140">
        <f t="shared" si="90"/>
        <v>0.48864639744934479</v>
      </c>
      <c r="W112" s="140">
        <f t="shared" si="90"/>
        <v>0.54312687734922582</v>
      </c>
      <c r="X112" s="140">
        <f t="shared" si="90"/>
        <v>0.58772830595797732</v>
      </c>
      <c r="Y112" s="140">
        <f t="shared" si="90"/>
        <v>0.61405649377213012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0.40600371682927072</v>
      </c>
      <c r="C113" s="124">
        <f t="shared" si="91"/>
        <v>0.35913208168644195</v>
      </c>
      <c r="D113" s="124">
        <f t="shared" si="91"/>
        <v>0.32101422163320126</v>
      </c>
      <c r="E113" s="124">
        <f t="shared" si="91"/>
        <v>0.33196153095436837</v>
      </c>
      <c r="F113" s="124">
        <f t="shared" si="91"/>
        <v>0.30992931931461232</v>
      </c>
      <c r="G113" s="124">
        <f t="shared" si="91"/>
        <v>0.29605582022918142</v>
      </c>
      <c r="H113" s="124">
        <f t="shared" si="91"/>
        <v>0.30421870066457141</v>
      </c>
      <c r="I113" s="124">
        <f t="shared" si="91"/>
        <v>0.30211548040862002</v>
      </c>
      <c r="J113" s="124">
        <f t="shared" si="91"/>
        <v>0.25982379834423264</v>
      </c>
      <c r="K113" s="124">
        <f t="shared" si="91"/>
        <v>0.17421311222267577</v>
      </c>
      <c r="L113" s="124">
        <f t="shared" si="91"/>
        <v>0.16350297018574353</v>
      </c>
      <c r="M113" s="124">
        <f t="shared" si="91"/>
        <v>0.18149052918174671</v>
      </c>
      <c r="N113" s="124">
        <f t="shared" si="91"/>
        <v>0.1583655527341418</v>
      </c>
      <c r="O113" s="124">
        <f t="shared" si="91"/>
        <v>0.15902024830126107</v>
      </c>
      <c r="P113" s="124">
        <f t="shared" si="91"/>
        <v>0.17425140255469271</v>
      </c>
      <c r="Q113" s="124">
        <f t="shared" si="91"/>
        <v>0.17042363937082022</v>
      </c>
      <c r="R113" s="124">
        <f t="shared" si="91"/>
        <v>0.16292615938557348</v>
      </c>
      <c r="S113" s="124">
        <f t="shared" si="91"/>
        <v>0.17787156308657479</v>
      </c>
      <c r="T113" s="124">
        <f t="shared" si="91"/>
        <v>0.1850615759935138</v>
      </c>
      <c r="U113" s="124">
        <f t="shared" si="91"/>
        <v>0.20242375333052692</v>
      </c>
      <c r="V113" s="124">
        <f t="shared" si="91"/>
        <v>0.1999431828909041</v>
      </c>
      <c r="W113" s="124">
        <f t="shared" si="91"/>
        <v>0.19053422733072276</v>
      </c>
      <c r="X113" s="124">
        <f t="shared" si="91"/>
        <v>0.22272033236266497</v>
      </c>
      <c r="Y113" s="124">
        <f t="shared" si="91"/>
        <v>0.18679226186269884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7.088573873766554E-4</v>
      </c>
      <c r="C114" s="124">
        <f t="shared" si="92"/>
        <v>6.3146583397076603E-4</v>
      </c>
      <c r="D114" s="124">
        <f t="shared" si="92"/>
        <v>6.5347847335077034E-4</v>
      </c>
      <c r="E114" s="124">
        <f t="shared" si="92"/>
        <v>6.4107161546096583E-4</v>
      </c>
      <c r="F114" s="124">
        <f t="shared" si="92"/>
        <v>6.1116500482690384E-4</v>
      </c>
      <c r="G114" s="124">
        <f t="shared" si="92"/>
        <v>6.8253583774329266E-4</v>
      </c>
      <c r="H114" s="124">
        <f t="shared" si="92"/>
        <v>7.4255106061687115E-4</v>
      </c>
      <c r="I114" s="124">
        <f t="shared" si="92"/>
        <v>8.243856642202133E-4</v>
      </c>
      <c r="J114" s="124">
        <f t="shared" si="92"/>
        <v>7.8884359610715692E-4</v>
      </c>
      <c r="K114" s="124">
        <f t="shared" si="92"/>
        <v>1.0664185326652673E-3</v>
      </c>
      <c r="L114" s="124">
        <f t="shared" si="92"/>
        <v>1.6899966729508093E-3</v>
      </c>
      <c r="M114" s="124">
        <f t="shared" si="92"/>
        <v>1.2717042052999496E-3</v>
      </c>
      <c r="N114" s="124">
        <f t="shared" si="92"/>
        <v>6.2025630480092595E-4</v>
      </c>
      <c r="O114" s="124">
        <f t="shared" si="92"/>
        <v>6.3347290910717511E-4</v>
      </c>
      <c r="P114" s="124">
        <f t="shared" si="92"/>
        <v>9.8988883580138206E-4</v>
      </c>
      <c r="Q114" s="124">
        <f t="shared" si="92"/>
        <v>1.7312178596608223E-3</v>
      </c>
      <c r="R114" s="124">
        <f t="shared" si="92"/>
        <v>2.1834430144221859E-3</v>
      </c>
      <c r="S114" s="124">
        <f t="shared" si="92"/>
        <v>2.2941329822361595E-3</v>
      </c>
      <c r="T114" s="124">
        <f t="shared" si="92"/>
        <v>1.8897715049345973E-3</v>
      </c>
      <c r="U114" s="124">
        <f t="shared" si="92"/>
        <v>1.3344715061565011E-3</v>
      </c>
      <c r="V114" s="124">
        <f t="shared" si="92"/>
        <v>8.2448379562508273E-4</v>
      </c>
      <c r="W114" s="124">
        <f t="shared" si="92"/>
        <v>7.2157062785558029E-4</v>
      </c>
      <c r="X114" s="124">
        <f t="shared" si="92"/>
        <v>1.1408489073699304E-3</v>
      </c>
      <c r="Y114" s="124">
        <f t="shared" si="92"/>
        <v>7.4223981629508871E-4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4.8135822021070555E-4</v>
      </c>
      <c r="C116" s="140">
        <f t="shared" si="96"/>
        <v>3.1368479617403946E-4</v>
      </c>
      <c r="D116" s="140">
        <f t="shared" si="96"/>
        <v>3.0634296761843782E-4</v>
      </c>
      <c r="E116" s="140">
        <f t="shared" si="96"/>
        <v>2.9637997128593465E-4</v>
      </c>
      <c r="F116" s="140">
        <f t="shared" si="96"/>
        <v>2.7118451288577974E-4</v>
      </c>
      <c r="G116" s="140">
        <f t="shared" si="96"/>
        <v>3.25479205723134E-4</v>
      </c>
      <c r="H116" s="140">
        <f t="shared" si="96"/>
        <v>3.568194556345658E-4</v>
      </c>
      <c r="I116" s="140">
        <f t="shared" si="96"/>
        <v>3.860297303880605E-4</v>
      </c>
      <c r="J116" s="140">
        <f t="shared" si="96"/>
        <v>4.0990104591872678E-4</v>
      </c>
      <c r="K116" s="140">
        <f t="shared" si="96"/>
        <v>3.5747508216717254E-4</v>
      </c>
      <c r="L116" s="140">
        <f t="shared" si="96"/>
        <v>3.542716502725839E-4</v>
      </c>
      <c r="M116" s="140">
        <f t="shared" si="96"/>
        <v>3.4019132156216285E-4</v>
      </c>
      <c r="N116" s="140">
        <f t="shared" si="96"/>
        <v>3.6469106961138788E-4</v>
      </c>
      <c r="O116" s="140">
        <f t="shared" si="96"/>
        <v>3.5106083611008469E-4</v>
      </c>
      <c r="P116" s="140">
        <f t="shared" si="96"/>
        <v>4.2401701043770902E-4</v>
      </c>
      <c r="Q116" s="140">
        <f t="shared" si="96"/>
        <v>4.0633947864084812E-4</v>
      </c>
      <c r="R116" s="140">
        <f t="shared" si="94"/>
        <v>4.3769459146886339E-4</v>
      </c>
      <c r="S116" s="140">
        <f t="shared" si="94"/>
        <v>4.5238905704300778E-4</v>
      </c>
      <c r="T116" s="140">
        <f t="shared" si="94"/>
        <v>5.4015865135483379E-4</v>
      </c>
      <c r="U116" s="140">
        <f t="shared" si="94"/>
        <v>7.0952662975163174E-4</v>
      </c>
      <c r="V116" s="140">
        <f t="shared" si="94"/>
        <v>4.9661857607661804E-4</v>
      </c>
      <c r="W116" s="140">
        <f t="shared" si="95"/>
        <v>4.4247604938240959E-4</v>
      </c>
      <c r="X116" s="140">
        <f t="shared" si="95"/>
        <v>7.5405206905904002E-4</v>
      </c>
      <c r="Y116" s="140">
        <f t="shared" si="95"/>
        <v>4.738579532470754E-4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2.2749916716594982E-4</v>
      </c>
      <c r="C117" s="140">
        <f t="shared" si="97"/>
        <v>3.1778103779672658E-4</v>
      </c>
      <c r="D117" s="140">
        <f t="shared" si="97"/>
        <v>3.4713550573233252E-4</v>
      </c>
      <c r="E117" s="140">
        <f t="shared" si="97"/>
        <v>3.4469164417503119E-4</v>
      </c>
      <c r="F117" s="140">
        <f t="shared" si="97"/>
        <v>3.399804919411241E-4</v>
      </c>
      <c r="G117" s="140">
        <f t="shared" si="97"/>
        <v>3.5705663202015872E-4</v>
      </c>
      <c r="H117" s="140">
        <f t="shared" si="97"/>
        <v>3.8573160498230546E-4</v>
      </c>
      <c r="I117" s="140">
        <f t="shared" si="97"/>
        <v>4.3835593383215275E-4</v>
      </c>
      <c r="J117" s="140">
        <f t="shared" si="97"/>
        <v>3.7894255018843008E-4</v>
      </c>
      <c r="K117" s="140">
        <f t="shared" si="97"/>
        <v>7.0894345049809496E-4</v>
      </c>
      <c r="L117" s="140">
        <f t="shared" si="97"/>
        <v>1.3357250226782255E-3</v>
      </c>
      <c r="M117" s="140">
        <f t="shared" si="97"/>
        <v>9.3151288373778684E-4</v>
      </c>
      <c r="N117" s="140">
        <f t="shared" si="97"/>
        <v>2.5556523518953806E-4</v>
      </c>
      <c r="O117" s="140">
        <f t="shared" si="97"/>
        <v>2.8241207299709042E-4</v>
      </c>
      <c r="P117" s="140">
        <f t="shared" si="97"/>
        <v>5.6587182536367315E-4</v>
      </c>
      <c r="Q117" s="140">
        <f t="shared" si="97"/>
        <v>1.3248783810199743E-3</v>
      </c>
      <c r="R117" s="140">
        <f t="shared" ref="R117:V120" si="98">IF(R25=0,0,R25/R$17)</f>
        <v>1.7457484229533228E-3</v>
      </c>
      <c r="S117" s="140">
        <f t="shared" si="98"/>
        <v>1.8417439251931518E-3</v>
      </c>
      <c r="T117" s="140">
        <f t="shared" si="98"/>
        <v>1.3496128535797638E-3</v>
      </c>
      <c r="U117" s="140">
        <f t="shared" si="98"/>
        <v>6.2494487640486947E-4</v>
      </c>
      <c r="V117" s="140">
        <f t="shared" si="98"/>
        <v>3.2786521954846458E-4</v>
      </c>
      <c r="W117" s="140">
        <f t="shared" si="95"/>
        <v>2.7909457847317075E-4</v>
      </c>
      <c r="X117" s="140">
        <f t="shared" si="95"/>
        <v>3.8679683831089039E-4</v>
      </c>
      <c r="Y117" s="140">
        <f t="shared" si="95"/>
        <v>2.6838186304801325E-4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2.2946761171462937E-2</v>
      </c>
      <c r="C118" s="124">
        <f t="shared" si="99"/>
        <v>3.0636165335700558E-2</v>
      </c>
      <c r="D118" s="124">
        <f t="shared" si="99"/>
        <v>3.8921326634152993E-2</v>
      </c>
      <c r="E118" s="124">
        <f t="shared" si="99"/>
        <v>3.85840763130504E-2</v>
      </c>
      <c r="F118" s="124">
        <f t="shared" si="99"/>
        <v>4.1454756392685622E-2</v>
      </c>
      <c r="G118" s="124">
        <f t="shared" si="99"/>
        <v>4.3407758263314035E-2</v>
      </c>
      <c r="H118" s="124">
        <f t="shared" si="99"/>
        <v>4.4257168276814036E-2</v>
      </c>
      <c r="I118" s="124">
        <f t="shared" si="99"/>
        <v>5.8278716026161949E-2</v>
      </c>
      <c r="J118" s="124">
        <f t="shared" si="99"/>
        <v>0.16000229644466915</v>
      </c>
      <c r="K118" s="124">
        <f t="shared" si="99"/>
        <v>0.3011200248147744</v>
      </c>
      <c r="L118" s="124">
        <f t="shared" si="99"/>
        <v>0.32273693331702902</v>
      </c>
      <c r="M118" s="124">
        <f t="shared" si="99"/>
        <v>0.23768586471386458</v>
      </c>
      <c r="N118" s="124">
        <f t="shared" si="99"/>
        <v>0.29139915430853952</v>
      </c>
      <c r="O118" s="124">
        <f t="shared" si="99"/>
        <v>0.26327012149444762</v>
      </c>
      <c r="P118" s="124">
        <f t="shared" si="99"/>
        <v>0.25709555584836019</v>
      </c>
      <c r="Q118" s="124">
        <f t="shared" si="99"/>
        <v>0.26123842802184633</v>
      </c>
      <c r="R118" s="124">
        <f t="shared" si="98"/>
        <v>0.25985631186802149</v>
      </c>
      <c r="S118" s="124">
        <f t="shared" si="98"/>
        <v>0.23886644149937125</v>
      </c>
      <c r="T118" s="124">
        <f t="shared" si="98"/>
        <v>0.23510176155242943</v>
      </c>
      <c r="U118" s="124">
        <f t="shared" si="98"/>
        <v>0.30436190691701731</v>
      </c>
      <c r="V118" s="124">
        <f t="shared" si="98"/>
        <v>0.2777802691906498</v>
      </c>
      <c r="W118" s="124">
        <f t="shared" si="95"/>
        <v>0.23697106392517636</v>
      </c>
      <c r="X118" s="124">
        <f t="shared" si="95"/>
        <v>0.16099291823962822</v>
      </c>
      <c r="Y118" s="124">
        <f t="shared" si="95"/>
        <v>0.1744077913725704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2.2946761171462937E-2</v>
      </c>
      <c r="C120" s="127">
        <f t="shared" si="101"/>
        <v>3.0636165335700558E-2</v>
      </c>
      <c r="D120" s="127">
        <f t="shared" si="101"/>
        <v>3.8921326634152993E-2</v>
      </c>
      <c r="E120" s="127">
        <f t="shared" si="101"/>
        <v>3.85840763130504E-2</v>
      </c>
      <c r="F120" s="127">
        <f t="shared" si="101"/>
        <v>4.1454756392685622E-2</v>
      </c>
      <c r="G120" s="127">
        <f t="shared" si="101"/>
        <v>4.3407758263314035E-2</v>
      </c>
      <c r="H120" s="127">
        <f t="shared" si="101"/>
        <v>4.4257168276814036E-2</v>
      </c>
      <c r="I120" s="127">
        <f t="shared" si="101"/>
        <v>5.8278716026161949E-2</v>
      </c>
      <c r="J120" s="127">
        <f t="shared" si="101"/>
        <v>0.16000229644466915</v>
      </c>
      <c r="K120" s="127">
        <f t="shared" si="101"/>
        <v>0.3011200248147744</v>
      </c>
      <c r="L120" s="127">
        <f t="shared" si="101"/>
        <v>0.32273693331702902</v>
      </c>
      <c r="M120" s="127">
        <f t="shared" si="101"/>
        <v>0.23768586471386458</v>
      </c>
      <c r="N120" s="127">
        <f t="shared" si="101"/>
        <v>0.29139915430853952</v>
      </c>
      <c r="O120" s="127">
        <f t="shared" si="101"/>
        <v>0.26327012149444762</v>
      </c>
      <c r="P120" s="127">
        <f t="shared" si="101"/>
        <v>0.25709555584836019</v>
      </c>
      <c r="Q120" s="127">
        <f t="shared" si="101"/>
        <v>0.26123842802184633</v>
      </c>
      <c r="R120" s="127">
        <f t="shared" si="98"/>
        <v>0.25985631186802149</v>
      </c>
      <c r="S120" s="127">
        <f t="shared" si="98"/>
        <v>0.23886644149937125</v>
      </c>
      <c r="T120" s="127">
        <f t="shared" si="98"/>
        <v>0.23510176155242943</v>
      </c>
      <c r="U120" s="127">
        <f t="shared" si="98"/>
        <v>0.30436190691701731</v>
      </c>
      <c r="V120" s="127">
        <f t="shared" si="98"/>
        <v>0.2777802691906498</v>
      </c>
      <c r="W120" s="127">
        <f t="shared" si="95"/>
        <v>0.23697106392517636</v>
      </c>
      <c r="X120" s="127">
        <f t="shared" si="95"/>
        <v>0.16099291823962822</v>
      </c>
      <c r="Y120" s="127">
        <f t="shared" si="95"/>
        <v>0.1744077913725704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0.23895650234839111</v>
      </c>
      <c r="C122" s="140">
        <f t="shared" si="103"/>
        <v>0.23428225514767054</v>
      </c>
      <c r="D122" s="140">
        <f t="shared" si="103"/>
        <v>0.2443787184071341</v>
      </c>
      <c r="E122" s="140">
        <f t="shared" si="103"/>
        <v>0.15391001109179778</v>
      </c>
      <c r="F122" s="140">
        <f t="shared" si="103"/>
        <v>0.13745402336143342</v>
      </c>
      <c r="G122" s="140">
        <f t="shared" si="103"/>
        <v>0.13320967652344029</v>
      </c>
      <c r="H122" s="140">
        <f t="shared" si="103"/>
        <v>0.15698962052577523</v>
      </c>
      <c r="I122" s="140">
        <f t="shared" si="103"/>
        <v>0.10219406611838439</v>
      </c>
      <c r="J122" s="140">
        <f t="shared" si="103"/>
        <v>0.13073164217635591</v>
      </c>
      <c r="K122" s="140">
        <f t="shared" si="103"/>
        <v>0.28314680091275535</v>
      </c>
      <c r="L122" s="140">
        <f t="shared" si="103"/>
        <v>0.23223475577671809</v>
      </c>
      <c r="M122" s="140">
        <f t="shared" si="103"/>
        <v>0.30005722328126622</v>
      </c>
      <c r="N122" s="140">
        <f t="shared" si="103"/>
        <v>0.28589882669251071</v>
      </c>
      <c r="O122" s="140">
        <f t="shared" si="103"/>
        <v>0.29409457982145776</v>
      </c>
      <c r="P122" s="140">
        <f t="shared" si="103"/>
        <v>0.24030834612799606</v>
      </c>
      <c r="Q122" s="140">
        <f t="shared" si="103"/>
        <v>0.20245831802568331</v>
      </c>
      <c r="R122" s="140">
        <f t="shared" si="103"/>
        <v>0.25108839262216276</v>
      </c>
      <c r="S122" s="140">
        <f t="shared" si="103"/>
        <v>0.27975444080279049</v>
      </c>
      <c r="T122" s="140">
        <f t="shared" si="103"/>
        <v>0.31410234139726928</v>
      </c>
      <c r="U122" s="140">
        <f t="shared" si="103"/>
        <v>0.28720708737702305</v>
      </c>
      <c r="V122" s="140">
        <f t="shared" si="103"/>
        <v>0.29597153908458945</v>
      </c>
      <c r="W122" s="140">
        <f t="shared" si="103"/>
        <v>0.24371981697609918</v>
      </c>
      <c r="X122" s="140">
        <f t="shared" si="103"/>
        <v>0.22262878129309574</v>
      </c>
      <c r="Y122" s="140">
        <f t="shared" si="103"/>
        <v>0.19413379295121777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0.76104349765160895</v>
      </c>
      <c r="C123" s="127">
        <f t="shared" si="104"/>
        <v>0.76571774485232946</v>
      </c>
      <c r="D123" s="127">
        <f t="shared" si="104"/>
        <v>0.7556212815928659</v>
      </c>
      <c r="E123" s="127">
        <f t="shared" si="104"/>
        <v>0.84608998890820208</v>
      </c>
      <c r="F123" s="127">
        <f t="shared" si="104"/>
        <v>0.86254597663856658</v>
      </c>
      <c r="G123" s="127">
        <f t="shared" si="104"/>
        <v>0.86679032347655971</v>
      </c>
      <c r="H123" s="127">
        <f t="shared" si="104"/>
        <v>0.84301037947422486</v>
      </c>
      <c r="I123" s="127">
        <f t="shared" si="104"/>
        <v>0.89780593388161567</v>
      </c>
      <c r="J123" s="127">
        <f t="shared" si="104"/>
        <v>0.86926835782364409</v>
      </c>
      <c r="K123" s="127">
        <f t="shared" si="104"/>
        <v>0.71685319908724465</v>
      </c>
      <c r="L123" s="127">
        <f t="shared" si="104"/>
        <v>0.76776524422328196</v>
      </c>
      <c r="M123" s="127">
        <f t="shared" si="104"/>
        <v>0.69994277671873384</v>
      </c>
      <c r="N123" s="127">
        <f t="shared" si="104"/>
        <v>0.71410117330748935</v>
      </c>
      <c r="O123" s="127">
        <f t="shared" si="104"/>
        <v>0.7059054201785423</v>
      </c>
      <c r="P123" s="127">
        <f t="shared" si="104"/>
        <v>0.75969165387200399</v>
      </c>
      <c r="Q123" s="127">
        <f t="shared" si="104"/>
        <v>0.79754168197431663</v>
      </c>
      <c r="R123" s="127">
        <f t="shared" si="104"/>
        <v>0.74891160737783724</v>
      </c>
      <c r="S123" s="127">
        <f t="shared" si="104"/>
        <v>0.72024555919720945</v>
      </c>
      <c r="T123" s="127">
        <f t="shared" si="104"/>
        <v>0.68589765860273066</v>
      </c>
      <c r="U123" s="127">
        <f t="shared" si="104"/>
        <v>0.71279291262297695</v>
      </c>
      <c r="V123" s="127">
        <f t="shared" si="104"/>
        <v>0.70402846091541049</v>
      </c>
      <c r="W123" s="127">
        <f t="shared" si="104"/>
        <v>0.75628018302390088</v>
      </c>
      <c r="X123" s="127">
        <f t="shared" si="104"/>
        <v>0.77737121870690429</v>
      </c>
      <c r="Y123" s="127">
        <f t="shared" si="104"/>
        <v>0.80586620704878231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0.9030315416118414</v>
      </c>
      <c r="C127" s="139">
        <f t="shared" ref="C127:Y127" si="107">IF(C35=0,0,C35/C$34)</f>
        <v>0.8776240996136877</v>
      </c>
      <c r="D127" s="139">
        <f t="shared" si="107"/>
        <v>0.88501603390803896</v>
      </c>
      <c r="E127" s="139">
        <f t="shared" si="107"/>
        <v>0.87774914035827789</v>
      </c>
      <c r="F127" s="139">
        <f t="shared" si="107"/>
        <v>0.88981756881134422</v>
      </c>
      <c r="G127" s="139">
        <f t="shared" si="107"/>
        <v>0.88702995336488311</v>
      </c>
      <c r="H127" s="139">
        <f t="shared" si="107"/>
        <v>0.89104460092429838</v>
      </c>
      <c r="I127" s="139">
        <f t="shared" si="107"/>
        <v>0.88061993487588908</v>
      </c>
      <c r="J127" s="139">
        <f t="shared" si="107"/>
        <v>0.88378787218492982</v>
      </c>
      <c r="K127" s="139">
        <f t="shared" si="107"/>
        <v>0.90528324126803905</v>
      </c>
      <c r="L127" s="139">
        <f t="shared" si="107"/>
        <v>0.90235826390908802</v>
      </c>
      <c r="M127" s="139">
        <f t="shared" si="107"/>
        <v>0.90057010283444994</v>
      </c>
      <c r="N127" s="139">
        <f t="shared" si="107"/>
        <v>0.91147602001248273</v>
      </c>
      <c r="O127" s="139">
        <f t="shared" si="107"/>
        <v>0.9072346533811092</v>
      </c>
      <c r="P127" s="139">
        <f t="shared" si="107"/>
        <v>0.91672858038851557</v>
      </c>
      <c r="Q127" s="139">
        <f t="shared" si="107"/>
        <v>0.91758320952359584</v>
      </c>
      <c r="R127" s="139">
        <f t="shared" si="107"/>
        <v>0.90539726774271845</v>
      </c>
      <c r="S127" s="139">
        <f t="shared" si="107"/>
        <v>0.89742651438257881</v>
      </c>
      <c r="T127" s="139">
        <f t="shared" si="107"/>
        <v>0.89696718652049723</v>
      </c>
      <c r="U127" s="139">
        <f t="shared" si="107"/>
        <v>0.90937339412163409</v>
      </c>
      <c r="V127" s="139">
        <f t="shared" si="107"/>
        <v>0.9401807564721929</v>
      </c>
      <c r="W127" s="139">
        <f t="shared" si="107"/>
        <v>0.93524368419082871</v>
      </c>
      <c r="X127" s="139">
        <f t="shared" si="107"/>
        <v>0.91900566047736953</v>
      </c>
      <c r="Y127" s="139">
        <f t="shared" si="107"/>
        <v>0.91400958043702552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8.4233316397869205E-3</v>
      </c>
      <c r="C128" s="140">
        <f t="shared" ref="C128:Y128" si="108">IF(C36=0,0,C36/C$34)</f>
        <v>8.2063867106084206E-3</v>
      </c>
      <c r="D128" s="140">
        <f t="shared" si="108"/>
        <v>7.8084780334262424E-3</v>
      </c>
      <c r="E128" s="140">
        <f t="shared" si="108"/>
        <v>7.3223855804808021E-3</v>
      </c>
      <c r="F128" s="140">
        <f t="shared" si="108"/>
        <v>7.1596019976598313E-3</v>
      </c>
      <c r="G128" s="140">
        <f t="shared" si="108"/>
        <v>6.8962797097658771E-3</v>
      </c>
      <c r="H128" s="140">
        <f t="shared" si="108"/>
        <v>6.711804509347382E-3</v>
      </c>
      <c r="I128" s="140">
        <f t="shared" si="108"/>
        <v>7.1941302054174304E-3</v>
      </c>
      <c r="J128" s="140">
        <f t="shared" si="108"/>
        <v>7.6691722363918351E-3</v>
      </c>
      <c r="K128" s="140">
        <f t="shared" si="108"/>
        <v>8.0959161437201624E-3</v>
      </c>
      <c r="L128" s="140">
        <f t="shared" si="108"/>
        <v>8.8959928508764181E-3</v>
      </c>
      <c r="M128" s="140">
        <f t="shared" si="108"/>
        <v>9.324363487387962E-3</v>
      </c>
      <c r="N128" s="140">
        <f t="shared" si="108"/>
        <v>9.4689442286547392E-3</v>
      </c>
      <c r="O128" s="140">
        <f t="shared" si="108"/>
        <v>1.1072602510526344E-2</v>
      </c>
      <c r="P128" s="140">
        <f t="shared" si="108"/>
        <v>1.0214225995951677E-2</v>
      </c>
      <c r="Q128" s="140">
        <f t="shared" si="108"/>
        <v>9.85619099709391E-3</v>
      </c>
      <c r="R128" s="140">
        <f t="shared" si="108"/>
        <v>1.006874494904225E-2</v>
      </c>
      <c r="S128" s="140">
        <f t="shared" si="108"/>
        <v>9.3024675917490265E-3</v>
      </c>
      <c r="T128" s="140">
        <f t="shared" si="108"/>
        <v>8.4896518894766095E-3</v>
      </c>
      <c r="U128" s="140">
        <f t="shared" si="108"/>
        <v>8.5414310613106201E-3</v>
      </c>
      <c r="V128" s="140">
        <f t="shared" si="108"/>
        <v>8.6322523463134206E-3</v>
      </c>
      <c r="W128" s="140">
        <f t="shared" si="108"/>
        <v>8.2224582629460887E-3</v>
      </c>
      <c r="X128" s="140">
        <f t="shared" si="108"/>
        <v>8.0571626569290577E-3</v>
      </c>
      <c r="Y128" s="140">
        <f t="shared" si="108"/>
        <v>8.581816204634404E-3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0.71110572088555213</v>
      </c>
      <c r="C129" s="140">
        <f t="shared" ref="C129:Y129" si="109">IF(C37=0,0,C37/C$34)</f>
        <v>0.68975989657959091</v>
      </c>
      <c r="D129" s="140">
        <f t="shared" si="109"/>
        <v>0.68832070828317682</v>
      </c>
      <c r="E129" s="140">
        <f t="shared" si="109"/>
        <v>0.71870004472179405</v>
      </c>
      <c r="F129" s="140">
        <f t="shared" si="109"/>
        <v>0.7475420358157383</v>
      </c>
      <c r="G129" s="140">
        <f t="shared" si="109"/>
        <v>0.75121874094841357</v>
      </c>
      <c r="H129" s="140">
        <f t="shared" si="109"/>
        <v>0.76732875060760897</v>
      </c>
      <c r="I129" s="140">
        <f t="shared" si="109"/>
        <v>0.74526094344820559</v>
      </c>
      <c r="J129" s="140">
        <f t="shared" si="109"/>
        <v>0.76469791243955876</v>
      </c>
      <c r="K129" s="140">
        <f t="shared" si="109"/>
        <v>0.78029515288743623</v>
      </c>
      <c r="L129" s="140">
        <f t="shared" si="109"/>
        <v>0.78294046143107587</v>
      </c>
      <c r="M129" s="140">
        <f t="shared" si="109"/>
        <v>0.76963808876783524</v>
      </c>
      <c r="N129" s="140">
        <f t="shared" si="109"/>
        <v>0.79588743819255336</v>
      </c>
      <c r="O129" s="140">
        <f t="shared" si="109"/>
        <v>0.78692740136121897</v>
      </c>
      <c r="P129" s="140">
        <f t="shared" si="109"/>
        <v>0.81188637948269049</v>
      </c>
      <c r="Q129" s="140">
        <f t="shared" si="109"/>
        <v>0.81372420643966603</v>
      </c>
      <c r="R129" s="140">
        <f t="shared" si="109"/>
        <v>0.8129062895547452</v>
      </c>
      <c r="S129" s="140">
        <f t="shared" si="109"/>
        <v>0.81316667120476671</v>
      </c>
      <c r="T129" s="140">
        <f t="shared" si="109"/>
        <v>0.81543430179466636</v>
      </c>
      <c r="U129" s="140">
        <f t="shared" si="109"/>
        <v>0.82482005590363106</v>
      </c>
      <c r="V129" s="140">
        <f t="shared" si="109"/>
        <v>0.84783790865154418</v>
      </c>
      <c r="W129" s="140">
        <f t="shared" si="109"/>
        <v>0.8492842864376865</v>
      </c>
      <c r="X129" s="140">
        <f t="shared" si="109"/>
        <v>0.83624990498109686</v>
      </c>
      <c r="Y129" s="140">
        <f t="shared" si="109"/>
        <v>0.83291274609424781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0.18350248908650219</v>
      </c>
      <c r="C130" s="140">
        <f t="shared" ref="C130:Y130" si="110">IF(C38=0,0,C38/C$34)</f>
        <v>0.17965781632348826</v>
      </c>
      <c r="D130" s="140">
        <f t="shared" si="110"/>
        <v>0.18888684759143606</v>
      </c>
      <c r="E130" s="140">
        <f t="shared" si="110"/>
        <v>0.15172671005600308</v>
      </c>
      <c r="F130" s="140">
        <f t="shared" si="110"/>
        <v>0.13511593099794614</v>
      </c>
      <c r="G130" s="140">
        <f t="shared" si="110"/>
        <v>0.12891493270670362</v>
      </c>
      <c r="H130" s="140">
        <f t="shared" si="110"/>
        <v>0.11700404580734197</v>
      </c>
      <c r="I130" s="140">
        <f t="shared" si="110"/>
        <v>0.12816486122226606</v>
      </c>
      <c r="J130" s="140">
        <f t="shared" si="110"/>
        <v>0.11142078750897925</v>
      </c>
      <c r="K130" s="140">
        <f t="shared" si="110"/>
        <v>0.11689217223688265</v>
      </c>
      <c r="L130" s="140">
        <f t="shared" si="110"/>
        <v>0.11052180962713572</v>
      </c>
      <c r="M130" s="140">
        <f t="shared" si="110"/>
        <v>0.12160765057922669</v>
      </c>
      <c r="N130" s="140">
        <f t="shared" si="110"/>
        <v>0.1061196375912745</v>
      </c>
      <c r="O130" s="140">
        <f t="shared" si="110"/>
        <v>0.1092346495093639</v>
      </c>
      <c r="P130" s="140">
        <f t="shared" si="110"/>
        <v>9.4627974909873472E-2</v>
      </c>
      <c r="Q130" s="140">
        <f t="shared" si="110"/>
        <v>9.4002812086835738E-2</v>
      </c>
      <c r="R130" s="140">
        <f t="shared" si="110"/>
        <v>8.2422233238931025E-2</v>
      </c>
      <c r="S130" s="140">
        <f t="shared" si="110"/>
        <v>7.4957375586062996E-2</v>
      </c>
      <c r="T130" s="140">
        <f t="shared" si="110"/>
        <v>7.3043232836354346E-2</v>
      </c>
      <c r="U130" s="140">
        <f t="shared" si="110"/>
        <v>7.6011907156692385E-2</v>
      </c>
      <c r="V130" s="140">
        <f t="shared" si="110"/>
        <v>8.3710595474335389E-2</v>
      </c>
      <c r="W130" s="140">
        <f t="shared" si="110"/>
        <v>7.7736939490196166E-2</v>
      </c>
      <c r="X130" s="140">
        <f t="shared" si="110"/>
        <v>7.4698592839343658E-2</v>
      </c>
      <c r="Y130" s="140">
        <f t="shared" si="110"/>
        <v>7.2515018138143247E-2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2.8152971245206201E-2</v>
      </c>
      <c r="C131" s="124">
        <f t="shared" ref="C131:Y131" si="111">IF(C39=0,0,C39/C$34)</f>
        <v>2.4774086760495598E-2</v>
      </c>
      <c r="D131" s="124">
        <f t="shared" si="111"/>
        <v>2.3229116112427225E-2</v>
      </c>
      <c r="E131" s="124">
        <f t="shared" si="111"/>
        <v>1.8724419744015813E-2</v>
      </c>
      <c r="F131" s="124">
        <f t="shared" si="111"/>
        <v>1.7709227964029184E-2</v>
      </c>
      <c r="G131" s="124">
        <f t="shared" si="111"/>
        <v>1.5993515718141452E-2</v>
      </c>
      <c r="H131" s="124">
        <f t="shared" si="111"/>
        <v>1.5622294803665886E-2</v>
      </c>
      <c r="I131" s="124">
        <f t="shared" si="111"/>
        <v>1.4873033749353845E-2</v>
      </c>
      <c r="J131" s="124">
        <f t="shared" si="111"/>
        <v>1.5573308365096567E-2</v>
      </c>
      <c r="K131" s="124">
        <f t="shared" si="111"/>
        <v>1.5864415657532049E-2</v>
      </c>
      <c r="L131" s="124">
        <f t="shared" si="111"/>
        <v>1.4301858925925342E-2</v>
      </c>
      <c r="M131" s="124">
        <f t="shared" si="111"/>
        <v>1.1876130882695733E-2</v>
      </c>
      <c r="N131" s="124">
        <f t="shared" si="111"/>
        <v>1.2790049344815179E-2</v>
      </c>
      <c r="O131" s="124">
        <f t="shared" si="111"/>
        <v>9.9855422645522829E-3</v>
      </c>
      <c r="P131" s="124">
        <f t="shared" si="111"/>
        <v>7.2491450243887369E-3</v>
      </c>
      <c r="Q131" s="124">
        <f t="shared" si="111"/>
        <v>9.6285153078029782E-3</v>
      </c>
      <c r="R131" s="124">
        <f t="shared" si="111"/>
        <v>8.6020799807087957E-3</v>
      </c>
      <c r="S131" s="124">
        <f t="shared" si="111"/>
        <v>9.0599460127585643E-3</v>
      </c>
      <c r="T131" s="124">
        <f t="shared" si="111"/>
        <v>7.9688619812901453E-3</v>
      </c>
      <c r="U131" s="124">
        <f t="shared" si="111"/>
        <v>9.7506008362292351E-3</v>
      </c>
      <c r="V131" s="124">
        <f t="shared" si="111"/>
        <v>8.0438318847532893E-3</v>
      </c>
      <c r="W131" s="124">
        <f t="shared" si="111"/>
        <v>7.7294814481154708E-3</v>
      </c>
      <c r="X131" s="124">
        <f t="shared" si="111"/>
        <v>7.2084908298053309E-3</v>
      </c>
      <c r="Y131" s="124">
        <f t="shared" si="111"/>
        <v>8.3760889940591478E-3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1.5476038394224001E-3</v>
      </c>
      <c r="C132" s="140">
        <f t="shared" ref="C132:Y132" si="112">IF(C40=0,0,C40/C$34)</f>
        <v>1.6897153045656091E-3</v>
      </c>
      <c r="D132" s="140">
        <f t="shared" si="112"/>
        <v>1.4931748032377468E-3</v>
      </c>
      <c r="E132" s="140">
        <f t="shared" si="112"/>
        <v>1.5328188670812746E-3</v>
      </c>
      <c r="F132" s="140">
        <f t="shared" si="112"/>
        <v>1.3324633254639489E-3</v>
      </c>
      <c r="G132" s="140">
        <f t="shared" si="112"/>
        <v>1.1270216830629163E-3</v>
      </c>
      <c r="H132" s="140">
        <f t="shared" si="112"/>
        <v>1.0860230356340517E-3</v>
      </c>
      <c r="I132" s="140">
        <f t="shared" si="112"/>
        <v>1.1040188626293699E-3</v>
      </c>
      <c r="J132" s="140">
        <f t="shared" si="112"/>
        <v>1.1521264866563062E-3</v>
      </c>
      <c r="K132" s="140">
        <f t="shared" si="112"/>
        <v>1.6458833850166565E-3</v>
      </c>
      <c r="L132" s="140">
        <f t="shared" si="112"/>
        <v>2.2186670745635725E-3</v>
      </c>
      <c r="M132" s="140">
        <f t="shared" si="112"/>
        <v>2.0947282811960852E-3</v>
      </c>
      <c r="N132" s="140">
        <f t="shared" si="112"/>
        <v>2.2677165122873552E-3</v>
      </c>
      <c r="O132" s="140">
        <f t="shared" si="112"/>
        <v>2.4680828266315188E-3</v>
      </c>
      <c r="P132" s="140">
        <f t="shared" si="112"/>
        <v>1.5855257747495286E-3</v>
      </c>
      <c r="Q132" s="140">
        <f t="shared" si="112"/>
        <v>1.4629546214647859E-3</v>
      </c>
      <c r="R132" s="140">
        <f t="shared" si="112"/>
        <v>1.5585352010869988E-3</v>
      </c>
      <c r="S132" s="140">
        <f t="shared" si="112"/>
        <v>1.9500612665814953E-3</v>
      </c>
      <c r="T132" s="140">
        <f t="shared" si="112"/>
        <v>1.8603872641421925E-3</v>
      </c>
      <c r="U132" s="140">
        <f t="shared" si="112"/>
        <v>1.8832537439833798E-3</v>
      </c>
      <c r="V132" s="140">
        <f t="shared" si="112"/>
        <v>2.0569696623127772E-3</v>
      </c>
      <c r="W132" s="140">
        <f t="shared" si="112"/>
        <v>1.9439308573501863E-3</v>
      </c>
      <c r="X132" s="140">
        <f t="shared" si="112"/>
        <v>1.9372753931260751E-3</v>
      </c>
      <c r="Y132" s="140">
        <f t="shared" si="112"/>
        <v>1.5716018365774379E-3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2.66053674057838E-2</v>
      </c>
      <c r="C133" s="140">
        <f t="shared" ref="C133:Y133" si="113">IF(C41=0,0,C41/C$34)</f>
        <v>2.3084371455929988E-2</v>
      </c>
      <c r="D133" s="140">
        <f t="shared" si="113"/>
        <v>2.1735941309189478E-2</v>
      </c>
      <c r="E133" s="140">
        <f t="shared" si="113"/>
        <v>1.7191600876934537E-2</v>
      </c>
      <c r="F133" s="140">
        <f t="shared" si="113"/>
        <v>1.6376764638565237E-2</v>
      </c>
      <c r="G133" s="140">
        <f t="shared" si="113"/>
        <v>1.4866494035078538E-2</v>
      </c>
      <c r="H133" s="140">
        <f t="shared" si="113"/>
        <v>1.4536271768031834E-2</v>
      </c>
      <c r="I133" s="140">
        <f t="shared" si="113"/>
        <v>1.3769014886724475E-2</v>
      </c>
      <c r="J133" s="140">
        <f t="shared" si="113"/>
        <v>1.442118187844026E-2</v>
      </c>
      <c r="K133" s="140">
        <f t="shared" si="113"/>
        <v>1.4218532272515393E-2</v>
      </c>
      <c r="L133" s="140">
        <f t="shared" si="113"/>
        <v>1.2083191851361769E-2</v>
      </c>
      <c r="M133" s="140">
        <f t="shared" si="113"/>
        <v>9.7814026014996468E-3</v>
      </c>
      <c r="N133" s="140">
        <f t="shared" si="113"/>
        <v>1.0522332832527825E-2</v>
      </c>
      <c r="O133" s="140">
        <f t="shared" si="113"/>
        <v>7.5174594379207645E-3</v>
      </c>
      <c r="P133" s="140">
        <f t="shared" si="113"/>
        <v>5.6636192496392077E-3</v>
      </c>
      <c r="Q133" s="140">
        <f t="shared" si="113"/>
        <v>8.1655606863381917E-3</v>
      </c>
      <c r="R133" s="140">
        <f t="shared" si="113"/>
        <v>7.0435447796217956E-3</v>
      </c>
      <c r="S133" s="140">
        <f t="shared" si="113"/>
        <v>7.1098847461770701E-3</v>
      </c>
      <c r="T133" s="140">
        <f t="shared" si="113"/>
        <v>6.1084747171479539E-3</v>
      </c>
      <c r="U133" s="140">
        <f t="shared" si="113"/>
        <v>7.8673470922458553E-3</v>
      </c>
      <c r="V133" s="140">
        <f t="shared" si="113"/>
        <v>5.986862222440513E-3</v>
      </c>
      <c r="W133" s="140">
        <f t="shared" si="113"/>
        <v>5.7855505907652843E-3</v>
      </c>
      <c r="X133" s="140">
        <f t="shared" si="113"/>
        <v>5.2712154366792562E-3</v>
      </c>
      <c r="Y133" s="140">
        <f t="shared" si="113"/>
        <v>6.8044871574817105E-3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6.8815487142952436E-2</v>
      </c>
      <c r="C135" s="124">
        <f t="shared" ref="C135:Y135" si="115">IF(C43=0,0,C43/C$34)</f>
        <v>9.7601813625816755E-2</v>
      </c>
      <c r="D135" s="124">
        <f t="shared" si="115"/>
        <v>9.175484997953387E-2</v>
      </c>
      <c r="E135" s="124">
        <f t="shared" si="115"/>
        <v>0.10352643989770631</v>
      </c>
      <c r="F135" s="124">
        <f t="shared" si="115"/>
        <v>9.2473203224626516E-2</v>
      </c>
      <c r="G135" s="124">
        <f t="shared" si="115"/>
        <v>9.6976530916975376E-2</v>
      </c>
      <c r="H135" s="124">
        <f t="shared" si="115"/>
        <v>9.3333104272035783E-2</v>
      </c>
      <c r="I135" s="124">
        <f t="shared" si="115"/>
        <v>0.10450703137475711</v>
      </c>
      <c r="J135" s="124">
        <f t="shared" si="115"/>
        <v>0.10063881944997367</v>
      </c>
      <c r="K135" s="124">
        <f t="shared" si="115"/>
        <v>7.8852343074428843E-2</v>
      </c>
      <c r="L135" s="124">
        <f t="shared" si="115"/>
        <v>8.3339877164986573E-2</v>
      </c>
      <c r="M135" s="124">
        <f t="shared" si="115"/>
        <v>8.7553766282854217E-2</v>
      </c>
      <c r="N135" s="124">
        <f t="shared" si="115"/>
        <v>7.5733930642702091E-2</v>
      </c>
      <c r="O135" s="124">
        <f t="shared" si="115"/>
        <v>8.2779804354338626E-2</v>
      </c>
      <c r="P135" s="124">
        <f t="shared" si="115"/>
        <v>7.6022274587095609E-2</v>
      </c>
      <c r="Q135" s="124">
        <f t="shared" si="115"/>
        <v>7.2788275168601119E-2</v>
      </c>
      <c r="R135" s="124">
        <f t="shared" si="115"/>
        <v>8.6000652276572762E-2</v>
      </c>
      <c r="S135" s="124">
        <f t="shared" si="115"/>
        <v>9.3513539604662563E-2</v>
      </c>
      <c r="T135" s="124">
        <f t="shared" si="115"/>
        <v>9.5063951498212576E-2</v>
      </c>
      <c r="U135" s="124">
        <f t="shared" si="115"/>
        <v>8.0876005042136698E-2</v>
      </c>
      <c r="V135" s="124">
        <f t="shared" si="115"/>
        <v>5.1775411643053791E-2</v>
      </c>
      <c r="W135" s="124">
        <f t="shared" si="115"/>
        <v>5.7026834361055732E-2</v>
      </c>
      <c r="X135" s="124">
        <f t="shared" si="115"/>
        <v>7.3785848692825146E-2</v>
      </c>
      <c r="Y135" s="124">
        <f t="shared" si="115"/>
        <v>7.7614330568915327E-2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1.4282412995371247E-2</v>
      </c>
      <c r="C136" s="140">
        <f t="shared" ref="C136:Y136" si="116">IF(C44=0,0,C44/C$34)</f>
        <v>2.9870472992504518E-2</v>
      </c>
      <c r="D136" s="140">
        <f t="shared" si="116"/>
        <v>1.638520033707859E-2</v>
      </c>
      <c r="E136" s="140">
        <f t="shared" si="116"/>
        <v>1.349413045102683E-2</v>
      </c>
      <c r="F136" s="140">
        <f t="shared" si="116"/>
        <v>1.0571851552398953E-2</v>
      </c>
      <c r="G136" s="140">
        <f t="shared" si="116"/>
        <v>6.5135159915809832E-3</v>
      </c>
      <c r="H136" s="140">
        <f t="shared" si="116"/>
        <v>1.138220142060385E-2</v>
      </c>
      <c r="I136" s="140">
        <f t="shared" si="116"/>
        <v>1.9465301487326662E-2</v>
      </c>
      <c r="J136" s="140">
        <f t="shared" si="116"/>
        <v>6.058728278812541E-3</v>
      </c>
      <c r="K136" s="140">
        <f t="shared" si="116"/>
        <v>1.075636705315885E-2</v>
      </c>
      <c r="L136" s="140">
        <f t="shared" si="116"/>
        <v>7.1514825285149807E-3</v>
      </c>
      <c r="M136" s="140">
        <f t="shared" si="116"/>
        <v>1.002126776836745E-2</v>
      </c>
      <c r="N136" s="140">
        <f t="shared" si="116"/>
        <v>4.9641552234203478E-3</v>
      </c>
      <c r="O136" s="140">
        <f t="shared" si="116"/>
        <v>6.0286092424475376E-3</v>
      </c>
      <c r="P136" s="140">
        <f t="shared" si="116"/>
        <v>3.9883367707770467E-3</v>
      </c>
      <c r="Q136" s="140">
        <f t="shared" si="116"/>
        <v>5.1989350056803503E-3</v>
      </c>
      <c r="R136" s="140">
        <f t="shared" si="116"/>
        <v>7.3124943558408846E-3</v>
      </c>
      <c r="S136" s="140">
        <f t="shared" si="116"/>
        <v>7.5392801847160591E-3</v>
      </c>
      <c r="T136" s="140">
        <f t="shared" si="116"/>
        <v>6.151484494447499E-3</v>
      </c>
      <c r="U136" s="140">
        <f t="shared" si="116"/>
        <v>2.40044910703466E-3</v>
      </c>
      <c r="V136" s="140">
        <f t="shared" si="116"/>
        <v>1.4548882013434039E-3</v>
      </c>
      <c r="W136" s="140">
        <f t="shared" si="116"/>
        <v>1.7427323405967952E-3</v>
      </c>
      <c r="X136" s="140">
        <f t="shared" si="116"/>
        <v>2.6445742356265246E-3</v>
      </c>
      <c r="Y136" s="140">
        <f t="shared" si="116"/>
        <v>1.8310676638472411E-3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4.6319041754502438E-2</v>
      </c>
      <c r="C137" s="140">
        <f t="shared" ref="C137:Y137" si="117">IF(C45=0,0,C45/C$34)</f>
        <v>5.7533094965306508E-2</v>
      </c>
      <c r="D137" s="140">
        <f t="shared" si="117"/>
        <v>6.4020816625701749E-2</v>
      </c>
      <c r="E137" s="140">
        <f t="shared" si="117"/>
        <v>7.6478427539949559E-2</v>
      </c>
      <c r="F137" s="140">
        <f t="shared" si="117"/>
        <v>6.9570163283373787E-2</v>
      </c>
      <c r="G137" s="140">
        <f t="shared" si="117"/>
        <v>7.7553663764269185E-2</v>
      </c>
      <c r="H137" s="140">
        <f t="shared" si="117"/>
        <v>7.107372617987312E-2</v>
      </c>
      <c r="I137" s="140">
        <f t="shared" si="117"/>
        <v>7.3907201931582914E-2</v>
      </c>
      <c r="J137" s="140">
        <f t="shared" si="117"/>
        <v>8.2036129715641073E-2</v>
      </c>
      <c r="K137" s="140">
        <f t="shared" si="117"/>
        <v>5.837470425009577E-2</v>
      </c>
      <c r="L137" s="140">
        <f t="shared" si="117"/>
        <v>6.5133883488891348E-2</v>
      </c>
      <c r="M137" s="140">
        <f t="shared" si="117"/>
        <v>6.6327871604842409E-2</v>
      </c>
      <c r="N137" s="140">
        <f t="shared" si="117"/>
        <v>6.0299477054319033E-2</v>
      </c>
      <c r="O137" s="140">
        <f t="shared" si="117"/>
        <v>6.5501245119325924E-2</v>
      </c>
      <c r="P137" s="140">
        <f t="shared" si="117"/>
        <v>6.1561363689924486E-2</v>
      </c>
      <c r="Q137" s="140">
        <f t="shared" si="117"/>
        <v>5.798557360924643E-2</v>
      </c>
      <c r="R137" s="140">
        <f t="shared" si="117"/>
        <v>6.8699030515850329E-2</v>
      </c>
      <c r="S137" s="140">
        <f t="shared" si="117"/>
        <v>7.5760255353711156E-2</v>
      </c>
      <c r="T137" s="140">
        <f t="shared" si="117"/>
        <v>7.8238087923425736E-2</v>
      </c>
      <c r="U137" s="140">
        <f t="shared" si="117"/>
        <v>6.8915844578781027E-2</v>
      </c>
      <c r="V137" s="140">
        <f t="shared" si="117"/>
        <v>4.216143051111669E-2</v>
      </c>
      <c r="W137" s="140">
        <f t="shared" si="117"/>
        <v>4.7015937006167186E-2</v>
      </c>
      <c r="X137" s="140">
        <f t="shared" si="117"/>
        <v>6.2904045131051939E-2</v>
      </c>
      <c r="Y137" s="140">
        <f t="shared" si="117"/>
        <v>6.6717067080018733E-2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8.2140323930787514E-3</v>
      </c>
      <c r="C138" s="140">
        <f t="shared" ref="C138:Y138" si="118">IF(C46=0,0,C46/C$34)</f>
        <v>1.0198245668005722E-2</v>
      </c>
      <c r="D138" s="140">
        <f t="shared" si="118"/>
        <v>1.134883301675354E-2</v>
      </c>
      <c r="E138" s="140">
        <f t="shared" si="118"/>
        <v>1.3553881906729922E-2</v>
      </c>
      <c r="F138" s="140">
        <f t="shared" si="118"/>
        <v>1.2331188388853788E-2</v>
      </c>
      <c r="G138" s="140">
        <f t="shared" si="118"/>
        <v>1.2909351161125206E-2</v>
      </c>
      <c r="H138" s="140">
        <f t="shared" si="118"/>
        <v>1.08771766715588E-2</v>
      </c>
      <c r="I138" s="140">
        <f t="shared" si="118"/>
        <v>1.1134527955847537E-2</v>
      </c>
      <c r="J138" s="140">
        <f t="shared" si="118"/>
        <v>1.2543961455520058E-2</v>
      </c>
      <c r="K138" s="140">
        <f t="shared" si="118"/>
        <v>9.7212717711742357E-3</v>
      </c>
      <c r="L138" s="140">
        <f t="shared" si="118"/>
        <v>1.1054511147580237E-2</v>
      </c>
      <c r="M138" s="140">
        <f t="shared" si="118"/>
        <v>1.1204626909644362E-2</v>
      </c>
      <c r="N138" s="140">
        <f t="shared" si="118"/>
        <v>1.0470298364962704E-2</v>
      </c>
      <c r="O138" s="140">
        <f t="shared" si="118"/>
        <v>1.1249949992565164E-2</v>
      </c>
      <c r="P138" s="140">
        <f t="shared" si="118"/>
        <v>1.0472574126394076E-2</v>
      </c>
      <c r="Q138" s="140">
        <f t="shared" si="118"/>
        <v>9.6037665536743474E-3</v>
      </c>
      <c r="R138" s="140">
        <f t="shared" si="118"/>
        <v>9.989127404881561E-3</v>
      </c>
      <c r="S138" s="140">
        <f t="shared" si="118"/>
        <v>1.0214004066235354E-2</v>
      </c>
      <c r="T138" s="140">
        <f t="shared" si="118"/>
        <v>1.0674379080339342E-2</v>
      </c>
      <c r="U138" s="140">
        <f t="shared" si="118"/>
        <v>9.5597113563210181E-3</v>
      </c>
      <c r="V138" s="140">
        <f t="shared" si="118"/>
        <v>8.1590929305937008E-3</v>
      </c>
      <c r="W138" s="140">
        <f t="shared" si="118"/>
        <v>8.2681650142917458E-3</v>
      </c>
      <c r="X138" s="140">
        <f t="shared" si="118"/>
        <v>8.2372293261466761E-3</v>
      </c>
      <c r="Y138" s="140">
        <f t="shared" si="118"/>
        <v>9.066195825049363E-3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0.88923233459024231</v>
      </c>
      <c r="C140" s="139">
        <f t="shared" ref="C140:Y140" si="121">IF(C48=0,0,C48/C$47)</f>
        <v>0.90473272348359213</v>
      </c>
      <c r="D140" s="139">
        <f t="shared" si="121"/>
        <v>0.90156314545725225</v>
      </c>
      <c r="E140" s="139">
        <f t="shared" si="121"/>
        <v>0.9246232892621491</v>
      </c>
      <c r="F140" s="139">
        <f t="shared" si="121"/>
        <v>0.92457994343459671</v>
      </c>
      <c r="G140" s="139">
        <f t="shared" si="121"/>
        <v>0.92803143869861704</v>
      </c>
      <c r="H140" s="139">
        <f t="shared" si="121"/>
        <v>0.93526113897928576</v>
      </c>
      <c r="I140" s="139">
        <f t="shared" si="121"/>
        <v>0.93406374482162946</v>
      </c>
      <c r="J140" s="139">
        <f t="shared" si="121"/>
        <v>0.90790018149682861</v>
      </c>
      <c r="K140" s="139">
        <f t="shared" si="121"/>
        <v>0.86977281323824762</v>
      </c>
      <c r="L140" s="139">
        <f t="shared" si="121"/>
        <v>0.86535871144229293</v>
      </c>
      <c r="M140" s="139">
        <f t="shared" si="121"/>
        <v>0.8914975317928362</v>
      </c>
      <c r="N140" s="139">
        <f t="shared" si="121"/>
        <v>0.88758594182812633</v>
      </c>
      <c r="O140" s="139">
        <f t="shared" si="121"/>
        <v>0.88261130894156825</v>
      </c>
      <c r="P140" s="139">
        <f t="shared" si="121"/>
        <v>0.88713332968959058</v>
      </c>
      <c r="Q140" s="139">
        <f t="shared" si="121"/>
        <v>0.87642835427214394</v>
      </c>
      <c r="R140" s="139">
        <f t="shared" si="121"/>
        <v>0.88241558882904303</v>
      </c>
      <c r="S140" s="139">
        <f t="shared" si="121"/>
        <v>0.88055201368604685</v>
      </c>
      <c r="T140" s="139">
        <f t="shared" si="121"/>
        <v>0.8678387844338491</v>
      </c>
      <c r="U140" s="139">
        <f t="shared" si="121"/>
        <v>0.83431299182781127</v>
      </c>
      <c r="V140" s="139">
        <f t="shared" si="121"/>
        <v>0.82897700579235456</v>
      </c>
      <c r="W140" s="139">
        <f t="shared" si="121"/>
        <v>0.96008585952731063</v>
      </c>
      <c r="X140" s="139">
        <f t="shared" si="121"/>
        <v>0.95318242554613142</v>
      </c>
      <c r="Y140" s="139">
        <f t="shared" si="121"/>
        <v>0.96878092770667013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0.34723267555860721</v>
      </c>
      <c r="C141" s="140">
        <f t="shared" ref="C141:Y141" si="122">IF(C49=0,0,C49/C$47)</f>
        <v>0.31209576645780535</v>
      </c>
      <c r="D141" s="140">
        <f t="shared" si="122"/>
        <v>0.33063177779019021</v>
      </c>
      <c r="E141" s="140">
        <f t="shared" si="122"/>
        <v>0.25395313097514299</v>
      </c>
      <c r="F141" s="140">
        <f t="shared" si="122"/>
        <v>0.25667240023586019</v>
      </c>
      <c r="G141" s="140">
        <f t="shared" si="122"/>
        <v>0.22114192201256219</v>
      </c>
      <c r="H141" s="140">
        <f t="shared" si="122"/>
        <v>0.23327028075657266</v>
      </c>
      <c r="I141" s="140">
        <f t="shared" si="122"/>
        <v>0.27688762143003903</v>
      </c>
      <c r="J141" s="140">
        <f t="shared" si="122"/>
        <v>0.26795440528563663</v>
      </c>
      <c r="K141" s="140">
        <f t="shared" si="122"/>
        <v>0.29073659479961672</v>
      </c>
      <c r="L141" s="140">
        <f t="shared" si="122"/>
        <v>0.28971732995269256</v>
      </c>
      <c r="M141" s="140">
        <f t="shared" si="122"/>
        <v>0.31680918168454997</v>
      </c>
      <c r="N141" s="140">
        <f t="shared" si="122"/>
        <v>0.31764098052660006</v>
      </c>
      <c r="O141" s="140">
        <f t="shared" si="122"/>
        <v>0.33948378297198412</v>
      </c>
      <c r="P141" s="140">
        <f t="shared" si="122"/>
        <v>0.32712416691719487</v>
      </c>
      <c r="Q141" s="140">
        <f t="shared" si="122"/>
        <v>0.32191678966272513</v>
      </c>
      <c r="R141" s="140">
        <f t="shared" si="122"/>
        <v>0.31549044148005656</v>
      </c>
      <c r="S141" s="140">
        <f t="shared" si="122"/>
        <v>0.271754309857688</v>
      </c>
      <c r="T141" s="140">
        <f t="shared" si="122"/>
        <v>0.27556808845032416</v>
      </c>
      <c r="U141" s="140">
        <f t="shared" si="122"/>
        <v>0.29088757283354588</v>
      </c>
      <c r="V141" s="140">
        <f t="shared" si="122"/>
        <v>0.25727267152944694</v>
      </c>
      <c r="W141" s="140">
        <f t="shared" si="122"/>
        <v>0.25163573452843824</v>
      </c>
      <c r="X141" s="140">
        <f t="shared" si="122"/>
        <v>0.25268531925530363</v>
      </c>
      <c r="Y141" s="140">
        <f t="shared" si="122"/>
        <v>0.23302281104608924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0.54199965903163505</v>
      </c>
      <c r="C142" s="140">
        <f t="shared" ref="C142:Y142" si="123">IF(C50=0,0,C50/C$47)</f>
        <v>0.59263695702578678</v>
      </c>
      <c r="D142" s="140">
        <f t="shared" si="123"/>
        <v>0.5709313676670621</v>
      </c>
      <c r="E142" s="140">
        <f t="shared" si="123"/>
        <v>0.67067015828700605</v>
      </c>
      <c r="F142" s="140">
        <f t="shared" si="123"/>
        <v>0.66790754319873646</v>
      </c>
      <c r="G142" s="140">
        <f t="shared" si="123"/>
        <v>0.70688951668605482</v>
      </c>
      <c r="H142" s="140">
        <f t="shared" si="123"/>
        <v>0.70199085822271301</v>
      </c>
      <c r="I142" s="140">
        <f t="shared" si="123"/>
        <v>0.65717612339159026</v>
      </c>
      <c r="J142" s="140">
        <f t="shared" si="123"/>
        <v>0.63994577621119186</v>
      </c>
      <c r="K142" s="140">
        <f t="shared" si="123"/>
        <v>0.57903621843863096</v>
      </c>
      <c r="L142" s="140">
        <f t="shared" si="123"/>
        <v>0.57564138148960042</v>
      </c>
      <c r="M142" s="140">
        <f t="shared" si="123"/>
        <v>0.57468835010828634</v>
      </c>
      <c r="N142" s="140">
        <f t="shared" si="123"/>
        <v>0.56994496130152617</v>
      </c>
      <c r="O142" s="140">
        <f t="shared" si="123"/>
        <v>0.54312752596958414</v>
      </c>
      <c r="P142" s="140">
        <f t="shared" si="123"/>
        <v>0.56000916277239576</v>
      </c>
      <c r="Q142" s="140">
        <f t="shared" si="123"/>
        <v>0.55451156460941875</v>
      </c>
      <c r="R142" s="140">
        <f t="shared" si="123"/>
        <v>0.56692514734898647</v>
      </c>
      <c r="S142" s="140">
        <f t="shared" si="123"/>
        <v>0.60879770382835885</v>
      </c>
      <c r="T142" s="140">
        <f t="shared" si="123"/>
        <v>0.59227069598352489</v>
      </c>
      <c r="U142" s="140">
        <f t="shared" si="123"/>
        <v>0.54342541899426533</v>
      </c>
      <c r="V142" s="140">
        <f t="shared" si="123"/>
        <v>0.57170433426290757</v>
      </c>
      <c r="W142" s="140">
        <f t="shared" si="123"/>
        <v>0.70845012499887239</v>
      </c>
      <c r="X142" s="140">
        <f t="shared" si="123"/>
        <v>0.70049710629082773</v>
      </c>
      <c r="Y142" s="140">
        <f t="shared" si="123"/>
        <v>0.73575811666058089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9.9169680195097559E-2</v>
      </c>
      <c r="C143" s="124">
        <f t="shared" ref="C143:Y143" si="124">IF(C51=0,0,C51/C$47)</f>
        <v>8.3374980128507914E-2</v>
      </c>
      <c r="D143" s="124">
        <f t="shared" si="124"/>
        <v>8.3142781259531326E-2</v>
      </c>
      <c r="E143" s="124">
        <f t="shared" si="124"/>
        <v>6.2212518618028928E-2</v>
      </c>
      <c r="F143" s="124">
        <f t="shared" si="124"/>
        <v>5.6124149414585801E-2</v>
      </c>
      <c r="G143" s="124">
        <f t="shared" si="124"/>
        <v>5.1983101935012925E-2</v>
      </c>
      <c r="H143" s="124">
        <f t="shared" si="124"/>
        <v>4.5926277471570465E-2</v>
      </c>
      <c r="I143" s="124">
        <f t="shared" si="124"/>
        <v>4.6123108730059294E-2</v>
      </c>
      <c r="J143" s="124">
        <f t="shared" si="124"/>
        <v>4.4700690667546492E-2</v>
      </c>
      <c r="K143" s="124">
        <f t="shared" si="124"/>
        <v>2.8889171259976063E-2</v>
      </c>
      <c r="L143" s="124">
        <f t="shared" si="124"/>
        <v>2.6194444798142744E-2</v>
      </c>
      <c r="M143" s="124">
        <f t="shared" si="124"/>
        <v>2.5542606432791555E-2</v>
      </c>
      <c r="N143" s="124">
        <f t="shared" si="124"/>
        <v>2.2111928144677967E-2</v>
      </c>
      <c r="O143" s="124">
        <f t="shared" si="124"/>
        <v>2.0762208967002333E-2</v>
      </c>
      <c r="P143" s="124">
        <f t="shared" si="124"/>
        <v>2.0091931518818516E-2</v>
      </c>
      <c r="Q143" s="124">
        <f t="shared" si="124"/>
        <v>2.1977072834721136E-2</v>
      </c>
      <c r="R143" s="124">
        <f t="shared" si="124"/>
        <v>2.0556273660370415E-2</v>
      </c>
      <c r="S143" s="124">
        <f t="shared" si="124"/>
        <v>2.2689413116059872E-2</v>
      </c>
      <c r="T143" s="124">
        <f t="shared" si="124"/>
        <v>2.2059781246330647E-2</v>
      </c>
      <c r="U143" s="124">
        <f t="shared" si="124"/>
        <v>2.6411668432007197E-2</v>
      </c>
      <c r="V143" s="124">
        <f t="shared" si="124"/>
        <v>3.1300728185342991E-2</v>
      </c>
      <c r="W143" s="124">
        <f t="shared" si="124"/>
        <v>3.4684098375421572E-2</v>
      </c>
      <c r="X143" s="124">
        <f t="shared" si="124"/>
        <v>3.8649125005788189E-2</v>
      </c>
      <c r="Y143" s="124">
        <f t="shared" si="124"/>
        <v>2.6289496951740789E-2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4.6880549133693676E-3</v>
      </c>
      <c r="C144" s="124">
        <f t="shared" ref="C144:Y144" si="125">IF(C52=0,0,C52/C$47)</f>
        <v>3.2430534886592299E-3</v>
      </c>
      <c r="D144" s="124">
        <f t="shared" si="125"/>
        <v>3.8299937235040738E-3</v>
      </c>
      <c r="E144" s="124">
        <f t="shared" si="125"/>
        <v>3.0419017103071981E-3</v>
      </c>
      <c r="F144" s="124">
        <f t="shared" si="125"/>
        <v>2.9393701109708837E-3</v>
      </c>
      <c r="G144" s="124">
        <f t="shared" si="125"/>
        <v>3.6043117681588653E-3</v>
      </c>
      <c r="H144" s="124">
        <f t="shared" si="125"/>
        <v>3.5970739064515606E-3</v>
      </c>
      <c r="I144" s="124">
        <f t="shared" si="125"/>
        <v>4.044883285125458E-3</v>
      </c>
      <c r="J144" s="124">
        <f t="shared" si="125"/>
        <v>4.4480558908202754E-3</v>
      </c>
      <c r="K144" s="124">
        <f t="shared" si="125"/>
        <v>4.0690891152166172E-3</v>
      </c>
      <c r="L144" s="124">
        <f t="shared" si="125"/>
        <v>5.4568665959975997E-3</v>
      </c>
      <c r="M144" s="124">
        <f t="shared" si="125"/>
        <v>4.29079881771621E-3</v>
      </c>
      <c r="N144" s="124">
        <f t="shared" si="125"/>
        <v>3.2328946732737107E-3</v>
      </c>
      <c r="O144" s="124">
        <f t="shared" si="125"/>
        <v>3.6221374749005378E-3</v>
      </c>
      <c r="P144" s="124">
        <f t="shared" si="125"/>
        <v>3.5263345102941514E-3</v>
      </c>
      <c r="Q144" s="124">
        <f t="shared" si="125"/>
        <v>4.1320383296970138E-3</v>
      </c>
      <c r="R144" s="124">
        <f t="shared" si="125"/>
        <v>3.9116357688934109E-3</v>
      </c>
      <c r="S144" s="124">
        <f t="shared" si="125"/>
        <v>4.5931287298537713E-3</v>
      </c>
      <c r="T144" s="124">
        <f t="shared" si="125"/>
        <v>4.2675161296822873E-3</v>
      </c>
      <c r="U144" s="124">
        <f t="shared" si="125"/>
        <v>4.2771154345978826E-3</v>
      </c>
      <c r="V144" s="124">
        <f t="shared" si="125"/>
        <v>5.3469681284713843E-3</v>
      </c>
      <c r="W144" s="124">
        <f t="shared" si="125"/>
        <v>5.0439077839122895E-3</v>
      </c>
      <c r="X144" s="124">
        <f t="shared" si="125"/>
        <v>7.9007104240221334E-3</v>
      </c>
      <c r="Y144" s="124">
        <f t="shared" si="125"/>
        <v>4.6828367841825601E-3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3.9147993606143414E-3</v>
      </c>
      <c r="C146" s="140">
        <f t="shared" ref="C146:Y146" si="127">IF(C54=0,0,C54/C$47)</f>
        <v>2.2783882765591034E-3</v>
      </c>
      <c r="D146" s="140">
        <f t="shared" si="127"/>
        <v>2.6022781141704318E-3</v>
      </c>
      <c r="E146" s="140">
        <f t="shared" si="127"/>
        <v>1.9689135770723249E-3</v>
      </c>
      <c r="F146" s="140">
        <f t="shared" si="127"/>
        <v>1.8976650380988368E-3</v>
      </c>
      <c r="G146" s="140">
        <f t="shared" si="127"/>
        <v>2.3075107920198278E-3</v>
      </c>
      <c r="H146" s="140">
        <f t="shared" si="127"/>
        <v>2.4071199477361709E-3</v>
      </c>
      <c r="I146" s="140">
        <f t="shared" si="127"/>
        <v>2.8785520579749568E-3</v>
      </c>
      <c r="J146" s="140">
        <f t="shared" si="127"/>
        <v>3.4903647599784978E-3</v>
      </c>
      <c r="K146" s="140">
        <f t="shared" si="127"/>
        <v>2.6155912654281877E-3</v>
      </c>
      <c r="L146" s="140">
        <f t="shared" si="127"/>
        <v>2.8564598025725575E-3</v>
      </c>
      <c r="M146" s="140">
        <f t="shared" si="127"/>
        <v>2.6886308702185691E-3</v>
      </c>
      <c r="N146" s="140">
        <f t="shared" si="127"/>
        <v>2.7608649134097597E-3</v>
      </c>
      <c r="O146" s="140">
        <f t="shared" si="127"/>
        <v>3.118433060942798E-3</v>
      </c>
      <c r="P146" s="140">
        <f t="shared" si="127"/>
        <v>2.9060338832361185E-3</v>
      </c>
      <c r="Q146" s="140">
        <f t="shared" si="127"/>
        <v>2.7130817440991295E-3</v>
      </c>
      <c r="R146" s="140">
        <f t="shared" si="127"/>
        <v>2.4926987876972779E-3</v>
      </c>
      <c r="S146" s="140">
        <f t="shared" si="127"/>
        <v>2.8110393269059793E-3</v>
      </c>
      <c r="T146" s="140">
        <f t="shared" si="127"/>
        <v>3.0621066952295547E-3</v>
      </c>
      <c r="U146" s="140">
        <f t="shared" si="127"/>
        <v>3.6171917653077222E-3</v>
      </c>
      <c r="V146" s="140">
        <f t="shared" si="127"/>
        <v>4.5084436319568063E-3</v>
      </c>
      <c r="W146" s="140">
        <f t="shared" si="127"/>
        <v>4.5441515979742393E-3</v>
      </c>
      <c r="X146" s="140">
        <f t="shared" si="127"/>
        <v>6.7132958355743087E-3</v>
      </c>
      <c r="Y146" s="140">
        <f t="shared" si="127"/>
        <v>3.9359980137540556E-3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7.7325555275502657E-4</v>
      </c>
      <c r="C147" s="140">
        <f t="shared" ref="C147:Y147" si="128">IF(C55=0,0,C55/C$47)</f>
        <v>9.6466521210012617E-4</v>
      </c>
      <c r="D147" s="140">
        <f t="shared" si="128"/>
        <v>1.2277156093336414E-3</v>
      </c>
      <c r="E147" s="140">
        <f t="shared" si="128"/>
        <v>1.0729881332348732E-3</v>
      </c>
      <c r="F147" s="140">
        <f t="shared" si="128"/>
        <v>1.0417050728720467E-3</v>
      </c>
      <c r="G147" s="140">
        <f t="shared" si="128"/>
        <v>1.2968009761390373E-3</v>
      </c>
      <c r="H147" s="140">
        <f t="shared" si="128"/>
        <v>1.1899539587153904E-3</v>
      </c>
      <c r="I147" s="140">
        <f t="shared" si="128"/>
        <v>1.1663312271505012E-3</v>
      </c>
      <c r="J147" s="140">
        <f t="shared" si="128"/>
        <v>9.5769113084177772E-4</v>
      </c>
      <c r="K147" s="140">
        <f t="shared" si="128"/>
        <v>1.4534978497884297E-3</v>
      </c>
      <c r="L147" s="140">
        <f t="shared" si="128"/>
        <v>2.6004067934250422E-3</v>
      </c>
      <c r="M147" s="140">
        <f t="shared" si="128"/>
        <v>1.6021679474976407E-3</v>
      </c>
      <c r="N147" s="140">
        <f t="shared" si="128"/>
        <v>4.7202975986395101E-4</v>
      </c>
      <c r="O147" s="140">
        <f t="shared" si="128"/>
        <v>5.0370441395774027E-4</v>
      </c>
      <c r="P147" s="140">
        <f t="shared" si="128"/>
        <v>6.2030062705803251E-4</v>
      </c>
      <c r="Q147" s="140">
        <f t="shared" si="128"/>
        <v>1.4189565855978843E-3</v>
      </c>
      <c r="R147" s="140">
        <f t="shared" si="128"/>
        <v>1.4189369811961326E-3</v>
      </c>
      <c r="S147" s="140">
        <f t="shared" si="128"/>
        <v>1.7820894029477918E-3</v>
      </c>
      <c r="T147" s="140">
        <f t="shared" si="128"/>
        <v>1.2054094344527331E-3</v>
      </c>
      <c r="U147" s="140">
        <f t="shared" si="128"/>
        <v>6.5992366929016016E-4</v>
      </c>
      <c r="V147" s="140">
        <f t="shared" si="128"/>
        <v>8.3852449651457793E-4</v>
      </c>
      <c r="W147" s="140">
        <f t="shared" si="128"/>
        <v>4.9975618593805073E-4</v>
      </c>
      <c r="X147" s="140">
        <f t="shared" si="128"/>
        <v>1.1874145884478247E-3</v>
      </c>
      <c r="Y147" s="140">
        <f t="shared" si="128"/>
        <v>7.4683877042850452E-4</v>
      </c>
      <c r="DA147" s="175"/>
    </row>
    <row r="148" spans="1:105" ht="11.45" customHeight="1" x14ac:dyDescent="0.25">
      <c r="A148" s="109" t="s">
        <v>141</v>
      </c>
      <c r="B148" s="124">
        <f t="shared" si="119"/>
        <v>6.9099303012907787E-3</v>
      </c>
      <c r="C148" s="124">
        <f t="shared" ref="C148:Y148" si="129">IF(C56=0,0,C56/C$47)</f>
        <v>8.6492428992408742E-3</v>
      </c>
      <c r="D148" s="124">
        <f t="shared" si="129"/>
        <v>1.1464079559712379E-2</v>
      </c>
      <c r="E148" s="124">
        <f t="shared" si="129"/>
        <v>1.012229040951486E-2</v>
      </c>
      <c r="F148" s="124">
        <f t="shared" si="129"/>
        <v>1.6356537039846551E-2</v>
      </c>
      <c r="G148" s="124">
        <f t="shared" si="129"/>
        <v>1.6381147598211222E-2</v>
      </c>
      <c r="H148" s="124">
        <f t="shared" si="129"/>
        <v>1.5215509642692183E-2</v>
      </c>
      <c r="I148" s="124">
        <f t="shared" si="129"/>
        <v>1.5768263163185834E-2</v>
      </c>
      <c r="J148" s="124">
        <f t="shared" si="129"/>
        <v>4.2951071944804728E-2</v>
      </c>
      <c r="K148" s="124">
        <f t="shared" si="129"/>
        <v>9.7268926386559693E-2</v>
      </c>
      <c r="L148" s="124">
        <f t="shared" si="129"/>
        <v>0.1029899771635667</v>
      </c>
      <c r="M148" s="124">
        <f t="shared" si="129"/>
        <v>7.8669062956655975E-2</v>
      </c>
      <c r="N148" s="124">
        <f t="shared" si="129"/>
        <v>8.7069235353921942E-2</v>
      </c>
      <c r="O148" s="124">
        <f t="shared" si="129"/>
        <v>9.3004344616528817E-2</v>
      </c>
      <c r="P148" s="124">
        <f t="shared" si="129"/>
        <v>8.9248404281296628E-2</v>
      </c>
      <c r="Q148" s="124">
        <f t="shared" si="129"/>
        <v>9.7462534563437911E-2</v>
      </c>
      <c r="R148" s="124">
        <f t="shared" si="129"/>
        <v>9.311650174169317E-2</v>
      </c>
      <c r="S148" s="124">
        <f t="shared" si="129"/>
        <v>9.2165444468039648E-2</v>
      </c>
      <c r="T148" s="124">
        <f t="shared" si="129"/>
        <v>0.1058339181901379</v>
      </c>
      <c r="U148" s="124">
        <f t="shared" si="129"/>
        <v>0.13499822430558361</v>
      </c>
      <c r="V148" s="124">
        <f t="shared" si="129"/>
        <v>0.13437529789383107</v>
      </c>
      <c r="W148" s="124">
        <f t="shared" si="129"/>
        <v>1.861343133554673E-4</v>
      </c>
      <c r="X148" s="124">
        <f t="shared" si="129"/>
        <v>2.6773902405818634E-4</v>
      </c>
      <c r="Y148" s="124">
        <f t="shared" si="129"/>
        <v>2.46738557406395E-4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6.9099303012907787E-3</v>
      </c>
      <c r="C150" s="127">
        <f t="shared" ref="C150:Y150" si="131">IF(C58=0,0,C58/C$47)</f>
        <v>8.6492428992408742E-3</v>
      </c>
      <c r="D150" s="127">
        <f t="shared" si="131"/>
        <v>1.1464079559712379E-2</v>
      </c>
      <c r="E150" s="127">
        <f t="shared" si="131"/>
        <v>1.012229040951486E-2</v>
      </c>
      <c r="F150" s="127">
        <f t="shared" si="131"/>
        <v>1.6356537039846551E-2</v>
      </c>
      <c r="G150" s="127">
        <f t="shared" si="131"/>
        <v>1.6381147598211222E-2</v>
      </c>
      <c r="H150" s="127">
        <f t="shared" si="131"/>
        <v>1.5215509642692183E-2</v>
      </c>
      <c r="I150" s="127">
        <f t="shared" si="131"/>
        <v>1.5768263163185834E-2</v>
      </c>
      <c r="J150" s="127">
        <f t="shared" si="131"/>
        <v>4.2951071944804728E-2</v>
      </c>
      <c r="K150" s="127">
        <f t="shared" si="131"/>
        <v>9.7268926386559693E-2</v>
      </c>
      <c r="L150" s="127">
        <f t="shared" si="131"/>
        <v>0.1029899771635667</v>
      </c>
      <c r="M150" s="127">
        <f t="shared" si="131"/>
        <v>7.8669062956655975E-2</v>
      </c>
      <c r="N150" s="127">
        <f t="shared" si="131"/>
        <v>8.7069235353921942E-2</v>
      </c>
      <c r="O150" s="127">
        <f t="shared" si="131"/>
        <v>9.3004344616528817E-2</v>
      </c>
      <c r="P150" s="127">
        <f t="shared" si="131"/>
        <v>8.9248404281296628E-2</v>
      </c>
      <c r="Q150" s="127">
        <f t="shared" si="131"/>
        <v>9.7462534563437911E-2</v>
      </c>
      <c r="R150" s="127">
        <f t="shared" si="131"/>
        <v>9.311650174169317E-2</v>
      </c>
      <c r="S150" s="127">
        <f t="shared" si="131"/>
        <v>9.2165444468039648E-2</v>
      </c>
      <c r="T150" s="127">
        <f t="shared" si="131"/>
        <v>0.1058339181901379</v>
      </c>
      <c r="U150" s="127">
        <f t="shared" si="131"/>
        <v>0.13499822430558361</v>
      </c>
      <c r="V150" s="127">
        <f t="shared" si="131"/>
        <v>0.13437529789383107</v>
      </c>
      <c r="W150" s="127">
        <f t="shared" si="131"/>
        <v>1.861343133554673E-4</v>
      </c>
      <c r="X150" s="127">
        <f t="shared" si="131"/>
        <v>2.6773902405818634E-4</v>
      </c>
      <c r="Y150" s="127">
        <f t="shared" si="131"/>
        <v>2.46738557406395E-4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0.49047961177392779</v>
      </c>
      <c r="C152" s="140">
        <f t="shared" si="133"/>
        <v>0.48827428215873464</v>
      </c>
      <c r="D152" s="140">
        <f t="shared" si="133"/>
        <v>0.49440893102171973</v>
      </c>
      <c r="E152" s="140">
        <f t="shared" si="133"/>
        <v>0.40117424292480836</v>
      </c>
      <c r="F152" s="140">
        <f t="shared" si="133"/>
        <v>0.37498802133355863</v>
      </c>
      <c r="G152" s="140">
        <f t="shared" si="133"/>
        <v>0.37232570883376725</v>
      </c>
      <c r="H152" s="140">
        <f t="shared" si="133"/>
        <v>0.40566066026136544</v>
      </c>
      <c r="I152" s="140">
        <f t="shared" si="133"/>
        <v>0.31655278727556685</v>
      </c>
      <c r="J152" s="140">
        <f t="shared" si="133"/>
        <v>0.35954464307477763</v>
      </c>
      <c r="K152" s="140">
        <f t="shared" si="133"/>
        <v>0.52203076920339231</v>
      </c>
      <c r="L152" s="140">
        <f t="shared" si="133"/>
        <v>0.4630139001354816</v>
      </c>
      <c r="M152" s="140">
        <f t="shared" si="133"/>
        <v>0.4998010642719623</v>
      </c>
      <c r="N152" s="140">
        <f t="shared" si="133"/>
        <v>0.49748639177188098</v>
      </c>
      <c r="O152" s="140">
        <f t="shared" si="133"/>
        <v>0.52257118457904883</v>
      </c>
      <c r="P152" s="140">
        <f t="shared" si="133"/>
        <v>0.49973793766798746</v>
      </c>
      <c r="Q152" s="140">
        <f t="shared" si="133"/>
        <v>0.47186113889265807</v>
      </c>
      <c r="R152" s="140">
        <f t="shared" si="133"/>
        <v>0.50834325482869358</v>
      </c>
      <c r="S152" s="140">
        <f t="shared" si="133"/>
        <v>0.53193706984746181</v>
      </c>
      <c r="T152" s="140">
        <f t="shared" si="133"/>
        <v>0.54220426895592444</v>
      </c>
      <c r="U152" s="140">
        <f t="shared" si="133"/>
        <v>0.52951909422571375</v>
      </c>
      <c r="V152" s="140">
        <f t="shared" si="133"/>
        <v>0.49277747087051199</v>
      </c>
      <c r="W152" s="140">
        <f t="shared" si="133"/>
        <v>0.45768624893532128</v>
      </c>
      <c r="X152" s="140">
        <f t="shared" si="133"/>
        <v>0.46473651772616015</v>
      </c>
      <c r="Y152" s="140">
        <f t="shared" si="133"/>
        <v>0.45275524554462987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0.50952038822607215</v>
      </c>
      <c r="C153" s="127">
        <f t="shared" si="134"/>
        <v>0.51172571784126542</v>
      </c>
      <c r="D153" s="127">
        <f t="shared" si="134"/>
        <v>0.50559106897828032</v>
      </c>
      <c r="E153" s="127">
        <f t="shared" si="134"/>
        <v>0.5988257570751917</v>
      </c>
      <c r="F153" s="127">
        <f t="shared" si="134"/>
        <v>0.62501197866644143</v>
      </c>
      <c r="G153" s="127">
        <f t="shared" si="134"/>
        <v>0.62767429116623275</v>
      </c>
      <c r="H153" s="127">
        <f t="shared" si="134"/>
        <v>0.59433933973863462</v>
      </c>
      <c r="I153" s="127">
        <f t="shared" si="134"/>
        <v>0.68344721272443321</v>
      </c>
      <c r="J153" s="127">
        <f t="shared" si="134"/>
        <v>0.64045535692522237</v>
      </c>
      <c r="K153" s="127">
        <f t="shared" si="134"/>
        <v>0.47796923079660775</v>
      </c>
      <c r="L153" s="127">
        <f t="shared" si="134"/>
        <v>0.5369860998645184</v>
      </c>
      <c r="M153" s="127">
        <f t="shared" si="134"/>
        <v>0.50019893572803764</v>
      </c>
      <c r="N153" s="127">
        <f t="shared" si="134"/>
        <v>0.50251360822811908</v>
      </c>
      <c r="O153" s="127">
        <f t="shared" si="134"/>
        <v>0.47742881542095111</v>
      </c>
      <c r="P153" s="127">
        <f t="shared" si="134"/>
        <v>0.50026206233201254</v>
      </c>
      <c r="Q153" s="127">
        <f t="shared" si="134"/>
        <v>0.52813886110734187</v>
      </c>
      <c r="R153" s="127">
        <f t="shared" si="134"/>
        <v>0.49165674517130631</v>
      </c>
      <c r="S153" s="127">
        <f t="shared" si="134"/>
        <v>0.46806293015253814</v>
      </c>
      <c r="T153" s="127">
        <f t="shared" si="134"/>
        <v>0.45779573104407562</v>
      </c>
      <c r="U153" s="127">
        <f t="shared" si="134"/>
        <v>0.47048090577428631</v>
      </c>
      <c r="V153" s="127">
        <f t="shared" si="134"/>
        <v>0.50722252912948806</v>
      </c>
      <c r="W153" s="127">
        <f t="shared" si="134"/>
        <v>0.54231375106467861</v>
      </c>
      <c r="X153" s="127">
        <f t="shared" si="134"/>
        <v>0.5352634822738398</v>
      </c>
      <c r="Y153" s="127">
        <f t="shared" si="134"/>
        <v>0.54724475445537013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0.91502230537096085</v>
      </c>
      <c r="C157" s="139">
        <f t="shared" ref="C157:W157" si="138">IF(C65=0,0,C65/C$64)</f>
        <v>0.88763490254684363</v>
      </c>
      <c r="D157" s="139">
        <f t="shared" si="138"/>
        <v>0.89556993538629737</v>
      </c>
      <c r="E157" s="139">
        <f t="shared" si="138"/>
        <v>0.88603193509141087</v>
      </c>
      <c r="F157" s="139">
        <f t="shared" si="138"/>
        <v>0.89782424937131289</v>
      </c>
      <c r="G157" s="139">
        <f t="shared" si="138"/>
        <v>0.89334964814647855</v>
      </c>
      <c r="H157" s="139">
        <f t="shared" si="138"/>
        <v>0.89602519932571667</v>
      </c>
      <c r="I157" s="139">
        <f t="shared" si="138"/>
        <v>0.88569605320422096</v>
      </c>
      <c r="J157" s="139">
        <f t="shared" si="138"/>
        <v>0.88904417331826968</v>
      </c>
      <c r="K157" s="139">
        <f t="shared" si="138"/>
        <v>0.91304373722649246</v>
      </c>
      <c r="L157" s="139">
        <f t="shared" si="138"/>
        <v>0.9076863934289976</v>
      </c>
      <c r="M157" s="139">
        <f t="shared" si="138"/>
        <v>0.90444436734964251</v>
      </c>
      <c r="N157" s="139">
        <f t="shared" si="138"/>
        <v>0.91333131100390674</v>
      </c>
      <c r="O157" s="139">
        <f t="shared" si="138"/>
        <v>0.90641705911685833</v>
      </c>
      <c r="P157" s="139">
        <f t="shared" si="138"/>
        <v>0.91565648438628688</v>
      </c>
      <c r="Q157" s="139">
        <f t="shared" si="138"/>
        <v>0.9181443665466732</v>
      </c>
      <c r="R157" s="139">
        <f t="shared" si="138"/>
        <v>0.90398112260575503</v>
      </c>
      <c r="S157" s="139">
        <f t="shared" si="138"/>
        <v>0.89607531310763944</v>
      </c>
      <c r="T157" s="139">
        <f t="shared" si="138"/>
        <v>0.89564493534679546</v>
      </c>
      <c r="U157" s="139">
        <f t="shared" si="138"/>
        <v>0.910813390863494</v>
      </c>
      <c r="V157" s="139">
        <f t="shared" si="138"/>
        <v>0.9424225714352088</v>
      </c>
      <c r="W157" s="139">
        <f t="shared" si="138"/>
        <v>0.93738208558135661</v>
      </c>
      <c r="X157" s="139">
        <f t="shared" ref="X157:Y157" si="139">IF(X65=0,0,X65/X$64)</f>
        <v>0.91910828371132813</v>
      </c>
      <c r="Y157" s="139">
        <f t="shared" si="139"/>
        <v>0.91521088800616535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8.4671403081005049E-3</v>
      </c>
      <c r="C158" s="140">
        <f t="shared" ref="C158:W158" si="140">IF(C66=0,0,C66/C$64)</f>
        <v>8.2510842571211062E-3</v>
      </c>
      <c r="D158" s="140">
        <f t="shared" si="140"/>
        <v>7.8700272049315352E-3</v>
      </c>
      <c r="E158" s="140">
        <f t="shared" si="140"/>
        <v>7.3418002900134081E-3</v>
      </c>
      <c r="F158" s="140">
        <f t="shared" si="140"/>
        <v>7.1579014642719407E-3</v>
      </c>
      <c r="G158" s="140">
        <f t="shared" si="140"/>
        <v>6.8886399525270687E-3</v>
      </c>
      <c r="H158" s="140">
        <f t="shared" si="140"/>
        <v>6.7158067998207968E-3</v>
      </c>
      <c r="I158" s="140">
        <f t="shared" si="140"/>
        <v>7.1777257030343333E-3</v>
      </c>
      <c r="J158" s="140">
        <f t="shared" si="140"/>
        <v>7.6247652351280242E-3</v>
      </c>
      <c r="K158" s="140">
        <f t="shared" si="140"/>
        <v>8.0965308081487903E-3</v>
      </c>
      <c r="L158" s="140">
        <f t="shared" si="140"/>
        <v>8.9164486945922019E-3</v>
      </c>
      <c r="M158" s="140">
        <f t="shared" si="140"/>
        <v>9.3061956202271888E-3</v>
      </c>
      <c r="N158" s="140">
        <f t="shared" si="140"/>
        <v>9.6359729687847551E-3</v>
      </c>
      <c r="O158" s="140">
        <f t="shared" si="140"/>
        <v>1.1246053371395887E-2</v>
      </c>
      <c r="P158" s="140">
        <f t="shared" si="140"/>
        <v>1.0239640599993428E-2</v>
      </c>
      <c r="Q158" s="140">
        <f t="shared" si="140"/>
        <v>9.6558933022814642E-3</v>
      </c>
      <c r="R158" s="140">
        <f t="shared" si="140"/>
        <v>9.8412778313100215E-3</v>
      </c>
      <c r="S158" s="140">
        <f t="shared" si="140"/>
        <v>9.1987325313562327E-3</v>
      </c>
      <c r="T158" s="140">
        <f t="shared" si="140"/>
        <v>8.2939092213120368E-3</v>
      </c>
      <c r="U158" s="140">
        <f t="shared" si="140"/>
        <v>8.315289308961105E-3</v>
      </c>
      <c r="V158" s="140">
        <f t="shared" si="140"/>
        <v>8.5071647654333272E-3</v>
      </c>
      <c r="W158" s="140">
        <f t="shared" si="140"/>
        <v>8.1510845179944991E-3</v>
      </c>
      <c r="X158" s="140">
        <f t="shared" ref="X158:Y158" si="141">IF(X66=0,0,X66/X$64)</f>
        <v>8.0311359333716959E-3</v>
      </c>
      <c r="Y158" s="140">
        <f t="shared" si="141"/>
        <v>8.5176234486452219E-3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0.70932207018173943</v>
      </c>
      <c r="C159" s="140">
        <f t="shared" ref="C159:W159" si="142">IF(C67=0,0,C67/C$64)</f>
        <v>0.68623585470094262</v>
      </c>
      <c r="D159" s="140">
        <f t="shared" si="142"/>
        <v>0.68413799092233363</v>
      </c>
      <c r="E159" s="140">
        <f t="shared" si="142"/>
        <v>0.71602406005194097</v>
      </c>
      <c r="F159" s="140">
        <f t="shared" si="142"/>
        <v>0.74640211574227366</v>
      </c>
      <c r="G159" s="140">
        <f t="shared" si="142"/>
        <v>0.74911642476744933</v>
      </c>
      <c r="H159" s="140">
        <f t="shared" si="142"/>
        <v>0.76517994232038711</v>
      </c>
      <c r="I159" s="140">
        <f t="shared" si="142"/>
        <v>0.74304094173027935</v>
      </c>
      <c r="J159" s="140">
        <f t="shared" si="142"/>
        <v>0.76430537758244421</v>
      </c>
      <c r="K159" s="140">
        <f t="shared" si="142"/>
        <v>0.78188504220798383</v>
      </c>
      <c r="L159" s="140">
        <f t="shared" si="142"/>
        <v>0.78386427420215588</v>
      </c>
      <c r="M159" s="140">
        <f t="shared" si="142"/>
        <v>0.7693032484295157</v>
      </c>
      <c r="N159" s="140">
        <f t="shared" si="142"/>
        <v>0.79634810410210877</v>
      </c>
      <c r="O159" s="140">
        <f t="shared" si="142"/>
        <v>0.78688271994409942</v>
      </c>
      <c r="P159" s="140">
        <f t="shared" si="142"/>
        <v>0.81117329371866709</v>
      </c>
      <c r="Q159" s="140">
        <f t="shared" si="142"/>
        <v>0.81467833299201553</v>
      </c>
      <c r="R159" s="140">
        <f t="shared" si="142"/>
        <v>0.81272980598301381</v>
      </c>
      <c r="S159" s="140">
        <f t="shared" si="142"/>
        <v>0.81345733930031905</v>
      </c>
      <c r="T159" s="140">
        <f t="shared" si="142"/>
        <v>0.81580952927189954</v>
      </c>
      <c r="U159" s="140">
        <f t="shared" si="142"/>
        <v>0.82805505675950364</v>
      </c>
      <c r="V159" s="140">
        <f t="shared" si="142"/>
        <v>0.85172981537343662</v>
      </c>
      <c r="W159" s="140">
        <f t="shared" si="142"/>
        <v>0.85376879463977662</v>
      </c>
      <c r="X159" s="140">
        <f t="shared" ref="X159:Y159" si="143">IF(X67=0,0,X67/X$64)</f>
        <v>0.83816210403956948</v>
      </c>
      <c r="Y159" s="140">
        <f t="shared" si="143"/>
        <v>0.8356403749383432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0.19723309488112084</v>
      </c>
      <c r="C160" s="140">
        <f t="shared" ref="C160:W160" si="144">IF(C68=0,0,C68/C$64)</f>
        <v>0.19314796358877986</v>
      </c>
      <c r="D160" s="140">
        <f t="shared" si="144"/>
        <v>0.20356191725903225</v>
      </c>
      <c r="E160" s="140">
        <f t="shared" si="144"/>
        <v>0.16266607474945635</v>
      </c>
      <c r="F160" s="140">
        <f t="shared" si="144"/>
        <v>0.14426423216476725</v>
      </c>
      <c r="G160" s="140">
        <f t="shared" si="144"/>
        <v>0.13734458342650216</v>
      </c>
      <c r="H160" s="140">
        <f t="shared" si="144"/>
        <v>0.12412945020550885</v>
      </c>
      <c r="I160" s="140">
        <f t="shared" si="144"/>
        <v>0.13547738577090737</v>
      </c>
      <c r="J160" s="140">
        <f t="shared" si="144"/>
        <v>0.11711403050069732</v>
      </c>
      <c r="K160" s="140">
        <f t="shared" si="144"/>
        <v>0.12306216421035999</v>
      </c>
      <c r="L160" s="140">
        <f t="shared" si="144"/>
        <v>0.11490567053224961</v>
      </c>
      <c r="M160" s="140">
        <f t="shared" si="144"/>
        <v>0.12583492329989959</v>
      </c>
      <c r="N160" s="140">
        <f t="shared" si="144"/>
        <v>0.10734723393301322</v>
      </c>
      <c r="O160" s="140">
        <f t="shared" si="144"/>
        <v>0.10828828580136313</v>
      </c>
      <c r="P160" s="140">
        <f t="shared" si="144"/>
        <v>9.4243550067626428E-2</v>
      </c>
      <c r="Q160" s="140">
        <f t="shared" si="144"/>
        <v>9.3810140252376176E-2</v>
      </c>
      <c r="R160" s="140">
        <f t="shared" si="144"/>
        <v>8.1410038791431188E-2</v>
      </c>
      <c r="S160" s="140">
        <f t="shared" si="144"/>
        <v>7.3419241275964081E-2</v>
      </c>
      <c r="T160" s="140">
        <f t="shared" si="144"/>
        <v>7.1541496853583894E-2</v>
      </c>
      <c r="U160" s="140">
        <f t="shared" si="144"/>
        <v>7.4443044795029195E-2</v>
      </c>
      <c r="V160" s="140">
        <f t="shared" si="144"/>
        <v>8.218559129633897E-2</v>
      </c>
      <c r="W160" s="140">
        <f t="shared" si="144"/>
        <v>7.5462206423585504E-2</v>
      </c>
      <c r="X160" s="140">
        <f t="shared" ref="X160:Y160" si="145">IF(X68=0,0,X68/X$64)</f>
        <v>7.2915043738387045E-2</v>
      </c>
      <c r="Y160" s="140">
        <f t="shared" si="145"/>
        <v>7.1052889619176871E-2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1.3209057203005369E-2</v>
      </c>
      <c r="C161" s="124">
        <f t="shared" ref="C161:W161" si="146">IF(C69=0,0,C69/C$64)</f>
        <v>1.0568702555516545E-2</v>
      </c>
      <c r="D161" s="124">
        <f t="shared" si="146"/>
        <v>8.49986495724314E-3</v>
      </c>
      <c r="E161" s="124">
        <f t="shared" si="146"/>
        <v>6.2889245903365787E-3</v>
      </c>
      <c r="F161" s="124">
        <f t="shared" si="146"/>
        <v>6.2714550044495601E-3</v>
      </c>
      <c r="G161" s="124">
        <f t="shared" si="146"/>
        <v>6.1608819422775346E-3</v>
      </c>
      <c r="H161" s="124">
        <f t="shared" si="146"/>
        <v>7.0822783177276888E-3</v>
      </c>
      <c r="I161" s="124">
        <f t="shared" si="146"/>
        <v>6.1232607955841508E-3</v>
      </c>
      <c r="J161" s="124">
        <f t="shared" si="146"/>
        <v>7.1588065813802219E-3</v>
      </c>
      <c r="K161" s="124">
        <f t="shared" si="146"/>
        <v>5.1524309973248889E-3</v>
      </c>
      <c r="L161" s="124">
        <f t="shared" si="146"/>
        <v>5.6615408166666784E-3</v>
      </c>
      <c r="M161" s="124">
        <f t="shared" si="146"/>
        <v>4.9073601910861178E-3</v>
      </c>
      <c r="N161" s="124">
        <f t="shared" si="146"/>
        <v>6.7201864528017947E-3</v>
      </c>
      <c r="O161" s="124">
        <f t="shared" si="146"/>
        <v>4.7136872347164384E-3</v>
      </c>
      <c r="P161" s="124">
        <f t="shared" si="146"/>
        <v>2.9654625181570805E-3</v>
      </c>
      <c r="Q161" s="124">
        <f t="shared" si="146"/>
        <v>3.2970255769506455E-3</v>
      </c>
      <c r="R161" s="124">
        <f t="shared" si="146"/>
        <v>2.9879673886658012E-3</v>
      </c>
      <c r="S161" s="124">
        <f t="shared" si="146"/>
        <v>2.9262796289467367E-3</v>
      </c>
      <c r="T161" s="124">
        <f t="shared" si="146"/>
        <v>2.2324637984284862E-3</v>
      </c>
      <c r="U161" s="124">
        <f t="shared" si="146"/>
        <v>2.0029978219881718E-3</v>
      </c>
      <c r="V161" s="124">
        <f t="shared" si="146"/>
        <v>1.5839521838005169E-3</v>
      </c>
      <c r="W161" s="124">
        <f t="shared" si="146"/>
        <v>1.5398809612853501E-3</v>
      </c>
      <c r="X161" s="124">
        <f t="shared" ref="X161:Y161" si="147">IF(X69=0,0,X69/X$64)</f>
        <v>1.5445312362784829E-3</v>
      </c>
      <c r="Y161" s="124">
        <f t="shared" si="147"/>
        <v>1.6217719646993863E-3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1.3209057203005369E-2</v>
      </c>
      <c r="C163" s="140">
        <f t="shared" ref="C163:W163" si="150">IF(C71=0,0,C71/C$64)</f>
        <v>1.0568702555516545E-2</v>
      </c>
      <c r="D163" s="140">
        <f t="shared" si="150"/>
        <v>8.49986495724314E-3</v>
      </c>
      <c r="E163" s="140">
        <f t="shared" si="150"/>
        <v>6.2889245903365787E-3</v>
      </c>
      <c r="F163" s="140">
        <f t="shared" si="150"/>
        <v>6.2714550044495601E-3</v>
      </c>
      <c r="G163" s="140">
        <f t="shared" si="150"/>
        <v>6.1608819422775346E-3</v>
      </c>
      <c r="H163" s="140">
        <f t="shared" si="150"/>
        <v>7.0822783177276888E-3</v>
      </c>
      <c r="I163" s="140">
        <f t="shared" si="150"/>
        <v>6.1232607955841508E-3</v>
      </c>
      <c r="J163" s="140">
        <f t="shared" si="150"/>
        <v>7.1588065813802219E-3</v>
      </c>
      <c r="K163" s="140">
        <f t="shared" si="150"/>
        <v>5.1524309973248889E-3</v>
      </c>
      <c r="L163" s="140">
        <f t="shared" si="150"/>
        <v>5.6615408166666784E-3</v>
      </c>
      <c r="M163" s="140">
        <f t="shared" si="150"/>
        <v>4.9073601910861178E-3</v>
      </c>
      <c r="N163" s="140">
        <f t="shared" si="150"/>
        <v>6.7201864528017947E-3</v>
      </c>
      <c r="O163" s="140">
        <f t="shared" si="150"/>
        <v>4.7136872347164384E-3</v>
      </c>
      <c r="P163" s="140">
        <f t="shared" si="150"/>
        <v>2.9654625181570805E-3</v>
      </c>
      <c r="Q163" s="140">
        <f t="shared" si="150"/>
        <v>3.2970255769506455E-3</v>
      </c>
      <c r="R163" s="140">
        <f t="shared" si="150"/>
        <v>2.9879673886658012E-3</v>
      </c>
      <c r="S163" s="140">
        <f t="shared" si="150"/>
        <v>2.9262796289467367E-3</v>
      </c>
      <c r="T163" s="140">
        <f t="shared" si="150"/>
        <v>2.2324637984284862E-3</v>
      </c>
      <c r="U163" s="140">
        <f t="shared" si="150"/>
        <v>2.0029978219881718E-3</v>
      </c>
      <c r="V163" s="140">
        <f t="shared" si="150"/>
        <v>1.5839521838005169E-3</v>
      </c>
      <c r="W163" s="140">
        <f t="shared" si="150"/>
        <v>1.5398809612853501E-3</v>
      </c>
      <c r="X163" s="140">
        <f t="shared" ref="X163:Y163" si="151">IF(X71=0,0,X71/X$64)</f>
        <v>1.5445312362784829E-3</v>
      </c>
      <c r="Y163" s="140">
        <f t="shared" si="151"/>
        <v>1.6217719646993863E-3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7.1768637426033829E-2</v>
      </c>
      <c r="C165" s="124">
        <f t="shared" ref="C165:W165" si="154">IF(C73=0,0,C73/C$64)</f>
        <v>0.10179639489763984</v>
      </c>
      <c r="D165" s="124">
        <f t="shared" si="154"/>
        <v>9.5930199656459561E-2</v>
      </c>
      <c r="E165" s="124">
        <f t="shared" si="154"/>
        <v>0.10767914031825247</v>
      </c>
      <c r="F165" s="124">
        <f t="shared" si="154"/>
        <v>9.5904295624237537E-2</v>
      </c>
      <c r="G165" s="124">
        <f t="shared" si="154"/>
        <v>0.10048946991124383</v>
      </c>
      <c r="H165" s="124">
        <f t="shared" si="154"/>
        <v>9.6892522356555572E-2</v>
      </c>
      <c r="I165" s="124">
        <f t="shared" si="154"/>
        <v>0.1081806860001948</v>
      </c>
      <c r="J165" s="124">
        <f t="shared" si="154"/>
        <v>0.10379702010035008</v>
      </c>
      <c r="K165" s="124">
        <f t="shared" si="154"/>
        <v>8.1803831776182653E-2</v>
      </c>
      <c r="L165" s="124">
        <f t="shared" si="154"/>
        <v>8.6652065754335691E-2</v>
      </c>
      <c r="M165" s="124">
        <f t="shared" si="154"/>
        <v>9.0648272459271387E-2</v>
      </c>
      <c r="N165" s="124">
        <f t="shared" si="154"/>
        <v>7.994850254329143E-2</v>
      </c>
      <c r="O165" s="124">
        <f t="shared" si="154"/>
        <v>8.8869253648425114E-2</v>
      </c>
      <c r="P165" s="124">
        <f t="shared" si="154"/>
        <v>8.1378053095555902E-2</v>
      </c>
      <c r="Q165" s="124">
        <f t="shared" si="154"/>
        <v>7.8558607876376224E-2</v>
      </c>
      <c r="R165" s="124">
        <f t="shared" si="154"/>
        <v>9.3030910005579157E-2</v>
      </c>
      <c r="S165" s="124">
        <f t="shared" si="154"/>
        <v>0.10099840726341383</v>
      </c>
      <c r="T165" s="124">
        <f t="shared" si="154"/>
        <v>0.10212260085477615</v>
      </c>
      <c r="U165" s="124">
        <f t="shared" si="154"/>
        <v>8.718361131451785E-2</v>
      </c>
      <c r="V165" s="124">
        <f t="shared" si="154"/>
        <v>5.5993476380990746E-2</v>
      </c>
      <c r="W165" s="124">
        <f t="shared" si="154"/>
        <v>6.1078033457358065E-2</v>
      </c>
      <c r="X165" s="124">
        <f t="shared" ref="X165:Y165" si="155">IF(X73=0,0,X73/X$64)</f>
        <v>7.9347185052393479E-2</v>
      </c>
      <c r="Y165" s="124">
        <f t="shared" si="155"/>
        <v>8.3167340029135381E-2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1.4895328978843811E-2</v>
      </c>
      <c r="C166" s="140">
        <f t="shared" ref="C166:W166" si="156">IF(C74=0,0,C74/C$64)</f>
        <v>3.1141155668251062E-2</v>
      </c>
      <c r="D166" s="140">
        <f t="shared" si="156"/>
        <v>1.7116449476813209E-2</v>
      </c>
      <c r="E166" s="140">
        <f t="shared" si="156"/>
        <v>1.4021325909352515E-2</v>
      </c>
      <c r="F166" s="140">
        <f t="shared" si="156"/>
        <v>1.0950348841134638E-2</v>
      </c>
      <c r="G166" s="140">
        <f t="shared" si="156"/>
        <v>6.7364357904565074E-3</v>
      </c>
      <c r="H166" s="140">
        <f t="shared" si="156"/>
        <v>1.1816281202843377E-2</v>
      </c>
      <c r="I166" s="140">
        <f t="shared" si="156"/>
        <v>2.0149550134559116E-2</v>
      </c>
      <c r="J166" s="140">
        <f t="shared" si="156"/>
        <v>6.2366657394375127E-3</v>
      </c>
      <c r="K166" s="140">
        <f t="shared" si="156"/>
        <v>1.1147664366591769E-2</v>
      </c>
      <c r="L166" s="140">
        <f t="shared" si="156"/>
        <v>7.4234682457648832E-3</v>
      </c>
      <c r="M166" s="140">
        <f t="shared" si="156"/>
        <v>1.0363641106217339E-2</v>
      </c>
      <c r="N166" s="140">
        <f t="shared" si="156"/>
        <v>5.2283951164190726E-3</v>
      </c>
      <c r="O166" s="140">
        <f t="shared" si="156"/>
        <v>6.4585883266312866E-3</v>
      </c>
      <c r="P166" s="140">
        <f t="shared" si="156"/>
        <v>4.2571911975996359E-3</v>
      </c>
      <c r="Q166" s="140">
        <f t="shared" si="156"/>
        <v>5.6002639985272525E-3</v>
      </c>
      <c r="R166" s="140">
        <f t="shared" si="156"/>
        <v>7.9102656355067493E-3</v>
      </c>
      <c r="S166" s="140">
        <f t="shared" si="156"/>
        <v>8.1381054723311721E-3</v>
      </c>
      <c r="T166" s="140">
        <f t="shared" si="156"/>
        <v>6.6044706556117614E-3</v>
      </c>
      <c r="U166" s="140">
        <f t="shared" si="156"/>
        <v>2.5852926222741375E-3</v>
      </c>
      <c r="V166" s="140">
        <f t="shared" si="156"/>
        <v>1.5717503939409719E-3</v>
      </c>
      <c r="W166" s="140">
        <f t="shared" si="156"/>
        <v>1.8642336750620135E-3</v>
      </c>
      <c r="X166" s="140">
        <f t="shared" ref="X166:Y166" si="157">IF(X74=0,0,X74/X$64)</f>
        <v>2.842340392072536E-3</v>
      </c>
      <c r="Y166" s="140">
        <f t="shared" si="157"/>
        <v>1.9620735745484673E-3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4.8306778773426914E-2</v>
      </c>
      <c r="C167" s="140">
        <f t="shared" ref="C167:W167" si="158">IF(C75=0,0,C75/C$64)</f>
        <v>6.0016744838822557E-2</v>
      </c>
      <c r="D167" s="140">
        <f t="shared" si="158"/>
        <v>6.6946319530093473E-2</v>
      </c>
      <c r="E167" s="140">
        <f t="shared" si="158"/>
        <v>7.9558132151027167E-2</v>
      </c>
      <c r="F167" s="140">
        <f t="shared" si="158"/>
        <v>7.2163155168923326E-2</v>
      </c>
      <c r="G167" s="140">
        <f t="shared" si="158"/>
        <v>8.037418707612122E-2</v>
      </c>
      <c r="H167" s="140">
        <f t="shared" si="158"/>
        <v>7.3784244685305991E-2</v>
      </c>
      <c r="I167" s="140">
        <f t="shared" si="158"/>
        <v>7.6505204483731729E-2</v>
      </c>
      <c r="J167" s="140">
        <f t="shared" si="158"/>
        <v>8.462112677573852E-2</v>
      </c>
      <c r="K167" s="140">
        <f t="shared" si="158"/>
        <v>6.0569406842657068E-2</v>
      </c>
      <c r="L167" s="140">
        <f t="shared" si="158"/>
        <v>6.7732969879919072E-2</v>
      </c>
      <c r="M167" s="140">
        <f t="shared" si="158"/>
        <v>6.8682279331324397E-2</v>
      </c>
      <c r="N167" s="140">
        <f t="shared" si="158"/>
        <v>6.3665362460022218E-2</v>
      </c>
      <c r="O167" s="140">
        <f t="shared" si="158"/>
        <v>7.0331167896735922E-2</v>
      </c>
      <c r="P167" s="140">
        <f t="shared" si="158"/>
        <v>6.5908730957992837E-2</v>
      </c>
      <c r="Q167" s="140">
        <f t="shared" si="158"/>
        <v>6.259169580795193E-2</v>
      </c>
      <c r="R167" s="140">
        <f t="shared" si="158"/>
        <v>7.4314940133676177E-2</v>
      </c>
      <c r="S167" s="140">
        <f t="shared" si="158"/>
        <v>8.1828214902691168E-2</v>
      </c>
      <c r="T167" s="140">
        <f t="shared" si="158"/>
        <v>8.4050708754791301E-2</v>
      </c>
      <c r="U167" s="140">
        <f t="shared" si="158"/>
        <v>7.4292746488375319E-2</v>
      </c>
      <c r="V167" s="140">
        <f t="shared" si="158"/>
        <v>4.5597654029889051E-2</v>
      </c>
      <c r="W167" s="140">
        <f t="shared" si="158"/>
        <v>5.0357918076157922E-2</v>
      </c>
      <c r="X167" s="140">
        <f t="shared" ref="X167:Y167" si="159">IF(X75=0,0,X75/X$64)</f>
        <v>6.7646584039653568E-2</v>
      </c>
      <c r="Y167" s="140">
        <f t="shared" si="159"/>
        <v>7.1490418881649254E-2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8.5665296737631128E-3</v>
      </c>
      <c r="C168" s="140">
        <f t="shared" ref="C168:W168" si="160">IF(C76=0,0,C76/C$64)</f>
        <v>1.063849439056622E-2</v>
      </c>
      <c r="D168" s="140">
        <f t="shared" si="160"/>
        <v>1.1867430649552873E-2</v>
      </c>
      <c r="E168" s="140">
        <f t="shared" si="160"/>
        <v>1.4099682257872774E-2</v>
      </c>
      <c r="F168" s="140">
        <f t="shared" si="160"/>
        <v>1.279079161417958E-2</v>
      </c>
      <c r="G168" s="140">
        <f t="shared" si="160"/>
        <v>1.337884704466609E-2</v>
      </c>
      <c r="H168" s="140">
        <f t="shared" si="160"/>
        <v>1.1291996468406205E-2</v>
      </c>
      <c r="I168" s="140">
        <f t="shared" si="160"/>
        <v>1.1525931381903944E-2</v>
      </c>
      <c r="J168" s="140">
        <f t="shared" si="160"/>
        <v>1.293922758517406E-2</v>
      </c>
      <c r="K168" s="140">
        <f t="shared" si="160"/>
        <v>1.0086760566933814E-2</v>
      </c>
      <c r="L168" s="140">
        <f t="shared" si="160"/>
        <v>1.1495627628651726E-2</v>
      </c>
      <c r="M168" s="140">
        <f t="shared" si="160"/>
        <v>1.1602352021729654E-2</v>
      </c>
      <c r="N168" s="140">
        <f t="shared" si="160"/>
        <v>1.1054744966850138E-2</v>
      </c>
      <c r="O168" s="140">
        <f t="shared" si="160"/>
        <v>1.2079497425057898E-2</v>
      </c>
      <c r="P168" s="140">
        <f t="shared" si="160"/>
        <v>1.1212130939963434E-2</v>
      </c>
      <c r="Q168" s="140">
        <f t="shared" si="160"/>
        <v>1.0366648069897047E-2</v>
      </c>
      <c r="R168" s="140">
        <f t="shared" si="160"/>
        <v>1.0805704236396221E-2</v>
      </c>
      <c r="S168" s="140">
        <f t="shared" si="160"/>
        <v>1.1032086888391489E-2</v>
      </c>
      <c r="T168" s="140">
        <f t="shared" si="160"/>
        <v>1.1467421444373085E-2</v>
      </c>
      <c r="U168" s="140">
        <f t="shared" si="160"/>
        <v>1.0305572203868392E-2</v>
      </c>
      <c r="V168" s="140">
        <f t="shared" si="160"/>
        <v>8.8240719571607198E-3</v>
      </c>
      <c r="W168" s="140">
        <f t="shared" si="160"/>
        <v>8.8558817061381318E-3</v>
      </c>
      <c r="X168" s="140">
        <f t="shared" ref="X168:Y168" si="161">IF(X76=0,0,X76/X$64)</f>
        <v>8.8582606206673627E-3</v>
      </c>
      <c r="Y168" s="140">
        <f t="shared" si="161"/>
        <v>9.7148475729376561E-3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0.92825867896246794</v>
      </c>
      <c r="C170" s="139">
        <f t="shared" ref="C170:W170" si="165">IF(C78=0,0,C78/C$77)</f>
        <v>0.93860980174831188</v>
      </c>
      <c r="D170" s="139">
        <f t="shared" si="165"/>
        <v>0.93312197752543113</v>
      </c>
      <c r="E170" s="139">
        <f t="shared" si="165"/>
        <v>0.95062106726882278</v>
      </c>
      <c r="F170" s="139">
        <f t="shared" si="165"/>
        <v>0.94758861048245635</v>
      </c>
      <c r="G170" s="139">
        <f t="shared" si="165"/>
        <v>0.95004400702315717</v>
      </c>
      <c r="H170" s="139">
        <f t="shared" si="165"/>
        <v>0.95684737517704344</v>
      </c>
      <c r="I170" s="139">
        <f t="shared" si="165"/>
        <v>0.95604351082065087</v>
      </c>
      <c r="J170" s="139">
        <f t="shared" si="165"/>
        <v>0.92308638639121965</v>
      </c>
      <c r="K170" s="139">
        <f t="shared" si="165"/>
        <v>0.87987618976217286</v>
      </c>
      <c r="L170" s="139">
        <f t="shared" si="165"/>
        <v>0.87329542835180318</v>
      </c>
      <c r="M170" s="139">
        <f t="shared" si="165"/>
        <v>0.90017210438396011</v>
      </c>
      <c r="N170" s="139">
        <f t="shared" si="165"/>
        <v>0.88982995431036993</v>
      </c>
      <c r="O170" s="139">
        <f t="shared" si="165"/>
        <v>0.88551269600441929</v>
      </c>
      <c r="P170" s="139">
        <f t="shared" si="165"/>
        <v>0.89042556801429018</v>
      </c>
      <c r="Q170" s="139">
        <f t="shared" si="165"/>
        <v>0.8778789615273489</v>
      </c>
      <c r="R170" s="139">
        <f t="shared" si="165"/>
        <v>0.88578289515992392</v>
      </c>
      <c r="S170" s="139">
        <f t="shared" si="165"/>
        <v>0.88482441402109202</v>
      </c>
      <c r="T170" s="139">
        <f t="shared" si="165"/>
        <v>0.87258224842139387</v>
      </c>
      <c r="U170" s="139">
        <f t="shared" si="165"/>
        <v>0.84098663282457398</v>
      </c>
      <c r="V170" s="139">
        <f t="shared" si="165"/>
        <v>0.83820949439211778</v>
      </c>
      <c r="W170" s="139">
        <f t="shared" si="165"/>
        <v>0.98368524107517796</v>
      </c>
      <c r="X170" s="139">
        <f t="shared" ref="X170:Y170" si="166">IF(X78=0,0,X78/X$77)</f>
        <v>0.97949325540689369</v>
      </c>
      <c r="Y170" s="139">
        <f t="shared" si="166"/>
        <v>0.98546332694015981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0.35910082543300015</v>
      </c>
      <c r="C171" s="140">
        <f t="shared" ref="C171:W171" si="167">IF(C79=0,0,C79/C$77)</f>
        <v>0.32038636597788228</v>
      </c>
      <c r="D171" s="140">
        <f t="shared" si="167"/>
        <v>0.33873154002738742</v>
      </c>
      <c r="E171" s="140">
        <f t="shared" si="167"/>
        <v>0.25817602204237605</v>
      </c>
      <c r="F171" s="140">
        <f t="shared" si="167"/>
        <v>0.26038908636304769</v>
      </c>
      <c r="G171" s="140">
        <f t="shared" si="167"/>
        <v>0.22400599745326058</v>
      </c>
      <c r="H171" s="140">
        <f t="shared" si="167"/>
        <v>0.23673680163983618</v>
      </c>
      <c r="I171" s="140">
        <f t="shared" si="167"/>
        <v>0.28161729571667576</v>
      </c>
      <c r="J171" s="140">
        <f t="shared" si="167"/>
        <v>0.27104197143427144</v>
      </c>
      <c r="K171" s="140">
        <f t="shared" si="167"/>
        <v>0.29290326422780083</v>
      </c>
      <c r="L171" s="140">
        <f t="shared" si="167"/>
        <v>0.29153530443446801</v>
      </c>
      <c r="M171" s="140">
        <f t="shared" si="167"/>
        <v>0.31904892156023962</v>
      </c>
      <c r="N171" s="140">
        <f t="shared" si="167"/>
        <v>0.31826506142074995</v>
      </c>
      <c r="O171" s="140">
        <f t="shared" si="167"/>
        <v>0.34038054833553594</v>
      </c>
      <c r="P171" s="140">
        <f t="shared" si="167"/>
        <v>0.32794397562743044</v>
      </c>
      <c r="Q171" s="140">
        <f t="shared" si="167"/>
        <v>0.32170537150151457</v>
      </c>
      <c r="R171" s="140">
        <f t="shared" si="167"/>
        <v>0.31596382578961435</v>
      </c>
      <c r="S171" s="140">
        <f t="shared" si="167"/>
        <v>0.27245799792453418</v>
      </c>
      <c r="T171" s="140">
        <f t="shared" si="167"/>
        <v>0.27621544727210423</v>
      </c>
      <c r="U171" s="140">
        <f t="shared" si="167"/>
        <v>0.29219698311485737</v>
      </c>
      <c r="V171" s="140">
        <f t="shared" si="167"/>
        <v>0.25926595743251468</v>
      </c>
      <c r="W171" s="140">
        <f t="shared" si="167"/>
        <v>0.25686697314615803</v>
      </c>
      <c r="X171" s="140">
        <f t="shared" ref="X171:Y171" si="168">IF(X79=0,0,X79/X$77)</f>
        <v>0.25886904156489193</v>
      </c>
      <c r="Y171" s="140">
        <f t="shared" si="168"/>
        <v>0.23607096994716256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0.56915785352946779</v>
      </c>
      <c r="C172" s="140">
        <f t="shared" ref="C172:W172" si="169">IF(C80=0,0,C80/C$77)</f>
        <v>0.6182234357704296</v>
      </c>
      <c r="D172" s="140">
        <f t="shared" si="169"/>
        <v>0.59439043749804377</v>
      </c>
      <c r="E172" s="140">
        <f t="shared" si="169"/>
        <v>0.69244504522644668</v>
      </c>
      <c r="F172" s="140">
        <f t="shared" si="169"/>
        <v>0.68719952411940854</v>
      </c>
      <c r="G172" s="140">
        <f t="shared" si="169"/>
        <v>0.72603800956989661</v>
      </c>
      <c r="H172" s="140">
        <f t="shared" si="169"/>
        <v>0.7201105735372072</v>
      </c>
      <c r="I172" s="140">
        <f t="shared" si="169"/>
        <v>0.67442621510397505</v>
      </c>
      <c r="J172" s="140">
        <f t="shared" si="169"/>
        <v>0.65204441495694831</v>
      </c>
      <c r="K172" s="140">
        <f t="shared" si="169"/>
        <v>0.58697292553437219</v>
      </c>
      <c r="L172" s="140">
        <f t="shared" si="169"/>
        <v>0.58176012391733523</v>
      </c>
      <c r="M172" s="140">
        <f t="shared" si="169"/>
        <v>0.58112318282372044</v>
      </c>
      <c r="N172" s="140">
        <f t="shared" si="169"/>
        <v>0.57156489288961998</v>
      </c>
      <c r="O172" s="140">
        <f t="shared" si="169"/>
        <v>0.54513214766888329</v>
      </c>
      <c r="P172" s="140">
        <f t="shared" si="169"/>
        <v>0.56248159238685969</v>
      </c>
      <c r="Q172" s="140">
        <f t="shared" si="169"/>
        <v>0.55617359002583422</v>
      </c>
      <c r="R172" s="140">
        <f t="shared" si="169"/>
        <v>0.56981906937030957</v>
      </c>
      <c r="S172" s="140">
        <f t="shared" si="169"/>
        <v>0.61236641609655784</v>
      </c>
      <c r="T172" s="140">
        <f t="shared" si="169"/>
        <v>0.59636680114928964</v>
      </c>
      <c r="U172" s="140">
        <f t="shared" si="169"/>
        <v>0.54878964970971655</v>
      </c>
      <c r="V172" s="140">
        <f t="shared" si="169"/>
        <v>0.5789435369596031</v>
      </c>
      <c r="W172" s="140">
        <f t="shared" si="169"/>
        <v>0.72681826792901993</v>
      </c>
      <c r="X172" s="140">
        <f t="shared" ref="X172:Y172" si="170">IF(X80=0,0,X80/X$77)</f>
        <v>0.7206242138420017</v>
      </c>
      <c r="Y172" s="140">
        <f t="shared" si="170"/>
        <v>0.74939235699299722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5.9708351712036228E-2</v>
      </c>
      <c r="C173" s="124">
        <f t="shared" ref="C173:W173" si="171">IF(C81=0,0,C81/C$77)</f>
        <v>4.9084906438474477E-2</v>
      </c>
      <c r="D173" s="124">
        <f t="shared" si="171"/>
        <v>5.1073912416624866E-2</v>
      </c>
      <c r="E173" s="124">
        <f t="shared" si="171"/>
        <v>3.5880579187824786E-2</v>
      </c>
      <c r="F173" s="124">
        <f t="shared" si="171"/>
        <v>3.2647924793041523E-2</v>
      </c>
      <c r="G173" s="124">
        <f t="shared" si="171"/>
        <v>2.9539069213253329E-2</v>
      </c>
      <c r="H173" s="124">
        <f t="shared" si="171"/>
        <v>2.3889835324809452E-2</v>
      </c>
      <c r="I173" s="124">
        <f t="shared" si="171"/>
        <v>2.3711522789445851E-2</v>
      </c>
      <c r="J173" s="124">
        <f t="shared" si="171"/>
        <v>2.8617320815183096E-2</v>
      </c>
      <c r="K173" s="124">
        <f t="shared" si="171"/>
        <v>1.7243581773397184E-2</v>
      </c>
      <c r="L173" s="124">
        <f t="shared" si="171"/>
        <v>1.6192395500373255E-2</v>
      </c>
      <c r="M173" s="124">
        <f t="shared" si="171"/>
        <v>1.507455509717193E-2</v>
      </c>
      <c r="N173" s="124">
        <f t="shared" si="171"/>
        <v>1.4656717925924065E-2</v>
      </c>
      <c r="O173" s="124">
        <f t="shared" si="171"/>
        <v>1.0653181594925898E-2</v>
      </c>
      <c r="P173" s="124">
        <f t="shared" si="171"/>
        <v>1.0621360853063661E-2</v>
      </c>
      <c r="Q173" s="124">
        <f t="shared" si="171"/>
        <v>1.3652608299757091E-2</v>
      </c>
      <c r="R173" s="124">
        <f t="shared" si="171"/>
        <v>9.656717627447348E-3</v>
      </c>
      <c r="S173" s="124">
        <f t="shared" si="171"/>
        <v>1.0455926123150841E-2</v>
      </c>
      <c r="T173" s="124">
        <f t="shared" si="171"/>
        <v>8.9482054153056569E-3</v>
      </c>
      <c r="U173" s="124">
        <f t="shared" si="171"/>
        <v>8.3440342922148358E-3</v>
      </c>
      <c r="V173" s="124">
        <f t="shared" si="171"/>
        <v>9.6565868756632121E-3</v>
      </c>
      <c r="W173" s="124">
        <f t="shared" si="171"/>
        <v>1.0748893034120183E-2</v>
      </c>
      <c r="X173" s="124">
        <f t="shared" ref="X173:Y173" si="172">IF(X81=0,0,X81/X$77)</f>
        <v>1.1689982308129773E-2</v>
      </c>
      <c r="Y173" s="124">
        <f t="shared" si="172"/>
        <v>9.3066011655279397E-3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4.7768003726452683E-3</v>
      </c>
      <c r="C174" s="124">
        <f t="shared" ref="C174:W174" si="173">IF(C82=0,0,C82/C$77)</f>
        <v>3.2826269277550588E-3</v>
      </c>
      <c r="D174" s="124">
        <f t="shared" si="173"/>
        <v>3.86898151026278E-3</v>
      </c>
      <c r="E174" s="124">
        <f t="shared" si="173"/>
        <v>3.0474191252858746E-3</v>
      </c>
      <c r="F174" s="124">
        <f t="shared" si="173"/>
        <v>2.9344820539479182E-3</v>
      </c>
      <c r="G174" s="124">
        <f t="shared" si="173"/>
        <v>3.5920373903515638E-3</v>
      </c>
      <c r="H174" s="124">
        <f t="shared" si="173"/>
        <v>3.5942080956011054E-3</v>
      </c>
      <c r="I174" s="124">
        <f t="shared" si="173"/>
        <v>4.034787190866646E-3</v>
      </c>
      <c r="J174" s="124">
        <f t="shared" si="173"/>
        <v>4.4099743268155986E-3</v>
      </c>
      <c r="K174" s="124">
        <f t="shared" si="173"/>
        <v>4.0131506168910027E-3</v>
      </c>
      <c r="L174" s="124">
        <f t="shared" si="173"/>
        <v>5.4037658804688181E-3</v>
      </c>
      <c r="M174" s="124">
        <f t="shared" si="173"/>
        <v>4.2599553728470737E-3</v>
      </c>
      <c r="N174" s="124">
        <f t="shared" si="173"/>
        <v>3.3214680803506126E-3</v>
      </c>
      <c r="O174" s="124">
        <f t="shared" si="173"/>
        <v>3.7809693319528839E-3</v>
      </c>
      <c r="P174" s="124">
        <f t="shared" si="173"/>
        <v>3.6536261035008287E-3</v>
      </c>
      <c r="Q174" s="124">
        <f t="shared" si="173"/>
        <v>4.2858070090864503E-3</v>
      </c>
      <c r="R174" s="124">
        <f t="shared" si="173"/>
        <v>4.0950452606454439E-3</v>
      </c>
      <c r="S174" s="124">
        <f t="shared" si="173"/>
        <v>4.8302607802579757E-3</v>
      </c>
      <c r="T174" s="124">
        <f t="shared" si="173"/>
        <v>4.4606655329401277E-3</v>
      </c>
      <c r="U174" s="124">
        <f t="shared" si="173"/>
        <v>4.4937452261132613E-3</v>
      </c>
      <c r="V174" s="124">
        <f t="shared" si="173"/>
        <v>5.655518482224624E-3</v>
      </c>
      <c r="W174" s="124">
        <f t="shared" si="173"/>
        <v>5.3619408127635378E-3</v>
      </c>
      <c r="X174" s="124">
        <f t="shared" ref="X174:Y174" si="174">IF(X82=0,0,X82/X$77)</f>
        <v>8.5192292751067843E-3</v>
      </c>
      <c r="Y174" s="124">
        <f t="shared" si="174"/>
        <v>4.960695292899997E-3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3.9889069966490536E-3</v>
      </c>
      <c r="C176" s="140">
        <f t="shared" ref="C176:W176" si="177">IF(C84=0,0,C84/C$77)</f>
        <v>2.3061903649348767E-3</v>
      </c>
      <c r="D176" s="140">
        <f t="shared" si="177"/>
        <v>2.6287682526736625E-3</v>
      </c>
      <c r="E176" s="140">
        <f t="shared" si="177"/>
        <v>1.972484801357794E-3</v>
      </c>
      <c r="F176" s="140">
        <f t="shared" si="177"/>
        <v>1.8945092956892322E-3</v>
      </c>
      <c r="G176" s="140">
        <f t="shared" si="177"/>
        <v>2.2996526318279464E-3</v>
      </c>
      <c r="H176" s="140">
        <f t="shared" si="177"/>
        <v>2.4052021805053675E-3</v>
      </c>
      <c r="I176" s="140">
        <f t="shared" si="177"/>
        <v>2.8713671453686807E-3</v>
      </c>
      <c r="J176" s="140">
        <f t="shared" si="177"/>
        <v>3.4604823681494961E-3</v>
      </c>
      <c r="K176" s="140">
        <f t="shared" si="177"/>
        <v>2.5796342628954826E-3</v>
      </c>
      <c r="L176" s="140">
        <f t="shared" si="177"/>
        <v>2.8286636201430553E-3</v>
      </c>
      <c r="M176" s="140">
        <f t="shared" si="177"/>
        <v>2.6693042502715682E-3</v>
      </c>
      <c r="N176" s="140">
        <f t="shared" si="177"/>
        <v>2.8365058595504985E-3</v>
      </c>
      <c r="O176" s="140">
        <f t="shared" si="177"/>
        <v>3.2551773224721251E-3</v>
      </c>
      <c r="P176" s="140">
        <f t="shared" si="177"/>
        <v>3.0109342214853273E-3</v>
      </c>
      <c r="Q176" s="140">
        <f t="shared" si="177"/>
        <v>2.8140457148027364E-3</v>
      </c>
      <c r="R176" s="140">
        <f t="shared" si="177"/>
        <v>2.6095769033383474E-3</v>
      </c>
      <c r="S176" s="140">
        <f t="shared" si="177"/>
        <v>2.9561664414637485E-3</v>
      </c>
      <c r="T176" s="140">
        <f t="shared" si="177"/>
        <v>3.2006988089843679E-3</v>
      </c>
      <c r="U176" s="140">
        <f t="shared" si="177"/>
        <v>3.8003973649628616E-3</v>
      </c>
      <c r="V176" s="140">
        <f t="shared" si="177"/>
        <v>4.7686063716802065E-3</v>
      </c>
      <c r="W176" s="140">
        <f t="shared" si="177"/>
        <v>4.8306735484493178E-3</v>
      </c>
      <c r="X176" s="140">
        <f t="shared" ref="X176:Y176" si="178">IF(X84=0,0,X84/X$77)</f>
        <v>7.23885617184302E-3</v>
      </c>
      <c r="Y176" s="140">
        <f t="shared" si="178"/>
        <v>4.1695424631592905E-3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7.8789337599621497E-4</v>
      </c>
      <c r="C177" s="140">
        <f t="shared" ref="C177:W177" si="179">IF(C85=0,0,C85/C$77)</f>
        <v>9.764365628201824E-4</v>
      </c>
      <c r="D177" s="140">
        <f t="shared" si="179"/>
        <v>1.2402132575891178E-3</v>
      </c>
      <c r="E177" s="140">
        <f t="shared" si="179"/>
        <v>1.074934323928081E-3</v>
      </c>
      <c r="F177" s="140">
        <f t="shared" si="179"/>
        <v>1.039972758258686E-3</v>
      </c>
      <c r="G177" s="140">
        <f t="shared" si="179"/>
        <v>1.2923847585236178E-3</v>
      </c>
      <c r="H177" s="140">
        <f t="shared" si="179"/>
        <v>1.189005915095738E-3</v>
      </c>
      <c r="I177" s="140">
        <f t="shared" si="179"/>
        <v>1.1634200454979651E-3</v>
      </c>
      <c r="J177" s="140">
        <f t="shared" si="179"/>
        <v>9.4949195866610235E-4</v>
      </c>
      <c r="K177" s="140">
        <f t="shared" si="179"/>
        <v>1.4335163539955201E-3</v>
      </c>
      <c r="L177" s="140">
        <f t="shared" si="179"/>
        <v>2.5751022603257624E-3</v>
      </c>
      <c r="M177" s="140">
        <f t="shared" si="179"/>
        <v>1.5906511225755062E-3</v>
      </c>
      <c r="N177" s="140">
        <f t="shared" si="179"/>
        <v>4.84962220800114E-4</v>
      </c>
      <c r="O177" s="140">
        <f t="shared" si="179"/>
        <v>5.2579200948075892E-4</v>
      </c>
      <c r="P177" s="140">
        <f t="shared" si="179"/>
        <v>6.4269188201550157E-4</v>
      </c>
      <c r="Q177" s="140">
        <f t="shared" si="179"/>
        <v>1.4717612942837133E-3</v>
      </c>
      <c r="R177" s="140">
        <f t="shared" si="179"/>
        <v>1.4854683573070964E-3</v>
      </c>
      <c r="S177" s="140">
        <f t="shared" si="179"/>
        <v>1.8740943387942272E-3</v>
      </c>
      <c r="T177" s="140">
        <f t="shared" si="179"/>
        <v>1.2599667239557607E-3</v>
      </c>
      <c r="U177" s="140">
        <f t="shared" si="179"/>
        <v>6.9334786115039988E-4</v>
      </c>
      <c r="V177" s="140">
        <f t="shared" si="179"/>
        <v>8.8691211054441814E-4</v>
      </c>
      <c r="W177" s="140">
        <f t="shared" si="179"/>
        <v>5.3126726431421904E-4</v>
      </c>
      <c r="X177" s="140">
        <f t="shared" ref="X177:Y177" si="180">IF(X85=0,0,X85/X$77)</f>
        <v>1.2803731032637632E-3</v>
      </c>
      <c r="Y177" s="140">
        <f t="shared" si="180"/>
        <v>7.9115282974070685E-4</v>
      </c>
      <c r="DA177" s="175"/>
    </row>
    <row r="178" spans="1:105" ht="11.45" customHeight="1" x14ac:dyDescent="0.25">
      <c r="A178" s="109" t="s">
        <v>141</v>
      </c>
      <c r="B178" s="124">
        <f t="shared" si="162"/>
        <v>7.2561689528504647E-3</v>
      </c>
      <c r="C178" s="124">
        <f t="shared" ref="C178:W178" si="181">IF(C86=0,0,C86/C$77)</f>
        <v>9.0226648854587355E-3</v>
      </c>
      <c r="D178" s="124">
        <f t="shared" si="181"/>
        <v>1.1935128547681197E-2</v>
      </c>
      <c r="E178" s="124">
        <f t="shared" si="181"/>
        <v>1.045093441806645E-2</v>
      </c>
      <c r="F178" s="124">
        <f t="shared" si="181"/>
        <v>1.6828982670554299E-2</v>
      </c>
      <c r="G178" s="124">
        <f t="shared" si="181"/>
        <v>1.6824886373237952E-2</v>
      </c>
      <c r="H178" s="124">
        <f t="shared" si="181"/>
        <v>1.5668581402546098E-2</v>
      </c>
      <c r="I178" s="124">
        <f t="shared" si="181"/>
        <v>1.621017919903649E-2</v>
      </c>
      <c r="J178" s="124">
        <f t="shared" si="181"/>
        <v>4.3886318466781565E-2</v>
      </c>
      <c r="K178" s="124">
        <f t="shared" si="181"/>
        <v>9.8867077847539023E-2</v>
      </c>
      <c r="L178" s="124">
        <f t="shared" si="181"/>
        <v>0.10510841026735464</v>
      </c>
      <c r="M178" s="124">
        <f t="shared" si="181"/>
        <v>8.0493385146020807E-2</v>
      </c>
      <c r="N178" s="124">
        <f t="shared" si="181"/>
        <v>9.2191859683355443E-2</v>
      </c>
      <c r="O178" s="124">
        <f t="shared" si="181"/>
        <v>0.10005315306870183</v>
      </c>
      <c r="P178" s="124">
        <f t="shared" si="181"/>
        <v>9.5299445029145294E-2</v>
      </c>
      <c r="Q178" s="124">
        <f t="shared" si="181"/>
        <v>0.10418262316380765</v>
      </c>
      <c r="R178" s="124">
        <f t="shared" si="181"/>
        <v>0.10046534195198326</v>
      </c>
      <c r="S178" s="124">
        <f t="shared" si="181"/>
        <v>9.9889399075499097E-2</v>
      </c>
      <c r="T178" s="124">
        <f t="shared" si="181"/>
        <v>0.11400888063036035</v>
      </c>
      <c r="U178" s="124">
        <f t="shared" si="181"/>
        <v>0.14617558765709801</v>
      </c>
      <c r="V178" s="124">
        <f t="shared" si="181"/>
        <v>0.14647840024999434</v>
      </c>
      <c r="W178" s="124">
        <f t="shared" si="181"/>
        <v>2.0392507793825086E-4</v>
      </c>
      <c r="X178" s="124">
        <f t="shared" ref="X178:Y178" si="182">IF(X86=0,0,X86/X$77)</f>
        <v>2.975330098698075E-4</v>
      </c>
      <c r="Y178" s="124">
        <f t="shared" si="182"/>
        <v>2.6937660141240159E-4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7.2561689528504647E-3</v>
      </c>
      <c r="C180" s="127">
        <f t="shared" ref="C180:W180" si="185">IF(C88=0,0,C88/C$77)</f>
        <v>9.0226648854587355E-3</v>
      </c>
      <c r="D180" s="127">
        <f t="shared" si="185"/>
        <v>1.1935128547681197E-2</v>
      </c>
      <c r="E180" s="127">
        <f t="shared" si="185"/>
        <v>1.045093441806645E-2</v>
      </c>
      <c r="F180" s="127">
        <f t="shared" si="185"/>
        <v>1.6828982670554299E-2</v>
      </c>
      <c r="G180" s="127">
        <f t="shared" si="185"/>
        <v>1.6824886373237952E-2</v>
      </c>
      <c r="H180" s="127">
        <f t="shared" si="185"/>
        <v>1.5668581402546098E-2</v>
      </c>
      <c r="I180" s="127">
        <f t="shared" si="185"/>
        <v>1.621017919903649E-2</v>
      </c>
      <c r="J180" s="127">
        <f t="shared" si="185"/>
        <v>4.3886318466781565E-2</v>
      </c>
      <c r="K180" s="127">
        <f t="shared" si="185"/>
        <v>9.8867077847539023E-2</v>
      </c>
      <c r="L180" s="127">
        <f t="shared" si="185"/>
        <v>0.10510841026735464</v>
      </c>
      <c r="M180" s="127">
        <f t="shared" si="185"/>
        <v>8.0493385146020807E-2</v>
      </c>
      <c r="N180" s="127">
        <f t="shared" si="185"/>
        <v>9.2191859683355443E-2</v>
      </c>
      <c r="O180" s="127">
        <f t="shared" si="185"/>
        <v>0.10005315306870183</v>
      </c>
      <c r="P180" s="127">
        <f t="shared" si="185"/>
        <v>9.5299445029145294E-2</v>
      </c>
      <c r="Q180" s="127">
        <f t="shared" si="185"/>
        <v>0.10418262316380765</v>
      </c>
      <c r="R180" s="127">
        <f t="shared" si="185"/>
        <v>0.10046534195198326</v>
      </c>
      <c r="S180" s="127">
        <f t="shared" si="185"/>
        <v>9.9889399075499097E-2</v>
      </c>
      <c r="T180" s="127">
        <f t="shared" si="185"/>
        <v>0.11400888063036035</v>
      </c>
      <c r="U180" s="127">
        <f t="shared" si="185"/>
        <v>0.14617558765709801</v>
      </c>
      <c r="V180" s="127">
        <f t="shared" si="185"/>
        <v>0.14647840024999434</v>
      </c>
      <c r="W180" s="127">
        <f t="shared" si="185"/>
        <v>2.0392507793825086E-4</v>
      </c>
      <c r="X180" s="127">
        <f t="shared" ref="X180:Y180" si="186">IF(X88=0,0,X88/X$77)</f>
        <v>2.975330098698075E-4</v>
      </c>
      <c r="Y180" s="127">
        <f t="shared" si="186"/>
        <v>2.6937660141240159E-4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0.49047961177392779</v>
      </c>
      <c r="C182" s="140">
        <f t="shared" ref="C182:W182" si="189">IF(C90=0,0,C90/C$89)</f>
        <v>0.48806143047512757</v>
      </c>
      <c r="D182" s="140">
        <f t="shared" si="189"/>
        <v>0.49440893102171979</v>
      </c>
      <c r="E182" s="140">
        <f t="shared" si="189"/>
        <v>0.4011742429248083</v>
      </c>
      <c r="F182" s="140">
        <f t="shared" si="189"/>
        <v>0.37498802133355863</v>
      </c>
      <c r="G182" s="140">
        <f t="shared" si="189"/>
        <v>0.37232570883376725</v>
      </c>
      <c r="H182" s="140">
        <f t="shared" si="189"/>
        <v>0.40566066026136549</v>
      </c>
      <c r="I182" s="140">
        <f t="shared" si="189"/>
        <v>0.31655278727556685</v>
      </c>
      <c r="J182" s="140">
        <f t="shared" si="189"/>
        <v>0.35755567557051798</v>
      </c>
      <c r="K182" s="140">
        <f t="shared" si="189"/>
        <v>0.51595663326394214</v>
      </c>
      <c r="L182" s="140">
        <f t="shared" si="189"/>
        <v>0.45471838458814812</v>
      </c>
      <c r="M182" s="140">
        <f t="shared" si="189"/>
        <v>0.491698791843932</v>
      </c>
      <c r="N182" s="140">
        <f t="shared" si="189"/>
        <v>0.49124396171731155</v>
      </c>
      <c r="O182" s="140">
        <f t="shared" si="189"/>
        <v>0.51504748474365236</v>
      </c>
      <c r="P182" s="140">
        <f t="shared" si="189"/>
        <v>0.49303895429763378</v>
      </c>
      <c r="Q182" s="140">
        <f t="shared" si="189"/>
        <v>0.46705034979138638</v>
      </c>
      <c r="R182" s="140">
        <f t="shared" si="189"/>
        <v>0.50311291108681544</v>
      </c>
      <c r="S182" s="140">
        <f t="shared" si="189"/>
        <v>0.52535389476754246</v>
      </c>
      <c r="T182" s="140">
        <f t="shared" si="189"/>
        <v>0.53519102063715862</v>
      </c>
      <c r="U182" s="140">
        <f t="shared" si="189"/>
        <v>0.52462268348568475</v>
      </c>
      <c r="V182" s="140">
        <f t="shared" si="189"/>
        <v>0.48892815409067797</v>
      </c>
      <c r="W182" s="140">
        <f t="shared" si="189"/>
        <v>0.45178400781039635</v>
      </c>
      <c r="X182" s="140">
        <f t="shared" ref="X182:Y182" si="190">IF(X90=0,0,X90/X$89)</f>
        <v>0.45912897704175942</v>
      </c>
      <c r="Y182" s="140">
        <f t="shared" si="190"/>
        <v>0.44692772267048986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0.50952038822607215</v>
      </c>
      <c r="C183" s="127">
        <f t="shared" ref="C183:W183" si="191">IF(C91=0,0,C91/C$89)</f>
        <v>0.51193856952487249</v>
      </c>
      <c r="D183" s="127">
        <f t="shared" si="191"/>
        <v>0.50559106897828032</v>
      </c>
      <c r="E183" s="127">
        <f t="shared" si="191"/>
        <v>0.5988257570751917</v>
      </c>
      <c r="F183" s="127">
        <f t="shared" si="191"/>
        <v>0.62501197866644131</v>
      </c>
      <c r="G183" s="127">
        <f t="shared" si="191"/>
        <v>0.62767429116623263</v>
      </c>
      <c r="H183" s="127">
        <f t="shared" si="191"/>
        <v>0.59433933973863462</v>
      </c>
      <c r="I183" s="127">
        <f t="shared" si="191"/>
        <v>0.6834472127244331</v>
      </c>
      <c r="J183" s="127">
        <f t="shared" si="191"/>
        <v>0.64244432442948207</v>
      </c>
      <c r="K183" s="127">
        <f t="shared" si="191"/>
        <v>0.4840433667360578</v>
      </c>
      <c r="L183" s="127">
        <f t="shared" si="191"/>
        <v>0.54528161541185183</v>
      </c>
      <c r="M183" s="127">
        <f t="shared" si="191"/>
        <v>0.50830120815606794</v>
      </c>
      <c r="N183" s="127">
        <f t="shared" si="191"/>
        <v>0.50875603828268856</v>
      </c>
      <c r="O183" s="127">
        <f t="shared" si="191"/>
        <v>0.48495251525634758</v>
      </c>
      <c r="P183" s="127">
        <f t="shared" si="191"/>
        <v>0.50696104570236611</v>
      </c>
      <c r="Q183" s="127">
        <f t="shared" si="191"/>
        <v>0.53294965020861351</v>
      </c>
      <c r="R183" s="127">
        <f t="shared" si="191"/>
        <v>0.49688708891318462</v>
      </c>
      <c r="S183" s="127">
        <f t="shared" si="191"/>
        <v>0.47464610523245748</v>
      </c>
      <c r="T183" s="127">
        <f t="shared" si="191"/>
        <v>0.46480897936284138</v>
      </c>
      <c r="U183" s="127">
        <f t="shared" si="191"/>
        <v>0.47537731651431536</v>
      </c>
      <c r="V183" s="127">
        <f t="shared" si="191"/>
        <v>0.51107184590932209</v>
      </c>
      <c r="W183" s="127">
        <f t="shared" si="191"/>
        <v>0.54821599218960371</v>
      </c>
      <c r="X183" s="127">
        <f t="shared" ref="X183:Y183" si="192">IF(X91=0,0,X91/X$89)</f>
        <v>0.54087102295824052</v>
      </c>
      <c r="Y183" s="127">
        <f t="shared" si="192"/>
        <v>0.55307227732951003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30.878449016995699</v>
      </c>
      <c r="C186" s="32">
        <f t="shared" si="193"/>
        <v>31.440817319128559</v>
      </c>
      <c r="D186" s="32">
        <f t="shared" si="193"/>
        <v>31.620589085412028</v>
      </c>
      <c r="E186" s="32">
        <f t="shared" si="193"/>
        <v>34.196589605669615</v>
      </c>
      <c r="F186" s="32">
        <f t="shared" si="193"/>
        <v>35.075293335690361</v>
      </c>
      <c r="G186" s="32">
        <f t="shared" si="193"/>
        <v>36.485799335514464</v>
      </c>
      <c r="H186" s="32">
        <f t="shared" si="193"/>
        <v>36.891837172092359</v>
      </c>
      <c r="I186" s="32">
        <f t="shared" si="193"/>
        <v>33.777272010618418</v>
      </c>
      <c r="J186" s="32">
        <f t="shared" si="193"/>
        <v>33.634956008059106</v>
      </c>
      <c r="K186" s="32">
        <f t="shared" si="193"/>
        <v>33.882745337329311</v>
      </c>
      <c r="L186" s="32">
        <f t="shared" si="193"/>
        <v>32.579709977591421</v>
      </c>
      <c r="M186" s="32">
        <f t="shared" si="193"/>
        <v>31.780165344558249</v>
      </c>
      <c r="N186" s="32">
        <f t="shared" si="193"/>
        <v>32.915739420269325</v>
      </c>
      <c r="O186" s="32">
        <f t="shared" si="193"/>
        <v>28.868922370094531</v>
      </c>
      <c r="P186" s="32">
        <f t="shared" si="193"/>
        <v>31.08401877101241</v>
      </c>
      <c r="Q186" s="32">
        <f t="shared" si="193"/>
        <v>32.724750377775258</v>
      </c>
      <c r="R186" s="32">
        <f t="shared" si="193"/>
        <v>33.462769322704332</v>
      </c>
      <c r="S186" s="32">
        <f t="shared" si="193"/>
        <v>33.88736690090883</v>
      </c>
      <c r="T186" s="32">
        <f t="shared" si="193"/>
        <v>35.493762586209748</v>
      </c>
      <c r="U186" s="32">
        <f t="shared" si="193"/>
        <v>36.69790920704132</v>
      </c>
      <c r="V186" s="32">
        <f t="shared" si="193"/>
        <v>43.712753153178525</v>
      </c>
      <c r="W186" s="32">
        <f t="shared" si="193"/>
        <v>45.456146941240554</v>
      </c>
      <c r="X186" s="32">
        <f t="shared" si="193"/>
        <v>41.64865987613905</v>
      </c>
      <c r="Y186" s="32">
        <f t="shared" si="193"/>
        <v>39.638848709947368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31.855380134974492</v>
      </c>
      <c r="C187" s="141">
        <f t="shared" si="194"/>
        <v>31.525382325365079</v>
      </c>
      <c r="D187" s="141">
        <f t="shared" si="194"/>
        <v>31.728124343151663</v>
      </c>
      <c r="E187" s="141">
        <f t="shared" si="194"/>
        <v>34.679336481432301</v>
      </c>
      <c r="F187" s="141">
        <f t="shared" si="194"/>
        <v>35.686602053779055</v>
      </c>
      <c r="G187" s="141">
        <f t="shared" si="194"/>
        <v>37.125939420961672</v>
      </c>
      <c r="H187" s="141">
        <f t="shared" si="194"/>
        <v>37.977856415174415</v>
      </c>
      <c r="I187" s="141">
        <f t="shared" si="194"/>
        <v>34.161367846595439</v>
      </c>
      <c r="J187" s="141">
        <f t="shared" si="194"/>
        <v>33.912074410709991</v>
      </c>
      <c r="K187" s="141">
        <f t="shared" si="194"/>
        <v>34.744194244170266</v>
      </c>
      <c r="L187" s="141">
        <f t="shared" si="194"/>
        <v>33.515978889873452</v>
      </c>
      <c r="M187" s="141">
        <f t="shared" si="194"/>
        <v>32.600369113008263</v>
      </c>
      <c r="N187" s="141">
        <f t="shared" si="194"/>
        <v>34.164648895639331</v>
      </c>
      <c r="O187" s="141">
        <f t="shared" si="194"/>
        <v>29.788657355686126</v>
      </c>
      <c r="P187" s="141">
        <f t="shared" si="194"/>
        <v>32.189106713277212</v>
      </c>
      <c r="Q187" s="141">
        <f t="shared" si="194"/>
        <v>33.648467983677655</v>
      </c>
      <c r="R187" s="141">
        <f t="shared" si="194"/>
        <v>34.664293302478931</v>
      </c>
      <c r="S187" s="141">
        <f t="shared" si="194"/>
        <v>35.516467471195206</v>
      </c>
      <c r="T187" s="141">
        <f t="shared" si="194"/>
        <v>37.620446880385906</v>
      </c>
      <c r="U187" s="141">
        <f t="shared" si="194"/>
        <v>39.108595129237678</v>
      </c>
      <c r="V187" s="141">
        <f t="shared" si="194"/>
        <v>44.800014409249378</v>
      </c>
      <c r="W187" s="141">
        <f t="shared" si="194"/>
        <v>47.051370779046046</v>
      </c>
      <c r="X187" s="141">
        <f t="shared" si="194"/>
        <v>44.025715477410671</v>
      </c>
      <c r="Y187" s="141">
        <f t="shared" si="194"/>
        <v>42.04280653057122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38.183438676584714</v>
      </c>
      <c r="C188" s="97">
        <f t="shared" si="195"/>
        <v>38.050190479550032</v>
      </c>
      <c r="D188" s="97">
        <f t="shared" si="195"/>
        <v>37.887053304924379</v>
      </c>
      <c r="E188" s="97">
        <f t="shared" si="195"/>
        <v>37.664593123013248</v>
      </c>
      <c r="F188" s="97">
        <f t="shared" si="195"/>
        <v>35.780188838154601</v>
      </c>
      <c r="G188" s="97">
        <f t="shared" si="195"/>
        <v>35.743413190101649</v>
      </c>
      <c r="H188" s="97">
        <f t="shared" si="195"/>
        <v>35.654150013568788</v>
      </c>
      <c r="I188" s="97">
        <f t="shared" si="195"/>
        <v>34.986931774627024</v>
      </c>
      <c r="J188" s="97">
        <f t="shared" si="195"/>
        <v>34.277482925623701</v>
      </c>
      <c r="K188" s="97">
        <f t="shared" si="195"/>
        <v>33.756070005623315</v>
      </c>
      <c r="L188" s="97">
        <f t="shared" si="195"/>
        <v>33.427600645467237</v>
      </c>
      <c r="M188" s="97">
        <f t="shared" si="195"/>
        <v>33.024615801231008</v>
      </c>
      <c r="N188" s="97">
        <f t="shared" si="195"/>
        <v>32.772235102969852</v>
      </c>
      <c r="O188" s="97">
        <f t="shared" si="195"/>
        <v>32.357109477050926</v>
      </c>
      <c r="P188" s="97">
        <f t="shared" si="195"/>
        <v>32.044713161929359</v>
      </c>
      <c r="Q188" s="97">
        <f t="shared" si="195"/>
        <v>31.587624358415049</v>
      </c>
      <c r="R188" s="97">
        <f t="shared" si="195"/>
        <v>31.174934417099642</v>
      </c>
      <c r="S188" s="97">
        <f t="shared" si="195"/>
        <v>30.9468301914068</v>
      </c>
      <c r="T188" s="97">
        <f t="shared" si="195"/>
        <v>30.615402638871196</v>
      </c>
      <c r="U188" s="97">
        <f t="shared" si="195"/>
        <v>30.300316898065741</v>
      </c>
      <c r="V188" s="97">
        <f t="shared" si="195"/>
        <v>30.235233194615134</v>
      </c>
      <c r="W188" s="97">
        <f t="shared" si="195"/>
        <v>30.139166050293944</v>
      </c>
      <c r="X188" s="97">
        <f t="shared" si="195"/>
        <v>30.040894025407368</v>
      </c>
      <c r="Y188" s="97">
        <f t="shared" si="195"/>
        <v>29.79651656895356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38.991206622186517</v>
      </c>
      <c r="C189" s="97">
        <f t="shared" si="196"/>
        <v>38.362403335689926</v>
      </c>
      <c r="D189" s="97">
        <f t="shared" si="196"/>
        <v>39.271504020171626</v>
      </c>
      <c r="E189" s="97">
        <f t="shared" si="196"/>
        <v>42.037309568465709</v>
      </c>
      <c r="F189" s="97">
        <f t="shared" si="196"/>
        <v>42.228503850522806</v>
      </c>
      <c r="G189" s="97">
        <f t="shared" si="196"/>
        <v>44.058810588506603</v>
      </c>
      <c r="H189" s="97">
        <f t="shared" si="196"/>
        <v>44.317539579498501</v>
      </c>
      <c r="I189" s="97">
        <f t="shared" si="196"/>
        <v>38.932500298235716</v>
      </c>
      <c r="J189" s="97">
        <f t="shared" si="196"/>
        <v>39.077695322557602</v>
      </c>
      <c r="K189" s="97">
        <f t="shared" si="196"/>
        <v>37.048043970577588</v>
      </c>
      <c r="L189" s="97">
        <f t="shared" si="196"/>
        <v>36.0171247104782</v>
      </c>
      <c r="M189" s="97">
        <f t="shared" si="196"/>
        <v>34.497968190547951</v>
      </c>
      <c r="N189" s="97">
        <f t="shared" si="196"/>
        <v>36.518940792873096</v>
      </c>
      <c r="O189" s="97">
        <f t="shared" si="196"/>
        <v>31.380923724822694</v>
      </c>
      <c r="P189" s="97">
        <f t="shared" si="196"/>
        <v>34.962901782029483</v>
      </c>
      <c r="Q189" s="97">
        <f t="shared" si="196"/>
        <v>36.827014644220483</v>
      </c>
      <c r="R189" s="97">
        <f t="shared" si="196"/>
        <v>38.307588424101262</v>
      </c>
      <c r="S189" s="97">
        <f t="shared" si="196"/>
        <v>38.528741053754047</v>
      </c>
      <c r="T189" s="97">
        <f t="shared" si="196"/>
        <v>40.578775831955113</v>
      </c>
      <c r="U189" s="97">
        <f t="shared" si="196"/>
        <v>42.600149449106041</v>
      </c>
      <c r="V189" s="97">
        <f t="shared" si="196"/>
        <v>45.072996699810915</v>
      </c>
      <c r="W189" s="97">
        <f t="shared" si="196"/>
        <v>47.444213946868956</v>
      </c>
      <c r="X189" s="97">
        <f t="shared" si="196"/>
        <v>45.529397099322892</v>
      </c>
      <c r="Y189" s="97">
        <f t="shared" si="196"/>
        <v>43.405913299351646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18.554991472141801</v>
      </c>
      <c r="C190" s="97">
        <f t="shared" si="197"/>
        <v>18.631143495407411</v>
      </c>
      <c r="D190" s="97">
        <f t="shared" si="197"/>
        <v>18.590474993627272</v>
      </c>
      <c r="E190" s="97">
        <f t="shared" si="197"/>
        <v>18.920175713160241</v>
      </c>
      <c r="F190" s="97">
        <f t="shared" si="197"/>
        <v>19.214955960179445</v>
      </c>
      <c r="G190" s="97">
        <f t="shared" si="197"/>
        <v>19.388164730830617</v>
      </c>
      <c r="H190" s="97">
        <f t="shared" si="197"/>
        <v>19.63276639358774</v>
      </c>
      <c r="I190" s="97">
        <f t="shared" si="197"/>
        <v>19.931611793547333</v>
      </c>
      <c r="J190" s="97">
        <f t="shared" si="197"/>
        <v>17.773964117245679</v>
      </c>
      <c r="K190" s="97">
        <f t="shared" si="197"/>
        <v>24.587532494785826</v>
      </c>
      <c r="L190" s="97">
        <f t="shared" si="197"/>
        <v>22.467925122651657</v>
      </c>
      <c r="M190" s="97">
        <f t="shared" si="197"/>
        <v>24.164332141612718</v>
      </c>
      <c r="N190" s="97">
        <f t="shared" si="197"/>
        <v>23.088737015038902</v>
      </c>
      <c r="O190" s="97">
        <f t="shared" si="197"/>
        <v>21.686918409014154</v>
      </c>
      <c r="P190" s="97">
        <f t="shared" si="197"/>
        <v>19.157981406473503</v>
      </c>
      <c r="Q190" s="97">
        <f t="shared" si="197"/>
        <v>19.334940743632462</v>
      </c>
      <c r="R190" s="97">
        <f t="shared" si="197"/>
        <v>18.013668251308353</v>
      </c>
      <c r="S190" s="97">
        <f t="shared" si="197"/>
        <v>19.409720212024979</v>
      </c>
      <c r="T190" s="97">
        <f t="shared" si="197"/>
        <v>21.049007049039119</v>
      </c>
      <c r="U190" s="97">
        <f t="shared" si="197"/>
        <v>21.063384353227949</v>
      </c>
      <c r="V190" s="97">
        <f t="shared" si="197"/>
        <v>44.283389054157077</v>
      </c>
      <c r="W190" s="97">
        <f t="shared" si="197"/>
        <v>45.631856439673022</v>
      </c>
      <c r="X190" s="97">
        <f t="shared" si="197"/>
        <v>33.364952576841688</v>
      </c>
      <c r="Y190" s="97">
        <f t="shared" si="197"/>
        <v>32.043218254760824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10.672048455282331</v>
      </c>
      <c r="C191" s="130">
        <f t="shared" si="198"/>
        <v>11.113712610560455</v>
      </c>
      <c r="D191" s="130">
        <f t="shared" si="198"/>
        <v>12.798864089747079</v>
      </c>
      <c r="E191" s="130">
        <f t="shared" si="198"/>
        <v>11.1964063647908</v>
      </c>
      <c r="F191" s="130">
        <f t="shared" si="198"/>
        <v>11.53755955763798</v>
      </c>
      <c r="G191" s="130">
        <f t="shared" si="198"/>
        <v>11.662899536714823</v>
      </c>
      <c r="H191" s="130">
        <f t="shared" si="198"/>
        <v>11.874534781865039</v>
      </c>
      <c r="I191" s="130">
        <f t="shared" si="198"/>
        <v>11.025477188291958</v>
      </c>
      <c r="J191" s="130">
        <f t="shared" si="198"/>
        <v>12.265367635556295</v>
      </c>
      <c r="K191" s="130">
        <f t="shared" si="198"/>
        <v>12.340685596373945</v>
      </c>
      <c r="L191" s="130">
        <f t="shared" si="198"/>
        <v>10.288905276047407</v>
      </c>
      <c r="M191" s="130">
        <f t="shared" si="198"/>
        <v>8.7301662252547612</v>
      </c>
      <c r="N191" s="130">
        <f t="shared" si="198"/>
        <v>10.093062243705196</v>
      </c>
      <c r="O191" s="130">
        <f t="shared" si="198"/>
        <v>7.2247469675347089</v>
      </c>
      <c r="P191" s="130">
        <f t="shared" si="198"/>
        <v>6.940257672384873</v>
      </c>
      <c r="Q191" s="130">
        <f t="shared" si="198"/>
        <v>10.819637808370992</v>
      </c>
      <c r="R191" s="130">
        <f t="shared" si="198"/>
        <v>10.112326088083284</v>
      </c>
      <c r="S191" s="130">
        <f t="shared" si="198"/>
        <v>9.8871728332336541</v>
      </c>
      <c r="T191" s="130">
        <f t="shared" si="198"/>
        <v>8.8645962476277305</v>
      </c>
      <c r="U191" s="130">
        <f t="shared" si="198"/>
        <v>11.373608484868059</v>
      </c>
      <c r="V191" s="130">
        <f t="shared" si="198"/>
        <v>11.854873639895004</v>
      </c>
      <c r="W191" s="130">
        <f t="shared" si="198"/>
        <v>11.499898676870455</v>
      </c>
      <c r="X191" s="130">
        <f t="shared" si="198"/>
        <v>8.4770037000414629</v>
      </c>
      <c r="Y191" s="130">
        <f t="shared" si="198"/>
        <v>9.6772205586982007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5.4479179485780218</v>
      </c>
      <c r="C192" s="97">
        <f t="shared" si="199"/>
        <v>5.5905272022394428</v>
      </c>
      <c r="D192" s="97">
        <f t="shared" si="199"/>
        <v>5.7250394341520341</v>
      </c>
      <c r="E192" s="97">
        <f t="shared" si="199"/>
        <v>5.6634384459660341</v>
      </c>
      <c r="F192" s="97">
        <f t="shared" si="199"/>
        <v>5.6110806031711675</v>
      </c>
      <c r="G192" s="97">
        <f t="shared" si="199"/>
        <v>5.3458407037846856</v>
      </c>
      <c r="H192" s="97">
        <f t="shared" si="199"/>
        <v>5.2879360431843168</v>
      </c>
      <c r="I192" s="97">
        <f t="shared" si="199"/>
        <v>5.2596647851545155</v>
      </c>
      <c r="J192" s="97">
        <f t="shared" si="199"/>
        <v>5.2334330937120104</v>
      </c>
      <c r="K192" s="97">
        <f t="shared" si="199"/>
        <v>5.2589372424459331</v>
      </c>
      <c r="L192" s="97">
        <f t="shared" si="199"/>
        <v>5.2660066118767084</v>
      </c>
      <c r="M192" s="97">
        <f t="shared" si="199"/>
        <v>5.1757652147348168</v>
      </c>
      <c r="N192" s="97">
        <f t="shared" si="199"/>
        <v>5.0703409602929153</v>
      </c>
      <c r="O192" s="97">
        <f t="shared" si="199"/>
        <v>5.0052896301790364</v>
      </c>
      <c r="P192" s="97">
        <f t="shared" si="199"/>
        <v>5.0536406952695172</v>
      </c>
      <c r="Q192" s="97">
        <f t="shared" si="199"/>
        <v>5.0828649124255412</v>
      </c>
      <c r="R192" s="97">
        <f t="shared" si="199"/>
        <v>5.1030809032004001</v>
      </c>
      <c r="S192" s="97">
        <f t="shared" si="199"/>
        <v>4.9801832026700943</v>
      </c>
      <c r="T192" s="97">
        <f t="shared" si="199"/>
        <v>4.8847894925125104</v>
      </c>
      <c r="U192" s="97">
        <f t="shared" si="199"/>
        <v>5.3646780975926829</v>
      </c>
      <c r="V192" s="97">
        <f t="shared" si="199"/>
        <v>7.9434865727847859</v>
      </c>
      <c r="W192" s="97">
        <f t="shared" si="199"/>
        <v>7.5312219775273324</v>
      </c>
      <c r="X192" s="97">
        <f t="shared" si="199"/>
        <v>6.0751655469507879</v>
      </c>
      <c r="Y192" s="97">
        <f t="shared" si="199"/>
        <v>4.5172711249109359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11.302495080371358</v>
      </c>
      <c r="C193" s="97">
        <f t="shared" si="200"/>
        <v>11.980058415410809</v>
      </c>
      <c r="D193" s="97">
        <f t="shared" si="200"/>
        <v>13.986003254427388</v>
      </c>
      <c r="E193" s="97">
        <f t="shared" si="200"/>
        <v>12.264750587495943</v>
      </c>
      <c r="F193" s="97">
        <f t="shared" si="200"/>
        <v>12.622272843813271</v>
      </c>
      <c r="G193" s="97">
        <f t="shared" si="200"/>
        <v>12.810494150985095</v>
      </c>
      <c r="H193" s="97">
        <f t="shared" si="200"/>
        <v>13.092959932197514</v>
      </c>
      <c r="I193" s="97">
        <f t="shared" si="200"/>
        <v>12.087979224311045</v>
      </c>
      <c r="J193" s="97">
        <f t="shared" si="200"/>
        <v>13.740343978817545</v>
      </c>
      <c r="K193" s="97">
        <f t="shared" si="200"/>
        <v>14.619564393147785</v>
      </c>
      <c r="L193" s="97">
        <f t="shared" si="200"/>
        <v>12.473505699842221</v>
      </c>
      <c r="M193" s="97">
        <f t="shared" si="200"/>
        <v>10.235478357927608</v>
      </c>
      <c r="N193" s="97">
        <f t="shared" si="200"/>
        <v>12.832728398293716</v>
      </c>
      <c r="O193" s="97">
        <f t="shared" si="200"/>
        <v>8.4557474676605899</v>
      </c>
      <c r="P193" s="97">
        <f t="shared" si="200"/>
        <v>7.7502363392382847</v>
      </c>
      <c r="Q193" s="97">
        <f t="shared" si="200"/>
        <v>13.562022650491002</v>
      </c>
      <c r="R193" s="97">
        <f t="shared" si="200"/>
        <v>12.918191947656856</v>
      </c>
      <c r="S193" s="97">
        <f t="shared" si="200"/>
        <v>13.54859466357048</v>
      </c>
      <c r="T193" s="97">
        <f t="shared" si="200"/>
        <v>11.790131701083023</v>
      </c>
      <c r="U193" s="97">
        <f t="shared" si="200"/>
        <v>15.540327319202433</v>
      </c>
      <c r="V193" s="97">
        <f t="shared" si="200"/>
        <v>14.268878180419199</v>
      </c>
      <c r="W193" s="97">
        <f t="shared" si="200"/>
        <v>13.974136020600582</v>
      </c>
      <c r="X193" s="97">
        <f t="shared" si="200"/>
        <v>9.9181065918958673</v>
      </c>
      <c r="Y193" s="97">
        <f t="shared" si="200"/>
        <v>13.145277024874314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49.182512756119777</v>
      </c>
      <c r="C195" s="130">
        <f t="shared" si="202"/>
        <v>56.157784785251316</v>
      </c>
      <c r="D195" s="130">
        <f t="shared" si="202"/>
        <v>47.881529072393612</v>
      </c>
      <c r="E195" s="130">
        <f t="shared" si="202"/>
        <v>45.810470994875445</v>
      </c>
      <c r="F195" s="130">
        <f t="shared" si="202"/>
        <v>45.308739349887489</v>
      </c>
      <c r="G195" s="130">
        <f t="shared" si="202"/>
        <v>45.228429215366695</v>
      </c>
      <c r="H195" s="130">
        <f t="shared" si="202"/>
        <v>40.083964778899599</v>
      </c>
      <c r="I195" s="130">
        <f t="shared" si="202"/>
        <v>42.1654870074344</v>
      </c>
      <c r="J195" s="130">
        <f t="shared" si="202"/>
        <v>41.930745482942108</v>
      </c>
      <c r="K195" s="130">
        <f t="shared" si="202"/>
        <v>36.298343430872961</v>
      </c>
      <c r="L195" s="130">
        <f t="shared" si="202"/>
        <v>35.006497719457968</v>
      </c>
      <c r="M195" s="130">
        <f t="shared" si="202"/>
        <v>35.285801827122576</v>
      </c>
      <c r="N195" s="130">
        <f t="shared" si="202"/>
        <v>31.109024786829202</v>
      </c>
      <c r="O195" s="130">
        <f t="shared" si="202"/>
        <v>29.548522902877103</v>
      </c>
      <c r="P195" s="130">
        <f t="shared" si="202"/>
        <v>28.721255501002638</v>
      </c>
      <c r="Q195" s="130">
        <f t="shared" si="202"/>
        <v>30.349793115993791</v>
      </c>
      <c r="R195" s="130">
        <f t="shared" si="202"/>
        <v>29.510002427245592</v>
      </c>
      <c r="S195" s="130">
        <f t="shared" si="202"/>
        <v>28.121922995429042</v>
      </c>
      <c r="T195" s="130">
        <f t="shared" si="202"/>
        <v>27.695527226651869</v>
      </c>
      <c r="U195" s="130">
        <f t="shared" si="202"/>
        <v>25.759247740360642</v>
      </c>
      <c r="V195" s="130">
        <f t="shared" si="202"/>
        <v>42.721705984107324</v>
      </c>
      <c r="W195" s="130">
        <f t="shared" si="202"/>
        <v>39.328473627556583</v>
      </c>
      <c r="X195" s="130">
        <f t="shared" si="202"/>
        <v>32.281149080823312</v>
      </c>
      <c r="Y195" s="130">
        <f t="shared" si="202"/>
        <v>29.598330039336783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1813.1171125014973</v>
      </c>
      <c r="C196" s="97">
        <f t="shared" si="203"/>
        <v>1724.7746277491401</v>
      </c>
      <c r="D196" s="97">
        <f t="shared" si="203"/>
        <v>1653.2380557220786</v>
      </c>
      <c r="E196" s="97">
        <f t="shared" si="203"/>
        <v>1582.6190918565251</v>
      </c>
      <c r="F196" s="97">
        <f t="shared" si="203"/>
        <v>1511.3380383042295</v>
      </c>
      <c r="G196" s="97">
        <f t="shared" si="203"/>
        <v>908.00368694372787</v>
      </c>
      <c r="H196" s="97">
        <f t="shared" si="203"/>
        <v>1092.6502095845676</v>
      </c>
      <c r="I196" s="97">
        <f t="shared" si="203"/>
        <v>1210.7391035352566</v>
      </c>
      <c r="J196" s="97">
        <f t="shared" si="203"/>
        <v>253.57847990482136</v>
      </c>
      <c r="K196" s="97">
        <f t="shared" si="203"/>
        <v>380.3797453169841</v>
      </c>
      <c r="L196" s="97">
        <f t="shared" si="203"/>
        <v>237.04376913991899</v>
      </c>
      <c r="M196" s="97">
        <f t="shared" si="203"/>
        <v>292.4799451604253</v>
      </c>
      <c r="N196" s="97">
        <f t="shared" si="203"/>
        <v>149.02680081740331</v>
      </c>
      <c r="O196" s="97">
        <f t="shared" si="203"/>
        <v>190.69857932134786</v>
      </c>
      <c r="P196" s="97">
        <f t="shared" si="203"/>
        <v>158.81858262538432</v>
      </c>
      <c r="Q196" s="97">
        <f t="shared" si="203"/>
        <v>225.24639304090357</v>
      </c>
      <c r="R196" s="97">
        <f t="shared" si="203"/>
        <v>325.99567472552218</v>
      </c>
      <c r="S196" s="97">
        <f t="shared" si="203"/>
        <v>194.92084624181868</v>
      </c>
      <c r="T196" s="97">
        <f t="shared" si="203"/>
        <v>147.624848100664</v>
      </c>
      <c r="U196" s="97">
        <f t="shared" si="203"/>
        <v>66.479846232491482</v>
      </c>
      <c r="V196" s="97">
        <f t="shared" si="203"/>
        <v>74.615793486642815</v>
      </c>
      <c r="W196" s="97">
        <f t="shared" si="203"/>
        <v>62.914155522315021</v>
      </c>
      <c r="X196" s="97">
        <f t="shared" si="203"/>
        <v>87.614946396148241</v>
      </c>
      <c r="Y196" s="97">
        <f t="shared" si="203"/>
        <v>59.230594956429755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38.172115015557274</v>
      </c>
      <c r="C197" s="97">
        <f t="shared" si="204"/>
        <v>38.327939277435782</v>
      </c>
      <c r="D197" s="97">
        <f t="shared" si="204"/>
        <v>38.540714261407409</v>
      </c>
      <c r="E197" s="97">
        <f t="shared" si="204"/>
        <v>39.097522077733238</v>
      </c>
      <c r="F197" s="97">
        <f t="shared" si="204"/>
        <v>39.494416882900701</v>
      </c>
      <c r="G197" s="97">
        <f t="shared" si="204"/>
        <v>41.085931239309176</v>
      </c>
      <c r="H197" s="97">
        <f t="shared" si="204"/>
        <v>34.463279913984486</v>
      </c>
      <c r="I197" s="97">
        <f t="shared" si="204"/>
        <v>34.729638093892412</v>
      </c>
      <c r="J197" s="97">
        <f t="shared" si="204"/>
        <v>41.174340708263408</v>
      </c>
      <c r="K197" s="97">
        <f t="shared" si="204"/>
        <v>32.974182380568557</v>
      </c>
      <c r="L197" s="97">
        <f t="shared" si="204"/>
        <v>35.14348586162955</v>
      </c>
      <c r="M197" s="97">
        <f t="shared" si="204"/>
        <v>34.545137683486985</v>
      </c>
      <c r="N197" s="97">
        <f t="shared" si="204"/>
        <v>32.915717037397663</v>
      </c>
      <c r="O197" s="97">
        <f t="shared" si="204"/>
        <v>32.274515122733753</v>
      </c>
      <c r="P197" s="97">
        <f t="shared" si="204"/>
        <v>33.143934078666256</v>
      </c>
      <c r="Q197" s="97">
        <f t="shared" si="204"/>
        <v>33.058507646114286</v>
      </c>
      <c r="R197" s="97">
        <f t="shared" si="204"/>
        <v>32.256960646313047</v>
      </c>
      <c r="S197" s="97">
        <f t="shared" si="204"/>
        <v>29.323042593388191</v>
      </c>
      <c r="T197" s="97">
        <f t="shared" si="204"/>
        <v>29.090128866432394</v>
      </c>
      <c r="U197" s="97">
        <f t="shared" si="204"/>
        <v>27.959559765608823</v>
      </c>
      <c r="V197" s="97">
        <f t="shared" si="204"/>
        <v>41.613501076096625</v>
      </c>
      <c r="W197" s="97">
        <f t="shared" si="204"/>
        <v>41.699317438609228</v>
      </c>
      <c r="X197" s="97">
        <f t="shared" si="204"/>
        <v>32.067012513176806</v>
      </c>
      <c r="Y197" s="97">
        <f t="shared" si="204"/>
        <v>29.618706549824623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46.176684655129776</v>
      </c>
      <c r="C198" s="97">
        <f t="shared" si="205"/>
        <v>46.440196450802134</v>
      </c>
      <c r="D198" s="97">
        <f t="shared" si="205"/>
        <v>46.27334428838298</v>
      </c>
      <c r="E198" s="97">
        <f t="shared" si="205"/>
        <v>45.904045848790012</v>
      </c>
      <c r="F198" s="97">
        <f t="shared" si="205"/>
        <v>45.261476221516681</v>
      </c>
      <c r="G198" s="97">
        <f t="shared" si="205"/>
        <v>51.765817329008215</v>
      </c>
      <c r="H198" s="97">
        <f t="shared" si="205"/>
        <v>42.535518462601374</v>
      </c>
      <c r="I198" s="97">
        <f t="shared" si="205"/>
        <v>33.302326811323496</v>
      </c>
      <c r="J198" s="97">
        <f t="shared" si="205"/>
        <v>32.682057185111589</v>
      </c>
      <c r="K198" s="97">
        <f t="shared" si="205"/>
        <v>26.01032970344658</v>
      </c>
      <c r="L198" s="97">
        <f t="shared" si="205"/>
        <v>22.235413639230941</v>
      </c>
      <c r="M198" s="97">
        <f t="shared" si="205"/>
        <v>21.262094540620762</v>
      </c>
      <c r="N198" s="97">
        <f t="shared" si="205"/>
        <v>18.394051220436186</v>
      </c>
      <c r="O198" s="97">
        <f t="shared" si="205"/>
        <v>15.195034540871925</v>
      </c>
      <c r="P198" s="97">
        <f t="shared" si="205"/>
        <v>13.700522705796624</v>
      </c>
      <c r="Q198" s="97">
        <f t="shared" si="205"/>
        <v>15.459968795016138</v>
      </c>
      <c r="R198" s="97">
        <f t="shared" si="205"/>
        <v>13.1071279950361</v>
      </c>
      <c r="S198" s="97">
        <f t="shared" si="205"/>
        <v>14.529815387548453</v>
      </c>
      <c r="T198" s="97">
        <f t="shared" si="205"/>
        <v>15.221068399206802</v>
      </c>
      <c r="U198" s="97">
        <f t="shared" si="205"/>
        <v>14.966511588083989</v>
      </c>
      <c r="V198" s="97">
        <f t="shared" si="205"/>
        <v>45.516086567945237</v>
      </c>
      <c r="W198" s="97">
        <f t="shared" si="205"/>
        <v>28.045284553003938</v>
      </c>
      <c r="X198" s="97">
        <f t="shared" si="205"/>
        <v>28.027502145149196</v>
      </c>
      <c r="Y198" s="97">
        <f t="shared" si="205"/>
        <v>26.759090962529054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26.948655825561225</v>
      </c>
      <c r="C199" s="32">
        <f t="shared" si="206"/>
        <v>29.031360439221015</v>
      </c>
      <c r="D199" s="32">
        <f t="shared" si="206"/>
        <v>26.379857861813516</v>
      </c>
      <c r="E199" s="32">
        <f t="shared" si="206"/>
        <v>33.00652129093065</v>
      </c>
      <c r="F199" s="32">
        <f t="shared" si="206"/>
        <v>34.467735460848616</v>
      </c>
      <c r="G199" s="32">
        <f t="shared" si="206"/>
        <v>35.708359830408021</v>
      </c>
      <c r="H199" s="32">
        <f t="shared" si="206"/>
        <v>35.541571991417243</v>
      </c>
      <c r="I199" s="32">
        <f t="shared" si="206"/>
        <v>32.850453866277697</v>
      </c>
      <c r="J199" s="32">
        <f t="shared" si="206"/>
        <v>34.522113156600156</v>
      </c>
      <c r="K199" s="32">
        <f t="shared" si="206"/>
        <v>31.392564206669714</v>
      </c>
      <c r="L199" s="32">
        <f t="shared" si="206"/>
        <v>29.627408790624536</v>
      </c>
      <c r="M199" s="32">
        <f t="shared" si="206"/>
        <v>30.985893771282907</v>
      </c>
      <c r="N199" s="32">
        <f t="shared" si="206"/>
        <v>32.044104231094543</v>
      </c>
      <c r="O199" s="32">
        <f t="shared" si="206"/>
        <v>26.810809384878709</v>
      </c>
      <c r="P199" s="32">
        <f t="shared" si="206"/>
        <v>29.946746358958158</v>
      </c>
      <c r="Q199" s="32">
        <f t="shared" si="206"/>
        <v>31.221492109230763</v>
      </c>
      <c r="R199" s="32">
        <f t="shared" si="206"/>
        <v>31.710170080819722</v>
      </c>
      <c r="S199" s="32">
        <f t="shared" si="206"/>
        <v>29.84717408981053</v>
      </c>
      <c r="T199" s="32">
        <f t="shared" si="206"/>
        <v>31.298359219621304</v>
      </c>
      <c r="U199" s="32">
        <f t="shared" si="206"/>
        <v>31.02319225158665</v>
      </c>
      <c r="V199" s="32">
        <f t="shared" si="206"/>
        <v>28.864763982416793</v>
      </c>
      <c r="W199" s="32">
        <f t="shared" si="206"/>
        <v>26.214227856062582</v>
      </c>
      <c r="X199" s="32">
        <f t="shared" si="206"/>
        <v>25.353153192388657</v>
      </c>
      <c r="Y199" s="32">
        <f t="shared" si="206"/>
        <v>24.52285596030428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42.016320456721623</v>
      </c>
      <c r="C200" s="141">
        <f t="shared" si="207"/>
        <v>43.086629633444787</v>
      </c>
      <c r="D200" s="141">
        <f t="shared" si="207"/>
        <v>37.195338561959979</v>
      </c>
      <c r="E200" s="141">
        <f t="shared" si="207"/>
        <v>48.533638296503554</v>
      </c>
      <c r="F200" s="141">
        <f t="shared" si="207"/>
        <v>49.178924145142979</v>
      </c>
      <c r="G200" s="141">
        <f t="shared" si="207"/>
        <v>50.220937190277233</v>
      </c>
      <c r="H200" s="141">
        <f t="shared" si="207"/>
        <v>51.078045420261333</v>
      </c>
      <c r="I200" s="141">
        <f t="shared" si="207"/>
        <v>48.035865004108757</v>
      </c>
      <c r="J200" s="141">
        <f t="shared" si="207"/>
        <v>54.096377136763216</v>
      </c>
      <c r="K200" s="141">
        <f t="shared" si="207"/>
        <v>52.147394402095024</v>
      </c>
      <c r="L200" s="141">
        <f t="shared" si="207"/>
        <v>50.068020576141876</v>
      </c>
      <c r="M200" s="141">
        <f t="shared" si="207"/>
        <v>47.664148330762593</v>
      </c>
      <c r="N200" s="141">
        <f t="shared" si="207"/>
        <v>51.748759654071236</v>
      </c>
      <c r="O200" s="141">
        <f t="shared" si="207"/>
        <v>41.005893703673472</v>
      </c>
      <c r="P200" s="141">
        <f t="shared" si="207"/>
        <v>46.800213615363198</v>
      </c>
      <c r="Q200" s="141">
        <f t="shared" si="207"/>
        <v>48.293463940679928</v>
      </c>
      <c r="R200" s="141">
        <f t="shared" si="207"/>
        <v>48.660677858977436</v>
      </c>
      <c r="S200" s="141">
        <f t="shared" si="207"/>
        <v>45.238284158454832</v>
      </c>
      <c r="T200" s="141">
        <f t="shared" si="207"/>
        <v>46.997276817812697</v>
      </c>
      <c r="U200" s="141">
        <f t="shared" si="207"/>
        <v>52.620678369601826</v>
      </c>
      <c r="V200" s="141">
        <f t="shared" si="207"/>
        <v>45.88768031688317</v>
      </c>
      <c r="W200" s="141">
        <f t="shared" si="207"/>
        <v>44.017299528883797</v>
      </c>
      <c r="X200" s="141">
        <f t="shared" si="207"/>
        <v>39.285281810218741</v>
      </c>
      <c r="Y200" s="141">
        <f t="shared" si="207"/>
        <v>37.23374059826309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306.6879076384335</v>
      </c>
      <c r="C201" s="97">
        <f t="shared" si="208"/>
        <v>310.15224510600734</v>
      </c>
      <c r="D201" s="97">
        <f t="shared" si="208"/>
        <v>310.6809671338969</v>
      </c>
      <c r="E201" s="97">
        <f t="shared" si="208"/>
        <v>299.31368806007879</v>
      </c>
      <c r="F201" s="97">
        <f t="shared" si="208"/>
        <v>282.29023860216824</v>
      </c>
      <c r="G201" s="97">
        <f t="shared" si="208"/>
        <v>275.23534196374521</v>
      </c>
      <c r="H201" s="97">
        <f t="shared" si="208"/>
        <v>257.90378008264167</v>
      </c>
      <c r="I201" s="97">
        <f t="shared" si="208"/>
        <v>245.94261174258986</v>
      </c>
      <c r="J201" s="97">
        <f t="shared" si="208"/>
        <v>240.05637171909854</v>
      </c>
      <c r="K201" s="97">
        <f t="shared" si="208"/>
        <v>233.43995480368255</v>
      </c>
      <c r="L201" s="97">
        <f t="shared" si="208"/>
        <v>229.16800666875997</v>
      </c>
      <c r="M201" s="97">
        <f t="shared" si="208"/>
        <v>228.23151589922077</v>
      </c>
      <c r="N201" s="97">
        <f t="shared" si="208"/>
        <v>227.4063253104936</v>
      </c>
      <c r="O201" s="97">
        <f t="shared" si="208"/>
        <v>225.33609511799079</v>
      </c>
      <c r="P201" s="97">
        <f t="shared" si="208"/>
        <v>224.72453379318279</v>
      </c>
      <c r="Q201" s="97">
        <f t="shared" si="208"/>
        <v>225.08934018483615</v>
      </c>
      <c r="R201" s="97">
        <f t="shared" si="208"/>
        <v>222.98782380101963</v>
      </c>
      <c r="S201" s="97">
        <f t="shared" si="208"/>
        <v>223.04870635919747</v>
      </c>
      <c r="T201" s="97">
        <f t="shared" si="208"/>
        <v>222.95574554787032</v>
      </c>
      <c r="U201" s="97">
        <f t="shared" si="208"/>
        <v>224.26443321030288</v>
      </c>
      <c r="V201" s="97">
        <f t="shared" si="208"/>
        <v>226.36683524031056</v>
      </c>
      <c r="W201" s="97">
        <f t="shared" si="208"/>
        <v>230.27216484919552</v>
      </c>
      <c r="X201" s="97">
        <f t="shared" si="208"/>
        <v>233.65906885034192</v>
      </c>
      <c r="Y201" s="97">
        <f t="shared" si="208"/>
        <v>238.08733286823048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27.056999588134168</v>
      </c>
      <c r="C202" s="97">
        <f t="shared" si="209"/>
        <v>29.64411147518479</v>
      </c>
      <c r="D202" s="97">
        <f t="shared" si="209"/>
        <v>24.636306914213147</v>
      </c>
      <c r="E202" s="97">
        <f t="shared" si="209"/>
        <v>36.844476189494863</v>
      </c>
      <c r="F202" s="97">
        <f t="shared" si="209"/>
        <v>37.331876471352238</v>
      </c>
      <c r="G202" s="97">
        <f t="shared" si="209"/>
        <v>39.992595057185049</v>
      </c>
      <c r="H202" s="97">
        <f t="shared" si="209"/>
        <v>40.330516791373761</v>
      </c>
      <c r="I202" s="97">
        <f t="shared" si="209"/>
        <v>35.873410040633772</v>
      </c>
      <c r="J202" s="97">
        <f t="shared" si="209"/>
        <v>40.847259964540108</v>
      </c>
      <c r="K202" s="97">
        <f t="shared" si="209"/>
        <v>37.517706926180018</v>
      </c>
      <c r="L202" s="97">
        <f t="shared" si="209"/>
        <v>35.933909455780906</v>
      </c>
      <c r="M202" s="97">
        <f t="shared" si="209"/>
        <v>33.188996227451334</v>
      </c>
      <c r="N202" s="97">
        <f t="shared" si="209"/>
        <v>36.175426137370643</v>
      </c>
      <c r="O202" s="97">
        <f t="shared" si="209"/>
        <v>27.132710235141143</v>
      </c>
      <c r="P202" s="97">
        <f t="shared" si="209"/>
        <v>32.000365405924491</v>
      </c>
      <c r="Q202" s="97">
        <f t="shared" si="209"/>
        <v>33.168937563734758</v>
      </c>
      <c r="R202" s="97">
        <f t="shared" si="209"/>
        <v>33.90857589305746</v>
      </c>
      <c r="S202" s="97">
        <f t="shared" si="209"/>
        <v>33.365378942220886</v>
      </c>
      <c r="T202" s="97">
        <f t="shared" si="209"/>
        <v>34.374889670440112</v>
      </c>
      <c r="U202" s="97">
        <f t="shared" si="209"/>
        <v>37.327900349812786</v>
      </c>
      <c r="V202" s="97">
        <f t="shared" si="209"/>
        <v>33.771067918154912</v>
      </c>
      <c r="W202" s="97">
        <f t="shared" si="209"/>
        <v>34.193618058483899</v>
      </c>
      <c r="X202" s="97">
        <f t="shared" si="209"/>
        <v>30.217721805432568</v>
      </c>
      <c r="Y202" s="97">
        <f t="shared" si="209"/>
        <v>29.383111325238595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6.5824263895408439</v>
      </c>
      <c r="C203" s="130">
        <f t="shared" si="210"/>
        <v>6.7398297817261845</v>
      </c>
      <c r="D203" s="130">
        <f t="shared" si="210"/>
        <v>6.8323912277269798</v>
      </c>
      <c r="E203" s="130">
        <f t="shared" si="210"/>
        <v>6.1857131891907553</v>
      </c>
      <c r="F203" s="130">
        <f t="shared" si="210"/>
        <v>6.2416564501385023</v>
      </c>
      <c r="G203" s="130">
        <f t="shared" si="210"/>
        <v>6.2698693359896911</v>
      </c>
      <c r="H203" s="130">
        <f t="shared" si="210"/>
        <v>5.3655218876678301</v>
      </c>
      <c r="I203" s="130">
        <f t="shared" si="210"/>
        <v>5.0151850989456674</v>
      </c>
      <c r="J203" s="130">
        <f t="shared" si="210"/>
        <v>5.9392646525732484</v>
      </c>
      <c r="K203" s="130">
        <f t="shared" si="210"/>
        <v>5.2057227615398292</v>
      </c>
      <c r="L203" s="130">
        <f t="shared" si="210"/>
        <v>4.7465408316214948</v>
      </c>
      <c r="M203" s="130">
        <f t="shared" si="210"/>
        <v>4.3608914092458724</v>
      </c>
      <c r="N203" s="130">
        <f t="shared" si="210"/>
        <v>4.4741859450207127</v>
      </c>
      <c r="O203" s="130">
        <f t="shared" si="210"/>
        <v>3.5005078470809097</v>
      </c>
      <c r="P203" s="130">
        <f t="shared" si="210"/>
        <v>3.4529878568223391</v>
      </c>
      <c r="Q203" s="130">
        <f t="shared" si="210"/>
        <v>4.0261844461626897</v>
      </c>
      <c r="R203" s="130">
        <f t="shared" si="210"/>
        <v>4.0008488290428508</v>
      </c>
      <c r="S203" s="130">
        <f t="shared" si="210"/>
        <v>3.807325080631641</v>
      </c>
      <c r="T203" s="130">
        <f t="shared" si="210"/>
        <v>3.7308390682792028</v>
      </c>
      <c r="U203" s="130">
        <f t="shared" si="210"/>
        <v>4.0478167901244717</v>
      </c>
      <c r="V203" s="130">
        <f t="shared" si="210"/>
        <v>4.5187243620137858</v>
      </c>
      <c r="W203" s="130">
        <f t="shared" si="210"/>
        <v>4.7719345260586898</v>
      </c>
      <c r="X203" s="130">
        <f t="shared" si="210"/>
        <v>4.3995856895002809</v>
      </c>
      <c r="Y203" s="130">
        <f t="shared" si="210"/>
        <v>3.4513932246844257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178.22594586940883</v>
      </c>
      <c r="C204" s="130">
        <f t="shared" si="211"/>
        <v>149.09793956848975</v>
      </c>
      <c r="D204" s="130">
        <f t="shared" si="211"/>
        <v>154.61058651191794</v>
      </c>
      <c r="E204" s="130">
        <f t="shared" si="211"/>
        <v>156.61681338671951</v>
      </c>
      <c r="F204" s="130">
        <f t="shared" si="211"/>
        <v>165.77099573160928</v>
      </c>
      <c r="G204" s="130">
        <f t="shared" si="211"/>
        <v>188.5674779861121</v>
      </c>
      <c r="H204" s="130">
        <f t="shared" si="211"/>
        <v>172.17086875936766</v>
      </c>
      <c r="I204" s="130">
        <f t="shared" si="211"/>
        <v>161.18214753064552</v>
      </c>
      <c r="J204" s="130">
        <f t="shared" si="211"/>
        <v>194.65999286494846</v>
      </c>
      <c r="K204" s="130">
        <f t="shared" si="211"/>
        <v>119.78330964752082</v>
      </c>
      <c r="L204" s="130">
        <f t="shared" si="211"/>
        <v>95.664577299573466</v>
      </c>
      <c r="M204" s="130">
        <f t="shared" si="211"/>
        <v>104.54808264815135</v>
      </c>
      <c r="N204" s="130">
        <f t="shared" si="211"/>
        <v>167.02000943268521</v>
      </c>
      <c r="O204" s="130">
        <f t="shared" si="211"/>
        <v>153.30164243685769</v>
      </c>
      <c r="P204" s="130">
        <f t="shared" si="211"/>
        <v>106.68091338875207</v>
      </c>
      <c r="Q204" s="130">
        <f t="shared" si="211"/>
        <v>74.518872010105952</v>
      </c>
      <c r="R204" s="130">
        <f t="shared" si="211"/>
        <v>56.808734968818484</v>
      </c>
      <c r="S204" s="130">
        <f t="shared" si="211"/>
        <v>59.757613825519506</v>
      </c>
      <c r="T204" s="130">
        <f t="shared" si="211"/>
        <v>70.678519838802842</v>
      </c>
      <c r="U204" s="130">
        <f t="shared" si="211"/>
        <v>99.432452321089414</v>
      </c>
      <c r="V204" s="130">
        <f t="shared" si="211"/>
        <v>187.19467122191188</v>
      </c>
      <c r="W204" s="130">
        <f t="shared" si="211"/>
        <v>183.24214266508119</v>
      </c>
      <c r="X204" s="130">
        <f t="shared" si="211"/>
        <v>175.57795814584887</v>
      </c>
      <c r="Y204" s="130">
        <f t="shared" si="211"/>
        <v>154.71621088361073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219.16854468412942</v>
      </c>
      <c r="C206" s="97">
        <f t="shared" si="213"/>
        <v>210.86361877922928</v>
      </c>
      <c r="D206" s="97">
        <f t="shared" si="213"/>
        <v>224.0878166794661</v>
      </c>
      <c r="E206" s="97">
        <f t="shared" si="213"/>
        <v>219.26916187917257</v>
      </c>
      <c r="F206" s="97">
        <f t="shared" si="213"/>
        <v>241.19451302899887</v>
      </c>
      <c r="G206" s="97">
        <f t="shared" si="213"/>
        <v>253.15726542630335</v>
      </c>
      <c r="H206" s="97">
        <f t="shared" si="213"/>
        <v>239.76502840153412</v>
      </c>
      <c r="I206" s="97">
        <f t="shared" si="213"/>
        <v>244.95973791222204</v>
      </c>
      <c r="J206" s="97">
        <f t="shared" si="213"/>
        <v>293.96062391526169</v>
      </c>
      <c r="K206" s="97">
        <f t="shared" si="213"/>
        <v>229.6946579900644</v>
      </c>
      <c r="L206" s="97">
        <f t="shared" si="213"/>
        <v>238.8830779987282</v>
      </c>
      <c r="M206" s="97">
        <f t="shared" si="213"/>
        <v>244.89052263951245</v>
      </c>
      <c r="N206" s="97">
        <f t="shared" si="213"/>
        <v>242.58735797272618</v>
      </c>
      <c r="O206" s="97">
        <f t="shared" si="213"/>
        <v>238.1573384911091</v>
      </c>
      <c r="P206" s="97">
        <f t="shared" si="213"/>
        <v>205.24237818188902</v>
      </c>
      <c r="Q206" s="97">
        <f t="shared" si="213"/>
        <v>208.46229499634376</v>
      </c>
      <c r="R206" s="97">
        <f t="shared" si="213"/>
        <v>180.59145362721904</v>
      </c>
      <c r="S206" s="97">
        <f t="shared" si="213"/>
        <v>185.46332820665512</v>
      </c>
      <c r="T206" s="97">
        <f t="shared" si="213"/>
        <v>177.42734486565655</v>
      </c>
      <c r="U206" s="97">
        <f t="shared" si="213"/>
        <v>158.15732749210389</v>
      </c>
      <c r="V206" s="97">
        <f t="shared" si="213"/>
        <v>262.04247612434455</v>
      </c>
      <c r="W206" s="97">
        <f t="shared" si="213"/>
        <v>269.21553283630271</v>
      </c>
      <c r="X206" s="97">
        <f t="shared" si="213"/>
        <v>225.7181230966344</v>
      </c>
      <c r="Y206" s="97">
        <f t="shared" si="213"/>
        <v>203.6937687548039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91.596808972926212</v>
      </c>
      <c r="C207" s="97">
        <f t="shared" si="214"/>
        <v>88.128428523701004</v>
      </c>
      <c r="D207" s="97">
        <f t="shared" si="214"/>
        <v>93.297754721535171</v>
      </c>
      <c r="E207" s="97">
        <f t="shared" si="214"/>
        <v>102.74576208336823</v>
      </c>
      <c r="F207" s="97">
        <f t="shared" si="214"/>
        <v>105.60963270267752</v>
      </c>
      <c r="G207" s="97">
        <f t="shared" si="214"/>
        <v>129.68989155138485</v>
      </c>
      <c r="H207" s="97">
        <f t="shared" si="214"/>
        <v>109.64316572424775</v>
      </c>
      <c r="I207" s="97">
        <f t="shared" si="214"/>
        <v>87.405022296281459</v>
      </c>
      <c r="J207" s="97">
        <f t="shared" si="214"/>
        <v>87.246791292116185</v>
      </c>
      <c r="K207" s="97">
        <f t="shared" si="214"/>
        <v>64.36200876343699</v>
      </c>
      <c r="L207" s="97">
        <f t="shared" si="214"/>
        <v>57.679023588435463</v>
      </c>
      <c r="M207" s="97">
        <f t="shared" si="214"/>
        <v>53.294599239156426</v>
      </c>
      <c r="N207" s="97">
        <f t="shared" si="214"/>
        <v>59.185557120243907</v>
      </c>
      <c r="O207" s="97">
        <f t="shared" si="214"/>
        <v>47.819212846053318</v>
      </c>
      <c r="P207" s="97">
        <f t="shared" si="214"/>
        <v>32.827196393584757</v>
      </c>
      <c r="Q207" s="97">
        <f t="shared" si="214"/>
        <v>33.438497053955217</v>
      </c>
      <c r="R207" s="97">
        <f t="shared" si="214"/>
        <v>25.773892971116442</v>
      </c>
      <c r="S207" s="97">
        <f t="shared" si="214"/>
        <v>28.880417047017517</v>
      </c>
      <c r="T207" s="97">
        <f t="shared" si="214"/>
        <v>27.954192482794454</v>
      </c>
      <c r="U207" s="97">
        <f t="shared" si="214"/>
        <v>32.759591504351775</v>
      </c>
      <c r="V207" s="97">
        <f t="shared" si="214"/>
        <v>73.822443620892798</v>
      </c>
      <c r="W207" s="97">
        <f t="shared" si="214"/>
        <v>46.940082470703416</v>
      </c>
      <c r="X207" s="97">
        <f t="shared" si="214"/>
        <v>77.830791211374844</v>
      </c>
      <c r="Y207" s="97">
        <f t="shared" si="214"/>
        <v>68.240898937021328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8.1150159744408938</v>
      </c>
      <c r="C208" s="130">
        <f t="shared" si="215"/>
        <v>8.196172248803828</v>
      </c>
      <c r="D208" s="130">
        <f t="shared" si="215"/>
        <v>7.7700534759358284</v>
      </c>
      <c r="E208" s="130">
        <f t="shared" si="215"/>
        <v>8.6590538336052187</v>
      </c>
      <c r="F208" s="130">
        <f t="shared" si="215"/>
        <v>13.599713055954087</v>
      </c>
      <c r="G208" s="130">
        <f t="shared" si="215"/>
        <v>13.47556142668428</v>
      </c>
      <c r="H208" s="130">
        <f t="shared" si="215"/>
        <v>12.219108280254778</v>
      </c>
      <c r="I208" s="130">
        <f t="shared" si="215"/>
        <v>8.8882294757665701</v>
      </c>
      <c r="J208" s="130">
        <f t="shared" si="215"/>
        <v>9.267128027681661</v>
      </c>
      <c r="K208" s="130">
        <f t="shared" si="215"/>
        <v>10.140544518027962</v>
      </c>
      <c r="L208" s="130">
        <f t="shared" si="215"/>
        <v>9.4545304232804224</v>
      </c>
      <c r="M208" s="130">
        <f t="shared" si="215"/>
        <v>10.255684454756379</v>
      </c>
      <c r="N208" s="130">
        <f t="shared" si="215"/>
        <v>9.5746868573565163</v>
      </c>
      <c r="O208" s="130">
        <f t="shared" si="215"/>
        <v>9.471343505768516</v>
      </c>
      <c r="P208" s="130">
        <f t="shared" si="215"/>
        <v>10.395743003547496</v>
      </c>
      <c r="Q208" s="130">
        <f t="shared" si="215"/>
        <v>11.648078641644327</v>
      </c>
      <c r="R208" s="130">
        <f t="shared" si="215"/>
        <v>11.362972430162499</v>
      </c>
      <c r="S208" s="130">
        <f t="shared" si="215"/>
        <v>11.516385679105891</v>
      </c>
      <c r="T208" s="130">
        <f t="shared" si="215"/>
        <v>14.089337175792506</v>
      </c>
      <c r="U208" s="130">
        <f t="shared" si="215"/>
        <v>13.760184080449973</v>
      </c>
      <c r="V208" s="130">
        <f t="shared" si="215"/>
        <v>13.963235294117647</v>
      </c>
      <c r="W208" s="130">
        <f t="shared" si="215"/>
        <v>2.0590561654703264E-2</v>
      </c>
      <c r="X208" s="130">
        <f t="shared" si="215"/>
        <v>4.2163522263906413E-2</v>
      </c>
      <c r="Y208" s="130">
        <f t="shared" si="215"/>
        <v>3.4693026358006557E-2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8.1150159744408938</v>
      </c>
      <c r="C210" s="98">
        <f t="shared" si="217"/>
        <v>8.196172248803828</v>
      </c>
      <c r="D210" s="98">
        <f t="shared" si="217"/>
        <v>7.7700534759358284</v>
      </c>
      <c r="E210" s="98">
        <f t="shared" si="217"/>
        <v>8.6590538336052187</v>
      </c>
      <c r="F210" s="98">
        <f t="shared" si="217"/>
        <v>13.599713055954087</v>
      </c>
      <c r="G210" s="98">
        <f t="shared" si="217"/>
        <v>13.47556142668428</v>
      </c>
      <c r="H210" s="98">
        <f t="shared" si="217"/>
        <v>12.219108280254778</v>
      </c>
      <c r="I210" s="98">
        <f t="shared" si="217"/>
        <v>8.8882294757665701</v>
      </c>
      <c r="J210" s="98">
        <f t="shared" si="217"/>
        <v>9.267128027681661</v>
      </c>
      <c r="K210" s="98">
        <f t="shared" si="217"/>
        <v>10.140544518027962</v>
      </c>
      <c r="L210" s="98">
        <f t="shared" si="217"/>
        <v>9.4545304232804224</v>
      </c>
      <c r="M210" s="98">
        <f t="shared" si="217"/>
        <v>10.255684454756379</v>
      </c>
      <c r="N210" s="98">
        <f t="shared" si="217"/>
        <v>9.5746868573565163</v>
      </c>
      <c r="O210" s="98">
        <f t="shared" si="217"/>
        <v>9.471343505768516</v>
      </c>
      <c r="P210" s="98">
        <f t="shared" si="217"/>
        <v>10.395743003547496</v>
      </c>
      <c r="Q210" s="98">
        <f t="shared" si="217"/>
        <v>11.648078641644327</v>
      </c>
      <c r="R210" s="98">
        <f t="shared" si="217"/>
        <v>11.362972430162499</v>
      </c>
      <c r="S210" s="98">
        <f t="shared" si="217"/>
        <v>11.516385679105891</v>
      </c>
      <c r="T210" s="98">
        <f t="shared" si="217"/>
        <v>14.089337175792506</v>
      </c>
      <c r="U210" s="98">
        <f t="shared" si="217"/>
        <v>13.760184080449973</v>
      </c>
      <c r="V210" s="98">
        <f t="shared" si="217"/>
        <v>13.963235294117647</v>
      </c>
      <c r="W210" s="98">
        <f t="shared" si="217"/>
        <v>2.0590561654703264E-2</v>
      </c>
      <c r="X210" s="98">
        <f t="shared" si="217"/>
        <v>4.2163522263906413E-2</v>
      </c>
      <c r="Y210" s="98">
        <f t="shared" si="217"/>
        <v>3.4693026358006557E-2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2.3094223110344321</v>
      </c>
      <c r="C211" s="32">
        <f t="shared" si="218"/>
        <v>2.3307767049992245</v>
      </c>
      <c r="D211" s="32">
        <f t="shared" si="218"/>
        <v>2.6235831852752183</v>
      </c>
      <c r="E211" s="32">
        <f t="shared" si="218"/>
        <v>2.9853285515622821</v>
      </c>
      <c r="F211" s="32">
        <f t="shared" si="218"/>
        <v>2.4560821296321089</v>
      </c>
      <c r="G211" s="32">
        <f t="shared" si="218"/>
        <v>2.2409150370987785</v>
      </c>
      <c r="H211" s="32">
        <f t="shared" si="218"/>
        <v>1.9421921222341685</v>
      </c>
      <c r="I211" s="32">
        <f t="shared" si="218"/>
        <v>1.3289176385022776</v>
      </c>
      <c r="J211" s="32">
        <f t="shared" si="218"/>
        <v>3.1354305118931372</v>
      </c>
      <c r="K211" s="32">
        <f t="shared" si="218"/>
        <v>6.1907699982839164</v>
      </c>
      <c r="L211" s="32">
        <f t="shared" si="218"/>
        <v>2.8262014439881011</v>
      </c>
      <c r="M211" s="32">
        <f t="shared" si="218"/>
        <v>2.3504602225834721</v>
      </c>
      <c r="N211" s="32">
        <f t="shared" si="218"/>
        <v>2.0157817689257693</v>
      </c>
      <c r="O211" s="32">
        <f t="shared" si="218"/>
        <v>2.0908144872169827</v>
      </c>
      <c r="P211" s="32">
        <f t="shared" si="218"/>
        <v>1.8239886925987103</v>
      </c>
      <c r="Q211" s="32">
        <f t="shared" si="218"/>
        <v>1.9962239456749524</v>
      </c>
      <c r="R211" s="32">
        <f t="shared" si="218"/>
        <v>1.6254659544085379</v>
      </c>
      <c r="S211" s="32">
        <f t="shared" si="218"/>
        <v>1.6614120733127997</v>
      </c>
      <c r="T211" s="32">
        <f t="shared" si="218"/>
        <v>1.725440679457124</v>
      </c>
      <c r="U211" s="32">
        <f t="shared" si="218"/>
        <v>1.4864254906125545</v>
      </c>
      <c r="V211" s="32">
        <f t="shared" si="218"/>
        <v>2.187460594072363</v>
      </c>
      <c r="W211" s="32">
        <f t="shared" si="218"/>
        <v>1.8585992006297976</v>
      </c>
      <c r="X211" s="32">
        <f t="shared" si="218"/>
        <v>1.4046772114728148</v>
      </c>
      <c r="Y211" s="32">
        <f t="shared" si="218"/>
        <v>1.0953685756824516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4.7402960262899159</v>
      </c>
      <c r="C212" s="97">
        <f t="shared" si="219"/>
        <v>4.8576377318396009</v>
      </c>
      <c r="D212" s="97">
        <f t="shared" si="219"/>
        <v>5.307839269037645</v>
      </c>
      <c r="E212" s="97">
        <f t="shared" si="219"/>
        <v>7.7814101438826926</v>
      </c>
      <c r="F212" s="97">
        <f t="shared" si="219"/>
        <v>6.7004323009279778</v>
      </c>
      <c r="G212" s="97">
        <f t="shared" si="219"/>
        <v>6.2634359710139655</v>
      </c>
      <c r="H212" s="97">
        <f t="shared" si="219"/>
        <v>5.0186180208683249</v>
      </c>
      <c r="I212" s="97">
        <f t="shared" si="219"/>
        <v>4.1164090881777966</v>
      </c>
      <c r="J212" s="97">
        <f t="shared" si="219"/>
        <v>8.6232164265452269</v>
      </c>
      <c r="K212" s="97">
        <f t="shared" si="219"/>
        <v>11.413769866893981</v>
      </c>
      <c r="L212" s="97">
        <f t="shared" si="219"/>
        <v>5.6346886958108229</v>
      </c>
      <c r="M212" s="97">
        <f t="shared" si="219"/>
        <v>3.9151282809643928</v>
      </c>
      <c r="N212" s="97">
        <f t="shared" si="219"/>
        <v>3.5076184481896311</v>
      </c>
      <c r="O212" s="97">
        <f t="shared" si="219"/>
        <v>3.7151293437074662</v>
      </c>
      <c r="P212" s="97">
        <f t="shared" si="219"/>
        <v>3.7931114847068392</v>
      </c>
      <c r="Q212" s="97">
        <f t="shared" si="219"/>
        <v>4.6525157063267049</v>
      </c>
      <c r="R212" s="97">
        <f t="shared" si="219"/>
        <v>3.2908516608359166</v>
      </c>
      <c r="S212" s="97">
        <f t="shared" si="219"/>
        <v>3.1590800401635364</v>
      </c>
      <c r="T212" s="97">
        <f t="shared" si="219"/>
        <v>2.9784601352226554</v>
      </c>
      <c r="U212" s="97">
        <f t="shared" si="219"/>
        <v>2.7404988038820246</v>
      </c>
      <c r="V212" s="97">
        <f t="shared" si="219"/>
        <v>3.6420099801143757</v>
      </c>
      <c r="W212" s="97">
        <f t="shared" si="219"/>
        <v>3.4903000788559582</v>
      </c>
      <c r="X212" s="97">
        <f t="shared" si="219"/>
        <v>2.9322569705384898</v>
      </c>
      <c r="Y212" s="97">
        <f t="shared" si="219"/>
        <v>2.5545983566580746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1.5461635979115691</v>
      </c>
      <c r="C213" s="98">
        <f t="shared" si="220"/>
        <v>1.5576475672813956</v>
      </c>
      <c r="D213" s="98">
        <f t="shared" si="220"/>
        <v>1.7554564164743118</v>
      </c>
      <c r="E213" s="98">
        <f t="shared" si="220"/>
        <v>2.1128859263709212</v>
      </c>
      <c r="F213" s="98">
        <f t="shared" si="220"/>
        <v>1.7797089003777218</v>
      </c>
      <c r="G213" s="98">
        <f t="shared" si="220"/>
        <v>1.6227278032283721</v>
      </c>
      <c r="H213" s="98">
        <f t="shared" si="220"/>
        <v>1.3692846632495426</v>
      </c>
      <c r="I213" s="98">
        <f t="shared" si="220"/>
        <v>1.0116273703471406</v>
      </c>
      <c r="J213" s="98">
        <f t="shared" si="220"/>
        <v>2.3101074018573136</v>
      </c>
      <c r="K213" s="98">
        <f t="shared" si="220"/>
        <v>4.1277594602160024</v>
      </c>
      <c r="L213" s="98">
        <f t="shared" si="220"/>
        <v>1.9766861058864005</v>
      </c>
      <c r="M213" s="98">
        <f t="shared" si="220"/>
        <v>1.6797054572359471</v>
      </c>
      <c r="N213" s="98">
        <f t="shared" si="220"/>
        <v>1.4185073599748492</v>
      </c>
      <c r="O213" s="98">
        <f t="shared" si="220"/>
        <v>1.4140918249990093</v>
      </c>
      <c r="P213" s="98">
        <f t="shared" si="220"/>
        <v>1.2011088187937882</v>
      </c>
      <c r="Q213" s="98">
        <f t="shared" si="220"/>
        <v>1.3219164151697904</v>
      </c>
      <c r="R213" s="98">
        <f t="shared" si="220"/>
        <v>1.0671103140321321</v>
      </c>
      <c r="S213" s="98">
        <f t="shared" si="220"/>
        <v>1.0796948253209104</v>
      </c>
      <c r="T213" s="98">
        <f t="shared" si="220"/>
        <v>1.1516286246470004</v>
      </c>
      <c r="U213" s="98">
        <f t="shared" si="220"/>
        <v>0.98111919858452223</v>
      </c>
      <c r="V213" s="98">
        <f t="shared" si="220"/>
        <v>1.5759722177336621</v>
      </c>
      <c r="W213" s="98">
        <f t="shared" si="220"/>
        <v>1.3327651931711457</v>
      </c>
      <c r="X213" s="98">
        <f t="shared" si="220"/>
        <v>0.9671986788169572</v>
      </c>
      <c r="Y213" s="98">
        <f t="shared" si="220"/>
        <v>0.74383899212339777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89.12880252954487</v>
      </c>
      <c r="C216" s="32">
        <f t="shared" si="221"/>
        <v>90.729858537952452</v>
      </c>
      <c r="D216" s="32">
        <f t="shared" si="221"/>
        <v>91.028118430852828</v>
      </c>
      <c r="E216" s="32">
        <f t="shared" si="221"/>
        <v>98.957399490754767</v>
      </c>
      <c r="F216" s="32">
        <f t="shared" si="221"/>
        <v>101.79347179773687</v>
      </c>
      <c r="G216" s="32">
        <f t="shared" si="221"/>
        <v>105.97921472219325</v>
      </c>
      <c r="H216" s="32">
        <f t="shared" si="221"/>
        <v>106.97611898306383</v>
      </c>
      <c r="I216" s="32">
        <f t="shared" si="221"/>
        <v>98.227130542718143</v>
      </c>
      <c r="J216" s="32">
        <f t="shared" si="221"/>
        <v>98.158594013997032</v>
      </c>
      <c r="K216" s="32">
        <f t="shared" si="221"/>
        <v>98.301709438907878</v>
      </c>
      <c r="L216" s="32">
        <f t="shared" si="221"/>
        <v>94.311613365187242</v>
      </c>
      <c r="M216" s="32">
        <f t="shared" si="221"/>
        <v>92.388649804633701</v>
      </c>
      <c r="N216" s="32">
        <f t="shared" si="221"/>
        <v>93.848006361789743</v>
      </c>
      <c r="O216" s="32">
        <f t="shared" si="221"/>
        <v>80.936310844393802</v>
      </c>
      <c r="P216" s="32">
        <f t="shared" si="221"/>
        <v>87.400426209059447</v>
      </c>
      <c r="Q216" s="32">
        <f t="shared" si="221"/>
        <v>91.262148320435614</v>
      </c>
      <c r="R216" s="32">
        <f t="shared" si="221"/>
        <v>93.120963640014892</v>
      </c>
      <c r="S216" s="32">
        <f t="shared" si="221"/>
        <v>94.446807716564336</v>
      </c>
      <c r="T216" s="32">
        <f t="shared" si="221"/>
        <v>99.45806235533378</v>
      </c>
      <c r="U216" s="32">
        <f t="shared" si="221"/>
        <v>102.47669178231835</v>
      </c>
      <c r="V216" s="32">
        <f t="shared" si="221"/>
        <v>121.67240852238008</v>
      </c>
      <c r="W216" s="32">
        <f t="shared" si="221"/>
        <v>127.7559262474694</v>
      </c>
      <c r="X216" s="32">
        <f t="shared" si="221"/>
        <v>116.58558091007212</v>
      </c>
      <c r="Y216" s="32">
        <f t="shared" si="221"/>
        <v>111.35795388270536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93.16958188563305</v>
      </c>
      <c r="C217" s="141">
        <f t="shared" si="222"/>
        <v>92.011603434065407</v>
      </c>
      <c r="D217" s="141">
        <f t="shared" si="222"/>
        <v>92.426897451177197</v>
      </c>
      <c r="E217" s="141">
        <f t="shared" si="222"/>
        <v>101.30134685936008</v>
      </c>
      <c r="F217" s="141">
        <f t="shared" si="222"/>
        <v>104.49948925908276</v>
      </c>
      <c r="G217" s="141">
        <f t="shared" si="222"/>
        <v>108.60691280882547</v>
      </c>
      <c r="H217" s="141">
        <f t="shared" si="222"/>
        <v>110.74083241029993</v>
      </c>
      <c r="I217" s="141">
        <f t="shared" si="222"/>
        <v>99.916758195951772</v>
      </c>
      <c r="J217" s="141">
        <f t="shared" si="222"/>
        <v>99.555927771989289</v>
      </c>
      <c r="K217" s="141">
        <f t="shared" si="222"/>
        <v>101.66508405534941</v>
      </c>
      <c r="L217" s="141">
        <f t="shared" si="222"/>
        <v>97.594803459064039</v>
      </c>
      <c r="M217" s="141">
        <f t="shared" si="222"/>
        <v>95.180792924532895</v>
      </c>
      <c r="N217" s="141">
        <f t="shared" si="222"/>
        <v>97.607119574488038</v>
      </c>
      <c r="O217" s="141">
        <f t="shared" si="222"/>
        <v>83.439597660891906</v>
      </c>
      <c r="P217" s="141">
        <f t="shared" si="222"/>
        <v>90.401808052486984</v>
      </c>
      <c r="Q217" s="141">
        <f t="shared" si="222"/>
        <v>93.895581709780132</v>
      </c>
      <c r="R217" s="141">
        <f t="shared" si="222"/>
        <v>96.313710506398564</v>
      </c>
      <c r="S217" s="141">
        <f t="shared" si="222"/>
        <v>98.838202430368412</v>
      </c>
      <c r="T217" s="141">
        <f t="shared" si="222"/>
        <v>105.26190435676509</v>
      </c>
      <c r="U217" s="141">
        <f t="shared" si="222"/>
        <v>109.38131836628162</v>
      </c>
      <c r="V217" s="141">
        <f t="shared" si="222"/>
        <v>124.99608755133175</v>
      </c>
      <c r="W217" s="141">
        <f t="shared" si="222"/>
        <v>132.54171343435223</v>
      </c>
      <c r="X217" s="141">
        <f t="shared" si="222"/>
        <v>123.25334819916291</v>
      </c>
      <c r="Y217" s="141">
        <f t="shared" si="222"/>
        <v>118.2666621548147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110.78742978842955</v>
      </c>
      <c r="C218" s="97">
        <f t="shared" si="223"/>
        <v>110.4008164873476</v>
      </c>
      <c r="D218" s="97">
        <f t="shared" si="223"/>
        <v>109.92748174050078</v>
      </c>
      <c r="E218" s="97">
        <f t="shared" si="223"/>
        <v>109.28202411179029</v>
      </c>
      <c r="F218" s="97">
        <f t="shared" si="223"/>
        <v>103.81451477691688</v>
      </c>
      <c r="G218" s="97">
        <f t="shared" si="223"/>
        <v>103.70781198461209</v>
      </c>
      <c r="H218" s="97">
        <f t="shared" si="223"/>
        <v>103.44881912682919</v>
      </c>
      <c r="I218" s="97">
        <f t="shared" si="223"/>
        <v>101.51291716612783</v>
      </c>
      <c r="J218" s="97">
        <f t="shared" si="223"/>
        <v>99.454485100509899</v>
      </c>
      <c r="K218" s="97">
        <f t="shared" si="223"/>
        <v>97.941630332383781</v>
      </c>
      <c r="L218" s="97">
        <f t="shared" si="223"/>
        <v>96.988592119032461</v>
      </c>
      <c r="M218" s="97">
        <f t="shared" si="223"/>
        <v>95.819350775559641</v>
      </c>
      <c r="N218" s="97">
        <f t="shared" si="223"/>
        <v>95.08708019287613</v>
      </c>
      <c r="O218" s="97">
        <f t="shared" si="223"/>
        <v>92.136769539883261</v>
      </c>
      <c r="P218" s="97">
        <f t="shared" si="223"/>
        <v>90.325843819893095</v>
      </c>
      <c r="Q218" s="97">
        <f t="shared" si="223"/>
        <v>86.30076738605166</v>
      </c>
      <c r="R218" s="97">
        <f t="shared" si="223"/>
        <v>84.794421810249943</v>
      </c>
      <c r="S218" s="97">
        <f t="shared" si="223"/>
        <v>85.289477930622979</v>
      </c>
      <c r="T218" s="97">
        <f t="shared" si="223"/>
        <v>83.81028631359446</v>
      </c>
      <c r="U218" s="97">
        <f t="shared" si="223"/>
        <v>82.371631797021152</v>
      </c>
      <c r="V218" s="97">
        <f t="shared" si="223"/>
        <v>82.938845129364154</v>
      </c>
      <c r="W218" s="97">
        <f t="shared" si="223"/>
        <v>83.971784894561907</v>
      </c>
      <c r="X218" s="97">
        <f t="shared" si="223"/>
        <v>83.820743365573577</v>
      </c>
      <c r="Y218" s="97">
        <f t="shared" si="223"/>
        <v>83.081615518963432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112.26349766566656</v>
      </c>
      <c r="C219" s="97">
        <f t="shared" si="224"/>
        <v>110.1381250022055</v>
      </c>
      <c r="D219" s="97">
        <f t="shared" si="224"/>
        <v>112.36628325387966</v>
      </c>
      <c r="E219" s="97">
        <f t="shared" si="224"/>
        <v>121.19378088932552</v>
      </c>
      <c r="F219" s="97">
        <f t="shared" si="224"/>
        <v>122.36622228203954</v>
      </c>
      <c r="G219" s="97">
        <f t="shared" si="224"/>
        <v>127.6181680526727</v>
      </c>
      <c r="H219" s="97">
        <f t="shared" si="224"/>
        <v>128.14872882262051</v>
      </c>
      <c r="I219" s="97">
        <f t="shared" si="224"/>
        <v>112.88170589069854</v>
      </c>
      <c r="J219" s="97">
        <f t="shared" si="224"/>
        <v>113.98387528140313</v>
      </c>
      <c r="K219" s="97">
        <f t="shared" si="224"/>
        <v>107.70398140076442</v>
      </c>
      <c r="L219" s="97">
        <f t="shared" si="224"/>
        <v>104.38524954588176</v>
      </c>
      <c r="M219" s="97">
        <f t="shared" si="224"/>
        <v>100.24598767055795</v>
      </c>
      <c r="N219" s="97">
        <f t="shared" si="224"/>
        <v>104.18157257931647</v>
      </c>
      <c r="O219" s="97">
        <f t="shared" si="224"/>
        <v>87.973910235307656</v>
      </c>
      <c r="P219" s="97">
        <f t="shared" si="224"/>
        <v>98.220523939443197</v>
      </c>
      <c r="Q219" s="97">
        <f t="shared" si="224"/>
        <v>102.82288628395095</v>
      </c>
      <c r="R219" s="97">
        <f t="shared" si="224"/>
        <v>106.58009382262692</v>
      </c>
      <c r="S219" s="97">
        <f t="shared" si="224"/>
        <v>107.42107366193568</v>
      </c>
      <c r="T219" s="97">
        <f t="shared" si="224"/>
        <v>113.75924282383669</v>
      </c>
      <c r="U219" s="97">
        <f t="shared" si="224"/>
        <v>119.42490343505574</v>
      </c>
      <c r="V219" s="97">
        <f t="shared" si="224"/>
        <v>126.03448679207696</v>
      </c>
      <c r="W219" s="97">
        <f t="shared" si="224"/>
        <v>134.04754941063669</v>
      </c>
      <c r="X219" s="97">
        <f t="shared" si="224"/>
        <v>127.74021664434457</v>
      </c>
      <c r="Y219" s="97">
        <f t="shared" si="224"/>
        <v>122.3401520920598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57.565354377012397</v>
      </c>
      <c r="C220" s="97">
        <f t="shared" si="225"/>
        <v>57.801609845649665</v>
      </c>
      <c r="D220" s="97">
        <f t="shared" si="225"/>
        <v>57.67543912115913</v>
      </c>
      <c r="E220" s="97">
        <f t="shared" si="225"/>
        <v>58.698308831811737</v>
      </c>
      <c r="F220" s="97">
        <f t="shared" si="225"/>
        <v>59.540176679921593</v>
      </c>
      <c r="G220" s="97">
        <f t="shared" si="225"/>
        <v>59.998700357605358</v>
      </c>
      <c r="H220" s="97">
        <f t="shared" si="225"/>
        <v>60.396532630994763</v>
      </c>
      <c r="I220" s="97">
        <f t="shared" si="225"/>
        <v>61.269895855072782</v>
      </c>
      <c r="J220" s="97">
        <f t="shared" si="225"/>
        <v>54.521082249909497</v>
      </c>
      <c r="K220" s="97">
        <f t="shared" si="225"/>
        <v>75.099413365650832</v>
      </c>
      <c r="L220" s="97">
        <f t="shared" si="225"/>
        <v>67.619881042252061</v>
      </c>
      <c r="M220" s="97">
        <f t="shared" si="225"/>
        <v>72.690483065779532</v>
      </c>
      <c r="N220" s="97">
        <f t="shared" si="225"/>
        <v>66.591180330544717</v>
      </c>
      <c r="O220" s="97">
        <f t="shared" si="225"/>
        <v>60.274239186826222</v>
      </c>
      <c r="P220" s="97">
        <f t="shared" si="225"/>
        <v>53.648579409161641</v>
      </c>
      <c r="Q220" s="97">
        <f t="shared" si="225"/>
        <v>53.810388853281189</v>
      </c>
      <c r="R220" s="97">
        <f t="shared" si="225"/>
        <v>49.513237730565756</v>
      </c>
      <c r="S220" s="97">
        <f t="shared" si="225"/>
        <v>52.986380432302226</v>
      </c>
      <c r="T220" s="97">
        <f t="shared" si="225"/>
        <v>57.769366312533748</v>
      </c>
      <c r="U220" s="97">
        <f t="shared" si="225"/>
        <v>57.604236692280566</v>
      </c>
      <c r="V220" s="97">
        <f t="shared" si="225"/>
        <v>121.0152348355946</v>
      </c>
      <c r="W220" s="97">
        <f t="shared" si="225"/>
        <v>124.49692740095055</v>
      </c>
      <c r="X220" s="97">
        <f t="shared" si="225"/>
        <v>91.167289111040915</v>
      </c>
      <c r="Y220" s="97">
        <f t="shared" si="225"/>
        <v>88.204374208119972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14.452998784116071</v>
      </c>
      <c r="C221" s="130">
        <f t="shared" si="226"/>
        <v>13.681685082662224</v>
      </c>
      <c r="D221" s="130">
        <f t="shared" si="226"/>
        <v>13.482063792534637</v>
      </c>
      <c r="E221" s="130">
        <f t="shared" si="226"/>
        <v>10.882085881054962</v>
      </c>
      <c r="F221" s="130">
        <f t="shared" si="226"/>
        <v>11.85772169759745</v>
      </c>
      <c r="G221" s="130">
        <f t="shared" si="226"/>
        <v>13.049753606518406</v>
      </c>
      <c r="H221" s="130">
        <f t="shared" si="226"/>
        <v>15.609943074725765</v>
      </c>
      <c r="I221" s="130">
        <f t="shared" si="226"/>
        <v>13.200411646209789</v>
      </c>
      <c r="J221" s="130">
        <f t="shared" si="226"/>
        <v>16.454238224894084</v>
      </c>
      <c r="K221" s="130">
        <f t="shared" si="226"/>
        <v>11.628129790691835</v>
      </c>
      <c r="L221" s="130">
        <f t="shared" si="226"/>
        <v>11.790420170841351</v>
      </c>
      <c r="M221" s="130">
        <f t="shared" si="226"/>
        <v>10.487161138642653</v>
      </c>
      <c r="N221" s="130">
        <f t="shared" si="226"/>
        <v>15.120059145493741</v>
      </c>
      <c r="O221" s="130">
        <f t="shared" si="226"/>
        <v>9.561468135567134</v>
      </c>
      <c r="P221" s="130">
        <f t="shared" si="226"/>
        <v>7.9828438411395712</v>
      </c>
      <c r="Q221" s="130">
        <f t="shared" si="226"/>
        <v>10.332134696724168</v>
      </c>
      <c r="R221" s="130">
        <f t="shared" si="226"/>
        <v>9.7748257573836508</v>
      </c>
      <c r="S221" s="130">
        <f t="shared" si="226"/>
        <v>8.9004465978455212</v>
      </c>
      <c r="T221" s="130">
        <f t="shared" si="226"/>
        <v>6.9588108806041689</v>
      </c>
      <c r="U221" s="130">
        <f t="shared" si="226"/>
        <v>6.5242583257318136</v>
      </c>
      <c r="V221" s="130">
        <f t="shared" si="226"/>
        <v>6.4977044813201248</v>
      </c>
      <c r="W221" s="130">
        <f t="shared" si="226"/>
        <v>6.4390120669400082</v>
      </c>
      <c r="X221" s="130">
        <f t="shared" si="226"/>
        <v>5.0843861555109404</v>
      </c>
      <c r="Y221" s="130">
        <f t="shared" si="226"/>
        <v>5.2637997045998688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16.197182681162335</v>
      </c>
      <c r="C223" s="97">
        <f t="shared" si="228"/>
        <v>15.827742040444358</v>
      </c>
      <c r="D223" s="97">
        <f t="shared" si="228"/>
        <v>15.744642627617434</v>
      </c>
      <c r="E223" s="97">
        <f t="shared" si="228"/>
        <v>12.983275288362357</v>
      </c>
      <c r="F223" s="97">
        <f t="shared" si="228"/>
        <v>14.02802017802294</v>
      </c>
      <c r="G223" s="97">
        <f t="shared" si="228"/>
        <v>15.420449740980102</v>
      </c>
      <c r="H223" s="97">
        <f t="shared" si="228"/>
        <v>18.497555937159479</v>
      </c>
      <c r="I223" s="97">
        <f t="shared" si="228"/>
        <v>15.632933426272574</v>
      </c>
      <c r="J223" s="97">
        <f t="shared" si="228"/>
        <v>19.905580381691031</v>
      </c>
      <c r="K223" s="97">
        <f t="shared" si="228"/>
        <v>15.370016271513158</v>
      </c>
      <c r="L223" s="97">
        <f t="shared" si="228"/>
        <v>16.918406742752733</v>
      </c>
      <c r="M223" s="97">
        <f t="shared" si="228"/>
        <v>14.928542640777861</v>
      </c>
      <c r="N223" s="97">
        <f t="shared" si="228"/>
        <v>23.367364133944871</v>
      </c>
      <c r="O223" s="97">
        <f t="shared" si="228"/>
        <v>14.864643762652692</v>
      </c>
      <c r="P223" s="97">
        <f t="shared" si="228"/>
        <v>11.410107186363804</v>
      </c>
      <c r="Q223" s="97">
        <f t="shared" si="228"/>
        <v>15.271268612773824</v>
      </c>
      <c r="R223" s="97">
        <f t="shared" si="228"/>
        <v>15.250071800179306</v>
      </c>
      <c r="S223" s="97">
        <f t="shared" si="228"/>
        <v>15.541644547423422</v>
      </c>
      <c r="T223" s="97">
        <f t="shared" si="228"/>
        <v>12.074196927660756</v>
      </c>
      <c r="U223" s="97">
        <f t="shared" si="228"/>
        <v>11.048316401601111</v>
      </c>
      <c r="V223" s="97">
        <f t="shared" si="228"/>
        <v>10.507915654943458</v>
      </c>
      <c r="W223" s="97">
        <f t="shared" si="228"/>
        <v>10.453358742089639</v>
      </c>
      <c r="X223" s="97">
        <f t="shared" si="228"/>
        <v>8.1350178488175047</v>
      </c>
      <c r="Y223" s="97">
        <f t="shared" si="228"/>
        <v>8.8016550336965143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148.05457062886467</v>
      </c>
      <c r="C225" s="130">
        <f t="shared" si="230"/>
        <v>169.02108480695236</v>
      </c>
      <c r="D225" s="130">
        <f t="shared" si="230"/>
        <v>144.11193157218085</v>
      </c>
      <c r="E225" s="130">
        <f t="shared" si="230"/>
        <v>137.88293980297644</v>
      </c>
      <c r="F225" s="130">
        <f t="shared" si="230"/>
        <v>136.3712282736011</v>
      </c>
      <c r="G225" s="130">
        <f t="shared" si="230"/>
        <v>136.13263405948786</v>
      </c>
      <c r="H225" s="130">
        <f t="shared" si="230"/>
        <v>120.66512794639742</v>
      </c>
      <c r="I225" s="130">
        <f t="shared" si="230"/>
        <v>126.93115346096026</v>
      </c>
      <c r="J225" s="130">
        <f t="shared" si="230"/>
        <v>126.20873122821486</v>
      </c>
      <c r="K225" s="130">
        <f t="shared" si="230"/>
        <v>109.2517313240932</v>
      </c>
      <c r="L225" s="130">
        <f t="shared" si="230"/>
        <v>105.36410639342199</v>
      </c>
      <c r="M225" s="130">
        <f t="shared" si="230"/>
        <v>106.2055366266442</v>
      </c>
      <c r="N225" s="130">
        <f t="shared" si="230"/>
        <v>93.632726267259727</v>
      </c>
      <c r="O225" s="130">
        <f t="shared" si="230"/>
        <v>88.93562170453005</v>
      </c>
      <c r="P225" s="130">
        <f t="shared" si="230"/>
        <v>86.446267075783666</v>
      </c>
      <c r="Q225" s="130">
        <f t="shared" si="230"/>
        <v>91.348712573290925</v>
      </c>
      <c r="R225" s="130">
        <f t="shared" si="230"/>
        <v>88.834231798759745</v>
      </c>
      <c r="S225" s="130">
        <f t="shared" si="230"/>
        <v>84.651469668693807</v>
      </c>
      <c r="T225" s="130">
        <f t="shared" si="230"/>
        <v>83.368808638611981</v>
      </c>
      <c r="U225" s="130">
        <f t="shared" si="230"/>
        <v>77.541128027124188</v>
      </c>
      <c r="V225" s="130">
        <f t="shared" si="230"/>
        <v>128.60160911303134</v>
      </c>
      <c r="W225" s="130">
        <f t="shared" si="230"/>
        <v>118.38626188818789</v>
      </c>
      <c r="X225" s="130">
        <f t="shared" si="230"/>
        <v>97.174259981749628</v>
      </c>
      <c r="Y225" s="130">
        <f t="shared" si="230"/>
        <v>89.100125222051872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5458.0431244406927</v>
      </c>
      <c r="C226" s="97">
        <f t="shared" si="231"/>
        <v>5188.9727174889458</v>
      </c>
      <c r="D226" s="97">
        <f t="shared" si="231"/>
        <v>4971.6772771763772</v>
      </c>
      <c r="E226" s="97">
        <f t="shared" si="231"/>
        <v>4758.6751394681905</v>
      </c>
      <c r="F226" s="97">
        <f t="shared" si="231"/>
        <v>4543.1505274221954</v>
      </c>
      <c r="G226" s="97">
        <f t="shared" si="231"/>
        <v>2727.7158968621115</v>
      </c>
      <c r="H226" s="97">
        <f t="shared" si="231"/>
        <v>3289.214978294352</v>
      </c>
      <c r="I226" s="97">
        <f t="shared" si="231"/>
        <v>3644.699062171936</v>
      </c>
      <c r="J226" s="97">
        <f t="shared" si="231"/>
        <v>761.76471401224512</v>
      </c>
      <c r="K226" s="97">
        <f t="shared" si="231"/>
        <v>1143.7158310758509</v>
      </c>
      <c r="L226" s="97">
        <f t="shared" si="231"/>
        <v>712.290705876738</v>
      </c>
      <c r="M226" s="97">
        <f t="shared" si="231"/>
        <v>879.3226473331531</v>
      </c>
      <c r="N226" s="97">
        <f t="shared" si="231"/>
        <v>447.51630330336047</v>
      </c>
      <c r="O226" s="97">
        <f t="shared" si="231"/>
        <v>572.77065326044192</v>
      </c>
      <c r="P226" s="97">
        <f t="shared" si="231"/>
        <v>476.66036010085037</v>
      </c>
      <c r="Q226" s="97">
        <f t="shared" si="231"/>
        <v>676.65345356394835</v>
      </c>
      <c r="R226" s="97">
        <f t="shared" si="231"/>
        <v>981.34777878644695</v>
      </c>
      <c r="S226" s="97">
        <f t="shared" si="231"/>
        <v>586.40974321938927</v>
      </c>
      <c r="T226" s="97">
        <f t="shared" si="231"/>
        <v>444.12528481931054</v>
      </c>
      <c r="U226" s="97">
        <f t="shared" si="231"/>
        <v>199.93599359630204</v>
      </c>
      <c r="V226" s="97">
        <f t="shared" si="231"/>
        <v>224.37200164068176</v>
      </c>
      <c r="W226" s="97">
        <f t="shared" si="231"/>
        <v>189.15005170714122</v>
      </c>
      <c r="X226" s="97">
        <f t="shared" si="231"/>
        <v>263.59813492006572</v>
      </c>
      <c r="Y226" s="97">
        <f t="shared" si="231"/>
        <v>178.30240491881412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114.90986901479019</v>
      </c>
      <c r="C227" s="97">
        <f t="shared" si="232"/>
        <v>115.37894822390626</v>
      </c>
      <c r="D227" s="97">
        <f t="shared" si="232"/>
        <v>116.01946671568594</v>
      </c>
      <c r="E227" s="97">
        <f t="shared" si="232"/>
        <v>117.69563040780348</v>
      </c>
      <c r="F227" s="97">
        <f t="shared" si="232"/>
        <v>118.89040649123135</v>
      </c>
      <c r="G227" s="97">
        <f t="shared" si="232"/>
        <v>123.68135680025978</v>
      </c>
      <c r="H227" s="97">
        <f t="shared" si="232"/>
        <v>103.7451285872427</v>
      </c>
      <c r="I227" s="97">
        <f t="shared" si="232"/>
        <v>104.5469490667148</v>
      </c>
      <c r="J227" s="97">
        <f t="shared" si="232"/>
        <v>123.94749663801989</v>
      </c>
      <c r="K227" s="97">
        <f t="shared" si="232"/>
        <v>99.262484582703436</v>
      </c>
      <c r="L227" s="97">
        <f t="shared" si="232"/>
        <v>105.79275880933336</v>
      </c>
      <c r="M227" s="97">
        <f t="shared" si="232"/>
        <v>103.99154578386754</v>
      </c>
      <c r="N227" s="97">
        <f t="shared" si="232"/>
        <v>99.086485822274895</v>
      </c>
      <c r="O227" s="97">
        <f t="shared" si="232"/>
        <v>97.156269799504543</v>
      </c>
      <c r="P227" s="97">
        <f t="shared" si="232"/>
        <v>99.773489681202619</v>
      </c>
      <c r="Q227" s="97">
        <f t="shared" si="232"/>
        <v>99.516329705368165</v>
      </c>
      <c r="R227" s="97">
        <f t="shared" si="232"/>
        <v>97.103425397634098</v>
      </c>
      <c r="S227" s="97">
        <f t="shared" si="232"/>
        <v>88.271424890868332</v>
      </c>
      <c r="T227" s="97">
        <f t="shared" si="232"/>
        <v>87.570282555806997</v>
      </c>
      <c r="U227" s="97">
        <f t="shared" si="232"/>
        <v>84.166919990362132</v>
      </c>
      <c r="V227" s="97">
        <f t="shared" si="232"/>
        <v>125.26950513358359</v>
      </c>
      <c r="W227" s="97">
        <f t="shared" si="232"/>
        <v>125.52783891916577</v>
      </c>
      <c r="X227" s="97">
        <f t="shared" si="232"/>
        <v>96.531622784931287</v>
      </c>
      <c r="Y227" s="97">
        <f t="shared" si="232"/>
        <v>89.161464819037292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139.00609864283601</v>
      </c>
      <c r="C228" s="97">
        <f t="shared" si="233"/>
        <v>139.79935062565698</v>
      </c>
      <c r="D228" s="97">
        <f t="shared" si="233"/>
        <v>139.29707402608676</v>
      </c>
      <c r="E228" s="97">
        <f t="shared" si="233"/>
        <v>138.18537153583438</v>
      </c>
      <c r="F228" s="97">
        <f t="shared" si="233"/>
        <v>136.25103827521295</v>
      </c>
      <c r="G228" s="97">
        <f t="shared" si="233"/>
        <v>155.83111615103286</v>
      </c>
      <c r="H228" s="97">
        <f t="shared" si="233"/>
        <v>128.04506255473879</v>
      </c>
      <c r="I228" s="97">
        <f t="shared" si="233"/>
        <v>100.25030078153377</v>
      </c>
      <c r="J228" s="97">
        <f t="shared" si="233"/>
        <v>98.383097419267557</v>
      </c>
      <c r="K228" s="97">
        <f t="shared" si="233"/>
        <v>78.299134801318502</v>
      </c>
      <c r="L228" s="97">
        <f t="shared" si="233"/>
        <v>66.935470243982394</v>
      </c>
      <c r="M228" s="97">
        <f t="shared" si="233"/>
        <v>64.005478806900456</v>
      </c>
      <c r="N228" s="97">
        <f t="shared" si="233"/>
        <v>55.371781614150272</v>
      </c>
      <c r="O228" s="97">
        <f t="shared" si="233"/>
        <v>45.741752272704538</v>
      </c>
      <c r="P228" s="97">
        <f t="shared" si="233"/>
        <v>41.242809546068493</v>
      </c>
      <c r="Q228" s="97">
        <f t="shared" si="233"/>
        <v>46.539286295350003</v>
      </c>
      <c r="R228" s="97">
        <f t="shared" si="233"/>
        <v>39.456507989034733</v>
      </c>
      <c r="S228" s="97">
        <f t="shared" si="233"/>
        <v>43.739236935438669</v>
      </c>
      <c r="T228" s="97">
        <f t="shared" si="233"/>
        <v>45.820122235961513</v>
      </c>
      <c r="U228" s="97">
        <f t="shared" si="233"/>
        <v>45.05382752551585</v>
      </c>
      <c r="V228" s="97">
        <f t="shared" si="233"/>
        <v>137.01749414348203</v>
      </c>
      <c r="W228" s="97">
        <f t="shared" si="233"/>
        <v>84.424978106525629</v>
      </c>
      <c r="X228" s="97">
        <f t="shared" si="233"/>
        <v>84.371447560562373</v>
      </c>
      <c r="Y228" s="97">
        <f t="shared" si="233"/>
        <v>80.553137708138067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79.61663383474054</v>
      </c>
      <c r="C229" s="32">
        <f t="shared" si="234"/>
        <v>86.339807813294371</v>
      </c>
      <c r="D229" s="32">
        <f t="shared" si="234"/>
        <v>78.611297607081354</v>
      </c>
      <c r="E229" s="32">
        <f t="shared" si="234"/>
        <v>99.179941678602546</v>
      </c>
      <c r="F229" s="32">
        <f t="shared" si="234"/>
        <v>103.93137495462004</v>
      </c>
      <c r="G229" s="32">
        <f t="shared" si="234"/>
        <v>107.86051994538694</v>
      </c>
      <c r="H229" s="32">
        <f t="shared" si="234"/>
        <v>107.07642959663303</v>
      </c>
      <c r="I229" s="32">
        <f t="shared" si="234"/>
        <v>99.137472235834224</v>
      </c>
      <c r="J229" s="32">
        <f t="shared" si="234"/>
        <v>104.81963716907121</v>
      </c>
      <c r="K229" s="32">
        <f t="shared" si="234"/>
        <v>95.818559780297974</v>
      </c>
      <c r="L229" s="32">
        <f t="shared" si="234"/>
        <v>90.064073877499681</v>
      </c>
      <c r="M229" s="32">
        <f t="shared" si="234"/>
        <v>93.952477400037196</v>
      </c>
      <c r="N229" s="32">
        <f t="shared" si="234"/>
        <v>93.890297263250176</v>
      </c>
      <c r="O229" s="32">
        <f t="shared" si="234"/>
        <v>77.318390626791597</v>
      </c>
      <c r="P229" s="32">
        <f t="shared" si="234"/>
        <v>87.008194360946675</v>
      </c>
      <c r="Q229" s="32">
        <f t="shared" si="234"/>
        <v>90.614248124717022</v>
      </c>
      <c r="R229" s="32">
        <f t="shared" si="234"/>
        <v>91.182055853515593</v>
      </c>
      <c r="S229" s="32">
        <f t="shared" si="234"/>
        <v>85.438253786400736</v>
      </c>
      <c r="T229" s="32">
        <f t="shared" si="234"/>
        <v>90.138056003348225</v>
      </c>
      <c r="U229" s="32">
        <f t="shared" si="234"/>
        <v>88.887382028353926</v>
      </c>
      <c r="V229" s="32">
        <f t="shared" si="234"/>
        <v>82.151270825253093</v>
      </c>
      <c r="W229" s="32">
        <f t="shared" si="234"/>
        <v>74.232365157282388</v>
      </c>
      <c r="X229" s="32">
        <f t="shared" si="234"/>
        <v>70.779733715492583</v>
      </c>
      <c r="Y229" s="32">
        <f t="shared" si="234"/>
        <v>69.686495177856003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129.58015434015422</v>
      </c>
      <c r="C230" s="141">
        <f t="shared" si="235"/>
        <v>132.93856909797597</v>
      </c>
      <c r="D230" s="141">
        <f t="shared" si="235"/>
        <v>114.72109886549185</v>
      </c>
      <c r="E230" s="141">
        <f t="shared" si="235"/>
        <v>149.93725298738076</v>
      </c>
      <c r="F230" s="141">
        <f t="shared" si="235"/>
        <v>151.98065410354201</v>
      </c>
      <c r="G230" s="141">
        <f t="shared" si="235"/>
        <v>155.29535067374155</v>
      </c>
      <c r="H230" s="141">
        <f t="shared" si="235"/>
        <v>157.43500392740529</v>
      </c>
      <c r="I230" s="141">
        <f t="shared" si="235"/>
        <v>148.37585182373178</v>
      </c>
      <c r="J230" s="141">
        <f t="shared" si="235"/>
        <v>167.00047430897246</v>
      </c>
      <c r="K230" s="141">
        <f t="shared" si="235"/>
        <v>161.0168023821785</v>
      </c>
      <c r="L230" s="141">
        <f t="shared" si="235"/>
        <v>153.59722038633021</v>
      </c>
      <c r="M230" s="141">
        <f t="shared" si="235"/>
        <v>145.92894789258034</v>
      </c>
      <c r="N230" s="141">
        <f t="shared" si="235"/>
        <v>152.00893962580093</v>
      </c>
      <c r="O230" s="141">
        <f t="shared" si="235"/>
        <v>118.64364117131825</v>
      </c>
      <c r="P230" s="141">
        <f t="shared" si="235"/>
        <v>136.4793901258241</v>
      </c>
      <c r="Q230" s="141">
        <f t="shared" si="235"/>
        <v>140.39428049971735</v>
      </c>
      <c r="R230" s="141">
        <f t="shared" si="235"/>
        <v>140.45690059876864</v>
      </c>
      <c r="S230" s="141">
        <f t="shared" si="235"/>
        <v>130.1239840102335</v>
      </c>
      <c r="T230" s="141">
        <f t="shared" si="235"/>
        <v>136.09013009234974</v>
      </c>
      <c r="U230" s="141">
        <f t="shared" si="235"/>
        <v>151.97430295152023</v>
      </c>
      <c r="V230" s="141">
        <f t="shared" si="235"/>
        <v>132.0542767395898</v>
      </c>
      <c r="W230" s="141">
        <f t="shared" si="235"/>
        <v>127.71023531447581</v>
      </c>
      <c r="X230" s="141">
        <f t="shared" si="235"/>
        <v>112.70216015185808</v>
      </c>
      <c r="Y230" s="141">
        <f t="shared" si="235"/>
        <v>107.62895680581316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937.04225020373519</v>
      </c>
      <c r="C231" s="97">
        <f t="shared" si="236"/>
        <v>946.90142024860836</v>
      </c>
      <c r="D231" s="97">
        <f t="shared" si="236"/>
        <v>948.50190318097668</v>
      </c>
      <c r="E231" s="97">
        <f t="shared" si="236"/>
        <v>914.35112947245977</v>
      </c>
      <c r="F231" s="97">
        <f t="shared" si="236"/>
        <v>863.52196390071617</v>
      </c>
      <c r="G231" s="97">
        <f t="shared" si="236"/>
        <v>842.14208765750857</v>
      </c>
      <c r="H231" s="97">
        <f t="shared" si="236"/>
        <v>788.53562747951014</v>
      </c>
      <c r="I231" s="97">
        <f t="shared" si="236"/>
        <v>754.89409968667985</v>
      </c>
      <c r="J231" s="97">
        <f t="shared" si="236"/>
        <v>737.28290485273055</v>
      </c>
      <c r="K231" s="97">
        <f t="shared" si="236"/>
        <v>717.8315628589952</v>
      </c>
      <c r="L231" s="97">
        <f t="shared" si="236"/>
        <v>701.01705741394721</v>
      </c>
      <c r="M231" s="97">
        <f t="shared" si="236"/>
        <v>696.91425003588881</v>
      </c>
      <c r="N231" s="97">
        <f t="shared" si="236"/>
        <v>667.61725989707952</v>
      </c>
      <c r="O231" s="97">
        <f t="shared" si="236"/>
        <v>651.55239472049402</v>
      </c>
      <c r="P231" s="97">
        <f t="shared" si="236"/>
        <v>654.5578377966176</v>
      </c>
      <c r="Q231" s="97">
        <f t="shared" si="236"/>
        <v>652.84855775875189</v>
      </c>
      <c r="R231" s="97">
        <f t="shared" si="236"/>
        <v>642.1598012497775</v>
      </c>
      <c r="S231" s="97">
        <f t="shared" si="236"/>
        <v>640.1355907989057</v>
      </c>
      <c r="T231" s="97">
        <f t="shared" si="236"/>
        <v>643.6122838181218</v>
      </c>
      <c r="U231" s="97">
        <f t="shared" si="236"/>
        <v>645.45295540192296</v>
      </c>
      <c r="V231" s="97">
        <f t="shared" si="236"/>
        <v>649.24843920418209</v>
      </c>
      <c r="W231" s="97">
        <f t="shared" si="236"/>
        <v>665.63113079611105</v>
      </c>
      <c r="X231" s="97">
        <f t="shared" si="236"/>
        <v>668.28188765876462</v>
      </c>
      <c r="Y231" s="97">
        <f t="shared" si="236"/>
        <v>685.42195713237311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83.942144193819701</v>
      </c>
      <c r="C232" s="97">
        <f t="shared" si="237"/>
        <v>91.96844874990903</v>
      </c>
      <c r="D232" s="97">
        <f t="shared" si="237"/>
        <v>76.432141733224853</v>
      </c>
      <c r="E232" s="97">
        <f t="shared" si="237"/>
        <v>114.30699560644123</v>
      </c>
      <c r="F232" s="97">
        <f t="shared" si="237"/>
        <v>115.81911540400085</v>
      </c>
      <c r="G232" s="97">
        <f t="shared" si="237"/>
        <v>124.073778766198</v>
      </c>
      <c r="H232" s="97">
        <f t="shared" si="237"/>
        <v>124.64038080950772</v>
      </c>
      <c r="I232" s="97">
        <f t="shared" si="237"/>
        <v>111.10197917548551</v>
      </c>
      <c r="J232" s="97">
        <f t="shared" si="237"/>
        <v>126.36948396879438</v>
      </c>
      <c r="K232" s="97">
        <f t="shared" si="237"/>
        <v>116.08376205383988</v>
      </c>
      <c r="L232" s="97">
        <f t="shared" si="237"/>
        <v>110.39625217387572</v>
      </c>
      <c r="M232" s="97">
        <f t="shared" si="237"/>
        <v>101.75930548922896</v>
      </c>
      <c r="N232" s="97">
        <f t="shared" si="237"/>
        <v>106.29647454885587</v>
      </c>
      <c r="O232" s="97">
        <f t="shared" si="237"/>
        <v>78.535504505438411</v>
      </c>
      <c r="P232" s="97">
        <f t="shared" si="237"/>
        <v>93.385324185617563</v>
      </c>
      <c r="Q232" s="97">
        <f t="shared" si="237"/>
        <v>96.554862985934548</v>
      </c>
      <c r="R232" s="97">
        <f t="shared" si="237"/>
        <v>98.001250292521206</v>
      </c>
      <c r="S232" s="97">
        <f t="shared" si="237"/>
        <v>96.06906534104094</v>
      </c>
      <c r="T232" s="97">
        <f t="shared" si="237"/>
        <v>99.683009955251549</v>
      </c>
      <c r="U232" s="97">
        <f t="shared" si="237"/>
        <v>108.00731157200555</v>
      </c>
      <c r="V232" s="97">
        <f t="shared" si="237"/>
        <v>97.332033031571967</v>
      </c>
      <c r="W232" s="97">
        <f t="shared" si="237"/>
        <v>99.338554798124875</v>
      </c>
      <c r="X232" s="97">
        <f t="shared" si="237"/>
        <v>86.784300581772513</v>
      </c>
      <c r="Y232" s="97">
        <f t="shared" si="237"/>
        <v>85.045150408089128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11.708705556338813</v>
      </c>
      <c r="C233" s="130">
        <f t="shared" si="238"/>
        <v>11.800620452871712</v>
      </c>
      <c r="D233" s="130">
        <f t="shared" si="238"/>
        <v>12.507192075524079</v>
      </c>
      <c r="E233" s="130">
        <f t="shared" si="238"/>
        <v>10.720018494348114</v>
      </c>
      <c r="F233" s="130">
        <f t="shared" si="238"/>
        <v>10.948121076958907</v>
      </c>
      <c r="G233" s="130">
        <f t="shared" si="238"/>
        <v>10.761819718922826</v>
      </c>
      <c r="H233" s="130">
        <f t="shared" si="238"/>
        <v>8.4085503772254437</v>
      </c>
      <c r="I233" s="130">
        <f t="shared" si="238"/>
        <v>7.7808010004275436</v>
      </c>
      <c r="J233" s="130">
        <f t="shared" si="238"/>
        <v>11.544967026554843</v>
      </c>
      <c r="K233" s="130">
        <f t="shared" si="238"/>
        <v>9.4841034058839071</v>
      </c>
      <c r="L233" s="130">
        <f t="shared" si="238"/>
        <v>8.9194288210335504</v>
      </c>
      <c r="M233" s="130">
        <f t="shared" si="238"/>
        <v>7.8036677917466992</v>
      </c>
      <c r="N233" s="130">
        <f t="shared" si="238"/>
        <v>8.6895387236061552</v>
      </c>
      <c r="O233" s="130">
        <f t="shared" si="238"/>
        <v>5.179760846644931</v>
      </c>
      <c r="P233" s="130">
        <f t="shared" si="238"/>
        <v>5.3035178823943738</v>
      </c>
      <c r="Q233" s="130">
        <f t="shared" si="238"/>
        <v>7.2590917585789958</v>
      </c>
      <c r="R233" s="130">
        <f t="shared" si="238"/>
        <v>5.4044075511762131</v>
      </c>
      <c r="S233" s="130">
        <f t="shared" si="238"/>
        <v>5.0223658811993941</v>
      </c>
      <c r="T233" s="130">
        <f t="shared" si="238"/>
        <v>4.358407932733452</v>
      </c>
      <c r="U233" s="130">
        <f t="shared" si="238"/>
        <v>3.6639937338714259</v>
      </c>
      <c r="V233" s="130">
        <f t="shared" si="238"/>
        <v>3.9676315651284062</v>
      </c>
      <c r="W233" s="130">
        <f t="shared" si="238"/>
        <v>4.1877817121035354</v>
      </c>
      <c r="X233" s="130">
        <f t="shared" si="238"/>
        <v>3.7150350223118904</v>
      </c>
      <c r="Y233" s="130">
        <f t="shared" si="238"/>
        <v>3.4720090156652357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536.51520452938325</v>
      </c>
      <c r="C234" s="130">
        <f t="shared" si="239"/>
        <v>448.83089918406858</v>
      </c>
      <c r="D234" s="130">
        <f t="shared" si="239"/>
        <v>465.42567099422257</v>
      </c>
      <c r="E234" s="130">
        <f t="shared" si="239"/>
        <v>471.4650342127249</v>
      </c>
      <c r="F234" s="130">
        <f t="shared" si="239"/>
        <v>499.02195354402437</v>
      </c>
      <c r="G234" s="130">
        <f t="shared" si="239"/>
        <v>567.64641380239073</v>
      </c>
      <c r="H234" s="130">
        <f t="shared" si="239"/>
        <v>518.28755019831715</v>
      </c>
      <c r="I234" s="130">
        <f t="shared" si="239"/>
        <v>485.20810158725948</v>
      </c>
      <c r="J234" s="130">
        <f t="shared" si="239"/>
        <v>585.98676739328891</v>
      </c>
      <c r="K234" s="130">
        <f t="shared" si="239"/>
        <v>360.58479903838071</v>
      </c>
      <c r="L234" s="130">
        <f t="shared" si="239"/>
        <v>287.9799571590172</v>
      </c>
      <c r="M234" s="130">
        <f t="shared" si="239"/>
        <v>314.72205503809039</v>
      </c>
      <c r="N234" s="130">
        <f t="shared" si="239"/>
        <v>502.78187097929907</v>
      </c>
      <c r="O234" s="130">
        <f t="shared" si="239"/>
        <v>461.4853446027833</v>
      </c>
      <c r="P234" s="130">
        <f t="shared" si="239"/>
        <v>321.14253503856366</v>
      </c>
      <c r="Q234" s="130">
        <f t="shared" si="239"/>
        <v>224.32484598564443</v>
      </c>
      <c r="R234" s="130">
        <f t="shared" si="239"/>
        <v>171.01185751699603</v>
      </c>
      <c r="S234" s="130">
        <f t="shared" si="239"/>
        <v>179.88889466900855</v>
      </c>
      <c r="T234" s="130">
        <f t="shared" si="239"/>
        <v>212.76419851313068</v>
      </c>
      <c r="U234" s="130">
        <f t="shared" si="239"/>
        <v>299.32242600073681</v>
      </c>
      <c r="V234" s="130">
        <f t="shared" si="239"/>
        <v>563.51384097029666</v>
      </c>
      <c r="W234" s="130">
        <f t="shared" si="239"/>
        <v>551.61550789240641</v>
      </c>
      <c r="X234" s="130">
        <f t="shared" si="239"/>
        <v>528.54394272366392</v>
      </c>
      <c r="Y234" s="130">
        <f t="shared" si="239"/>
        <v>465.74363301207347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659.76508641324585</v>
      </c>
      <c r="C236" s="97">
        <f t="shared" si="241"/>
        <v>634.76469155640655</v>
      </c>
      <c r="D236" s="97">
        <f t="shared" si="241"/>
        <v>674.57361615811033</v>
      </c>
      <c r="E236" s="97">
        <f t="shared" si="241"/>
        <v>660.06797528116238</v>
      </c>
      <c r="F236" s="97">
        <f t="shared" si="241"/>
        <v>726.07006156071543</v>
      </c>
      <c r="G236" s="97">
        <f t="shared" si="241"/>
        <v>762.08164515964279</v>
      </c>
      <c r="H236" s="97">
        <f t="shared" si="241"/>
        <v>721.76687083539946</v>
      </c>
      <c r="I236" s="97">
        <f t="shared" si="241"/>
        <v>737.40455266675076</v>
      </c>
      <c r="J236" s="97">
        <f t="shared" si="241"/>
        <v>884.91237060985225</v>
      </c>
      <c r="K236" s="97">
        <f t="shared" si="241"/>
        <v>691.45194213834441</v>
      </c>
      <c r="L236" s="97">
        <f t="shared" si="241"/>
        <v>719.11192742388926</v>
      </c>
      <c r="M236" s="97">
        <f t="shared" si="241"/>
        <v>737.19619329453258</v>
      </c>
      <c r="N236" s="97">
        <f t="shared" si="241"/>
        <v>730.2629555089909</v>
      </c>
      <c r="O236" s="97">
        <f t="shared" si="241"/>
        <v>716.92722710730004</v>
      </c>
      <c r="P236" s="97">
        <f t="shared" si="241"/>
        <v>617.84301927082015</v>
      </c>
      <c r="Q236" s="97">
        <f t="shared" si="241"/>
        <v>627.53596448060739</v>
      </c>
      <c r="R236" s="97">
        <f t="shared" si="241"/>
        <v>543.63611429539094</v>
      </c>
      <c r="S236" s="97">
        <f t="shared" si="241"/>
        <v>558.30196316311344</v>
      </c>
      <c r="T236" s="97">
        <f t="shared" si="241"/>
        <v>534.11116858065873</v>
      </c>
      <c r="U236" s="97">
        <f t="shared" si="241"/>
        <v>476.10245799689329</v>
      </c>
      <c r="V236" s="97">
        <f t="shared" si="241"/>
        <v>788.82887666789497</v>
      </c>
      <c r="W236" s="97">
        <f t="shared" si="241"/>
        <v>810.42199528002413</v>
      </c>
      <c r="X236" s="97">
        <f t="shared" si="241"/>
        <v>679.48134256453113</v>
      </c>
      <c r="Y236" s="97">
        <f t="shared" si="241"/>
        <v>613.18122606525867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275.73471674184231</v>
      </c>
      <c r="C237" s="97">
        <f t="shared" si="242"/>
        <v>265.2938191664395</v>
      </c>
      <c r="D237" s="97">
        <f t="shared" si="242"/>
        <v>280.85508937758084</v>
      </c>
      <c r="E237" s="97">
        <f t="shared" si="242"/>
        <v>309.29651286057458</v>
      </c>
      <c r="F237" s="97">
        <f t="shared" si="242"/>
        <v>317.91764893349119</v>
      </c>
      <c r="G237" s="97">
        <f t="shared" si="242"/>
        <v>390.40667368413608</v>
      </c>
      <c r="H237" s="97">
        <f t="shared" si="242"/>
        <v>330.05983049682771</v>
      </c>
      <c r="I237" s="97">
        <f t="shared" si="242"/>
        <v>263.11614274470116</v>
      </c>
      <c r="J237" s="97">
        <f t="shared" si="242"/>
        <v>262.6398184971373</v>
      </c>
      <c r="K237" s="97">
        <f t="shared" si="242"/>
        <v>193.74954711105502</v>
      </c>
      <c r="L237" s="97">
        <f t="shared" si="242"/>
        <v>173.63169535528434</v>
      </c>
      <c r="M237" s="97">
        <f t="shared" si="242"/>
        <v>160.43322239994558</v>
      </c>
      <c r="N237" s="97">
        <f t="shared" si="242"/>
        <v>178.16682710619568</v>
      </c>
      <c r="O237" s="97">
        <f t="shared" si="242"/>
        <v>143.95061636723253</v>
      </c>
      <c r="P237" s="97">
        <f t="shared" si="242"/>
        <v>98.820011313815073</v>
      </c>
      <c r="Q237" s="97">
        <f t="shared" si="242"/>
        <v>100.6602153156943</v>
      </c>
      <c r="R237" s="97">
        <f t="shared" si="242"/>
        <v>77.587387130767169</v>
      </c>
      <c r="S237" s="97">
        <f t="shared" si="242"/>
        <v>86.938985136473661</v>
      </c>
      <c r="T237" s="97">
        <f t="shared" si="242"/>
        <v>84.150762809526981</v>
      </c>
      <c r="U237" s="97">
        <f t="shared" si="242"/>
        <v>98.616499693792008</v>
      </c>
      <c r="V237" s="97">
        <f t="shared" si="242"/>
        <v>222.22838119845491</v>
      </c>
      <c r="W237" s="97">
        <f t="shared" si="242"/>
        <v>141.30416211031721</v>
      </c>
      <c r="X237" s="97">
        <f t="shared" si="242"/>
        <v>234.2947468268809</v>
      </c>
      <c r="Y237" s="97">
        <f t="shared" si="242"/>
        <v>205.42620588638553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25.176178121405751</v>
      </c>
      <c r="C238" s="130">
        <f t="shared" si="243"/>
        <v>25.427958872727277</v>
      </c>
      <c r="D238" s="130">
        <f t="shared" si="243"/>
        <v>24.105959980748665</v>
      </c>
      <c r="E238" s="130">
        <f t="shared" si="243"/>
        <v>26.864011403588908</v>
      </c>
      <c r="F238" s="130">
        <f t="shared" si="243"/>
        <v>42.192005459397421</v>
      </c>
      <c r="G238" s="130">
        <f t="shared" si="243"/>
        <v>41.806835110700135</v>
      </c>
      <c r="H238" s="130">
        <f t="shared" si="243"/>
        <v>37.908791247898094</v>
      </c>
      <c r="I238" s="130">
        <f t="shared" si="243"/>
        <v>27.575010224332352</v>
      </c>
      <c r="J238" s="130">
        <f t="shared" si="243"/>
        <v>28.750512215086506</v>
      </c>
      <c r="K238" s="130">
        <f t="shared" si="243"/>
        <v>31.460215954966891</v>
      </c>
      <c r="L238" s="130">
        <f t="shared" si="243"/>
        <v>29.331912930357142</v>
      </c>
      <c r="M238" s="130">
        <f t="shared" si="243"/>
        <v>31.817428259303941</v>
      </c>
      <c r="N238" s="130">
        <f t="shared" si="243"/>
        <v>29.704688510375775</v>
      </c>
      <c r="O238" s="130">
        <f t="shared" si="243"/>
        <v>29.384074153554153</v>
      </c>
      <c r="P238" s="130">
        <f t="shared" si="243"/>
        <v>32.251948534174218</v>
      </c>
      <c r="Q238" s="130">
        <f t="shared" si="243"/>
        <v>36.137218161715829</v>
      </c>
      <c r="R238" s="130">
        <f t="shared" si="243"/>
        <v>35.252699291217823</v>
      </c>
      <c r="S238" s="130">
        <f t="shared" si="243"/>
        <v>35.728651438908891</v>
      </c>
      <c r="T238" s="130">
        <f t="shared" si="243"/>
        <v>43.711024533717584</v>
      </c>
      <c r="U238" s="130">
        <f t="shared" si="243"/>
        <v>42.689853782648719</v>
      </c>
      <c r="V238" s="130">
        <f t="shared" si="243"/>
        <v>43.319803685294126</v>
      </c>
      <c r="W238" s="130">
        <f t="shared" si="243"/>
        <v>6.3880545580110512E-2</v>
      </c>
      <c r="X238" s="130">
        <f t="shared" si="243"/>
        <v>0.13080890414576185</v>
      </c>
      <c r="Y238" s="130">
        <f t="shared" si="243"/>
        <v>0.10763229720197508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25.176178121405751</v>
      </c>
      <c r="C240" s="98">
        <f t="shared" si="245"/>
        <v>25.427958872727277</v>
      </c>
      <c r="D240" s="98">
        <f t="shared" si="245"/>
        <v>24.105959980748665</v>
      </c>
      <c r="E240" s="98">
        <f t="shared" si="245"/>
        <v>26.864011403588908</v>
      </c>
      <c r="F240" s="98">
        <f t="shared" si="245"/>
        <v>42.192005459397421</v>
      </c>
      <c r="G240" s="98">
        <f t="shared" si="245"/>
        <v>41.806835110700135</v>
      </c>
      <c r="H240" s="98">
        <f t="shared" si="245"/>
        <v>37.908791247898094</v>
      </c>
      <c r="I240" s="98">
        <f t="shared" si="245"/>
        <v>27.575010224332352</v>
      </c>
      <c r="J240" s="98">
        <f t="shared" si="245"/>
        <v>28.750512215086506</v>
      </c>
      <c r="K240" s="98">
        <f t="shared" si="245"/>
        <v>31.460215954966891</v>
      </c>
      <c r="L240" s="98">
        <f t="shared" si="245"/>
        <v>29.331912930357142</v>
      </c>
      <c r="M240" s="98">
        <f t="shared" si="245"/>
        <v>31.817428259303941</v>
      </c>
      <c r="N240" s="98">
        <f t="shared" si="245"/>
        <v>29.704688510375775</v>
      </c>
      <c r="O240" s="98">
        <f t="shared" si="245"/>
        <v>29.384074153554153</v>
      </c>
      <c r="P240" s="98">
        <f t="shared" si="245"/>
        <v>32.251948534174218</v>
      </c>
      <c r="Q240" s="98">
        <f t="shared" si="245"/>
        <v>36.137218161715829</v>
      </c>
      <c r="R240" s="98">
        <f t="shared" si="245"/>
        <v>35.252699291217823</v>
      </c>
      <c r="S240" s="98">
        <f t="shared" si="245"/>
        <v>35.728651438908891</v>
      </c>
      <c r="T240" s="98">
        <f t="shared" si="245"/>
        <v>43.711024533717584</v>
      </c>
      <c r="U240" s="98">
        <f t="shared" si="245"/>
        <v>42.689853782648719</v>
      </c>
      <c r="V240" s="98">
        <f t="shared" si="245"/>
        <v>43.319803685294126</v>
      </c>
      <c r="W240" s="98">
        <f t="shared" si="245"/>
        <v>6.3880545580110512E-2</v>
      </c>
      <c r="X240" s="98">
        <f t="shared" si="245"/>
        <v>0.13080890414576185</v>
      </c>
      <c r="Y240" s="98">
        <f t="shared" si="245"/>
        <v>0.10763229720197508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7.1647951948926707</v>
      </c>
      <c r="C241" s="32">
        <f t="shared" si="246"/>
        <v>7.2341990470365189</v>
      </c>
      <c r="D241" s="32">
        <f t="shared" si="246"/>
        <v>8.1394537973617211</v>
      </c>
      <c r="E241" s="32">
        <f t="shared" si="246"/>
        <v>9.2617394225435916</v>
      </c>
      <c r="F241" s="32">
        <f t="shared" si="246"/>
        <v>7.6197953733146928</v>
      </c>
      <c r="G241" s="32">
        <f t="shared" si="246"/>
        <v>6.9522569402979482</v>
      </c>
      <c r="H241" s="32">
        <f t="shared" si="246"/>
        <v>6.0254933532311821</v>
      </c>
      <c r="I241" s="32">
        <f t="shared" si="246"/>
        <v>4.1228590653410704</v>
      </c>
      <c r="J241" s="32">
        <f t="shared" si="246"/>
        <v>9.7815290747085211</v>
      </c>
      <c r="K241" s="32">
        <f t="shared" si="246"/>
        <v>19.43246947447107</v>
      </c>
      <c r="L241" s="32">
        <f t="shared" si="246"/>
        <v>8.9459206518973069</v>
      </c>
      <c r="M241" s="32">
        <f t="shared" si="246"/>
        <v>7.4125274298540891</v>
      </c>
      <c r="N241" s="32">
        <f t="shared" si="246"/>
        <v>6.3332687411803699</v>
      </c>
      <c r="O241" s="32">
        <f t="shared" si="246"/>
        <v>6.5813958541988384</v>
      </c>
      <c r="P241" s="32">
        <f t="shared" si="246"/>
        <v>5.7356633356363513</v>
      </c>
      <c r="Q241" s="32">
        <f t="shared" si="246"/>
        <v>6.2569141226841483</v>
      </c>
      <c r="R241" s="32">
        <f t="shared" si="246"/>
        <v>5.0953016947839158</v>
      </c>
      <c r="S241" s="32">
        <f t="shared" si="246"/>
        <v>5.2189854484759115</v>
      </c>
      <c r="T241" s="32">
        <f t="shared" si="246"/>
        <v>5.4231868852455429</v>
      </c>
      <c r="U241" s="32">
        <f t="shared" si="246"/>
        <v>4.6545545932610315</v>
      </c>
      <c r="V241" s="32">
        <f t="shared" si="246"/>
        <v>6.8398481447469921</v>
      </c>
      <c r="W241" s="32">
        <f t="shared" si="246"/>
        <v>5.8414838468803971</v>
      </c>
      <c r="X241" s="32">
        <f t="shared" si="246"/>
        <v>4.4111218687080882</v>
      </c>
      <c r="Y241" s="32">
        <f t="shared" si="246"/>
        <v>3.442602637909765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14.706383509527132</v>
      </c>
      <c r="C242" s="97">
        <f t="shared" si="247"/>
        <v>15.070426622848538</v>
      </c>
      <c r="D242" s="97">
        <f t="shared" si="247"/>
        <v>16.46714033564065</v>
      </c>
      <c r="E242" s="97">
        <f t="shared" si="247"/>
        <v>24.141193120892371</v>
      </c>
      <c r="F242" s="97">
        <f t="shared" si="247"/>
        <v>20.787547138526218</v>
      </c>
      <c r="G242" s="97">
        <f t="shared" si="247"/>
        <v>19.431801509069981</v>
      </c>
      <c r="H242" s="97">
        <f t="shared" si="247"/>
        <v>15.569854897960685</v>
      </c>
      <c r="I242" s="97">
        <f t="shared" si="247"/>
        <v>12.770824943653656</v>
      </c>
      <c r="J242" s="97">
        <f t="shared" si="247"/>
        <v>26.75282875818273</v>
      </c>
      <c r="K242" s="97">
        <f t="shared" si="247"/>
        <v>35.410294213925383</v>
      </c>
      <c r="L242" s="97">
        <f t="shared" si="247"/>
        <v>17.5162179057968</v>
      </c>
      <c r="M242" s="97">
        <f t="shared" si="247"/>
        <v>12.146785676120125</v>
      </c>
      <c r="N242" s="97">
        <f t="shared" si="247"/>
        <v>10.882101416890338</v>
      </c>
      <c r="O242" s="97">
        <f t="shared" si="247"/>
        <v>11.525990662137634</v>
      </c>
      <c r="P242" s="97">
        <f t="shared" si="247"/>
        <v>11.767820380650409</v>
      </c>
      <c r="Q242" s="97">
        <f t="shared" si="247"/>
        <v>14.43405219460325</v>
      </c>
      <c r="R242" s="97">
        <f t="shared" si="247"/>
        <v>10.209600060588574</v>
      </c>
      <c r="S242" s="97">
        <f t="shared" si="247"/>
        <v>9.8007893073081114</v>
      </c>
      <c r="T242" s="97">
        <f t="shared" si="247"/>
        <v>9.2404307185653085</v>
      </c>
      <c r="U242" s="97">
        <f t="shared" si="247"/>
        <v>8.5021750105411087</v>
      </c>
      <c r="V242" s="97">
        <f t="shared" si="247"/>
        <v>11.299040232094464</v>
      </c>
      <c r="W242" s="97">
        <f t="shared" si="247"/>
        <v>10.828372582284207</v>
      </c>
      <c r="X242" s="97">
        <f t="shared" si="247"/>
        <v>9.0970891518296568</v>
      </c>
      <c r="Y242" s="97">
        <f t="shared" si="247"/>
        <v>7.9254339681451151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4.7968470140364934</v>
      </c>
      <c r="C243" s="98">
        <f t="shared" si="248"/>
        <v>4.8365935577375101</v>
      </c>
      <c r="D243" s="98">
        <f t="shared" si="248"/>
        <v>5.4461609890505347</v>
      </c>
      <c r="E243" s="98">
        <f t="shared" si="248"/>
        <v>6.5550570202285616</v>
      </c>
      <c r="F243" s="98">
        <f t="shared" si="248"/>
        <v>5.5214023510591721</v>
      </c>
      <c r="G243" s="98">
        <f t="shared" si="248"/>
        <v>5.0343812440184026</v>
      </c>
      <c r="H243" s="98">
        <f t="shared" si="248"/>
        <v>4.2480944818170503</v>
      </c>
      <c r="I243" s="98">
        <f t="shared" si="248"/>
        <v>3.1384917723595316</v>
      </c>
      <c r="J243" s="98">
        <f t="shared" si="248"/>
        <v>7.2291689692026733</v>
      </c>
      <c r="K243" s="98">
        <f t="shared" si="248"/>
        <v>13.121456332196507</v>
      </c>
      <c r="L243" s="98">
        <f t="shared" si="248"/>
        <v>6.3535645838562766</v>
      </c>
      <c r="M243" s="98">
        <f t="shared" si="248"/>
        <v>5.3830066877008207</v>
      </c>
      <c r="N243" s="98">
        <f t="shared" si="248"/>
        <v>4.5120899314852343</v>
      </c>
      <c r="O243" s="98">
        <f t="shared" si="248"/>
        <v>4.5213769184321713</v>
      </c>
      <c r="P243" s="98">
        <f t="shared" si="248"/>
        <v>3.8275501219615053</v>
      </c>
      <c r="Q243" s="98">
        <f t="shared" si="248"/>
        <v>4.1811234051303616</v>
      </c>
      <c r="R243" s="98">
        <f t="shared" si="248"/>
        <v>3.3806254320455067</v>
      </c>
      <c r="S243" s="98">
        <f t="shared" si="248"/>
        <v>3.4393424364115948</v>
      </c>
      <c r="T243" s="98">
        <f t="shared" si="248"/>
        <v>3.6751050676569434</v>
      </c>
      <c r="U243" s="98">
        <f t="shared" si="248"/>
        <v>3.1042251303699122</v>
      </c>
      <c r="V243" s="98">
        <f t="shared" si="248"/>
        <v>4.9652166228196029</v>
      </c>
      <c r="W243" s="98">
        <f t="shared" si="248"/>
        <v>4.2344027185436302</v>
      </c>
      <c r="X243" s="98">
        <f t="shared" si="248"/>
        <v>3.0691231423389711</v>
      </c>
      <c r="Y243" s="98">
        <f t="shared" si="248"/>
        <v>2.3626851011188701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41812.382090762505</v>
      </c>
      <c r="C4" s="29">
        <f t="shared" si="0"/>
        <v>43197.662625014127</v>
      </c>
      <c r="D4" s="29">
        <f t="shared" si="0"/>
        <v>46629.532251980418</v>
      </c>
      <c r="E4" s="29">
        <f t="shared" si="0"/>
        <v>45449.096046442413</v>
      </c>
      <c r="F4" s="29">
        <f t="shared" si="0"/>
        <v>46199.757693466905</v>
      </c>
      <c r="G4" s="29">
        <f t="shared" si="0"/>
        <v>49185.184523559918</v>
      </c>
      <c r="H4" s="29">
        <f t="shared" si="0"/>
        <v>50950.800319418559</v>
      </c>
      <c r="I4" s="29">
        <f t="shared" si="0"/>
        <v>54404.968027773139</v>
      </c>
      <c r="J4" s="29">
        <f t="shared" si="0"/>
        <v>57532.926528992699</v>
      </c>
      <c r="K4" s="29">
        <f t="shared" si="0"/>
        <v>57278.231667354092</v>
      </c>
      <c r="L4" s="29">
        <f t="shared" ref="L4" si="1">L5+L6+L13</f>
        <v>58087.172469468358</v>
      </c>
      <c r="M4" s="29">
        <f t="shared" ref="M4:V4" si="2">M5+M6+M13</f>
        <v>59519.375253725186</v>
      </c>
      <c r="N4" s="29">
        <f t="shared" si="2"/>
        <v>60843.874194119555</v>
      </c>
      <c r="O4" s="29">
        <f t="shared" si="2"/>
        <v>62382.037878036695</v>
      </c>
      <c r="P4" s="29">
        <f t="shared" si="2"/>
        <v>66174.463605772602</v>
      </c>
      <c r="Q4" s="29">
        <f t="shared" si="2"/>
        <v>70156.842488044262</v>
      </c>
      <c r="R4" s="29">
        <f t="shared" si="2"/>
        <v>69699.598359713622</v>
      </c>
      <c r="S4" s="29">
        <f t="shared" si="2"/>
        <v>69047.820357390417</v>
      </c>
      <c r="T4" s="29">
        <f t="shared" si="2"/>
        <v>67924.247970269236</v>
      </c>
      <c r="U4" s="29">
        <f t="shared" si="2"/>
        <v>69814.473535915196</v>
      </c>
      <c r="V4" s="29">
        <f t="shared" si="2"/>
        <v>55919.795462378686</v>
      </c>
      <c r="W4" s="29">
        <f t="shared" ref="W4:Y4" si="3">W5+W6+W13</f>
        <v>57756.172061647536</v>
      </c>
      <c r="X4" s="29">
        <f t="shared" si="3"/>
        <v>62841.964279366708</v>
      </c>
      <c r="Y4" s="29">
        <f t="shared" si="3"/>
        <v>66861.552453344309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325.38209076250575</v>
      </c>
      <c r="C5" s="152">
        <f t="shared" si="4"/>
        <v>334.66262501412734</v>
      </c>
      <c r="D5" s="152">
        <f t="shared" si="4"/>
        <v>344.53225198042213</v>
      </c>
      <c r="E5" s="152">
        <f t="shared" si="4"/>
        <v>349.09604644242228</v>
      </c>
      <c r="F5" s="152">
        <f t="shared" si="4"/>
        <v>370.75769346690845</v>
      </c>
      <c r="G5" s="152">
        <f t="shared" si="4"/>
        <v>397.18452355992008</v>
      </c>
      <c r="H5" s="152">
        <f t="shared" si="4"/>
        <v>408.80031941855941</v>
      </c>
      <c r="I5" s="152">
        <f t="shared" si="4"/>
        <v>433.96802777313593</v>
      </c>
      <c r="J5" s="152">
        <f t="shared" si="4"/>
        <v>493.9265289927082</v>
      </c>
      <c r="K5" s="152">
        <f t="shared" si="4"/>
        <v>527.23166735409211</v>
      </c>
      <c r="L5" s="152">
        <f t="shared" ref="L5:L7" si="5">IF(L32=0,0,L32*L142)</f>
        <v>574.17246946836417</v>
      </c>
      <c r="M5" s="152">
        <f t="shared" ref="M5:V5" si="6">IF(M32=0,0,M32*M142)</f>
        <v>608.3377643403943</v>
      </c>
      <c r="N5" s="152">
        <f t="shared" si="6"/>
        <v>658.93726825716044</v>
      </c>
      <c r="O5" s="152">
        <f t="shared" si="6"/>
        <v>700.92386641919472</v>
      </c>
      <c r="P5" s="152">
        <f t="shared" si="6"/>
        <v>740.64084201945604</v>
      </c>
      <c r="Q5" s="152">
        <f t="shared" si="6"/>
        <v>802.75315000730416</v>
      </c>
      <c r="R5" s="152">
        <f t="shared" si="6"/>
        <v>861.87292516142941</v>
      </c>
      <c r="S5" s="152">
        <f t="shared" si="6"/>
        <v>821.41538803863432</v>
      </c>
      <c r="T5" s="152">
        <f t="shared" si="6"/>
        <v>789.99099437229347</v>
      </c>
      <c r="U5" s="152">
        <f t="shared" si="6"/>
        <v>846.36736367121102</v>
      </c>
      <c r="V5" s="152">
        <f t="shared" si="6"/>
        <v>760.75212668955612</v>
      </c>
      <c r="W5" s="152">
        <f t="shared" ref="W5:Y5" si="7">IF(W32=0,0,W32*W142)</f>
        <v>792.71366455554607</v>
      </c>
      <c r="X5" s="152">
        <f t="shared" si="7"/>
        <v>807.43443252988789</v>
      </c>
      <c r="Y5" s="152">
        <f t="shared" si="7"/>
        <v>885.79071128424698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26900</v>
      </c>
      <c r="C6" s="116">
        <f t="shared" si="8"/>
        <v>27900</v>
      </c>
      <c r="D6" s="116">
        <f t="shared" si="8"/>
        <v>29300</v>
      </c>
      <c r="E6" s="116">
        <f t="shared" si="8"/>
        <v>30699.999999999996</v>
      </c>
      <c r="F6" s="116">
        <f t="shared" si="8"/>
        <v>32800</v>
      </c>
      <c r="G6" s="116">
        <f t="shared" si="8"/>
        <v>35100</v>
      </c>
      <c r="H6" s="116">
        <f t="shared" si="8"/>
        <v>37600</v>
      </c>
      <c r="I6" s="116">
        <f t="shared" si="8"/>
        <v>40400</v>
      </c>
      <c r="J6" s="116">
        <f t="shared" si="8"/>
        <v>43199.999999999993</v>
      </c>
      <c r="K6" s="116">
        <f t="shared" si="8"/>
        <v>46300</v>
      </c>
      <c r="L6" s="116">
        <f t="shared" ref="L6" si="9">SUM(L7:L12)</f>
        <v>46899.999999999993</v>
      </c>
      <c r="M6" s="116">
        <f t="shared" ref="M6:V6" si="10">SUM(M7:M12)</f>
        <v>48068.037489384791</v>
      </c>
      <c r="N6" s="116">
        <f t="shared" si="10"/>
        <v>49702.936925862392</v>
      </c>
      <c r="O6" s="116">
        <f t="shared" si="10"/>
        <v>51364.114011617501</v>
      </c>
      <c r="P6" s="116">
        <f t="shared" si="10"/>
        <v>53956.822763753145</v>
      </c>
      <c r="Q6" s="116">
        <f t="shared" si="10"/>
        <v>56846.089338036967</v>
      </c>
      <c r="R6" s="116">
        <f t="shared" si="10"/>
        <v>56627.725434552187</v>
      </c>
      <c r="S6" s="116">
        <f t="shared" si="10"/>
        <v>57673.404969351788</v>
      </c>
      <c r="T6" s="116">
        <f t="shared" si="10"/>
        <v>57248.256975896948</v>
      </c>
      <c r="U6" s="116">
        <f t="shared" si="10"/>
        <v>58133.106172243992</v>
      </c>
      <c r="V6" s="116">
        <f t="shared" si="10"/>
        <v>50122.04333568913</v>
      </c>
      <c r="W6" s="116">
        <f t="shared" ref="W6:Y6" si="11">SUM(W7:W12)</f>
        <v>52013.458397091992</v>
      </c>
      <c r="X6" s="116">
        <f t="shared" si="11"/>
        <v>55294.52984683682</v>
      </c>
      <c r="Y6" s="116">
        <f t="shared" si="11"/>
        <v>59015.761742060058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16392.399081864161</v>
      </c>
      <c r="C7" s="87">
        <f t="shared" si="12"/>
        <v>14566.558317637377</v>
      </c>
      <c r="D7" s="87">
        <f t="shared" si="12"/>
        <v>14842.13925634151</v>
      </c>
      <c r="E7" s="87">
        <f t="shared" si="12"/>
        <v>13662.21749336372</v>
      </c>
      <c r="F7" s="87">
        <f t="shared" si="12"/>
        <v>12099.02373875364</v>
      </c>
      <c r="G7" s="87">
        <f t="shared" si="12"/>
        <v>11298.325045195827</v>
      </c>
      <c r="H7" s="87">
        <f t="shared" si="12"/>
        <v>12078.014389802087</v>
      </c>
      <c r="I7" s="87">
        <f t="shared" si="12"/>
        <v>13028.763268277131</v>
      </c>
      <c r="J7" s="87">
        <f t="shared" si="12"/>
        <v>13044.381542008339</v>
      </c>
      <c r="K7" s="87">
        <f t="shared" si="12"/>
        <v>14349.537488563014</v>
      </c>
      <c r="L7" s="87">
        <f t="shared" si="5"/>
        <v>13640.372185843074</v>
      </c>
      <c r="M7" s="87">
        <f t="shared" ref="M7:V7" si="13">IF(M34=0,0,M34*M144)</f>
        <v>13061.679583653875</v>
      </c>
      <c r="N7" s="87">
        <f t="shared" si="13"/>
        <v>11966.683162173993</v>
      </c>
      <c r="O7" s="87">
        <f t="shared" si="13"/>
        <v>11775.649749644823</v>
      </c>
      <c r="P7" s="87">
        <f t="shared" si="13"/>
        <v>11976.902821407444</v>
      </c>
      <c r="Q7" s="87">
        <f t="shared" si="13"/>
        <v>11781.757133863479</v>
      </c>
      <c r="R7" s="87">
        <f t="shared" si="13"/>
        <v>11218.203615792621</v>
      </c>
      <c r="S7" s="87">
        <f t="shared" si="13"/>
        <v>11657.991055112498</v>
      </c>
      <c r="T7" s="87">
        <f t="shared" si="13"/>
        <v>11023.591294040398</v>
      </c>
      <c r="U7" s="87">
        <f t="shared" si="13"/>
        <v>10905.184799900411</v>
      </c>
      <c r="V7" s="87">
        <f t="shared" si="13"/>
        <v>9500.3206624010018</v>
      </c>
      <c r="W7" s="87">
        <f t="shared" ref="W7:Y7" si="14">IF(W34=0,0,W34*W144)</f>
        <v>9779.5171463573442</v>
      </c>
      <c r="X7" s="87">
        <f t="shared" si="14"/>
        <v>10583.029763127908</v>
      </c>
      <c r="Y7" s="87">
        <f t="shared" si="14"/>
        <v>11005.796567991998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5501.7799436494497</v>
      </c>
      <c r="C8" s="87">
        <f t="shared" si="15"/>
        <v>6780.2423316895511</v>
      </c>
      <c r="D8" s="87">
        <f t="shared" si="15"/>
        <v>6935.7590083101895</v>
      </c>
      <c r="E8" s="87">
        <f t="shared" si="15"/>
        <v>9271.3138748135498</v>
      </c>
      <c r="F8" s="87">
        <f t="shared" si="15"/>
        <v>12535.077630852349</v>
      </c>
      <c r="G8" s="87">
        <f t="shared" si="15"/>
        <v>13909.430054019103</v>
      </c>
      <c r="H8" s="87">
        <f t="shared" si="15"/>
        <v>14891.164548356177</v>
      </c>
      <c r="I8" s="87">
        <f t="shared" si="15"/>
        <v>17096.464446728489</v>
      </c>
      <c r="J8" s="87">
        <f t="shared" si="15"/>
        <v>20136.113887287687</v>
      </c>
      <c r="K8" s="87">
        <f t="shared" si="15"/>
        <v>21400.03972414037</v>
      </c>
      <c r="L8" s="87">
        <f t="shared" ref="L8" si="16">IF(L35=0,0,L35*L145)</f>
        <v>22111.826788757131</v>
      </c>
      <c r="M8" s="87">
        <f t="shared" ref="M8:V8" si="17">IF(M35=0,0,M35*M145)</f>
        <v>24889.052419753727</v>
      </c>
      <c r="N8" s="87">
        <f t="shared" si="17"/>
        <v>27085.082309653684</v>
      </c>
      <c r="O8" s="87">
        <f t="shared" si="17"/>
        <v>28242.651131697927</v>
      </c>
      <c r="P8" s="87">
        <f t="shared" si="17"/>
        <v>29134.649289861954</v>
      </c>
      <c r="Q8" s="87">
        <f t="shared" si="17"/>
        <v>31586.856770542625</v>
      </c>
      <c r="R8" s="87">
        <f t="shared" si="17"/>
        <v>31571.49772262929</v>
      </c>
      <c r="S8" s="87">
        <f t="shared" si="17"/>
        <v>32452.039768768776</v>
      </c>
      <c r="T8" s="87">
        <f t="shared" si="17"/>
        <v>33670.90847222376</v>
      </c>
      <c r="U8" s="87">
        <f t="shared" si="17"/>
        <v>35149.328993966657</v>
      </c>
      <c r="V8" s="87">
        <f t="shared" si="17"/>
        <v>30722.894053292337</v>
      </c>
      <c r="W8" s="87">
        <f t="shared" ref="W8:Y8" si="18">IF(W35=0,0,W35*W145)</f>
        <v>32717.748983402027</v>
      </c>
      <c r="X8" s="87">
        <f t="shared" si="18"/>
        <v>35164.751396757449</v>
      </c>
      <c r="Y8" s="87">
        <f t="shared" si="18"/>
        <v>38109.157301915329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5005.820974486388</v>
      </c>
      <c r="C9" s="87">
        <f t="shared" si="19"/>
        <v>6553.1993506730742</v>
      </c>
      <c r="D9" s="87">
        <f t="shared" si="19"/>
        <v>7522.1017353482985</v>
      </c>
      <c r="E9" s="87">
        <f t="shared" si="19"/>
        <v>7766.4686318227295</v>
      </c>
      <c r="F9" s="87">
        <f t="shared" si="19"/>
        <v>8081.1238228530683</v>
      </c>
      <c r="G9" s="87">
        <f t="shared" si="19"/>
        <v>9594.7767173398533</v>
      </c>
      <c r="H9" s="87">
        <f t="shared" si="19"/>
        <v>10270.16926919513</v>
      </c>
      <c r="I9" s="87">
        <f t="shared" si="19"/>
        <v>9718.8735503801945</v>
      </c>
      <c r="J9" s="87">
        <f t="shared" si="19"/>
        <v>9502.6160299799594</v>
      </c>
      <c r="K9" s="87">
        <f t="shared" si="19"/>
        <v>9796.2020137623658</v>
      </c>
      <c r="L9" s="87">
        <f t="shared" ref="L9" si="20">IF(L36=0,0,L36*L146)</f>
        <v>10019.637015660704</v>
      </c>
      <c r="M9" s="87">
        <f t="shared" ref="M9:V9" si="21">IF(M36=0,0,M36*M146)</f>
        <v>9076.1551985207352</v>
      </c>
      <c r="N9" s="87">
        <f t="shared" si="21"/>
        <v>9546.1000259522116</v>
      </c>
      <c r="O9" s="87">
        <f t="shared" si="21"/>
        <v>10135.878577174419</v>
      </c>
      <c r="P9" s="87">
        <f t="shared" si="21"/>
        <v>11170.383370294276</v>
      </c>
      <c r="Q9" s="87">
        <f t="shared" si="21"/>
        <v>12063.538070661478</v>
      </c>
      <c r="R9" s="87">
        <f t="shared" si="21"/>
        <v>12545.578159174944</v>
      </c>
      <c r="S9" s="87">
        <f t="shared" si="21"/>
        <v>12237.699577426969</v>
      </c>
      <c r="T9" s="87">
        <f t="shared" si="21"/>
        <v>11194.767876567219</v>
      </c>
      <c r="U9" s="87">
        <f t="shared" si="21"/>
        <v>10644.299354819692</v>
      </c>
      <c r="V9" s="87">
        <f t="shared" si="21"/>
        <v>8582.0900137293011</v>
      </c>
      <c r="W9" s="87">
        <f t="shared" ref="W9:Y9" si="22">IF(W36=0,0,W36*W146)</f>
        <v>8275.1027597526027</v>
      </c>
      <c r="X9" s="87">
        <f t="shared" si="22"/>
        <v>8541.878868615142</v>
      </c>
      <c r="Y9" s="87">
        <f t="shared" si="22"/>
        <v>8892.4226498976495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84.774807540945133</v>
      </c>
      <c r="G10" s="87">
        <f t="shared" si="23"/>
        <v>297.46818344521768</v>
      </c>
      <c r="H10" s="87">
        <f t="shared" si="23"/>
        <v>360.65179264660765</v>
      </c>
      <c r="I10" s="87">
        <f t="shared" si="23"/>
        <v>555.89873461418654</v>
      </c>
      <c r="J10" s="87">
        <f t="shared" si="23"/>
        <v>516.88854072401114</v>
      </c>
      <c r="K10" s="87">
        <f t="shared" si="23"/>
        <v>754.22077353425129</v>
      </c>
      <c r="L10" s="87">
        <f t="shared" ref="L10" si="24">IF(L37=0,0,L37*L147)</f>
        <v>1128.1640097390848</v>
      </c>
      <c r="M10" s="87">
        <f t="shared" ref="M10:V10" si="25">IF(M37=0,0,M37*M147)</f>
        <v>1041.1502874564537</v>
      </c>
      <c r="N10" s="87">
        <f t="shared" si="25"/>
        <v>1105.0021238230463</v>
      </c>
      <c r="O10" s="87">
        <f t="shared" si="25"/>
        <v>1209.8718381092503</v>
      </c>
      <c r="P10" s="87">
        <f t="shared" si="25"/>
        <v>1674.780056487956</v>
      </c>
      <c r="Q10" s="87">
        <f t="shared" si="25"/>
        <v>1413.4879167418192</v>
      </c>
      <c r="R10" s="87">
        <f t="shared" si="25"/>
        <v>1291.0967624673183</v>
      </c>
      <c r="S10" s="87">
        <f t="shared" si="25"/>
        <v>1320.8516196114842</v>
      </c>
      <c r="T10" s="87">
        <f t="shared" si="25"/>
        <v>1347.2272952933424</v>
      </c>
      <c r="U10" s="87">
        <f t="shared" si="25"/>
        <v>1409.9130651886489</v>
      </c>
      <c r="V10" s="87">
        <f t="shared" si="25"/>
        <v>1282.9424162408745</v>
      </c>
      <c r="W10" s="87">
        <f t="shared" ref="W10:Y10" si="26">IF(W37=0,0,W37*W147)</f>
        <v>1178.1351655775893</v>
      </c>
      <c r="X10" s="87">
        <f t="shared" si="26"/>
        <v>916.27434778143652</v>
      </c>
      <c r="Y10" s="87">
        <f t="shared" si="26"/>
        <v>896.98277822556918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6.9304259461075254E-2</v>
      </c>
      <c r="O11" s="87">
        <f t="shared" si="29"/>
        <v>6.2714991080030216E-2</v>
      </c>
      <c r="P11" s="87">
        <f t="shared" si="29"/>
        <v>0.10722570150855087</v>
      </c>
      <c r="Q11" s="87">
        <f t="shared" si="29"/>
        <v>0.44944622756535113</v>
      </c>
      <c r="R11" s="87">
        <f t="shared" si="29"/>
        <v>0.74143826098910792</v>
      </c>
      <c r="S11" s="87">
        <f t="shared" si="29"/>
        <v>2.5615912314471649</v>
      </c>
      <c r="T11" s="87">
        <f t="shared" si="29"/>
        <v>4.7945301753351766</v>
      </c>
      <c r="U11" s="87">
        <f t="shared" si="29"/>
        <v>12.921841054814378</v>
      </c>
      <c r="V11" s="87">
        <f t="shared" si="29"/>
        <v>15.980464740277334</v>
      </c>
      <c r="W11" s="87">
        <f t="shared" ref="W11:Y11" si="30">IF(W38=0,0,W38*W148)</f>
        <v>22.702557622595776</v>
      </c>
      <c r="X11" s="87">
        <f t="shared" si="30"/>
        <v>34.988674198312545</v>
      </c>
      <c r="Y11" s="87">
        <f t="shared" si="30"/>
        <v>43.984077559535059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0</v>
      </c>
      <c r="P12" s="87">
        <f t="shared" si="33"/>
        <v>0</v>
      </c>
      <c r="Q12" s="87">
        <f t="shared" si="33"/>
        <v>0</v>
      </c>
      <c r="R12" s="87">
        <f t="shared" si="33"/>
        <v>0.60773622702470476</v>
      </c>
      <c r="S12" s="87">
        <f t="shared" si="33"/>
        <v>2.2613572006171241</v>
      </c>
      <c r="T12" s="87">
        <f t="shared" si="33"/>
        <v>6.9675075969013083</v>
      </c>
      <c r="U12" s="87">
        <f t="shared" si="33"/>
        <v>11.458117313769611</v>
      </c>
      <c r="V12" s="87">
        <f t="shared" si="33"/>
        <v>17.815725285343362</v>
      </c>
      <c r="W12" s="87">
        <f t="shared" ref="W12:Y12" si="34">IF(W39=0,0,W39*W149)</f>
        <v>40.251784379833545</v>
      </c>
      <c r="X12" s="87">
        <f t="shared" si="34"/>
        <v>53.606796356570683</v>
      </c>
      <c r="Y12" s="87">
        <f t="shared" si="34"/>
        <v>67.418366469972739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14587</v>
      </c>
      <c r="C13" s="116">
        <f t="shared" si="35"/>
        <v>14963</v>
      </c>
      <c r="D13" s="116">
        <f t="shared" si="35"/>
        <v>16985</v>
      </c>
      <c r="E13" s="116">
        <f t="shared" si="35"/>
        <v>14400</v>
      </c>
      <c r="F13" s="116">
        <f t="shared" si="35"/>
        <v>13029</v>
      </c>
      <c r="G13" s="116">
        <f t="shared" si="35"/>
        <v>13688</v>
      </c>
      <c r="H13" s="116">
        <f t="shared" si="35"/>
        <v>12942</v>
      </c>
      <c r="I13" s="116">
        <f t="shared" si="35"/>
        <v>13571</v>
      </c>
      <c r="J13" s="116">
        <f t="shared" si="35"/>
        <v>13839</v>
      </c>
      <c r="K13" s="116">
        <f t="shared" si="35"/>
        <v>10451</v>
      </c>
      <c r="L13" s="116">
        <f t="shared" ref="L13" si="36">SUM(L14:L18)</f>
        <v>10613</v>
      </c>
      <c r="M13" s="116">
        <f t="shared" ref="M13:V13" si="37">SUM(M14:M18)</f>
        <v>10843</v>
      </c>
      <c r="N13" s="116">
        <f t="shared" si="37"/>
        <v>10482.000000000002</v>
      </c>
      <c r="O13" s="116">
        <f t="shared" si="37"/>
        <v>10317</v>
      </c>
      <c r="P13" s="116">
        <f t="shared" si="37"/>
        <v>11477</v>
      </c>
      <c r="Q13" s="116">
        <f t="shared" si="37"/>
        <v>12507.999999999998</v>
      </c>
      <c r="R13" s="116">
        <f t="shared" si="37"/>
        <v>12210</v>
      </c>
      <c r="S13" s="116">
        <f t="shared" si="37"/>
        <v>10553</v>
      </c>
      <c r="T13" s="116">
        <f t="shared" si="37"/>
        <v>9886</v>
      </c>
      <c r="U13" s="116">
        <f t="shared" si="37"/>
        <v>10835</v>
      </c>
      <c r="V13" s="116">
        <f t="shared" si="37"/>
        <v>5036.9999999999991</v>
      </c>
      <c r="W13" s="116">
        <f t="shared" ref="W13:Y13" si="38">SUM(W14:W18)</f>
        <v>4950</v>
      </c>
      <c r="X13" s="116">
        <f t="shared" si="38"/>
        <v>6740</v>
      </c>
      <c r="Y13" s="116">
        <f t="shared" si="38"/>
        <v>6960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289.7992957631925</v>
      </c>
      <c r="S14" s="101">
        <f t="shared" si="41"/>
        <v>268.89459841265358</v>
      </c>
      <c r="T14" s="101">
        <f t="shared" si="41"/>
        <v>253.0378880557308</v>
      </c>
      <c r="U14" s="101">
        <f t="shared" si="41"/>
        <v>272.87585613188043</v>
      </c>
      <c r="V14" s="101">
        <f t="shared" si="41"/>
        <v>178.01723875482304</v>
      </c>
      <c r="W14" s="101">
        <f t="shared" ref="W14:Y14" si="42">IF(W41=0,0,W41*W151)</f>
        <v>167.1783990536519</v>
      </c>
      <c r="X14" s="101">
        <f t="shared" si="42"/>
        <v>158.79369394527779</v>
      </c>
      <c r="Y14" s="101">
        <f t="shared" si="42"/>
        <v>146.73123926422042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14587</v>
      </c>
      <c r="C15" s="101">
        <f t="shared" si="43"/>
        <v>14963</v>
      </c>
      <c r="D15" s="101">
        <f t="shared" si="43"/>
        <v>16985</v>
      </c>
      <c r="E15" s="101">
        <f t="shared" si="43"/>
        <v>14400</v>
      </c>
      <c r="F15" s="101">
        <f t="shared" si="43"/>
        <v>12940.394716537448</v>
      </c>
      <c r="G15" s="101">
        <f t="shared" si="43"/>
        <v>13486.562877113869</v>
      </c>
      <c r="H15" s="101">
        <f t="shared" si="43"/>
        <v>12583.270067294117</v>
      </c>
      <c r="I15" s="101">
        <f t="shared" si="43"/>
        <v>13024.8749654899</v>
      </c>
      <c r="J15" s="101">
        <f t="shared" si="43"/>
        <v>13229.706657251063</v>
      </c>
      <c r="K15" s="101">
        <f t="shared" si="43"/>
        <v>9796.5177402047411</v>
      </c>
      <c r="L15" s="101">
        <f t="shared" ref="L15" si="44">IF(L42=0,0,L42*L152)</f>
        <v>9646.2821073960386</v>
      </c>
      <c r="M15" s="101">
        <f t="shared" ref="M15:V15" si="45">IF(M42=0,0,M42*M152)</f>
        <v>9902.7277185860003</v>
      </c>
      <c r="N15" s="101">
        <f t="shared" si="45"/>
        <v>9557.1488447427546</v>
      </c>
      <c r="O15" s="101">
        <f t="shared" si="45"/>
        <v>8538.1443861003318</v>
      </c>
      <c r="P15" s="101">
        <f t="shared" si="45"/>
        <v>9310.5348916959592</v>
      </c>
      <c r="Q15" s="101">
        <f t="shared" si="45"/>
        <v>10304.291067730675</v>
      </c>
      <c r="R15" s="101">
        <f t="shared" si="45"/>
        <v>9826.3436217539056</v>
      </c>
      <c r="S15" s="101">
        <f t="shared" si="45"/>
        <v>8303.6308811800754</v>
      </c>
      <c r="T15" s="101">
        <f t="shared" si="45"/>
        <v>7680.4137605302067</v>
      </c>
      <c r="U15" s="101">
        <f t="shared" si="45"/>
        <v>8257.158413340745</v>
      </c>
      <c r="V15" s="101">
        <f t="shared" si="45"/>
        <v>3786.6560375635067</v>
      </c>
      <c r="W15" s="101">
        <f t="shared" ref="W15:Y15" si="46">IF(W42=0,0,W42*W152)</f>
        <v>3627.0466434147907</v>
      </c>
      <c r="X15" s="101">
        <f t="shared" si="46"/>
        <v>5410.3500537671189</v>
      </c>
      <c r="Y15" s="101">
        <f t="shared" si="46"/>
        <v>5825.4858625540146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27.671063717063607</v>
      </c>
      <c r="S16" s="101">
        <f t="shared" si="49"/>
        <v>25.805018810409166</v>
      </c>
      <c r="T16" s="101">
        <f t="shared" si="49"/>
        <v>26.816874769696273</v>
      </c>
      <c r="U16" s="101">
        <f t="shared" si="49"/>
        <v>29.211042917215188</v>
      </c>
      <c r="V16" s="101">
        <f t="shared" si="49"/>
        <v>3.994822466559925</v>
      </c>
      <c r="W16" s="101">
        <f t="shared" ref="W16:Y16" si="50">IF(W43=0,0,W43*W153)</f>
        <v>10.257531512695502</v>
      </c>
      <c r="X16" s="101">
        <f t="shared" si="50"/>
        <v>12.911169145305303</v>
      </c>
      <c r="Y16" s="101">
        <f t="shared" si="50"/>
        <v>11.351817019451707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88.605283462551853</v>
      </c>
      <c r="G17" s="101">
        <f t="shared" si="51"/>
        <v>201.4371228861317</v>
      </c>
      <c r="H17" s="101">
        <f t="shared" si="51"/>
        <v>358.72993270588182</v>
      </c>
      <c r="I17" s="101">
        <f t="shared" si="51"/>
        <v>546.12503451009979</v>
      </c>
      <c r="J17" s="101">
        <f t="shared" si="51"/>
        <v>600.762737577027</v>
      </c>
      <c r="K17" s="101">
        <f t="shared" si="51"/>
        <v>637.43265207013667</v>
      </c>
      <c r="L17" s="101">
        <f t="shared" ref="L17" si="52">IF(L44=0,0,L44*L154)</f>
        <v>929.27931424341966</v>
      </c>
      <c r="M17" s="101">
        <f t="shared" ref="M17:V17" si="53">IF(M44=0,0,M44*M154)</f>
        <v>901.99209912760784</v>
      </c>
      <c r="N17" s="101">
        <f t="shared" si="53"/>
        <v>881.41241340539045</v>
      </c>
      <c r="O17" s="101">
        <f t="shared" si="53"/>
        <v>1432.5434522022592</v>
      </c>
      <c r="P17" s="101">
        <f t="shared" si="53"/>
        <v>1676.181214567933</v>
      </c>
      <c r="Q17" s="101">
        <f t="shared" si="53"/>
        <v>1660.3391805960114</v>
      </c>
      <c r="R17" s="101">
        <f t="shared" si="53"/>
        <v>1480.5259017655565</v>
      </c>
      <c r="S17" s="101">
        <f t="shared" si="53"/>
        <v>1422.7979431362878</v>
      </c>
      <c r="T17" s="101">
        <f t="shared" si="53"/>
        <v>1437.4980074879347</v>
      </c>
      <c r="U17" s="101">
        <f t="shared" si="53"/>
        <v>1773.432702167245</v>
      </c>
      <c r="V17" s="101">
        <f t="shared" si="53"/>
        <v>849.21146852014044</v>
      </c>
      <c r="W17" s="101">
        <f t="shared" ref="W17:Y17" si="54">IF(W44=0,0,W44*W154)</f>
        <v>905.55185672581615</v>
      </c>
      <c r="X17" s="101">
        <f t="shared" si="54"/>
        <v>842.23106773378322</v>
      </c>
      <c r="Y17" s="101">
        <f t="shared" si="54"/>
        <v>590.00445808416612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8.5306051719099862</v>
      </c>
      <c r="K18" s="101">
        <f t="shared" si="55"/>
        <v>17.049607725122765</v>
      </c>
      <c r="L18" s="101">
        <f t="shared" ref="L18" si="56">IF(L45=0,0,L45*L155)</f>
        <v>37.438578360541555</v>
      </c>
      <c r="M18" s="101">
        <f t="shared" ref="M18:V18" si="57">IF(M45=0,0,M45*M155)</f>
        <v>38.280182286391891</v>
      </c>
      <c r="N18" s="101">
        <f t="shared" si="57"/>
        <v>43.438741851855603</v>
      </c>
      <c r="O18" s="101">
        <f t="shared" si="57"/>
        <v>346.31216169740935</v>
      </c>
      <c r="P18" s="101">
        <f t="shared" si="57"/>
        <v>490.2838937361077</v>
      </c>
      <c r="Q18" s="101">
        <f t="shared" si="57"/>
        <v>543.36975167331218</v>
      </c>
      <c r="R18" s="101">
        <f t="shared" si="57"/>
        <v>585.66011700028139</v>
      </c>
      <c r="S18" s="101">
        <f t="shared" si="57"/>
        <v>531.87155846057408</v>
      </c>
      <c r="T18" s="101">
        <f t="shared" si="57"/>
        <v>488.23346915643191</v>
      </c>
      <c r="U18" s="101">
        <f t="shared" si="57"/>
        <v>502.32198544291356</v>
      </c>
      <c r="V18" s="101">
        <f t="shared" si="57"/>
        <v>219.12043269496911</v>
      </c>
      <c r="W18" s="101">
        <f t="shared" ref="W18:Y18" si="58">IF(W45=0,0,W45*W155)</f>
        <v>239.96556929304586</v>
      </c>
      <c r="X18" s="101">
        <f t="shared" si="58"/>
        <v>315.71401540851531</v>
      </c>
      <c r="Y18" s="101">
        <f t="shared" si="58"/>
        <v>386.42662307814703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7779.6002097903211</v>
      </c>
      <c r="C19" s="29">
        <f t="shared" si="59"/>
        <v>8317.389504658704</v>
      </c>
      <c r="D19" s="29">
        <f t="shared" si="59"/>
        <v>9216.2725944624199</v>
      </c>
      <c r="E19" s="29">
        <f t="shared" si="59"/>
        <v>9990.1980992718145</v>
      </c>
      <c r="F19" s="29">
        <f t="shared" si="59"/>
        <v>10895.235107528963</v>
      </c>
      <c r="G19" s="29">
        <f t="shared" si="59"/>
        <v>11507.375903218863</v>
      </c>
      <c r="H19" s="29">
        <f t="shared" si="59"/>
        <v>11543.06884487378</v>
      </c>
      <c r="I19" s="29">
        <f t="shared" si="59"/>
        <v>11081.369967176328</v>
      </c>
      <c r="J19" s="29">
        <f t="shared" si="59"/>
        <v>10464.992473694654</v>
      </c>
      <c r="K19" s="29">
        <f t="shared" si="59"/>
        <v>9452.3504960245336</v>
      </c>
      <c r="L19" s="29">
        <f t="shared" ref="L19" si="60">L20+L26</f>
        <v>9596.0506654966539</v>
      </c>
      <c r="M19" s="29">
        <f t="shared" ref="M19:V19" si="61">M20+M26</f>
        <v>10509.117570757111</v>
      </c>
      <c r="N19" s="29">
        <f t="shared" si="61"/>
        <v>10088.879077327383</v>
      </c>
      <c r="O19" s="29">
        <f t="shared" si="61"/>
        <v>11779.564090677584</v>
      </c>
      <c r="P19" s="29">
        <f t="shared" si="61"/>
        <v>11203.316321846194</v>
      </c>
      <c r="Q19" s="29">
        <f t="shared" si="61"/>
        <v>12135.138742865656</v>
      </c>
      <c r="R19" s="29">
        <f t="shared" si="61"/>
        <v>12120.012267216551</v>
      </c>
      <c r="S19" s="29">
        <f t="shared" si="61"/>
        <v>12839.515364847259</v>
      </c>
      <c r="T19" s="29">
        <f t="shared" si="61"/>
        <v>11942.343509853734</v>
      </c>
      <c r="U19" s="29">
        <f t="shared" si="61"/>
        <v>9481.6700822808671</v>
      </c>
      <c r="V19" s="29">
        <f t="shared" si="61"/>
        <v>11743.829475928002</v>
      </c>
      <c r="W19" s="29">
        <f t="shared" ref="W19:Y19" si="62">W20+W26</f>
        <v>13975.166254960841</v>
      </c>
      <c r="X19" s="29">
        <f t="shared" si="62"/>
        <v>14469.937874469113</v>
      </c>
      <c r="Y19" s="29">
        <f t="shared" si="62"/>
        <v>15559.278666941951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416.1826622779837</v>
      </c>
      <c r="C20" s="152">
        <f t="shared" si="63"/>
        <v>398.58615862042979</v>
      </c>
      <c r="D20" s="152">
        <f t="shared" si="63"/>
        <v>404.64820807779017</v>
      </c>
      <c r="E20" s="152">
        <f t="shared" si="63"/>
        <v>444.91711706399178</v>
      </c>
      <c r="F20" s="152">
        <f t="shared" si="63"/>
        <v>526.93187778224512</v>
      </c>
      <c r="G20" s="152">
        <f t="shared" si="63"/>
        <v>500.34009269146514</v>
      </c>
      <c r="H20" s="152">
        <f t="shared" si="63"/>
        <v>570.19626859859738</v>
      </c>
      <c r="I20" s="152">
        <f t="shared" si="63"/>
        <v>641.5822122778668</v>
      </c>
      <c r="J20" s="152">
        <f t="shared" si="63"/>
        <v>696.01189558660178</v>
      </c>
      <c r="K20" s="152">
        <f t="shared" si="63"/>
        <v>705.81536894222324</v>
      </c>
      <c r="L20" s="152">
        <f t="shared" ref="L20" si="64">SUM(L21:L25)</f>
        <v>701.90327886725333</v>
      </c>
      <c r="M20" s="152">
        <f t="shared" ref="M20:V20" si="65">SUM(M21:M25)</f>
        <v>779.93801333314184</v>
      </c>
      <c r="N20" s="152">
        <f t="shared" si="65"/>
        <v>821.61135758004252</v>
      </c>
      <c r="O20" s="152">
        <f t="shared" si="65"/>
        <v>824.50687664035922</v>
      </c>
      <c r="P20" s="152">
        <f t="shared" si="65"/>
        <v>860.33517432270833</v>
      </c>
      <c r="Q20" s="152">
        <f t="shared" si="65"/>
        <v>956.3247236757361</v>
      </c>
      <c r="R20" s="152">
        <f t="shared" si="65"/>
        <v>945.61226984154075</v>
      </c>
      <c r="S20" s="152">
        <f t="shared" si="65"/>
        <v>803.66762342849643</v>
      </c>
      <c r="T20" s="152">
        <f t="shared" si="65"/>
        <v>799.34350985373408</v>
      </c>
      <c r="U20" s="152">
        <f t="shared" si="65"/>
        <v>775.67008228086615</v>
      </c>
      <c r="V20" s="152">
        <f t="shared" si="65"/>
        <v>738.82947592800122</v>
      </c>
      <c r="W20" s="152">
        <f t="shared" ref="W20:Y20" si="66">SUM(W21:W25)</f>
        <v>700.16625496084146</v>
      </c>
      <c r="X20" s="152">
        <f t="shared" si="66"/>
        <v>644.93787446911256</v>
      </c>
      <c r="Y20" s="152">
        <f t="shared" si="66"/>
        <v>585.27866694195166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61.090366941375663</v>
      </c>
      <c r="C21" s="87">
        <f t="shared" si="67"/>
        <v>62.510901791607033</v>
      </c>
      <c r="D21" s="87">
        <f t="shared" si="67"/>
        <v>64.089814937172292</v>
      </c>
      <c r="E21" s="87">
        <f t="shared" si="67"/>
        <v>65.855003814206356</v>
      </c>
      <c r="F21" s="87">
        <f t="shared" si="67"/>
        <v>67.544826278967122</v>
      </c>
      <c r="G21" s="87">
        <f t="shared" si="67"/>
        <v>62.344940378499793</v>
      </c>
      <c r="H21" s="87">
        <f t="shared" si="67"/>
        <v>55.212412271047782</v>
      </c>
      <c r="I21" s="87">
        <f t="shared" si="67"/>
        <v>48.404454408407517</v>
      </c>
      <c r="J21" s="87">
        <f t="shared" si="67"/>
        <v>42.309045227705965</v>
      </c>
      <c r="K21" s="87">
        <f t="shared" si="67"/>
        <v>35.894374774148211</v>
      </c>
      <c r="L21" s="87">
        <f t="shared" ref="L21" si="68">IF(L48=0,0,L48*L158)</f>
        <v>27.852895996485586</v>
      </c>
      <c r="M21" s="87">
        <f t="shared" ref="M21:V21" si="69">IF(M48=0,0,M48*M158)</f>
        <v>30.446300799847375</v>
      </c>
      <c r="N21" s="87">
        <f t="shared" si="69"/>
        <v>29.448622239557793</v>
      </c>
      <c r="O21" s="87">
        <f t="shared" si="69"/>
        <v>27.89006992362944</v>
      </c>
      <c r="P21" s="87">
        <f t="shared" si="69"/>
        <v>26.750029078352107</v>
      </c>
      <c r="Q21" s="87">
        <f t="shared" si="69"/>
        <v>33.15142631064127</v>
      </c>
      <c r="R21" s="87">
        <f t="shared" si="69"/>
        <v>33.978205400610101</v>
      </c>
      <c r="S21" s="87">
        <f t="shared" si="69"/>
        <v>34.537320270247307</v>
      </c>
      <c r="T21" s="87">
        <f t="shared" si="69"/>
        <v>36.297771875999871</v>
      </c>
      <c r="U21" s="87">
        <f t="shared" si="69"/>
        <v>36.256858105875438</v>
      </c>
      <c r="V21" s="87">
        <f t="shared" si="69"/>
        <v>35.716309018166243</v>
      </c>
      <c r="W21" s="87">
        <f t="shared" ref="W21:Y21" si="70">IF(W48=0,0,W48*W158)</f>
        <v>35.01660154631832</v>
      </c>
      <c r="X21" s="87">
        <f t="shared" si="70"/>
        <v>33.741714434332899</v>
      </c>
      <c r="Y21" s="87">
        <f t="shared" si="70"/>
        <v>32.654286745946237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355.092295336608</v>
      </c>
      <c r="C22" s="87">
        <f t="shared" si="71"/>
        <v>336.07525682882277</v>
      </c>
      <c r="D22" s="87">
        <f t="shared" si="71"/>
        <v>340.55839314061791</v>
      </c>
      <c r="E22" s="87">
        <f t="shared" si="71"/>
        <v>379.0621132497854</v>
      </c>
      <c r="F22" s="87">
        <f t="shared" si="71"/>
        <v>459.38705150327797</v>
      </c>
      <c r="G22" s="87">
        <f t="shared" si="71"/>
        <v>437.99515231296533</v>
      </c>
      <c r="H22" s="87">
        <f t="shared" si="71"/>
        <v>514.98385632754957</v>
      </c>
      <c r="I22" s="87">
        <f t="shared" si="71"/>
        <v>593.17775786945924</v>
      </c>
      <c r="J22" s="87">
        <f t="shared" si="71"/>
        <v>653.70285035889583</v>
      </c>
      <c r="K22" s="87">
        <f t="shared" si="71"/>
        <v>669.92099416807503</v>
      </c>
      <c r="L22" s="87">
        <f t="shared" ref="L22" si="72">IF(L49=0,0,L49*L159)</f>
        <v>674.05038287076775</v>
      </c>
      <c r="M22" s="87">
        <f t="shared" ref="M22:V22" si="73">IF(M49=0,0,M49*M159)</f>
        <v>749.4917125332945</v>
      </c>
      <c r="N22" s="87">
        <f t="shared" si="73"/>
        <v>792.09271817983119</v>
      </c>
      <c r="O22" s="87">
        <f t="shared" si="73"/>
        <v>796.54453196506154</v>
      </c>
      <c r="P22" s="87">
        <f t="shared" si="73"/>
        <v>833.51058863190894</v>
      </c>
      <c r="Q22" s="87">
        <f t="shared" si="73"/>
        <v>923.07887635293071</v>
      </c>
      <c r="R22" s="87">
        <f t="shared" si="73"/>
        <v>911.50685000378257</v>
      </c>
      <c r="S22" s="87">
        <f t="shared" si="73"/>
        <v>768.9900448848349</v>
      </c>
      <c r="T22" s="87">
        <f t="shared" si="73"/>
        <v>762.87717916172346</v>
      </c>
      <c r="U22" s="87">
        <f t="shared" si="73"/>
        <v>739.18361862976167</v>
      </c>
      <c r="V22" s="87">
        <f t="shared" si="73"/>
        <v>702.85912636054798</v>
      </c>
      <c r="W22" s="87">
        <f t="shared" ref="W22:Y22" si="74">IF(W49=0,0,W49*W159)</f>
        <v>664.87251546822517</v>
      </c>
      <c r="X22" s="87">
        <f t="shared" si="74"/>
        <v>610.91057138877045</v>
      </c>
      <c r="Y22" s="87">
        <f t="shared" si="74"/>
        <v>552.03196510861164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7.0017160653449345E-2</v>
      </c>
      <c r="O25" s="87">
        <f t="shared" si="85"/>
        <v>7.2274751668221712E-2</v>
      </c>
      <c r="P25" s="87">
        <f t="shared" si="85"/>
        <v>7.4556612447332624E-2</v>
      </c>
      <c r="Q25" s="87">
        <f t="shared" si="85"/>
        <v>9.4421012164198612E-2</v>
      </c>
      <c r="R25" s="87">
        <f t="shared" si="85"/>
        <v>0.12721443714801958</v>
      </c>
      <c r="S25" s="87">
        <f t="shared" si="85"/>
        <v>0.14025827341427988</v>
      </c>
      <c r="T25" s="87">
        <f t="shared" si="85"/>
        <v>0.1685588160107446</v>
      </c>
      <c r="U25" s="87">
        <f t="shared" si="85"/>
        <v>0.22960554522907312</v>
      </c>
      <c r="V25" s="87">
        <f t="shared" si="85"/>
        <v>0.25404054928692266</v>
      </c>
      <c r="W25" s="87">
        <f t="shared" ref="W25:Y25" si="86">IF(W52=0,0,W52*W162)</f>
        <v>0.27713794629795852</v>
      </c>
      <c r="X25" s="87">
        <f t="shared" si="86"/>
        <v>0.28558864600921152</v>
      </c>
      <c r="Y25" s="87">
        <f t="shared" si="86"/>
        <v>0.59241508739371096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7363.4175475123375</v>
      </c>
      <c r="C26" s="116">
        <f t="shared" si="87"/>
        <v>7918.803346038274</v>
      </c>
      <c r="D26" s="116">
        <f t="shared" si="87"/>
        <v>8811.6243863846303</v>
      </c>
      <c r="E26" s="116">
        <f t="shared" si="87"/>
        <v>9545.2809822078234</v>
      </c>
      <c r="F26" s="116">
        <f t="shared" si="87"/>
        <v>10368.303229746718</v>
      </c>
      <c r="G26" s="116">
        <f t="shared" si="87"/>
        <v>11007.035810527397</v>
      </c>
      <c r="H26" s="116">
        <f t="shared" si="87"/>
        <v>10972.872576275182</v>
      </c>
      <c r="I26" s="116">
        <f t="shared" si="87"/>
        <v>10439.787754898462</v>
      </c>
      <c r="J26" s="116">
        <f t="shared" si="87"/>
        <v>9768.9805781080522</v>
      </c>
      <c r="K26" s="116">
        <f t="shared" si="87"/>
        <v>8746.5351270823103</v>
      </c>
      <c r="L26" s="116">
        <f t="shared" ref="L26" si="88">SUM(L27:L28)</f>
        <v>8894.1473866294</v>
      </c>
      <c r="M26" s="116">
        <f t="shared" ref="M26:V26" si="89">SUM(M27:M28)</f>
        <v>9729.1795574239695</v>
      </c>
      <c r="N26" s="116">
        <f t="shared" si="89"/>
        <v>9267.2677197473404</v>
      </c>
      <c r="O26" s="116">
        <f t="shared" si="89"/>
        <v>10955.057214037226</v>
      </c>
      <c r="P26" s="116">
        <f t="shared" si="89"/>
        <v>10342.981147523486</v>
      </c>
      <c r="Q26" s="116">
        <f t="shared" si="89"/>
        <v>11178.81401918992</v>
      </c>
      <c r="R26" s="116">
        <f t="shared" si="89"/>
        <v>11174.399997375011</v>
      </c>
      <c r="S26" s="116">
        <f t="shared" si="89"/>
        <v>12035.847741418762</v>
      </c>
      <c r="T26" s="116">
        <f t="shared" si="89"/>
        <v>11143</v>
      </c>
      <c r="U26" s="116">
        <f t="shared" si="89"/>
        <v>8706</v>
      </c>
      <c r="V26" s="116">
        <f t="shared" si="89"/>
        <v>11005</v>
      </c>
      <c r="W26" s="116">
        <f t="shared" ref="W26:Y26" si="90">SUM(W27:W28)</f>
        <v>13275</v>
      </c>
      <c r="X26" s="116">
        <f t="shared" si="90"/>
        <v>13825</v>
      </c>
      <c r="Y26" s="116">
        <f t="shared" si="90"/>
        <v>14974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3061</v>
      </c>
      <c r="C27" s="101">
        <f t="shared" si="91"/>
        <v>3310</v>
      </c>
      <c r="D27" s="101">
        <f t="shared" si="91"/>
        <v>3930.9999999999995</v>
      </c>
      <c r="E27" s="101">
        <f t="shared" si="91"/>
        <v>4586</v>
      </c>
      <c r="F27" s="101">
        <f t="shared" si="91"/>
        <v>4612</v>
      </c>
      <c r="G27" s="101">
        <f t="shared" si="91"/>
        <v>5045</v>
      </c>
      <c r="H27" s="101">
        <f t="shared" si="91"/>
        <v>5806</v>
      </c>
      <c r="I27" s="101">
        <f t="shared" si="91"/>
        <v>5890</v>
      </c>
      <c r="J27" s="101">
        <f t="shared" si="91"/>
        <v>7122</v>
      </c>
      <c r="K27" s="101">
        <f t="shared" si="91"/>
        <v>6306</v>
      </c>
      <c r="L27" s="101">
        <f t="shared" ref="L27:V27" si="92">IF(L54=0,0,L54*L164)</f>
        <v>6120</v>
      </c>
      <c r="M27" s="101">
        <f t="shared" si="92"/>
        <v>6518</v>
      </c>
      <c r="N27" s="101">
        <f t="shared" si="92"/>
        <v>6286</v>
      </c>
      <c r="O27" s="101">
        <f t="shared" si="92"/>
        <v>7192</v>
      </c>
      <c r="P27" s="101">
        <f t="shared" si="92"/>
        <v>6826</v>
      </c>
      <c r="Q27" s="101">
        <f t="shared" si="92"/>
        <v>7172</v>
      </c>
      <c r="R27" s="101">
        <f t="shared" si="92"/>
        <v>7324</v>
      </c>
      <c r="S27" s="101">
        <f t="shared" si="92"/>
        <v>8328</v>
      </c>
      <c r="T27" s="101">
        <f t="shared" si="92"/>
        <v>7734</v>
      </c>
      <c r="U27" s="101">
        <f t="shared" si="92"/>
        <v>5719</v>
      </c>
      <c r="V27" s="101">
        <f t="shared" si="92"/>
        <v>7410</v>
      </c>
      <c r="W27" s="101">
        <f t="shared" ref="W27:Y27" si="93">IF(W54=0,0,W54*W164)</f>
        <v>9029</v>
      </c>
      <c r="X27" s="101">
        <f t="shared" si="93"/>
        <v>8817</v>
      </c>
      <c r="Y27" s="101">
        <f t="shared" si="93"/>
        <v>9902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4302.4175475123375</v>
      </c>
      <c r="C28" s="88">
        <f t="shared" si="94"/>
        <v>4608.803346038274</v>
      </c>
      <c r="D28" s="88">
        <f t="shared" si="94"/>
        <v>4880.6243863846303</v>
      </c>
      <c r="E28" s="88">
        <f t="shared" si="94"/>
        <v>4959.2809822078234</v>
      </c>
      <c r="F28" s="88">
        <f t="shared" si="94"/>
        <v>5756.303229746718</v>
      </c>
      <c r="G28" s="88">
        <f t="shared" si="94"/>
        <v>5962.0358105273972</v>
      </c>
      <c r="H28" s="88">
        <f t="shared" si="94"/>
        <v>5166.8725762751819</v>
      </c>
      <c r="I28" s="88">
        <f t="shared" si="94"/>
        <v>4549.7877548984616</v>
      </c>
      <c r="J28" s="88">
        <f t="shared" si="94"/>
        <v>2646.9805781080522</v>
      </c>
      <c r="K28" s="88">
        <f t="shared" si="94"/>
        <v>2440.5351270823103</v>
      </c>
      <c r="L28" s="88">
        <f t="shared" ref="L28:V28" si="95">IF(L55=0,0,L55*L165)</f>
        <v>2774.1473866294</v>
      </c>
      <c r="M28" s="88">
        <f t="shared" si="95"/>
        <v>3211.1795574239695</v>
      </c>
      <c r="N28" s="88">
        <f t="shared" si="95"/>
        <v>2981.2677197473404</v>
      </c>
      <c r="O28" s="88">
        <f t="shared" si="95"/>
        <v>3763.057214037226</v>
      </c>
      <c r="P28" s="88">
        <f t="shared" si="95"/>
        <v>3516.9811475234856</v>
      </c>
      <c r="Q28" s="88">
        <f t="shared" si="95"/>
        <v>4006.8140191899201</v>
      </c>
      <c r="R28" s="88">
        <f t="shared" si="95"/>
        <v>3850.3999973750106</v>
      </c>
      <c r="S28" s="88">
        <f t="shared" si="95"/>
        <v>3707.8477414187619</v>
      </c>
      <c r="T28" s="88">
        <f t="shared" si="95"/>
        <v>3409</v>
      </c>
      <c r="U28" s="88">
        <f t="shared" si="95"/>
        <v>2987</v>
      </c>
      <c r="V28" s="88">
        <f t="shared" si="95"/>
        <v>3595</v>
      </c>
      <c r="W28" s="88">
        <f t="shared" ref="W28:Y28" si="96">IF(W55=0,0,W55*W165)</f>
        <v>4246</v>
      </c>
      <c r="X28" s="88">
        <f t="shared" si="96"/>
        <v>5008</v>
      </c>
      <c r="Y28" s="88">
        <f t="shared" si="96"/>
        <v>5072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15482.79508993811</v>
      </c>
      <c r="C30" s="62">
        <f t="shared" ref="C30:V30" si="98">C31+C46</f>
        <v>15818.33031256651</v>
      </c>
      <c r="D30" s="62">
        <f t="shared" si="98"/>
        <v>17341.102381579516</v>
      </c>
      <c r="E30" s="62">
        <f t="shared" si="98"/>
        <v>18917.521817535671</v>
      </c>
      <c r="F30" s="62">
        <f t="shared" si="98"/>
        <v>20973.679645101212</v>
      </c>
      <c r="G30" s="62">
        <f t="shared" si="98"/>
        <v>22838.257498142062</v>
      </c>
      <c r="H30" s="62">
        <f t="shared" si="98"/>
        <v>25198.32562326096</v>
      </c>
      <c r="I30" s="62">
        <f t="shared" si="98"/>
        <v>25078.081558668982</v>
      </c>
      <c r="J30" s="62">
        <f t="shared" si="98"/>
        <v>26891.626449838277</v>
      </c>
      <c r="K30" s="62">
        <f t="shared" si="98"/>
        <v>27653.359771626194</v>
      </c>
      <c r="L30" s="62">
        <f t="shared" si="98"/>
        <v>27551.715030487139</v>
      </c>
      <c r="M30" s="62">
        <f t="shared" si="98"/>
        <v>27975.131526543002</v>
      </c>
      <c r="N30" s="62">
        <f t="shared" si="98"/>
        <v>29713.624479011298</v>
      </c>
      <c r="O30" s="62">
        <f t="shared" si="98"/>
        <v>30369.682374640826</v>
      </c>
      <c r="P30" s="62">
        <f t="shared" si="98"/>
        <v>31585.130947004698</v>
      </c>
      <c r="Q30" s="62">
        <f t="shared" si="98"/>
        <v>35458.956356306939</v>
      </c>
      <c r="R30" s="62">
        <f t="shared" si="98"/>
        <v>36205.194949194214</v>
      </c>
      <c r="S30" s="62">
        <f t="shared" si="98"/>
        <v>35945.309852504186</v>
      </c>
      <c r="T30" s="62">
        <f t="shared" si="98"/>
        <v>36197.763806023751</v>
      </c>
      <c r="U30" s="62">
        <f t="shared" si="98"/>
        <v>37109.649776290506</v>
      </c>
      <c r="V30" s="62">
        <f t="shared" si="98"/>
        <v>36181.848541975764</v>
      </c>
      <c r="W30" s="62">
        <f t="shared" ref="W30:Y30" si="99">W31+W46</f>
        <v>39669.603559238727</v>
      </c>
      <c r="X30" s="62">
        <f t="shared" si="99"/>
        <v>40905.517364599931</v>
      </c>
      <c r="Y30" s="62">
        <f t="shared" si="99"/>
        <v>42021.633528481754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13593.358507866604</v>
      </c>
      <c r="C31" s="29">
        <f t="shared" ref="C31:V31" si="101">C32+C33+C40</f>
        <v>13909.020352015263</v>
      </c>
      <c r="D31" s="29">
        <f t="shared" si="101"/>
        <v>15386.822485506575</v>
      </c>
      <c r="E31" s="29">
        <f t="shared" si="101"/>
        <v>16585.500853625843</v>
      </c>
      <c r="F31" s="29">
        <f t="shared" si="101"/>
        <v>18235.076415910404</v>
      </c>
      <c r="G31" s="29">
        <f t="shared" si="101"/>
        <v>20114.873906403591</v>
      </c>
      <c r="H31" s="29">
        <f t="shared" si="101"/>
        <v>22200.930215926004</v>
      </c>
      <c r="I31" s="29">
        <f t="shared" si="101"/>
        <v>21972.421101615106</v>
      </c>
      <c r="J31" s="29">
        <f t="shared" si="101"/>
        <v>23560.284518030981</v>
      </c>
      <c r="K31" s="29">
        <f t="shared" si="101"/>
        <v>24465.895282552727</v>
      </c>
      <c r="L31" s="29">
        <f t="shared" si="101"/>
        <v>24413.433839655336</v>
      </c>
      <c r="M31" s="29">
        <f t="shared" si="101"/>
        <v>24548.95377515052</v>
      </c>
      <c r="N31" s="29">
        <f t="shared" si="101"/>
        <v>26183.427901390565</v>
      </c>
      <c r="O31" s="29">
        <f t="shared" si="101"/>
        <v>26741.930705649564</v>
      </c>
      <c r="P31" s="29">
        <f t="shared" si="101"/>
        <v>27897.197366732322</v>
      </c>
      <c r="Q31" s="29">
        <f t="shared" si="101"/>
        <v>31350.434240756549</v>
      </c>
      <c r="R31" s="29">
        <f t="shared" si="101"/>
        <v>32135.171550516759</v>
      </c>
      <c r="S31" s="29">
        <f t="shared" si="101"/>
        <v>32251.592573410402</v>
      </c>
      <c r="T31" s="29">
        <f t="shared" si="101"/>
        <v>32613.563287504945</v>
      </c>
      <c r="U31" s="29">
        <f t="shared" si="101"/>
        <v>33799.159331967188</v>
      </c>
      <c r="V31" s="29">
        <f t="shared" si="101"/>
        <v>32728.538841523812</v>
      </c>
      <c r="W31" s="29">
        <f t="shared" ref="W31:Y31" si="102">W32+W33+W40</f>
        <v>36087.369330241097</v>
      </c>
      <c r="X31" s="29">
        <f t="shared" si="102"/>
        <v>37553.014916670727</v>
      </c>
      <c r="Y31" s="29">
        <f t="shared" si="102"/>
        <v>38747.071696211504</v>
      </c>
      <c r="DA31" s="173" t="s">
        <v>475</v>
      </c>
    </row>
    <row r="32" spans="1:105" ht="11.45" customHeight="1" x14ac:dyDescent="0.25">
      <c r="A32" s="136" t="s">
        <v>173</v>
      </c>
      <c r="B32" s="152">
        <v>269.99025161697443</v>
      </c>
      <c r="C32" s="152">
        <v>277.69622844867411</v>
      </c>
      <c r="D32" s="152">
        <v>285.93552889652688</v>
      </c>
      <c r="E32" s="152">
        <v>289.6015069028856</v>
      </c>
      <c r="F32" s="152">
        <v>307.53029339568332</v>
      </c>
      <c r="G32" s="152">
        <v>329.74900363378737</v>
      </c>
      <c r="H32" s="152">
        <v>339.29797945206565</v>
      </c>
      <c r="I32" s="152">
        <v>359.60959254471049</v>
      </c>
      <c r="J32" s="152">
        <v>409.07919050151031</v>
      </c>
      <c r="K32" s="152">
        <v>436.4536789914178</v>
      </c>
      <c r="L32" s="152">
        <v>476.13026920418184</v>
      </c>
      <c r="M32" s="152">
        <v>504.90400304799152</v>
      </c>
      <c r="N32" s="152">
        <v>550.29655095550834</v>
      </c>
      <c r="O32" s="152">
        <v>585.66199512324852</v>
      </c>
      <c r="P32" s="152">
        <v>617.50702155486579</v>
      </c>
      <c r="Q32" s="152">
        <v>668.1382071950718</v>
      </c>
      <c r="R32" s="152">
        <v>716.83452610578115</v>
      </c>
      <c r="S32" s="152">
        <v>683.51384406976081</v>
      </c>
      <c r="T32" s="152">
        <v>657.62153766630752</v>
      </c>
      <c r="U32" s="152">
        <v>704.06609104710594</v>
      </c>
      <c r="V32" s="152">
        <v>633.52076229462693</v>
      </c>
      <c r="W32" s="152">
        <v>659.86529891082489</v>
      </c>
      <c r="X32" s="152">
        <v>672.08739555045588</v>
      </c>
      <c r="Y32" s="152">
        <v>736.33912724503864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12858.369850129131</v>
      </c>
      <c r="C33" s="116">
        <f t="shared" ref="C33:V33" si="104">SUM(C34:C39)</f>
        <v>13144.722497550329</v>
      </c>
      <c r="D33" s="116">
        <f t="shared" si="104"/>
        <v>14537.537039528786</v>
      </c>
      <c r="E33" s="116">
        <f t="shared" si="104"/>
        <v>15808.754556465854</v>
      </c>
      <c r="F33" s="116">
        <f t="shared" si="104"/>
        <v>17477.960201189668</v>
      </c>
      <c r="G33" s="116">
        <f t="shared" si="104"/>
        <v>19303.322720439639</v>
      </c>
      <c r="H33" s="116">
        <f t="shared" si="104"/>
        <v>21396.928466276451</v>
      </c>
      <c r="I33" s="116">
        <f t="shared" si="104"/>
        <v>21115.787897665959</v>
      </c>
      <c r="J33" s="116">
        <f t="shared" si="104"/>
        <v>22697.405327529472</v>
      </c>
      <c r="K33" s="116">
        <f t="shared" si="104"/>
        <v>23552.841603561312</v>
      </c>
      <c r="L33" s="116">
        <f t="shared" si="104"/>
        <v>23494.303570451153</v>
      </c>
      <c r="M33" s="116">
        <f t="shared" si="104"/>
        <v>23555.049772102528</v>
      </c>
      <c r="N33" s="116">
        <f t="shared" si="104"/>
        <v>25184.131350435058</v>
      </c>
      <c r="O33" s="116">
        <f t="shared" si="104"/>
        <v>25716.368710526312</v>
      </c>
      <c r="P33" s="116">
        <f t="shared" si="104"/>
        <v>26823.890345177457</v>
      </c>
      <c r="Q33" s="116">
        <f t="shared" si="104"/>
        <v>30202.886666163344</v>
      </c>
      <c r="R33" s="116">
        <f t="shared" si="104"/>
        <v>30971.637024410978</v>
      </c>
      <c r="S33" s="116">
        <f t="shared" si="104"/>
        <v>31148.798729340644</v>
      </c>
      <c r="T33" s="116">
        <f t="shared" si="104"/>
        <v>31528.341749838641</v>
      </c>
      <c r="U33" s="116">
        <f t="shared" si="104"/>
        <v>32626.016294685385</v>
      </c>
      <c r="V33" s="116">
        <f t="shared" si="104"/>
        <v>31629.520400645779</v>
      </c>
      <c r="W33" s="116">
        <f t="shared" ref="W33:Y33" si="105">SUM(W34:W39)</f>
        <v>34962.087449762199</v>
      </c>
      <c r="X33" s="116">
        <f t="shared" si="105"/>
        <v>36414.072107764769</v>
      </c>
      <c r="Y33" s="116">
        <f t="shared" si="105"/>
        <v>37543.72717967123</v>
      </c>
      <c r="DA33" s="176" t="s">
        <v>477</v>
      </c>
    </row>
    <row r="34" spans="1:105" ht="11.45" customHeight="1" x14ac:dyDescent="0.25">
      <c r="A34" s="111" t="s">
        <v>110</v>
      </c>
      <c r="B34" s="87">
        <v>7881.6625889652087</v>
      </c>
      <c r="C34" s="87">
        <v>6910.0532000242647</v>
      </c>
      <c r="D34" s="87">
        <v>7406.1927878410206</v>
      </c>
      <c r="E34" s="87">
        <v>7108.7119794270138</v>
      </c>
      <c r="F34" s="87">
        <v>6551.7286924177415</v>
      </c>
      <c r="G34" s="87">
        <v>6316.5699250611688</v>
      </c>
      <c r="H34" s="87">
        <v>6986.9214751966629</v>
      </c>
      <c r="I34" s="87">
        <v>6939.5139301454319</v>
      </c>
      <c r="J34" s="87">
        <v>7007.2635823465716</v>
      </c>
      <c r="K34" s="87">
        <v>7461.6719691729404</v>
      </c>
      <c r="L34" s="87">
        <v>6988.4605236071984</v>
      </c>
      <c r="M34" s="87">
        <v>6568.4596425851341</v>
      </c>
      <c r="N34" s="87">
        <v>6233.6361822096605</v>
      </c>
      <c r="O34" s="87">
        <v>6063.0659474612157</v>
      </c>
      <c r="P34" s="87">
        <v>6118.6107429969807</v>
      </c>
      <c r="Q34" s="87">
        <v>6439.7268326439025</v>
      </c>
      <c r="R34" s="87">
        <v>6312.6902067784013</v>
      </c>
      <c r="S34" s="87">
        <v>6480.497086557345</v>
      </c>
      <c r="T34" s="87">
        <v>6259.4925380199038</v>
      </c>
      <c r="U34" s="87">
        <v>6317.136192705525</v>
      </c>
      <c r="V34" s="87">
        <v>6191.0165391611599</v>
      </c>
      <c r="W34" s="87">
        <v>6794.3846887994123</v>
      </c>
      <c r="X34" s="87">
        <v>7206.1394215624987</v>
      </c>
      <c r="Y34" s="87">
        <v>7243.3572301557988</v>
      </c>
      <c r="DA34" s="171" t="s">
        <v>478</v>
      </c>
    </row>
    <row r="35" spans="1:105" ht="11.45" customHeight="1" x14ac:dyDescent="0.25">
      <c r="A35" s="111" t="s">
        <v>111</v>
      </c>
      <c r="B35" s="87">
        <v>2509.8886702207637</v>
      </c>
      <c r="C35" s="87">
        <v>3051.7262780631609</v>
      </c>
      <c r="D35" s="87">
        <v>3283.7374611902578</v>
      </c>
      <c r="E35" s="87">
        <v>4577.063418202858</v>
      </c>
      <c r="F35" s="87">
        <v>6440.3360074840239</v>
      </c>
      <c r="G35" s="87">
        <v>7378.2352828376434</v>
      </c>
      <c r="H35" s="87">
        <v>8173.2522806714569</v>
      </c>
      <c r="I35" s="87">
        <v>8639.8875158833434</v>
      </c>
      <c r="J35" s="87">
        <v>10263.05229256973</v>
      </c>
      <c r="K35" s="87">
        <v>10558.172445285454</v>
      </c>
      <c r="L35" s="87">
        <v>10748.697520417265</v>
      </c>
      <c r="M35" s="87">
        <v>11875.414972686503</v>
      </c>
      <c r="N35" s="87">
        <v>13386.706476286399</v>
      </c>
      <c r="O35" s="87">
        <v>13797.131254544367</v>
      </c>
      <c r="P35" s="87">
        <v>14121.928743436887</v>
      </c>
      <c r="Q35" s="87">
        <v>16380.97367910655</v>
      </c>
      <c r="R35" s="87">
        <v>16856.300525432842</v>
      </c>
      <c r="S35" s="87">
        <v>17116.00968395366</v>
      </c>
      <c r="T35" s="87">
        <v>18140.396660464874</v>
      </c>
      <c r="U35" s="87">
        <v>19318.801104137881</v>
      </c>
      <c r="V35" s="87">
        <v>18995.98182165801</v>
      </c>
      <c r="W35" s="87">
        <v>21567.115198611027</v>
      </c>
      <c r="X35" s="87">
        <v>22718.314972369666</v>
      </c>
      <c r="Y35" s="87">
        <v>23797.081111367734</v>
      </c>
      <c r="DA35" s="171" t="s">
        <v>479</v>
      </c>
    </row>
    <row r="36" spans="1:105" ht="11.45" customHeight="1" x14ac:dyDescent="0.25">
      <c r="A36" s="111" t="s">
        <v>112</v>
      </c>
      <c r="B36" s="87">
        <v>2466.8185909431572</v>
      </c>
      <c r="C36" s="87">
        <v>3182.9430194629044</v>
      </c>
      <c r="D36" s="87">
        <v>3847.6067904975075</v>
      </c>
      <c r="E36" s="87">
        <v>4122.9791588359822</v>
      </c>
      <c r="F36" s="87">
        <v>4439.3248854887997</v>
      </c>
      <c r="G36" s="87">
        <v>5439.8646402141649</v>
      </c>
      <c r="H36" s="87">
        <v>6025.1721098244934</v>
      </c>
      <c r="I36" s="87">
        <v>5236.8498646030403</v>
      </c>
      <c r="J36" s="87">
        <v>5147.115495044246</v>
      </c>
      <c r="K36" s="87">
        <v>5137.4584032115381</v>
      </c>
      <c r="L36" s="87">
        <v>5174.5190185668534</v>
      </c>
      <c r="M36" s="87">
        <v>4585.1950437315591</v>
      </c>
      <c r="N36" s="87">
        <v>4986.5384305233883</v>
      </c>
      <c r="O36" s="87">
        <v>5231.6599479564438</v>
      </c>
      <c r="P36" s="87">
        <v>5724.9505642438153</v>
      </c>
      <c r="Q36" s="87">
        <v>6607.7077212967115</v>
      </c>
      <c r="R36" s="87">
        <v>7073.8197519684954</v>
      </c>
      <c r="S36" s="87">
        <v>6813.868742411084</v>
      </c>
      <c r="T36" s="87">
        <v>6355.9755761508213</v>
      </c>
      <c r="U36" s="87">
        <v>6158.6548501915022</v>
      </c>
      <c r="V36" s="87">
        <v>5583.2255168541697</v>
      </c>
      <c r="W36" s="87">
        <v>5734.3379578679878</v>
      </c>
      <c r="X36" s="87">
        <v>5799.2088876337011</v>
      </c>
      <c r="Y36" s="87">
        <v>5832.0028845829293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46.570615799099606</v>
      </c>
      <c r="G37" s="87">
        <v>168.65287232666543</v>
      </c>
      <c r="H37" s="87">
        <v>211.58260058384053</v>
      </c>
      <c r="I37" s="87">
        <v>299.5365870341447</v>
      </c>
      <c r="J37" s="87">
        <v>279.97395756892195</v>
      </c>
      <c r="K37" s="87">
        <v>395.53878589137872</v>
      </c>
      <c r="L37" s="87">
        <v>582.62650785983499</v>
      </c>
      <c r="M37" s="87">
        <v>525.98011309933133</v>
      </c>
      <c r="N37" s="87">
        <v>577.21326418889635</v>
      </c>
      <c r="O37" s="87">
        <v>624.478479038876</v>
      </c>
      <c r="P37" s="87">
        <v>858.34413301093559</v>
      </c>
      <c r="Q37" s="87">
        <v>774.22684511844773</v>
      </c>
      <c r="R37" s="87">
        <v>727.98444712288335</v>
      </c>
      <c r="S37" s="87">
        <v>735.4412900309211</v>
      </c>
      <c r="T37" s="87">
        <v>764.90588092782946</v>
      </c>
      <c r="U37" s="87">
        <v>815.75758514727795</v>
      </c>
      <c r="V37" s="87">
        <v>834.64014285000144</v>
      </c>
      <c r="W37" s="87">
        <v>816.40378320481818</v>
      </c>
      <c r="X37" s="87">
        <v>622.07231253167618</v>
      </c>
      <c r="Y37" s="87">
        <v>588.27682353727755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3.6997226712447429E-2</v>
      </c>
      <c r="O38" s="87">
        <v>3.3081525410686728E-2</v>
      </c>
      <c r="P38" s="87">
        <v>5.6161488838416172E-2</v>
      </c>
      <c r="Q38" s="87">
        <v>0.25158799773362073</v>
      </c>
      <c r="R38" s="87">
        <v>0.4272424100319408</v>
      </c>
      <c r="S38" s="87">
        <v>1.4576050275647543</v>
      </c>
      <c r="T38" s="87">
        <v>2.7819494665459659</v>
      </c>
      <c r="U38" s="87">
        <v>7.6406311402954241</v>
      </c>
      <c r="V38" s="87">
        <v>10.624721717566688</v>
      </c>
      <c r="W38" s="87">
        <v>16.077581871046586</v>
      </c>
      <c r="X38" s="87">
        <v>24.276098113206181</v>
      </c>
      <c r="Y38" s="87">
        <v>29.480115182978331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0.41485069833018301</v>
      </c>
      <c r="S39" s="87">
        <v>1.5243213600704504</v>
      </c>
      <c r="T39" s="87">
        <v>4.7891448086677517</v>
      </c>
      <c r="U39" s="87">
        <v>8.0259313628978433</v>
      </c>
      <c r="V39" s="87">
        <v>14.031658404868979</v>
      </c>
      <c r="W39" s="87">
        <v>33.768239407908368</v>
      </c>
      <c r="X39" s="87">
        <v>44.060415554020231</v>
      </c>
      <c r="Y39" s="87">
        <v>53.52901484451241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464.99840612049729</v>
      </c>
      <c r="C40" s="116">
        <f t="shared" ref="C40:V40" si="107">SUM(C41:C45)</f>
        <v>486.60162601626024</v>
      </c>
      <c r="D40" s="116">
        <f t="shared" si="107"/>
        <v>563.3499170812604</v>
      </c>
      <c r="E40" s="116">
        <f t="shared" si="107"/>
        <v>487.14479025710421</v>
      </c>
      <c r="F40" s="116">
        <f t="shared" si="107"/>
        <v>449.58592132505174</v>
      </c>
      <c r="G40" s="116">
        <f t="shared" si="107"/>
        <v>481.80218233016546</v>
      </c>
      <c r="H40" s="116">
        <f t="shared" si="107"/>
        <v>464.70377019748651</v>
      </c>
      <c r="I40" s="116">
        <f t="shared" si="107"/>
        <v>497.02361140443503</v>
      </c>
      <c r="J40" s="116">
        <f t="shared" si="107"/>
        <v>453.79999999999995</v>
      </c>
      <c r="K40" s="116">
        <f t="shared" si="107"/>
        <v>476.6</v>
      </c>
      <c r="L40" s="116">
        <f t="shared" si="107"/>
        <v>443</v>
      </c>
      <c r="M40" s="116">
        <f t="shared" si="107"/>
        <v>489.00000000000006</v>
      </c>
      <c r="N40" s="116">
        <f t="shared" si="107"/>
        <v>448.99999999999983</v>
      </c>
      <c r="O40" s="116">
        <f t="shared" si="107"/>
        <v>439.9</v>
      </c>
      <c r="P40" s="116">
        <f t="shared" si="107"/>
        <v>455.8</v>
      </c>
      <c r="Q40" s="116">
        <f t="shared" si="107"/>
        <v>479.40936739813219</v>
      </c>
      <c r="R40" s="116">
        <f t="shared" si="107"/>
        <v>446.70000000000005</v>
      </c>
      <c r="S40" s="116">
        <f t="shared" si="107"/>
        <v>419.27999999999992</v>
      </c>
      <c r="T40" s="116">
        <f t="shared" si="107"/>
        <v>427.59999999999997</v>
      </c>
      <c r="U40" s="116">
        <f t="shared" si="107"/>
        <v>469.07694623469655</v>
      </c>
      <c r="V40" s="116">
        <f t="shared" si="107"/>
        <v>465.497678583408</v>
      </c>
      <c r="W40" s="116">
        <f t="shared" ref="W40:Y40" si="108">SUM(W41:W45)</f>
        <v>465.41658156807728</v>
      </c>
      <c r="X40" s="116">
        <f t="shared" si="108"/>
        <v>466.85541335550175</v>
      </c>
      <c r="Y40" s="116">
        <f t="shared" si="108"/>
        <v>467.00538929523293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27.565822939007948</v>
      </c>
      <c r="S41" s="101">
        <v>27.776891005248665</v>
      </c>
      <c r="T41" s="101">
        <v>28.456140241233996</v>
      </c>
      <c r="U41" s="101">
        <v>30.71522017243694</v>
      </c>
      <c r="V41" s="101">
        <v>27.745051106991035</v>
      </c>
      <c r="W41" s="101">
        <v>26.084687257727712</v>
      </c>
      <c r="X41" s="101">
        <v>24.223822332359205</v>
      </c>
      <c r="Y41" s="101">
        <v>22.322614394833884</v>
      </c>
      <c r="DA41" s="175" t="s">
        <v>485</v>
      </c>
    </row>
    <row r="42" spans="1:105" ht="11.45" customHeight="1" x14ac:dyDescent="0.25">
      <c r="A42" s="111" t="s">
        <v>111</v>
      </c>
      <c r="B42" s="101">
        <v>464.99840612049729</v>
      </c>
      <c r="C42" s="101">
        <v>486.60162601626024</v>
      </c>
      <c r="D42" s="101">
        <v>563.3499170812604</v>
      </c>
      <c r="E42" s="101">
        <v>487.14479025710421</v>
      </c>
      <c r="F42" s="101">
        <v>446.52845812758619</v>
      </c>
      <c r="G42" s="101">
        <v>474.7118224960883</v>
      </c>
      <c r="H42" s="101">
        <v>451.82298266765235</v>
      </c>
      <c r="I42" s="101">
        <v>477.02235601201136</v>
      </c>
      <c r="J42" s="101">
        <v>433.82042640801592</v>
      </c>
      <c r="K42" s="101">
        <v>446.75345469156821</v>
      </c>
      <c r="L42" s="101">
        <v>402.64797640407471</v>
      </c>
      <c r="M42" s="101">
        <v>446.59539374606243</v>
      </c>
      <c r="N42" s="101">
        <v>409.38368930447388</v>
      </c>
      <c r="O42" s="101">
        <v>364.0525070704212</v>
      </c>
      <c r="P42" s="101">
        <v>369.76054749804115</v>
      </c>
      <c r="Q42" s="101">
        <v>394.94512809937544</v>
      </c>
      <c r="R42" s="101">
        <v>345.51066291681559</v>
      </c>
      <c r="S42" s="101">
        <v>316.1089058290915</v>
      </c>
      <c r="T42" s="101">
        <v>318.23959829772673</v>
      </c>
      <c r="U42" s="101">
        <v>342.69832139238235</v>
      </c>
      <c r="V42" s="101">
        <v>341.14519668887999</v>
      </c>
      <c r="W42" s="101">
        <v>333.16678010489107</v>
      </c>
      <c r="X42" s="101">
        <v>363.88341907590279</v>
      </c>
      <c r="Y42" s="101">
        <v>380.21297991829272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0.97296084245724845</v>
      </c>
      <c r="S43" s="101">
        <v>0.98236498921762061</v>
      </c>
      <c r="T43" s="101">
        <v>1.11116298163075</v>
      </c>
      <c r="U43" s="101">
        <v>1.2123511349469591</v>
      </c>
      <c r="V43" s="101">
        <v>0.3598992046208227</v>
      </c>
      <c r="W43" s="101">
        <v>0.94221803078102551</v>
      </c>
      <c r="X43" s="101">
        <v>0.8683653231623637</v>
      </c>
      <c r="Y43" s="101">
        <v>0.74090097861136228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3.0574631974655575</v>
      </c>
      <c r="G44" s="101">
        <v>7.0903598340771463</v>
      </c>
      <c r="H44" s="101">
        <v>12.880787529834176</v>
      </c>
      <c r="I44" s="101">
        <v>20.001255392423662</v>
      </c>
      <c r="J44" s="101">
        <v>19.699843219340622</v>
      </c>
      <c r="K44" s="101">
        <v>29.069027076512022</v>
      </c>
      <c r="L44" s="101">
        <v>38.789290135667095</v>
      </c>
      <c r="M44" s="101">
        <v>40.678238169639428</v>
      </c>
      <c r="N44" s="101">
        <v>37.755597559532553</v>
      </c>
      <c r="O44" s="101">
        <v>61.081308968088962</v>
      </c>
      <c r="P44" s="101">
        <v>66.568214481141752</v>
      </c>
      <c r="Q44" s="101">
        <v>63.637844278531098</v>
      </c>
      <c r="R44" s="101">
        <v>52.057764869129336</v>
      </c>
      <c r="S44" s="101">
        <v>54.164149088088571</v>
      </c>
      <c r="T44" s="101">
        <v>59.56303953410476</v>
      </c>
      <c r="U44" s="101">
        <v>73.603094395421977</v>
      </c>
      <c r="V44" s="101">
        <v>76.506661969003105</v>
      </c>
      <c r="W44" s="101">
        <v>83.180566996872571</v>
      </c>
      <c r="X44" s="101">
        <v>56.645857945092786</v>
      </c>
      <c r="Y44" s="101">
        <v>38.50792165083179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0.27973037264345341</v>
      </c>
      <c r="K45" s="101">
        <v>0.77751823191976943</v>
      </c>
      <c r="L45" s="101">
        <v>1.5627334602581653</v>
      </c>
      <c r="M45" s="101">
        <v>1.7263680842982236</v>
      </c>
      <c r="N45" s="101">
        <v>1.8607131359934328</v>
      </c>
      <c r="O45" s="101">
        <v>14.766183961489808</v>
      </c>
      <c r="P45" s="101">
        <v>19.471238020817104</v>
      </c>
      <c r="Q45" s="101">
        <v>20.826395020225675</v>
      </c>
      <c r="R45" s="101">
        <v>20.59278843258986</v>
      </c>
      <c r="S45" s="101">
        <v>20.247689088353592</v>
      </c>
      <c r="T45" s="101">
        <v>20.230058945303792</v>
      </c>
      <c r="U45" s="101">
        <v>20.847959139508319</v>
      </c>
      <c r="V45" s="101">
        <v>19.740869613913024</v>
      </c>
      <c r="W45" s="101">
        <v>22.042329177804909</v>
      </c>
      <c r="X45" s="101">
        <v>21.233948678984646</v>
      </c>
      <c r="Y45" s="101">
        <v>25.22097235266321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1889.4365820715072</v>
      </c>
      <c r="C46" s="29">
        <f t="shared" ref="C46:V46" si="110">C47+C53</f>
        <v>1909.3099605512466</v>
      </c>
      <c r="D46" s="29">
        <f t="shared" si="110"/>
        <v>1954.2798960729413</v>
      </c>
      <c r="E46" s="29">
        <f t="shared" si="110"/>
        <v>2332.0209639098271</v>
      </c>
      <c r="F46" s="29">
        <f t="shared" si="110"/>
        <v>2738.6032291908095</v>
      </c>
      <c r="G46" s="29">
        <f t="shared" si="110"/>
        <v>2723.3835917384713</v>
      </c>
      <c r="H46" s="29">
        <f t="shared" si="110"/>
        <v>2997.3954073349555</v>
      </c>
      <c r="I46" s="29">
        <f t="shared" si="110"/>
        <v>3105.6604570538752</v>
      </c>
      <c r="J46" s="29">
        <f t="shared" si="110"/>
        <v>3331.3419318072965</v>
      </c>
      <c r="K46" s="29">
        <f t="shared" si="110"/>
        <v>3187.4644890734685</v>
      </c>
      <c r="L46" s="29">
        <f t="shared" si="110"/>
        <v>3138.2811908318049</v>
      </c>
      <c r="M46" s="29">
        <f t="shared" si="110"/>
        <v>3426.1777513924826</v>
      </c>
      <c r="N46" s="29">
        <f t="shared" si="110"/>
        <v>3530.1965776207344</v>
      </c>
      <c r="O46" s="29">
        <f t="shared" si="110"/>
        <v>3627.7516689912609</v>
      </c>
      <c r="P46" s="29">
        <f t="shared" si="110"/>
        <v>3687.9335802723763</v>
      </c>
      <c r="Q46" s="29">
        <f t="shared" si="110"/>
        <v>4108.5221155503887</v>
      </c>
      <c r="R46" s="29">
        <f t="shared" si="110"/>
        <v>4070.0233986774515</v>
      </c>
      <c r="S46" s="29">
        <f t="shared" si="110"/>
        <v>3693.7172790937861</v>
      </c>
      <c r="T46" s="29">
        <f t="shared" si="110"/>
        <v>3584.2005185188027</v>
      </c>
      <c r="U46" s="29">
        <f t="shared" si="110"/>
        <v>3310.4904443233177</v>
      </c>
      <c r="V46" s="29">
        <f t="shared" si="110"/>
        <v>3453.3097004519523</v>
      </c>
      <c r="W46" s="29">
        <f t="shared" ref="W46:Y46" si="111">W47+W53</f>
        <v>3582.2342289976305</v>
      </c>
      <c r="X46" s="29">
        <f t="shared" si="111"/>
        <v>3352.502447929206</v>
      </c>
      <c r="Y46" s="29">
        <f t="shared" si="111"/>
        <v>3274.5618322702485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1270.9239082196359</v>
      </c>
      <c r="C47" s="152">
        <f t="shared" ref="C47:V47" si="113">SUM(C48:C52)</f>
        <v>1230.9649982821816</v>
      </c>
      <c r="D47" s="152">
        <f t="shared" si="113"/>
        <v>1260.2757324625586</v>
      </c>
      <c r="E47" s="152">
        <f t="shared" si="113"/>
        <v>1392.0210327610139</v>
      </c>
      <c r="F47" s="152">
        <f t="shared" si="113"/>
        <v>1646.0225299977851</v>
      </c>
      <c r="G47" s="152">
        <f t="shared" si="113"/>
        <v>1548.170547783687</v>
      </c>
      <c r="H47" s="152">
        <f t="shared" si="113"/>
        <v>1733.6605126193367</v>
      </c>
      <c r="I47" s="152">
        <f t="shared" si="113"/>
        <v>1925.3293711333092</v>
      </c>
      <c r="J47" s="152">
        <f t="shared" si="113"/>
        <v>2085.1230775075546</v>
      </c>
      <c r="K47" s="152">
        <f t="shared" si="113"/>
        <v>2089.7357972363707</v>
      </c>
      <c r="L47" s="152">
        <f t="shared" si="113"/>
        <v>2069.6252173731559</v>
      </c>
      <c r="M47" s="152">
        <f t="shared" si="113"/>
        <v>2305.9695661643577</v>
      </c>
      <c r="N47" s="152">
        <f t="shared" si="113"/>
        <v>2446.5554074973766</v>
      </c>
      <c r="O47" s="152">
        <f t="shared" si="113"/>
        <v>2453.9659294849089</v>
      </c>
      <c r="P47" s="152">
        <f t="shared" si="113"/>
        <v>2579.1764351622078</v>
      </c>
      <c r="Q47" s="152">
        <f t="shared" si="113"/>
        <v>2897.4346565242167</v>
      </c>
      <c r="R47" s="152">
        <f t="shared" si="113"/>
        <v>2880.6778761432829</v>
      </c>
      <c r="S47" s="152">
        <f t="shared" si="113"/>
        <v>2476.0985483081149</v>
      </c>
      <c r="T47" s="152">
        <f t="shared" si="113"/>
        <v>2491.2214052153827</v>
      </c>
      <c r="U47" s="152">
        <f t="shared" si="113"/>
        <v>2446.07457167348</v>
      </c>
      <c r="V47" s="152">
        <f t="shared" si="113"/>
        <v>2354.9659487305335</v>
      </c>
      <c r="W47" s="152">
        <f t="shared" ref="W47:Y47" si="114">SUM(W48:W52)</f>
        <v>2258.9482850213521</v>
      </c>
      <c r="X47" s="152">
        <f t="shared" si="114"/>
        <v>2099.6202986861017</v>
      </c>
      <c r="Y47" s="152">
        <f t="shared" si="114"/>
        <v>1924.0164343614822</v>
      </c>
      <c r="DA47" s="174" t="s">
        <v>491</v>
      </c>
    </row>
    <row r="48" spans="1:105" ht="11.45" customHeight="1" x14ac:dyDescent="0.25">
      <c r="A48" s="111" t="s">
        <v>110</v>
      </c>
      <c r="B48" s="87">
        <v>248.74174068441783</v>
      </c>
      <c r="C48" s="87">
        <v>255.99262703949569</v>
      </c>
      <c r="D48" s="87">
        <v>264.10382064554875</v>
      </c>
      <c r="E48" s="87">
        <v>273.26488913425521</v>
      </c>
      <c r="F48" s="87">
        <v>282.44153052610693</v>
      </c>
      <c r="G48" s="87">
        <v>259.02039697508968</v>
      </c>
      <c r="H48" s="87">
        <v>228.27286099150479</v>
      </c>
      <c r="I48" s="87">
        <v>199.57517119047733</v>
      </c>
      <c r="J48" s="87">
        <v>175.50546072295984</v>
      </c>
      <c r="K48" s="87">
        <v>148.02751159783543</v>
      </c>
      <c r="L48" s="87">
        <v>115.14102331748157</v>
      </c>
      <c r="M48" s="87">
        <v>126.47582588663968</v>
      </c>
      <c r="N48" s="87">
        <v>123.13572607786855</v>
      </c>
      <c r="O48" s="87">
        <v>116.88117594085142</v>
      </c>
      <c r="P48" s="87">
        <v>112.83030627307905</v>
      </c>
      <c r="Q48" s="87">
        <v>140.83693814868252</v>
      </c>
      <c r="R48" s="87">
        <v>145.21005345122225</v>
      </c>
      <c r="S48" s="87">
        <v>148.24304356683189</v>
      </c>
      <c r="T48" s="87">
        <v>156.72072479942767</v>
      </c>
      <c r="U48" s="87">
        <v>157.43160276387761</v>
      </c>
      <c r="V48" s="87">
        <v>155.93317974358436</v>
      </c>
      <c r="W48" s="87">
        <v>153.71099886972729</v>
      </c>
      <c r="X48" s="87">
        <v>148.87333312434001</v>
      </c>
      <c r="Y48" s="87">
        <v>144.79556311110395</v>
      </c>
      <c r="DA48" s="171" t="s">
        <v>492</v>
      </c>
    </row>
    <row r="49" spans="1:105" ht="11.45" customHeight="1" x14ac:dyDescent="0.25">
      <c r="A49" s="111" t="s">
        <v>111</v>
      </c>
      <c r="B49" s="87">
        <v>1022.182167535218</v>
      </c>
      <c r="C49" s="87">
        <v>974.97237124268599</v>
      </c>
      <c r="D49" s="87">
        <v>996.1719118170098</v>
      </c>
      <c r="E49" s="87">
        <v>1118.7561436267588</v>
      </c>
      <c r="F49" s="87">
        <v>1363.5809994716781</v>
      </c>
      <c r="G49" s="87">
        <v>1289.1501508085973</v>
      </c>
      <c r="H49" s="87">
        <v>1505.3876516278319</v>
      </c>
      <c r="I49" s="87">
        <v>1725.754199942832</v>
      </c>
      <c r="J49" s="87">
        <v>1909.6176167845947</v>
      </c>
      <c r="K49" s="87">
        <v>1941.708285638535</v>
      </c>
      <c r="L49" s="87">
        <v>1954.4841940556742</v>
      </c>
      <c r="M49" s="87">
        <v>2179.4937402777182</v>
      </c>
      <c r="N49" s="87">
        <v>2323.185439623433</v>
      </c>
      <c r="O49" s="87">
        <v>2336.8429007883565</v>
      </c>
      <c r="P49" s="87">
        <v>2466.0965635635212</v>
      </c>
      <c r="Q49" s="87">
        <v>2756.2815525205224</v>
      </c>
      <c r="R49" s="87">
        <v>2732.458865514122</v>
      </c>
      <c r="S49" s="87">
        <v>2319.8939133547678</v>
      </c>
      <c r="T49" s="87">
        <v>2319.6747001087469</v>
      </c>
      <c r="U49" s="87">
        <v>2264.8756158458882</v>
      </c>
      <c r="V49" s="87">
        <v>2169.6755684753748</v>
      </c>
      <c r="W49" s="87">
        <v>2067.7029756933662</v>
      </c>
      <c r="X49" s="87">
        <v>1913.420855929812</v>
      </c>
      <c r="Y49" s="87">
        <v>1741.1117628754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1.8588161419137046</v>
      </c>
      <c r="S50" s="87">
        <v>6.1170142494155915</v>
      </c>
      <c r="T50" s="87">
        <v>12.204914624395936</v>
      </c>
      <c r="U50" s="87">
        <v>19.889848336345882</v>
      </c>
      <c r="V50" s="87">
        <v>24.58259983850721</v>
      </c>
      <c r="W50" s="87">
        <v>31.99932641454717</v>
      </c>
      <c r="X50" s="87">
        <v>31.710890933060668</v>
      </c>
      <c r="Y50" s="87">
        <v>31.51921631721013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0.72428798066112698</v>
      </c>
      <c r="S51" s="87">
        <v>1.3751568205420712</v>
      </c>
      <c r="T51" s="87">
        <v>2.0570866950482447</v>
      </c>
      <c r="U51" s="87">
        <v>3.1094769882500541</v>
      </c>
      <c r="V51" s="87">
        <v>3.928144323744053</v>
      </c>
      <c r="W51" s="87">
        <v>4.6084415806363195</v>
      </c>
      <c r="X51" s="87">
        <v>4.6606556631470442</v>
      </c>
      <c r="Y51" s="87">
        <v>4.6102499767249769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0.2342417960750813</v>
      </c>
      <c r="O52" s="87">
        <v>0.24185275570093476</v>
      </c>
      <c r="P52" s="87">
        <v>0.24956532560724828</v>
      </c>
      <c r="Q52" s="87">
        <v>0.3161658550117642</v>
      </c>
      <c r="R52" s="87">
        <v>0.42585305536345613</v>
      </c>
      <c r="S52" s="87">
        <v>0.46942031655748673</v>
      </c>
      <c r="T52" s="87">
        <v>0.56397898776432542</v>
      </c>
      <c r="U52" s="87">
        <v>0.76802773911829314</v>
      </c>
      <c r="V52" s="87">
        <v>0.84645634932305125</v>
      </c>
      <c r="W52" s="87">
        <v>0.92654246307485566</v>
      </c>
      <c r="X52" s="87">
        <v>0.95456303574250945</v>
      </c>
      <c r="Y52" s="87">
        <v>1.979642081043018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618.51267385187134</v>
      </c>
      <c r="C53" s="116">
        <f t="shared" ref="C53:V53" si="116">SUM(C54:C55)</f>
        <v>678.34496226906504</v>
      </c>
      <c r="D53" s="116">
        <f t="shared" si="116"/>
        <v>694.00416361038265</v>
      </c>
      <c r="E53" s="116">
        <f t="shared" si="116"/>
        <v>939.99993114881306</v>
      </c>
      <c r="F53" s="116">
        <f t="shared" si="116"/>
        <v>1092.5806991930244</v>
      </c>
      <c r="G53" s="116">
        <f t="shared" si="116"/>
        <v>1175.2130439547841</v>
      </c>
      <c r="H53" s="116">
        <f t="shared" si="116"/>
        <v>1263.7348947156188</v>
      </c>
      <c r="I53" s="116">
        <f t="shared" si="116"/>
        <v>1180.331085920566</v>
      </c>
      <c r="J53" s="116">
        <f t="shared" si="116"/>
        <v>1246.2188542997421</v>
      </c>
      <c r="K53" s="116">
        <f t="shared" si="116"/>
        <v>1097.7286918370978</v>
      </c>
      <c r="L53" s="116">
        <f t="shared" si="116"/>
        <v>1068.655973458649</v>
      </c>
      <c r="M53" s="116">
        <f t="shared" si="116"/>
        <v>1120.2081852281251</v>
      </c>
      <c r="N53" s="116">
        <f t="shared" si="116"/>
        <v>1083.6411701233578</v>
      </c>
      <c r="O53" s="116">
        <f t="shared" si="116"/>
        <v>1173.785739506352</v>
      </c>
      <c r="P53" s="116">
        <f t="shared" si="116"/>
        <v>1108.7571451101687</v>
      </c>
      <c r="Q53" s="116">
        <f t="shared" si="116"/>
        <v>1211.0874590261722</v>
      </c>
      <c r="R53" s="116">
        <f t="shared" si="116"/>
        <v>1189.3455225341686</v>
      </c>
      <c r="S53" s="116">
        <f t="shared" si="116"/>
        <v>1217.6187307856712</v>
      </c>
      <c r="T53" s="116">
        <f t="shared" si="116"/>
        <v>1092.9791133034203</v>
      </c>
      <c r="U53" s="116">
        <f t="shared" si="116"/>
        <v>864.41587264983752</v>
      </c>
      <c r="V53" s="116">
        <f t="shared" si="116"/>
        <v>1098.3437517214186</v>
      </c>
      <c r="W53" s="116">
        <f t="shared" ref="W53:Y53" si="117">SUM(W54:W55)</f>
        <v>1323.2859439762783</v>
      </c>
      <c r="X53" s="116">
        <f t="shared" si="117"/>
        <v>1252.8821492431045</v>
      </c>
      <c r="Y53" s="116">
        <f t="shared" si="117"/>
        <v>1350.5453979087661</v>
      </c>
      <c r="DA53" s="176" t="s">
        <v>497</v>
      </c>
    </row>
    <row r="54" spans="1:105" ht="11.45" customHeight="1" x14ac:dyDescent="0.25">
      <c r="A54" s="128" t="s">
        <v>27</v>
      </c>
      <c r="B54" s="101">
        <v>316.74580772809469</v>
      </c>
      <c r="C54" s="101">
        <v>354.80796996131767</v>
      </c>
      <c r="D54" s="101">
        <v>353.62064426474274</v>
      </c>
      <c r="E54" s="101">
        <v>592.08159758078671</v>
      </c>
      <c r="F54" s="101">
        <v>681.21455181060628</v>
      </c>
      <c r="G54" s="101">
        <v>749.33520428495206</v>
      </c>
      <c r="H54" s="101">
        <v>897</v>
      </c>
      <c r="I54" s="101">
        <v>858</v>
      </c>
      <c r="J54" s="101">
        <v>1056</v>
      </c>
      <c r="K54" s="101">
        <v>920</v>
      </c>
      <c r="L54" s="101">
        <v>873</v>
      </c>
      <c r="M54" s="101">
        <v>893</v>
      </c>
      <c r="N54" s="101">
        <v>872</v>
      </c>
      <c r="O54" s="101">
        <v>907</v>
      </c>
      <c r="P54" s="101">
        <v>860</v>
      </c>
      <c r="Q54" s="101">
        <v>925</v>
      </c>
      <c r="R54" s="101">
        <v>913</v>
      </c>
      <c r="S54" s="101">
        <v>953</v>
      </c>
      <c r="T54" s="101">
        <v>852</v>
      </c>
      <c r="U54" s="101">
        <v>652</v>
      </c>
      <c r="V54" s="101">
        <v>839</v>
      </c>
      <c r="W54" s="101">
        <v>1021</v>
      </c>
      <c r="X54" s="101">
        <v>895</v>
      </c>
      <c r="Y54" s="101">
        <v>984</v>
      </c>
      <c r="DA54" s="175" t="s">
        <v>498</v>
      </c>
    </row>
    <row r="55" spans="1:105" ht="11.45" customHeight="1" x14ac:dyDescent="0.25">
      <c r="A55" s="138" t="s">
        <v>116</v>
      </c>
      <c r="B55" s="88">
        <v>301.76686612377659</v>
      </c>
      <c r="C55" s="88">
        <v>323.53699230774743</v>
      </c>
      <c r="D55" s="88">
        <v>340.38351934563991</v>
      </c>
      <c r="E55" s="88">
        <v>347.91833356802636</v>
      </c>
      <c r="F55" s="88">
        <v>411.36614738241826</v>
      </c>
      <c r="G55" s="88">
        <v>425.87783966983216</v>
      </c>
      <c r="H55" s="88">
        <v>366.73489471561885</v>
      </c>
      <c r="I55" s="88">
        <v>322.33108592056607</v>
      </c>
      <c r="J55" s="88">
        <v>190.21885429974222</v>
      </c>
      <c r="K55" s="88">
        <v>177.72869183709773</v>
      </c>
      <c r="L55" s="88">
        <v>195.6559734586491</v>
      </c>
      <c r="M55" s="88">
        <v>227.20818522812516</v>
      </c>
      <c r="N55" s="88">
        <v>211.64117012335785</v>
      </c>
      <c r="O55" s="88">
        <v>266.78573950635206</v>
      </c>
      <c r="P55" s="88">
        <v>248.75714511016878</v>
      </c>
      <c r="Q55" s="88">
        <v>286.08745902617221</v>
      </c>
      <c r="R55" s="88">
        <v>276.34552253416848</v>
      </c>
      <c r="S55" s="88">
        <v>264.61873078567112</v>
      </c>
      <c r="T55" s="88">
        <v>240.97911330342018</v>
      </c>
      <c r="U55" s="88">
        <v>212.4158726498375</v>
      </c>
      <c r="V55" s="88">
        <v>259.34375172141864</v>
      </c>
      <c r="W55" s="88">
        <v>302.28594397627836</v>
      </c>
      <c r="X55" s="88">
        <v>357.88214924310461</v>
      </c>
      <c r="Y55" s="88">
        <v>366.54539790876618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2235047</v>
      </c>
      <c r="C57" s="54">
        <f t="shared" si="118"/>
        <v>2322787</v>
      </c>
      <c r="D57" s="54">
        <f t="shared" si="118"/>
        <v>2415496.0000000005</v>
      </c>
      <c r="E57" s="54">
        <f t="shared" si="118"/>
        <v>2568532</v>
      </c>
      <c r="F57" s="54">
        <f t="shared" si="118"/>
        <v>2721471</v>
      </c>
      <c r="G57" s="54">
        <f t="shared" si="118"/>
        <v>2821541</v>
      </c>
      <c r="H57" s="54">
        <f t="shared" si="118"/>
        <v>2909618</v>
      </c>
      <c r="I57" s="54">
        <f t="shared" si="118"/>
        <v>3080614.9999999995</v>
      </c>
      <c r="J57" s="54">
        <f t="shared" si="118"/>
        <v>3169289.0000000005</v>
      </c>
      <c r="K57" s="54">
        <f t="shared" si="118"/>
        <v>3178451</v>
      </c>
      <c r="L57" s="54">
        <f t="shared" ref="L57" si="119">L58+L73</f>
        <v>3244798.0000000005</v>
      </c>
      <c r="M57" s="54">
        <f t="shared" ref="M57:V57" si="120">M58+M73</f>
        <v>3340336</v>
      </c>
      <c r="N57" s="54">
        <f t="shared" si="120"/>
        <v>3408246</v>
      </c>
      <c r="O57" s="54">
        <f t="shared" si="120"/>
        <v>3480153.0000000005</v>
      </c>
      <c r="P57" s="54">
        <f t="shared" si="120"/>
        <v>3550197</v>
      </c>
      <c r="Q57" s="54">
        <f t="shared" si="120"/>
        <v>3642847.0000000005</v>
      </c>
      <c r="R57" s="54">
        <f t="shared" si="120"/>
        <v>3694957</v>
      </c>
      <c r="S57" s="54">
        <f t="shared" si="120"/>
        <v>3627776</v>
      </c>
      <c r="T57" s="54">
        <f t="shared" si="120"/>
        <v>3682015</v>
      </c>
      <c r="U57" s="54">
        <f t="shared" si="120"/>
        <v>3694715</v>
      </c>
      <c r="V57" s="54">
        <f t="shared" si="120"/>
        <v>3694962</v>
      </c>
      <c r="W57" s="54">
        <f t="shared" ref="W57:Y57" si="121">W58+W73</f>
        <v>3699374</v>
      </c>
      <c r="X57" s="54">
        <f t="shared" si="121"/>
        <v>3687669</v>
      </c>
      <c r="Y57" s="54">
        <f t="shared" si="121"/>
        <v>3704908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2075067</v>
      </c>
      <c r="C58" s="28">
        <f t="shared" si="122"/>
        <v>2169804</v>
      </c>
      <c r="D58" s="28">
        <f t="shared" si="122"/>
        <v>2262203.0000000005</v>
      </c>
      <c r="E58" s="28">
        <f t="shared" si="122"/>
        <v>2399230</v>
      </c>
      <c r="F58" s="28">
        <f t="shared" si="122"/>
        <v>2527235</v>
      </c>
      <c r="G58" s="28">
        <f t="shared" si="122"/>
        <v>2628281</v>
      </c>
      <c r="H58" s="28">
        <f t="shared" si="122"/>
        <v>2691453</v>
      </c>
      <c r="I58" s="28">
        <f t="shared" si="122"/>
        <v>2843535.9999999995</v>
      </c>
      <c r="J58" s="28">
        <f t="shared" si="122"/>
        <v>2918400.0000000005</v>
      </c>
      <c r="K58" s="28">
        <f t="shared" si="122"/>
        <v>2923186</v>
      </c>
      <c r="L58" s="28">
        <f t="shared" ref="L58" si="123">L59+L60+L67</f>
        <v>2994709.0000000005</v>
      </c>
      <c r="M58" s="28">
        <f t="shared" ref="M58:V58" si="124">M59+M60+M67</f>
        <v>3070108</v>
      </c>
      <c r="N58" s="28">
        <f t="shared" si="124"/>
        <v>3136145</v>
      </c>
      <c r="O58" s="28">
        <f t="shared" si="124"/>
        <v>3208067.0000000005</v>
      </c>
      <c r="P58" s="28">
        <f t="shared" si="124"/>
        <v>3278463</v>
      </c>
      <c r="Q58" s="28">
        <f t="shared" si="124"/>
        <v>3352433.0000000005</v>
      </c>
      <c r="R58" s="28">
        <f t="shared" si="124"/>
        <v>3404192</v>
      </c>
      <c r="S58" s="28">
        <f t="shared" si="124"/>
        <v>3374021</v>
      </c>
      <c r="T58" s="28">
        <f t="shared" si="124"/>
        <v>3422217</v>
      </c>
      <c r="U58" s="28">
        <f t="shared" si="124"/>
        <v>3435831</v>
      </c>
      <c r="V58" s="28">
        <f t="shared" si="124"/>
        <v>3451149</v>
      </c>
      <c r="W58" s="28">
        <f t="shared" ref="W58:Y58" si="125">W59+W60+W67</f>
        <v>3464281</v>
      </c>
      <c r="X58" s="28">
        <f t="shared" si="125"/>
        <v>3463443</v>
      </c>
      <c r="Y58" s="28">
        <f t="shared" si="125"/>
        <v>3492051</v>
      </c>
      <c r="DA58" s="173" t="s">
        <v>501</v>
      </c>
    </row>
    <row r="59" spans="1:105" ht="11.45" customHeight="1" x14ac:dyDescent="0.25">
      <c r="A59" s="136" t="s">
        <v>173</v>
      </c>
      <c r="B59" s="137">
        <v>70362</v>
      </c>
      <c r="C59" s="137">
        <v>71538</v>
      </c>
      <c r="D59" s="137">
        <v>73443</v>
      </c>
      <c r="E59" s="137">
        <v>76082</v>
      </c>
      <c r="F59" s="137">
        <v>75705</v>
      </c>
      <c r="G59" s="137">
        <v>75913</v>
      </c>
      <c r="H59" s="137">
        <v>76254</v>
      </c>
      <c r="I59" s="137">
        <v>90318</v>
      </c>
      <c r="J59" s="137">
        <v>106911</v>
      </c>
      <c r="K59" s="137">
        <v>117595</v>
      </c>
      <c r="L59" s="137">
        <v>125400</v>
      </c>
      <c r="M59" s="137">
        <v>131800</v>
      </c>
      <c r="N59" s="137">
        <v>139800</v>
      </c>
      <c r="O59" s="137">
        <v>147900</v>
      </c>
      <c r="P59" s="137">
        <v>154800</v>
      </c>
      <c r="Q59" s="137">
        <v>163300</v>
      </c>
      <c r="R59" s="137">
        <v>171700</v>
      </c>
      <c r="S59" s="137">
        <v>180900</v>
      </c>
      <c r="T59" s="137">
        <v>190000</v>
      </c>
      <c r="U59" s="137">
        <v>199100</v>
      </c>
      <c r="V59" s="137">
        <v>206300</v>
      </c>
      <c r="W59" s="137">
        <v>212900</v>
      </c>
      <c r="X59" s="137">
        <v>222500</v>
      </c>
      <c r="Y59" s="137">
        <v>238769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1992700</v>
      </c>
      <c r="C60" s="110">
        <f t="shared" si="126"/>
        <v>2085699.9999999998</v>
      </c>
      <c r="D60" s="110">
        <f t="shared" si="126"/>
        <v>2174100.0000000005</v>
      </c>
      <c r="E60" s="110">
        <f t="shared" si="126"/>
        <v>2309300</v>
      </c>
      <c r="F60" s="110">
        <f t="shared" si="126"/>
        <v>2438400</v>
      </c>
      <c r="G60" s="110">
        <f t="shared" si="126"/>
        <v>2538092</v>
      </c>
      <c r="H60" s="110">
        <f t="shared" si="126"/>
        <v>2601444</v>
      </c>
      <c r="I60" s="110">
        <f t="shared" si="126"/>
        <v>2738834.9999999995</v>
      </c>
      <c r="J60" s="110">
        <f t="shared" si="126"/>
        <v>2798240.0000000005</v>
      </c>
      <c r="K60" s="110">
        <f t="shared" si="126"/>
        <v>2791500</v>
      </c>
      <c r="L60" s="110">
        <f t="shared" ref="L60" si="127">SUM(L61:L66)</f>
        <v>2854852.0000000005</v>
      </c>
      <c r="M60" s="110">
        <f t="shared" ref="M60:V60" si="128">SUM(M61:M66)</f>
        <v>2923657</v>
      </c>
      <c r="N60" s="110">
        <f t="shared" si="128"/>
        <v>2981556</v>
      </c>
      <c r="O60" s="110">
        <f t="shared" si="128"/>
        <v>3044908.0000000005</v>
      </c>
      <c r="P60" s="110">
        <f t="shared" si="128"/>
        <v>3108260</v>
      </c>
      <c r="Q60" s="110">
        <f t="shared" si="128"/>
        <v>3173323.0000000005</v>
      </c>
      <c r="R60" s="110">
        <f t="shared" si="128"/>
        <v>3217127</v>
      </c>
      <c r="S60" s="110">
        <f t="shared" si="128"/>
        <v>3179103</v>
      </c>
      <c r="T60" s="110">
        <f t="shared" si="128"/>
        <v>3218599</v>
      </c>
      <c r="U60" s="110">
        <f t="shared" si="128"/>
        <v>3223244</v>
      </c>
      <c r="V60" s="110">
        <f t="shared" si="128"/>
        <v>3230599</v>
      </c>
      <c r="W60" s="110">
        <f t="shared" ref="W60:Y60" si="129">SUM(W61:W66)</f>
        <v>3236850</v>
      </c>
      <c r="X60" s="110">
        <f t="shared" si="129"/>
        <v>3225980</v>
      </c>
      <c r="Y60" s="110">
        <f t="shared" si="129"/>
        <v>3237890</v>
      </c>
      <c r="DA60" s="176" t="s">
        <v>503</v>
      </c>
    </row>
    <row r="61" spans="1:105" ht="11.45" customHeight="1" x14ac:dyDescent="0.25">
      <c r="A61" s="111" t="s">
        <v>110</v>
      </c>
      <c r="B61" s="84">
        <v>1548238</v>
      </c>
      <c r="C61" s="84">
        <v>1548237.9999999998</v>
      </c>
      <c r="D61" s="84">
        <v>1548238.0000000005</v>
      </c>
      <c r="E61" s="84">
        <v>1548238</v>
      </c>
      <c r="F61" s="84">
        <v>1550532</v>
      </c>
      <c r="G61" s="84">
        <v>1554926</v>
      </c>
      <c r="H61" s="84">
        <v>1493935</v>
      </c>
      <c r="I61" s="84">
        <v>1537180.9999999995</v>
      </c>
      <c r="J61" s="84">
        <v>1545111.0000000005</v>
      </c>
      <c r="K61" s="84">
        <v>1498604</v>
      </c>
      <c r="L61" s="84">
        <v>1519546.0000000005</v>
      </c>
      <c r="M61" s="84">
        <v>1440011</v>
      </c>
      <c r="N61" s="84">
        <v>1427572</v>
      </c>
      <c r="O61" s="84">
        <v>1424838.0000000005</v>
      </c>
      <c r="P61" s="84">
        <v>1405601</v>
      </c>
      <c r="Q61" s="84">
        <v>1402348.0000000005</v>
      </c>
      <c r="R61" s="84">
        <v>1388324</v>
      </c>
      <c r="S61" s="84">
        <v>1360558</v>
      </c>
      <c r="T61" s="84">
        <v>1346953</v>
      </c>
      <c r="U61" s="84">
        <v>1326749</v>
      </c>
      <c r="V61" s="84">
        <v>1313482</v>
      </c>
      <c r="W61" s="84">
        <v>1299644</v>
      </c>
      <c r="X61" s="84">
        <v>1286647</v>
      </c>
      <c r="Y61" s="84">
        <v>1273782</v>
      </c>
      <c r="DA61" s="171" t="s">
        <v>504</v>
      </c>
    </row>
    <row r="62" spans="1:105" ht="11.45" customHeight="1" x14ac:dyDescent="0.25">
      <c r="A62" s="111" t="s">
        <v>111</v>
      </c>
      <c r="B62" s="84">
        <v>194462</v>
      </c>
      <c r="C62" s="84">
        <v>196877</v>
      </c>
      <c r="D62" s="84">
        <v>227363</v>
      </c>
      <c r="E62" s="84">
        <v>331952</v>
      </c>
      <c r="F62" s="84">
        <v>428702</v>
      </c>
      <c r="G62" s="84">
        <v>424728</v>
      </c>
      <c r="H62" s="84">
        <v>516538</v>
      </c>
      <c r="I62" s="84">
        <v>623553</v>
      </c>
      <c r="J62" s="84">
        <v>707742</v>
      </c>
      <c r="K62" s="84">
        <v>769726</v>
      </c>
      <c r="L62" s="84">
        <v>758419</v>
      </c>
      <c r="M62" s="84">
        <v>949545</v>
      </c>
      <c r="N62" s="84">
        <v>982678</v>
      </c>
      <c r="O62" s="84">
        <v>1001978</v>
      </c>
      <c r="P62" s="84">
        <v>1001444</v>
      </c>
      <c r="Q62" s="84">
        <v>1036781</v>
      </c>
      <c r="R62" s="84">
        <v>1055445</v>
      </c>
      <c r="S62" s="84">
        <v>1065999</v>
      </c>
      <c r="T62" s="84">
        <v>1144884</v>
      </c>
      <c r="U62" s="84">
        <v>1190680</v>
      </c>
      <c r="V62" s="84">
        <v>1238312</v>
      </c>
      <c r="W62" s="84">
        <v>1287156</v>
      </c>
      <c r="X62" s="84">
        <v>1338642</v>
      </c>
      <c r="Y62" s="84">
        <v>1392188</v>
      </c>
      <c r="DA62" s="171" t="s">
        <v>505</v>
      </c>
    </row>
    <row r="63" spans="1:105" ht="11.45" customHeight="1" x14ac:dyDescent="0.25">
      <c r="A63" s="111" t="s">
        <v>112</v>
      </c>
      <c r="B63" s="84">
        <v>250000</v>
      </c>
      <c r="C63" s="84">
        <v>340585</v>
      </c>
      <c r="D63" s="84">
        <v>398499</v>
      </c>
      <c r="E63" s="84">
        <v>429110</v>
      </c>
      <c r="F63" s="84">
        <v>453466</v>
      </c>
      <c r="G63" s="84">
        <v>537808</v>
      </c>
      <c r="H63" s="84">
        <v>565110</v>
      </c>
      <c r="I63" s="84">
        <v>541466</v>
      </c>
      <c r="J63" s="84">
        <v>511162</v>
      </c>
      <c r="K63" s="84">
        <v>474837</v>
      </c>
      <c r="L63" s="84">
        <v>505675</v>
      </c>
      <c r="M63" s="84">
        <v>469799</v>
      </c>
      <c r="N63" s="84">
        <v>500770</v>
      </c>
      <c r="O63" s="84">
        <v>541779</v>
      </c>
      <c r="P63" s="84">
        <v>596347</v>
      </c>
      <c r="Q63" s="84">
        <v>639677</v>
      </c>
      <c r="R63" s="84">
        <v>684454</v>
      </c>
      <c r="S63" s="84">
        <v>662551</v>
      </c>
      <c r="T63" s="84">
        <v>632736</v>
      </c>
      <c r="U63" s="84">
        <v>604896</v>
      </c>
      <c r="V63" s="84">
        <v>574651</v>
      </c>
      <c r="W63" s="84">
        <v>545918</v>
      </c>
      <c r="X63" s="84">
        <v>518622</v>
      </c>
      <c r="Y63" s="84">
        <v>492691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5700</v>
      </c>
      <c r="G64" s="84">
        <v>20630</v>
      </c>
      <c r="H64" s="84">
        <v>25861</v>
      </c>
      <c r="I64" s="84">
        <v>36635</v>
      </c>
      <c r="J64" s="84">
        <v>34225</v>
      </c>
      <c r="K64" s="84">
        <v>48333</v>
      </c>
      <c r="L64" s="84">
        <v>71212</v>
      </c>
      <c r="M64" s="84">
        <v>64302</v>
      </c>
      <c r="N64" s="84">
        <v>70532</v>
      </c>
      <c r="O64" s="84">
        <v>76309</v>
      </c>
      <c r="P64" s="84">
        <v>104862</v>
      </c>
      <c r="Q64" s="84">
        <v>94493</v>
      </c>
      <c r="R64" s="84">
        <v>88823</v>
      </c>
      <c r="S64" s="84">
        <v>89711</v>
      </c>
      <c r="T64" s="84">
        <v>93299</v>
      </c>
      <c r="U64" s="84">
        <v>99460</v>
      </c>
      <c r="V64" s="84">
        <v>101797</v>
      </c>
      <c r="W64" s="84">
        <v>99470</v>
      </c>
      <c r="X64" s="84">
        <v>75769</v>
      </c>
      <c r="Y64" s="84">
        <v>71634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</v>
      </c>
      <c r="O65" s="84">
        <v>4</v>
      </c>
      <c r="P65" s="84">
        <v>6</v>
      </c>
      <c r="Q65" s="84">
        <v>24</v>
      </c>
      <c r="R65" s="84">
        <v>40</v>
      </c>
      <c r="S65" s="84">
        <v>133</v>
      </c>
      <c r="T65" s="84">
        <v>252</v>
      </c>
      <c r="U65" s="84">
        <v>662</v>
      </c>
      <c r="V65" s="84">
        <v>953</v>
      </c>
      <c r="W65" s="84">
        <v>1293</v>
      </c>
      <c r="X65" s="84">
        <v>1889</v>
      </c>
      <c r="Y65" s="84">
        <v>2232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41</v>
      </c>
      <c r="S66" s="84">
        <v>151</v>
      </c>
      <c r="T66" s="84">
        <v>475</v>
      </c>
      <c r="U66" s="84">
        <v>797</v>
      </c>
      <c r="V66" s="84">
        <v>1404</v>
      </c>
      <c r="W66" s="84">
        <v>3369</v>
      </c>
      <c r="X66" s="84">
        <v>4411</v>
      </c>
      <c r="Y66" s="84">
        <v>5363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12005</v>
      </c>
      <c r="C67" s="110">
        <f t="shared" si="130"/>
        <v>12566</v>
      </c>
      <c r="D67" s="110">
        <f t="shared" si="130"/>
        <v>14660</v>
      </c>
      <c r="E67" s="110">
        <f t="shared" si="130"/>
        <v>13848</v>
      </c>
      <c r="F67" s="110">
        <f t="shared" si="130"/>
        <v>13130</v>
      </c>
      <c r="G67" s="110">
        <f t="shared" si="130"/>
        <v>14276</v>
      </c>
      <c r="H67" s="110">
        <f t="shared" si="130"/>
        <v>13755</v>
      </c>
      <c r="I67" s="110">
        <f t="shared" si="130"/>
        <v>14383</v>
      </c>
      <c r="J67" s="110">
        <f t="shared" si="130"/>
        <v>13249</v>
      </c>
      <c r="K67" s="110">
        <f t="shared" si="130"/>
        <v>14091</v>
      </c>
      <c r="L67" s="110">
        <f t="shared" ref="L67" si="131">SUM(L68:L72)</f>
        <v>14457</v>
      </c>
      <c r="M67" s="110">
        <f t="shared" ref="M67:V67" si="132">SUM(M68:M72)</f>
        <v>14651</v>
      </c>
      <c r="N67" s="110">
        <f t="shared" si="132"/>
        <v>14789</v>
      </c>
      <c r="O67" s="110">
        <f t="shared" si="132"/>
        <v>15259</v>
      </c>
      <c r="P67" s="110">
        <f t="shared" si="132"/>
        <v>15403</v>
      </c>
      <c r="Q67" s="110">
        <f t="shared" si="132"/>
        <v>15810</v>
      </c>
      <c r="R67" s="110">
        <f t="shared" si="132"/>
        <v>15365</v>
      </c>
      <c r="S67" s="110">
        <f t="shared" si="132"/>
        <v>14018</v>
      </c>
      <c r="T67" s="110">
        <f t="shared" si="132"/>
        <v>13618</v>
      </c>
      <c r="U67" s="110">
        <f t="shared" si="132"/>
        <v>13487</v>
      </c>
      <c r="V67" s="110">
        <f t="shared" si="132"/>
        <v>14250</v>
      </c>
      <c r="W67" s="110">
        <f t="shared" ref="W67:Y67" si="133">SUM(W68:W72)</f>
        <v>14531</v>
      </c>
      <c r="X67" s="110">
        <f t="shared" si="133"/>
        <v>14963</v>
      </c>
      <c r="Y67" s="110">
        <f t="shared" si="133"/>
        <v>15392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1508</v>
      </c>
      <c r="S68" s="102">
        <v>1505</v>
      </c>
      <c r="T68" s="102">
        <v>1495</v>
      </c>
      <c r="U68" s="102">
        <v>1479</v>
      </c>
      <c r="V68" s="102">
        <v>1456</v>
      </c>
      <c r="W68" s="102">
        <v>1426</v>
      </c>
      <c r="X68" s="102">
        <v>1389</v>
      </c>
      <c r="Y68" s="102">
        <v>1345</v>
      </c>
      <c r="DA68" s="175" t="s">
        <v>511</v>
      </c>
    </row>
    <row r="69" spans="1:105" ht="11.45" customHeight="1" x14ac:dyDescent="0.25">
      <c r="A69" s="111" t="s">
        <v>111</v>
      </c>
      <c r="B69" s="102">
        <v>12005</v>
      </c>
      <c r="C69" s="102">
        <v>12566</v>
      </c>
      <c r="D69" s="102">
        <v>14660</v>
      </c>
      <c r="E69" s="102">
        <v>13848</v>
      </c>
      <c r="F69" s="102">
        <v>13030</v>
      </c>
      <c r="G69" s="102">
        <v>14017</v>
      </c>
      <c r="H69" s="102">
        <v>13285</v>
      </c>
      <c r="I69" s="102">
        <v>13683</v>
      </c>
      <c r="J69" s="102">
        <v>12540</v>
      </c>
      <c r="K69" s="102">
        <v>13124</v>
      </c>
      <c r="L69" s="102">
        <v>13124</v>
      </c>
      <c r="M69" s="102">
        <v>13366</v>
      </c>
      <c r="N69" s="102">
        <v>13469</v>
      </c>
      <c r="O69" s="102">
        <v>12638</v>
      </c>
      <c r="P69" s="102">
        <v>12504</v>
      </c>
      <c r="Q69" s="102">
        <v>12812</v>
      </c>
      <c r="R69" s="102">
        <v>10951</v>
      </c>
      <c r="S69" s="102">
        <v>9595</v>
      </c>
      <c r="T69" s="102">
        <v>9100</v>
      </c>
      <c r="U69" s="102">
        <v>8704</v>
      </c>
      <c r="V69" s="102">
        <v>9231</v>
      </c>
      <c r="W69" s="102">
        <v>9159</v>
      </c>
      <c r="X69" s="102">
        <v>10617</v>
      </c>
      <c r="Y69" s="102">
        <v>11638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31</v>
      </c>
      <c r="S70" s="102">
        <v>31</v>
      </c>
      <c r="T70" s="102">
        <v>34</v>
      </c>
      <c r="U70" s="102">
        <v>34</v>
      </c>
      <c r="V70" s="102">
        <v>11</v>
      </c>
      <c r="W70" s="102">
        <v>30</v>
      </c>
      <c r="X70" s="102">
        <v>29</v>
      </c>
      <c r="Y70" s="102">
        <v>26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100</v>
      </c>
      <c r="G71" s="102">
        <v>259</v>
      </c>
      <c r="H71" s="102">
        <v>470</v>
      </c>
      <c r="I71" s="102">
        <v>700</v>
      </c>
      <c r="J71" s="102">
        <v>700</v>
      </c>
      <c r="K71" s="102">
        <v>942</v>
      </c>
      <c r="L71" s="102">
        <v>1283</v>
      </c>
      <c r="M71" s="102">
        <v>1230</v>
      </c>
      <c r="N71" s="102">
        <v>1261</v>
      </c>
      <c r="O71" s="102">
        <v>2154</v>
      </c>
      <c r="P71" s="102">
        <v>2284</v>
      </c>
      <c r="Q71" s="102">
        <v>2341</v>
      </c>
      <c r="R71" s="102">
        <v>2224</v>
      </c>
      <c r="S71" s="102">
        <v>2246</v>
      </c>
      <c r="T71" s="102">
        <v>2347</v>
      </c>
      <c r="U71" s="102">
        <v>2605</v>
      </c>
      <c r="V71" s="102">
        <v>2892</v>
      </c>
      <c r="W71" s="102">
        <v>3210</v>
      </c>
      <c r="X71" s="102">
        <v>2247</v>
      </c>
      <c r="Y71" s="102">
        <v>1573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9</v>
      </c>
      <c r="K72" s="102">
        <v>25</v>
      </c>
      <c r="L72" s="102">
        <v>50</v>
      </c>
      <c r="M72" s="102">
        <v>55</v>
      </c>
      <c r="N72" s="102">
        <v>59</v>
      </c>
      <c r="O72" s="102">
        <v>467</v>
      </c>
      <c r="P72" s="102">
        <v>615</v>
      </c>
      <c r="Q72" s="102">
        <v>657</v>
      </c>
      <c r="R72" s="102">
        <v>651</v>
      </c>
      <c r="S72" s="102">
        <v>641</v>
      </c>
      <c r="T72" s="102">
        <v>642</v>
      </c>
      <c r="U72" s="102">
        <v>665</v>
      </c>
      <c r="V72" s="102">
        <v>660</v>
      </c>
      <c r="W72" s="102">
        <v>706</v>
      </c>
      <c r="X72" s="102">
        <v>681</v>
      </c>
      <c r="Y72" s="102">
        <v>810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159980</v>
      </c>
      <c r="C73" s="28">
        <f t="shared" si="134"/>
        <v>152983</v>
      </c>
      <c r="D73" s="28">
        <f t="shared" si="134"/>
        <v>153293</v>
      </c>
      <c r="E73" s="28">
        <f t="shared" si="134"/>
        <v>169302</v>
      </c>
      <c r="F73" s="28">
        <f t="shared" si="134"/>
        <v>194236</v>
      </c>
      <c r="G73" s="28">
        <f t="shared" si="134"/>
        <v>193260</v>
      </c>
      <c r="H73" s="28">
        <f t="shared" si="134"/>
        <v>218165</v>
      </c>
      <c r="I73" s="28">
        <f t="shared" si="134"/>
        <v>237079</v>
      </c>
      <c r="J73" s="28">
        <f t="shared" si="134"/>
        <v>250889</v>
      </c>
      <c r="K73" s="28">
        <f t="shared" si="134"/>
        <v>255265</v>
      </c>
      <c r="L73" s="28">
        <f t="shared" ref="L73" si="135">L74+L80</f>
        <v>250089</v>
      </c>
      <c r="M73" s="28">
        <f t="shared" ref="M73:V73" si="136">M74+M80</f>
        <v>270228</v>
      </c>
      <c r="N73" s="28">
        <f t="shared" si="136"/>
        <v>272101</v>
      </c>
      <c r="O73" s="28">
        <f t="shared" si="136"/>
        <v>272086</v>
      </c>
      <c r="P73" s="28">
        <f t="shared" si="136"/>
        <v>271734</v>
      </c>
      <c r="Q73" s="28">
        <f t="shared" si="136"/>
        <v>290414</v>
      </c>
      <c r="R73" s="28">
        <f t="shared" si="136"/>
        <v>290765</v>
      </c>
      <c r="S73" s="28">
        <f t="shared" si="136"/>
        <v>253755</v>
      </c>
      <c r="T73" s="28">
        <f t="shared" si="136"/>
        <v>259798</v>
      </c>
      <c r="U73" s="28">
        <f t="shared" si="136"/>
        <v>258884</v>
      </c>
      <c r="V73" s="28">
        <f t="shared" si="136"/>
        <v>243813</v>
      </c>
      <c r="W73" s="28">
        <f t="shared" ref="W73:Y73" si="137">W74+W80</f>
        <v>235093</v>
      </c>
      <c r="X73" s="28">
        <f t="shared" si="137"/>
        <v>224226</v>
      </c>
      <c r="Y73" s="28">
        <f t="shared" si="137"/>
        <v>212857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140840</v>
      </c>
      <c r="C74" s="137">
        <f t="shared" si="138"/>
        <v>132389</v>
      </c>
      <c r="D74" s="137">
        <f t="shared" si="138"/>
        <v>130545</v>
      </c>
      <c r="E74" s="137">
        <f t="shared" si="138"/>
        <v>137342</v>
      </c>
      <c r="F74" s="137">
        <f t="shared" si="138"/>
        <v>155406</v>
      </c>
      <c r="G74" s="137">
        <f t="shared" si="138"/>
        <v>151772</v>
      </c>
      <c r="H74" s="137">
        <f t="shared" si="138"/>
        <v>172381</v>
      </c>
      <c r="I74" s="137">
        <f t="shared" si="138"/>
        <v>192982</v>
      </c>
      <c r="J74" s="137">
        <f t="shared" si="138"/>
        <v>202549</v>
      </c>
      <c r="K74" s="137">
        <f t="shared" si="138"/>
        <v>209527</v>
      </c>
      <c r="L74" s="137">
        <f t="shared" ref="L74" si="139">SUM(L75:L79)</f>
        <v>205416</v>
      </c>
      <c r="M74" s="137">
        <f t="shared" ref="M74:V74" si="140">SUM(M75:M79)</f>
        <v>225347</v>
      </c>
      <c r="N74" s="137">
        <f t="shared" si="140"/>
        <v>228773</v>
      </c>
      <c r="O74" s="137">
        <f t="shared" si="140"/>
        <v>228726</v>
      </c>
      <c r="P74" s="137">
        <f t="shared" si="140"/>
        <v>230166</v>
      </c>
      <c r="Q74" s="137">
        <f t="shared" si="140"/>
        <v>247713</v>
      </c>
      <c r="R74" s="137">
        <f t="shared" si="140"/>
        <v>241601</v>
      </c>
      <c r="S74" s="137">
        <f t="shared" si="140"/>
        <v>202442</v>
      </c>
      <c r="T74" s="137">
        <f t="shared" si="140"/>
        <v>196535</v>
      </c>
      <c r="U74" s="137">
        <f t="shared" si="140"/>
        <v>186437</v>
      </c>
      <c r="V74" s="137">
        <f t="shared" si="140"/>
        <v>173589</v>
      </c>
      <c r="W74" s="137">
        <f t="shared" ref="W74:Y74" si="141">SUM(W75:W79)</f>
        <v>161229</v>
      </c>
      <c r="X74" s="137">
        <f t="shared" si="141"/>
        <v>145216</v>
      </c>
      <c r="Y74" s="137">
        <f t="shared" si="141"/>
        <v>129267</v>
      </c>
      <c r="DA74" s="174" t="s">
        <v>517</v>
      </c>
    </row>
    <row r="75" spans="1:105" ht="11.45" customHeight="1" x14ac:dyDescent="0.25">
      <c r="A75" s="111" t="s">
        <v>110</v>
      </c>
      <c r="B75" s="84">
        <v>38366</v>
      </c>
      <c r="C75" s="84">
        <v>38366</v>
      </c>
      <c r="D75" s="84">
        <v>38364</v>
      </c>
      <c r="E75" s="84">
        <v>38343</v>
      </c>
      <c r="F75" s="84">
        <v>38135</v>
      </c>
      <c r="G75" s="84">
        <v>36120</v>
      </c>
      <c r="H75" s="84">
        <v>32617</v>
      </c>
      <c r="I75" s="84">
        <v>28912</v>
      </c>
      <c r="J75" s="84">
        <v>24665</v>
      </c>
      <c r="K75" s="84">
        <v>21421</v>
      </c>
      <c r="L75" s="84">
        <v>16463</v>
      </c>
      <c r="M75" s="84">
        <v>17649</v>
      </c>
      <c r="N75" s="84">
        <v>16629</v>
      </c>
      <c r="O75" s="84">
        <v>15608</v>
      </c>
      <c r="P75" s="84">
        <v>14588</v>
      </c>
      <c r="Q75" s="84">
        <v>17568</v>
      </c>
      <c r="R75" s="84">
        <v>17583</v>
      </c>
      <c r="S75" s="84">
        <v>17564</v>
      </c>
      <c r="T75" s="84">
        <v>18029</v>
      </c>
      <c r="U75" s="84">
        <v>17606</v>
      </c>
      <c r="V75" s="84">
        <v>16969</v>
      </c>
      <c r="W75" s="84">
        <v>16279</v>
      </c>
      <c r="X75" s="84">
        <v>15369</v>
      </c>
      <c r="Y75" s="84">
        <v>14580</v>
      </c>
      <c r="DA75" s="171" t="s">
        <v>518</v>
      </c>
    </row>
    <row r="76" spans="1:105" ht="11.45" customHeight="1" x14ac:dyDescent="0.25">
      <c r="A76" s="111" t="s">
        <v>111</v>
      </c>
      <c r="B76" s="84">
        <v>102474</v>
      </c>
      <c r="C76" s="84">
        <v>94023</v>
      </c>
      <c r="D76" s="84">
        <v>92181</v>
      </c>
      <c r="E76" s="84">
        <v>98999</v>
      </c>
      <c r="F76" s="84">
        <v>117271</v>
      </c>
      <c r="G76" s="84">
        <v>115652</v>
      </c>
      <c r="H76" s="84">
        <v>139764</v>
      </c>
      <c r="I76" s="84">
        <v>164070</v>
      </c>
      <c r="J76" s="84">
        <v>177884</v>
      </c>
      <c r="K76" s="84">
        <v>188106</v>
      </c>
      <c r="L76" s="84">
        <v>188953</v>
      </c>
      <c r="M76" s="84">
        <v>207698</v>
      </c>
      <c r="N76" s="84">
        <v>212112</v>
      </c>
      <c r="O76" s="84">
        <v>213085</v>
      </c>
      <c r="P76" s="84">
        <v>215544</v>
      </c>
      <c r="Q76" s="84">
        <v>230102</v>
      </c>
      <c r="R76" s="84">
        <v>223669</v>
      </c>
      <c r="S76" s="84">
        <v>183972</v>
      </c>
      <c r="T76" s="84">
        <v>176842</v>
      </c>
      <c r="U76" s="84">
        <v>166190</v>
      </c>
      <c r="V76" s="84">
        <v>153385</v>
      </c>
      <c r="W76" s="84">
        <v>140851</v>
      </c>
      <c r="X76" s="84">
        <v>125796</v>
      </c>
      <c r="Y76" s="84">
        <v>110544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210</v>
      </c>
      <c r="S77" s="84">
        <v>690</v>
      </c>
      <c r="T77" s="84">
        <v>1364</v>
      </c>
      <c r="U77" s="84">
        <v>2205</v>
      </c>
      <c r="V77" s="84">
        <v>2706</v>
      </c>
      <c r="W77" s="84">
        <v>3498</v>
      </c>
      <c r="X77" s="84">
        <v>3448</v>
      </c>
      <c r="Y77" s="84">
        <v>3411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81</v>
      </c>
      <c r="S78" s="84">
        <v>152</v>
      </c>
      <c r="T78" s="84">
        <v>223</v>
      </c>
      <c r="U78" s="84">
        <v>331</v>
      </c>
      <c r="V78" s="84">
        <v>411</v>
      </c>
      <c r="W78" s="84">
        <v>474</v>
      </c>
      <c r="X78" s="84">
        <v>472</v>
      </c>
      <c r="Y78" s="84">
        <v>460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32</v>
      </c>
      <c r="O79" s="84">
        <v>33</v>
      </c>
      <c r="P79" s="84">
        <v>34</v>
      </c>
      <c r="Q79" s="84">
        <v>43</v>
      </c>
      <c r="R79" s="84">
        <v>58</v>
      </c>
      <c r="S79" s="84">
        <v>64</v>
      </c>
      <c r="T79" s="84">
        <v>77</v>
      </c>
      <c r="U79" s="84">
        <v>105</v>
      </c>
      <c r="V79" s="84">
        <v>118</v>
      </c>
      <c r="W79" s="84">
        <v>127</v>
      </c>
      <c r="X79" s="84">
        <v>131</v>
      </c>
      <c r="Y79" s="84">
        <v>272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19140</v>
      </c>
      <c r="C80" s="110">
        <f t="shared" si="142"/>
        <v>20594</v>
      </c>
      <c r="D80" s="110">
        <f t="shared" si="142"/>
        <v>22748</v>
      </c>
      <c r="E80" s="110">
        <f t="shared" si="142"/>
        <v>31960</v>
      </c>
      <c r="F80" s="110">
        <f t="shared" si="142"/>
        <v>38830</v>
      </c>
      <c r="G80" s="110">
        <f t="shared" si="142"/>
        <v>41488</v>
      </c>
      <c r="H80" s="110">
        <f t="shared" si="142"/>
        <v>45784</v>
      </c>
      <c r="I80" s="110">
        <f t="shared" si="142"/>
        <v>44097</v>
      </c>
      <c r="J80" s="110">
        <f t="shared" si="142"/>
        <v>48340</v>
      </c>
      <c r="K80" s="110">
        <f t="shared" si="142"/>
        <v>45738</v>
      </c>
      <c r="L80" s="110">
        <f t="shared" ref="L80" si="143">SUM(L81:L82)</f>
        <v>44673</v>
      </c>
      <c r="M80" s="110">
        <f t="shared" ref="M80:V80" si="144">SUM(M81:M82)</f>
        <v>44881</v>
      </c>
      <c r="N80" s="110">
        <f t="shared" si="144"/>
        <v>43328</v>
      </c>
      <c r="O80" s="110">
        <f t="shared" si="144"/>
        <v>43360</v>
      </c>
      <c r="P80" s="110">
        <f t="shared" si="144"/>
        <v>41568</v>
      </c>
      <c r="Q80" s="110">
        <f t="shared" si="144"/>
        <v>42701</v>
      </c>
      <c r="R80" s="110">
        <f t="shared" si="144"/>
        <v>49164</v>
      </c>
      <c r="S80" s="110">
        <f t="shared" si="144"/>
        <v>51313</v>
      </c>
      <c r="T80" s="110">
        <f t="shared" si="144"/>
        <v>63263</v>
      </c>
      <c r="U80" s="110">
        <f t="shared" si="144"/>
        <v>72447</v>
      </c>
      <c r="V80" s="110">
        <f t="shared" si="144"/>
        <v>70224</v>
      </c>
      <c r="W80" s="110">
        <f t="shared" ref="W80:Y80" si="145">SUM(W81:W82)</f>
        <v>73864</v>
      </c>
      <c r="X80" s="110">
        <f t="shared" si="145"/>
        <v>79010</v>
      </c>
      <c r="Y80" s="110">
        <f t="shared" si="145"/>
        <v>83590</v>
      </c>
      <c r="DA80" s="176" t="s">
        <v>523</v>
      </c>
    </row>
    <row r="81" spans="1:105" ht="11.45" customHeight="1" x14ac:dyDescent="0.25">
      <c r="A81" s="128" t="s">
        <v>27</v>
      </c>
      <c r="B81" s="102">
        <v>15590</v>
      </c>
      <c r="C81" s="102">
        <v>16788</v>
      </c>
      <c r="D81" s="102">
        <v>18743</v>
      </c>
      <c r="E81" s="102">
        <v>27867</v>
      </c>
      <c r="F81" s="102">
        <v>33990</v>
      </c>
      <c r="G81" s="102">
        <v>36478</v>
      </c>
      <c r="H81" s="102">
        <v>41469</v>
      </c>
      <c r="I81" s="102">
        <v>40305</v>
      </c>
      <c r="J81" s="102">
        <v>46102</v>
      </c>
      <c r="K81" s="102">
        <v>43647</v>
      </c>
      <c r="L81" s="102">
        <v>42371</v>
      </c>
      <c r="M81" s="102">
        <v>42208</v>
      </c>
      <c r="N81" s="102">
        <v>40838</v>
      </c>
      <c r="O81" s="102">
        <v>40221</v>
      </c>
      <c r="P81" s="102">
        <v>38641</v>
      </c>
      <c r="Q81" s="102">
        <v>39335</v>
      </c>
      <c r="R81" s="102">
        <v>45913</v>
      </c>
      <c r="S81" s="102">
        <v>48200</v>
      </c>
      <c r="T81" s="102">
        <v>60428</v>
      </c>
      <c r="U81" s="102">
        <v>69948</v>
      </c>
      <c r="V81" s="102">
        <v>67173</v>
      </c>
      <c r="W81" s="102">
        <v>70308</v>
      </c>
      <c r="X81" s="102">
        <v>74800</v>
      </c>
      <c r="Y81" s="102">
        <v>79278</v>
      </c>
      <c r="DA81" s="175" t="s">
        <v>524</v>
      </c>
    </row>
    <row r="82" spans="1:105" ht="11.45" customHeight="1" x14ac:dyDescent="0.25">
      <c r="A82" s="138" t="s">
        <v>116</v>
      </c>
      <c r="B82" s="86">
        <v>3550</v>
      </c>
      <c r="C82" s="86">
        <v>3806</v>
      </c>
      <c r="D82" s="86">
        <v>4005</v>
      </c>
      <c r="E82" s="86">
        <v>4093</v>
      </c>
      <c r="F82" s="86">
        <v>4840</v>
      </c>
      <c r="G82" s="86">
        <v>5010</v>
      </c>
      <c r="H82" s="86">
        <v>4315</v>
      </c>
      <c r="I82" s="86">
        <v>3792</v>
      </c>
      <c r="J82" s="86">
        <v>2238</v>
      </c>
      <c r="K82" s="86">
        <v>2091</v>
      </c>
      <c r="L82" s="86">
        <v>2302</v>
      </c>
      <c r="M82" s="86">
        <v>2673</v>
      </c>
      <c r="N82" s="86">
        <v>2490</v>
      </c>
      <c r="O82" s="86">
        <v>3139</v>
      </c>
      <c r="P82" s="86">
        <v>2927</v>
      </c>
      <c r="Q82" s="86">
        <v>3366</v>
      </c>
      <c r="R82" s="86">
        <v>3251</v>
      </c>
      <c r="S82" s="86">
        <v>3113</v>
      </c>
      <c r="T82" s="86">
        <v>2835</v>
      </c>
      <c r="U82" s="86">
        <v>2499</v>
      </c>
      <c r="V82" s="86">
        <v>3051</v>
      </c>
      <c r="W82" s="86">
        <v>3556</v>
      </c>
      <c r="X82" s="86">
        <v>4210</v>
      </c>
      <c r="Y82" s="86">
        <v>4312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2235047</v>
      </c>
      <c r="C84" s="54">
        <f t="shared" si="146"/>
        <v>2322787</v>
      </c>
      <c r="D84" s="54">
        <f t="shared" ref="D84:V84" si="147">D85+D100</f>
        <v>2415496.0000000005</v>
      </c>
      <c r="E84" s="54">
        <f t="shared" si="147"/>
        <v>2568532</v>
      </c>
      <c r="F84" s="54">
        <f t="shared" si="147"/>
        <v>2721471</v>
      </c>
      <c r="G84" s="54">
        <f t="shared" si="147"/>
        <v>2821541</v>
      </c>
      <c r="H84" s="54">
        <f t="shared" si="147"/>
        <v>2909618</v>
      </c>
      <c r="I84" s="54">
        <f t="shared" si="147"/>
        <v>3080614.9999999995</v>
      </c>
      <c r="J84" s="54">
        <f t="shared" si="147"/>
        <v>3169289.0000000005</v>
      </c>
      <c r="K84" s="54">
        <f t="shared" si="147"/>
        <v>3178451</v>
      </c>
      <c r="L84" s="54">
        <f t="shared" si="147"/>
        <v>3244798.0000000005</v>
      </c>
      <c r="M84" s="54">
        <f t="shared" si="147"/>
        <v>3340336</v>
      </c>
      <c r="N84" s="54">
        <f t="shared" si="147"/>
        <v>3408246</v>
      </c>
      <c r="O84" s="54">
        <f t="shared" si="147"/>
        <v>3480153.0000000005</v>
      </c>
      <c r="P84" s="54">
        <f t="shared" si="147"/>
        <v>3550197</v>
      </c>
      <c r="Q84" s="54">
        <f t="shared" si="147"/>
        <v>3642847.0000000005</v>
      </c>
      <c r="R84" s="54">
        <f t="shared" si="147"/>
        <v>3694957</v>
      </c>
      <c r="S84" s="54">
        <f t="shared" si="147"/>
        <v>3627776</v>
      </c>
      <c r="T84" s="54">
        <f t="shared" si="147"/>
        <v>3682015</v>
      </c>
      <c r="U84" s="54">
        <f t="shared" si="147"/>
        <v>3694715</v>
      </c>
      <c r="V84" s="54">
        <f t="shared" si="147"/>
        <v>3694962</v>
      </c>
      <c r="W84" s="54">
        <f t="shared" ref="W84:Y84" si="148">W85+W100</f>
        <v>3699374</v>
      </c>
      <c r="X84" s="54">
        <f t="shared" si="148"/>
        <v>3687669</v>
      </c>
      <c r="Y84" s="54">
        <f t="shared" si="148"/>
        <v>3704908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2075067</v>
      </c>
      <c r="C85" s="28">
        <f t="shared" si="149"/>
        <v>2169804</v>
      </c>
      <c r="D85" s="28">
        <f t="shared" ref="D85:V85" si="150">D86+D87+D94</f>
        <v>2262203.0000000005</v>
      </c>
      <c r="E85" s="28">
        <f t="shared" si="150"/>
        <v>2399230</v>
      </c>
      <c r="F85" s="28">
        <f t="shared" si="150"/>
        <v>2527235</v>
      </c>
      <c r="G85" s="28">
        <f t="shared" si="150"/>
        <v>2628281</v>
      </c>
      <c r="H85" s="28">
        <f t="shared" si="150"/>
        <v>2691453</v>
      </c>
      <c r="I85" s="28">
        <f t="shared" si="150"/>
        <v>2843535.9999999995</v>
      </c>
      <c r="J85" s="28">
        <f t="shared" si="150"/>
        <v>2918400.0000000005</v>
      </c>
      <c r="K85" s="28">
        <f t="shared" si="150"/>
        <v>2923186</v>
      </c>
      <c r="L85" s="28">
        <f t="shared" si="150"/>
        <v>2994709.0000000005</v>
      </c>
      <c r="M85" s="28">
        <f t="shared" si="150"/>
        <v>3070108</v>
      </c>
      <c r="N85" s="28">
        <f t="shared" si="150"/>
        <v>3136145</v>
      </c>
      <c r="O85" s="28">
        <f t="shared" si="150"/>
        <v>3208067.0000000005</v>
      </c>
      <c r="P85" s="28">
        <f t="shared" si="150"/>
        <v>3278463</v>
      </c>
      <c r="Q85" s="28">
        <f t="shared" si="150"/>
        <v>3352433.0000000005</v>
      </c>
      <c r="R85" s="28">
        <f t="shared" si="150"/>
        <v>3404192</v>
      </c>
      <c r="S85" s="28">
        <f t="shared" si="150"/>
        <v>3374021</v>
      </c>
      <c r="T85" s="28">
        <f t="shared" si="150"/>
        <v>3422217</v>
      </c>
      <c r="U85" s="28">
        <f t="shared" si="150"/>
        <v>3435831</v>
      </c>
      <c r="V85" s="28">
        <f t="shared" si="150"/>
        <v>3451149</v>
      </c>
      <c r="W85" s="28">
        <f t="shared" ref="W85:Y85" si="151">W86+W87+W94</f>
        <v>3464281</v>
      </c>
      <c r="X85" s="28">
        <f t="shared" si="151"/>
        <v>3463443</v>
      </c>
      <c r="Y85" s="28">
        <f t="shared" si="151"/>
        <v>3492051</v>
      </c>
      <c r="DA85" s="173"/>
    </row>
    <row r="86" spans="1:105" ht="11.45" hidden="1" customHeight="1" x14ac:dyDescent="0.25">
      <c r="A86" s="136" t="s">
        <v>173</v>
      </c>
      <c r="B86" s="137">
        <v>70362</v>
      </c>
      <c r="C86" s="137">
        <v>71538</v>
      </c>
      <c r="D86" s="137">
        <v>73443</v>
      </c>
      <c r="E86" s="137">
        <v>76082</v>
      </c>
      <c r="F86" s="137">
        <v>75705</v>
      </c>
      <c r="G86" s="137">
        <v>75913</v>
      </c>
      <c r="H86" s="137">
        <v>76254</v>
      </c>
      <c r="I86" s="137">
        <v>90318</v>
      </c>
      <c r="J86" s="137">
        <v>106911</v>
      </c>
      <c r="K86" s="137">
        <v>117595</v>
      </c>
      <c r="L86" s="137">
        <v>125400</v>
      </c>
      <c r="M86" s="137">
        <v>131800</v>
      </c>
      <c r="N86" s="137">
        <v>139800</v>
      </c>
      <c r="O86" s="137">
        <v>147900</v>
      </c>
      <c r="P86" s="137">
        <v>154800</v>
      </c>
      <c r="Q86" s="137">
        <v>163300</v>
      </c>
      <c r="R86" s="137">
        <v>171700</v>
      </c>
      <c r="S86" s="137">
        <v>180900</v>
      </c>
      <c r="T86" s="137">
        <v>190000</v>
      </c>
      <c r="U86" s="137">
        <v>199100</v>
      </c>
      <c r="V86" s="137">
        <v>206300</v>
      </c>
      <c r="W86" s="137">
        <v>212900</v>
      </c>
      <c r="X86" s="137">
        <v>222500</v>
      </c>
      <c r="Y86" s="137">
        <v>238769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1992700</v>
      </c>
      <c r="C87" s="110">
        <f t="shared" si="152"/>
        <v>2085699.9999999998</v>
      </c>
      <c r="D87" s="110">
        <f t="shared" ref="D87:V87" si="153">SUM(D88:D93)</f>
        <v>2174100.0000000005</v>
      </c>
      <c r="E87" s="110">
        <f t="shared" si="153"/>
        <v>2309300</v>
      </c>
      <c r="F87" s="110">
        <f t="shared" si="153"/>
        <v>2438400</v>
      </c>
      <c r="G87" s="110">
        <f t="shared" si="153"/>
        <v>2538092</v>
      </c>
      <c r="H87" s="110">
        <f t="shared" si="153"/>
        <v>2601444</v>
      </c>
      <c r="I87" s="110">
        <f t="shared" si="153"/>
        <v>2738834.9999999995</v>
      </c>
      <c r="J87" s="110">
        <f t="shared" si="153"/>
        <v>2798240.0000000005</v>
      </c>
      <c r="K87" s="110">
        <f t="shared" si="153"/>
        <v>2791500</v>
      </c>
      <c r="L87" s="110">
        <f t="shared" si="153"/>
        <v>2854852.0000000005</v>
      </c>
      <c r="M87" s="110">
        <f t="shared" si="153"/>
        <v>2923657</v>
      </c>
      <c r="N87" s="110">
        <f t="shared" si="153"/>
        <v>2981556</v>
      </c>
      <c r="O87" s="110">
        <f t="shared" si="153"/>
        <v>3044908.0000000005</v>
      </c>
      <c r="P87" s="110">
        <f t="shared" si="153"/>
        <v>3108260</v>
      </c>
      <c r="Q87" s="110">
        <f t="shared" si="153"/>
        <v>3173323.0000000005</v>
      </c>
      <c r="R87" s="110">
        <f t="shared" si="153"/>
        <v>3217127</v>
      </c>
      <c r="S87" s="110">
        <f t="shared" si="153"/>
        <v>3179103</v>
      </c>
      <c r="T87" s="110">
        <f t="shared" si="153"/>
        <v>3218599</v>
      </c>
      <c r="U87" s="110">
        <f t="shared" si="153"/>
        <v>3223244</v>
      </c>
      <c r="V87" s="110">
        <f t="shared" si="153"/>
        <v>3230599</v>
      </c>
      <c r="W87" s="110">
        <f t="shared" ref="W87:Y87" si="154">SUM(W88:W93)</f>
        <v>3236850</v>
      </c>
      <c r="X87" s="110">
        <f t="shared" si="154"/>
        <v>3225980</v>
      </c>
      <c r="Y87" s="110">
        <f t="shared" si="154"/>
        <v>3237890</v>
      </c>
      <c r="DA87" s="176"/>
    </row>
    <row r="88" spans="1:105" ht="11.45" hidden="1" customHeight="1" x14ac:dyDescent="0.25">
      <c r="A88" s="111" t="s">
        <v>110</v>
      </c>
      <c r="B88" s="84">
        <v>1548238</v>
      </c>
      <c r="C88" s="84">
        <v>1548237.9999999998</v>
      </c>
      <c r="D88" s="84">
        <v>1548238.0000000005</v>
      </c>
      <c r="E88" s="84">
        <v>1548238</v>
      </c>
      <c r="F88" s="84">
        <v>1550532</v>
      </c>
      <c r="G88" s="84">
        <v>1554926</v>
      </c>
      <c r="H88" s="84">
        <v>1493935</v>
      </c>
      <c r="I88" s="84">
        <v>1537180.9999999995</v>
      </c>
      <c r="J88" s="84">
        <v>1545111.0000000005</v>
      </c>
      <c r="K88" s="84">
        <v>1498604</v>
      </c>
      <c r="L88" s="84">
        <v>1519546.0000000005</v>
      </c>
      <c r="M88" s="84">
        <v>1440011</v>
      </c>
      <c r="N88" s="84">
        <v>1427572</v>
      </c>
      <c r="O88" s="84">
        <v>1424838.0000000005</v>
      </c>
      <c r="P88" s="84">
        <v>1405601</v>
      </c>
      <c r="Q88" s="84">
        <v>1402348.0000000005</v>
      </c>
      <c r="R88" s="84">
        <v>1388324</v>
      </c>
      <c r="S88" s="84">
        <v>1360558</v>
      </c>
      <c r="T88" s="84">
        <v>1346953</v>
      </c>
      <c r="U88" s="84">
        <v>1326749</v>
      </c>
      <c r="V88" s="84">
        <v>1313482</v>
      </c>
      <c r="W88" s="84">
        <v>1299644</v>
      </c>
      <c r="X88" s="84">
        <v>1286647</v>
      </c>
      <c r="Y88" s="84">
        <v>1273782</v>
      </c>
      <c r="DA88" s="171"/>
    </row>
    <row r="89" spans="1:105" ht="11.45" hidden="1" customHeight="1" x14ac:dyDescent="0.25">
      <c r="A89" s="111" t="s">
        <v>111</v>
      </c>
      <c r="B89" s="84">
        <v>194462</v>
      </c>
      <c r="C89" s="84">
        <v>196877</v>
      </c>
      <c r="D89" s="84">
        <v>227363</v>
      </c>
      <c r="E89" s="84">
        <v>331952</v>
      </c>
      <c r="F89" s="84">
        <v>428702</v>
      </c>
      <c r="G89" s="84">
        <v>424728</v>
      </c>
      <c r="H89" s="84">
        <v>516538</v>
      </c>
      <c r="I89" s="84">
        <v>623553</v>
      </c>
      <c r="J89" s="84">
        <v>707742</v>
      </c>
      <c r="K89" s="84">
        <v>769726</v>
      </c>
      <c r="L89" s="84">
        <v>758419</v>
      </c>
      <c r="M89" s="84">
        <v>949545</v>
      </c>
      <c r="N89" s="84">
        <v>982678</v>
      </c>
      <c r="O89" s="84">
        <v>1001978</v>
      </c>
      <c r="P89" s="84">
        <v>1001444</v>
      </c>
      <c r="Q89" s="84">
        <v>1036781</v>
      </c>
      <c r="R89" s="84">
        <v>1055445</v>
      </c>
      <c r="S89" s="84">
        <v>1065999</v>
      </c>
      <c r="T89" s="84">
        <v>1144884</v>
      </c>
      <c r="U89" s="84">
        <v>1190680</v>
      </c>
      <c r="V89" s="84">
        <v>1238312</v>
      </c>
      <c r="W89" s="84">
        <v>1287156</v>
      </c>
      <c r="X89" s="84">
        <v>1338642</v>
      </c>
      <c r="Y89" s="84">
        <v>1392188</v>
      </c>
      <c r="DA89" s="171"/>
    </row>
    <row r="90" spans="1:105" ht="11.45" hidden="1" customHeight="1" x14ac:dyDescent="0.25">
      <c r="A90" s="111" t="s">
        <v>112</v>
      </c>
      <c r="B90" s="84">
        <v>250000</v>
      </c>
      <c r="C90" s="84">
        <v>340585</v>
      </c>
      <c r="D90" s="84">
        <v>398499</v>
      </c>
      <c r="E90" s="84">
        <v>429110</v>
      </c>
      <c r="F90" s="84">
        <v>453466</v>
      </c>
      <c r="G90" s="84">
        <v>537808</v>
      </c>
      <c r="H90" s="84">
        <v>565110</v>
      </c>
      <c r="I90" s="84">
        <v>541466</v>
      </c>
      <c r="J90" s="84">
        <v>511162</v>
      </c>
      <c r="K90" s="84">
        <v>474837</v>
      </c>
      <c r="L90" s="84">
        <v>505675</v>
      </c>
      <c r="M90" s="84">
        <v>469799</v>
      </c>
      <c r="N90" s="84">
        <v>500770</v>
      </c>
      <c r="O90" s="84">
        <v>541779</v>
      </c>
      <c r="P90" s="84">
        <v>596347</v>
      </c>
      <c r="Q90" s="84">
        <v>639677</v>
      </c>
      <c r="R90" s="84">
        <v>684454</v>
      </c>
      <c r="S90" s="84">
        <v>662551</v>
      </c>
      <c r="T90" s="84">
        <v>632736</v>
      </c>
      <c r="U90" s="84">
        <v>604896</v>
      </c>
      <c r="V90" s="84">
        <v>574651</v>
      </c>
      <c r="W90" s="84">
        <v>545918</v>
      </c>
      <c r="X90" s="84">
        <v>518622</v>
      </c>
      <c r="Y90" s="84">
        <v>492691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5700</v>
      </c>
      <c r="G91" s="84">
        <v>20630</v>
      </c>
      <c r="H91" s="84">
        <v>25861</v>
      </c>
      <c r="I91" s="84">
        <v>36635</v>
      </c>
      <c r="J91" s="84">
        <v>34225</v>
      </c>
      <c r="K91" s="84">
        <v>48333</v>
      </c>
      <c r="L91" s="84">
        <v>71212</v>
      </c>
      <c r="M91" s="84">
        <v>64302</v>
      </c>
      <c r="N91" s="84">
        <v>70532</v>
      </c>
      <c r="O91" s="84">
        <v>76309</v>
      </c>
      <c r="P91" s="84">
        <v>104862</v>
      </c>
      <c r="Q91" s="84">
        <v>94493</v>
      </c>
      <c r="R91" s="84">
        <v>88823</v>
      </c>
      <c r="S91" s="84">
        <v>89711</v>
      </c>
      <c r="T91" s="84">
        <v>93299</v>
      </c>
      <c r="U91" s="84">
        <v>99460</v>
      </c>
      <c r="V91" s="84">
        <v>101797</v>
      </c>
      <c r="W91" s="84">
        <v>99470</v>
      </c>
      <c r="X91" s="84">
        <v>75769</v>
      </c>
      <c r="Y91" s="84">
        <v>71634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</v>
      </c>
      <c r="O92" s="84">
        <v>4</v>
      </c>
      <c r="P92" s="84">
        <v>6</v>
      </c>
      <c r="Q92" s="84">
        <v>24</v>
      </c>
      <c r="R92" s="84">
        <v>40</v>
      </c>
      <c r="S92" s="84">
        <v>133</v>
      </c>
      <c r="T92" s="84">
        <v>252</v>
      </c>
      <c r="U92" s="84">
        <v>662</v>
      </c>
      <c r="V92" s="84">
        <v>953</v>
      </c>
      <c r="W92" s="84">
        <v>1293</v>
      </c>
      <c r="X92" s="84">
        <v>1889</v>
      </c>
      <c r="Y92" s="84">
        <v>2232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41</v>
      </c>
      <c r="S93" s="84">
        <v>151</v>
      </c>
      <c r="T93" s="84">
        <v>475</v>
      </c>
      <c r="U93" s="84">
        <v>797</v>
      </c>
      <c r="V93" s="84">
        <v>1404</v>
      </c>
      <c r="W93" s="84">
        <v>3369</v>
      </c>
      <c r="X93" s="84">
        <v>4411</v>
      </c>
      <c r="Y93" s="84">
        <v>5363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12005</v>
      </c>
      <c r="C94" s="110">
        <f t="shared" si="155"/>
        <v>12566</v>
      </c>
      <c r="D94" s="110">
        <f t="shared" ref="D94:V94" si="156">SUM(D95:D99)</f>
        <v>14660</v>
      </c>
      <c r="E94" s="110">
        <f t="shared" si="156"/>
        <v>13848</v>
      </c>
      <c r="F94" s="110">
        <f t="shared" si="156"/>
        <v>13130</v>
      </c>
      <c r="G94" s="110">
        <f t="shared" si="156"/>
        <v>14276</v>
      </c>
      <c r="H94" s="110">
        <f t="shared" si="156"/>
        <v>13755</v>
      </c>
      <c r="I94" s="110">
        <f t="shared" si="156"/>
        <v>14383</v>
      </c>
      <c r="J94" s="110">
        <f t="shared" si="156"/>
        <v>13249</v>
      </c>
      <c r="K94" s="110">
        <f t="shared" si="156"/>
        <v>14091</v>
      </c>
      <c r="L94" s="110">
        <f t="shared" si="156"/>
        <v>14457</v>
      </c>
      <c r="M94" s="110">
        <f t="shared" si="156"/>
        <v>14651</v>
      </c>
      <c r="N94" s="110">
        <f t="shared" si="156"/>
        <v>14789</v>
      </c>
      <c r="O94" s="110">
        <f t="shared" si="156"/>
        <v>15259</v>
      </c>
      <c r="P94" s="110">
        <f t="shared" si="156"/>
        <v>15403</v>
      </c>
      <c r="Q94" s="110">
        <f t="shared" si="156"/>
        <v>15810</v>
      </c>
      <c r="R94" s="110">
        <f t="shared" si="156"/>
        <v>15365</v>
      </c>
      <c r="S94" s="110">
        <f t="shared" si="156"/>
        <v>14018</v>
      </c>
      <c r="T94" s="110">
        <f t="shared" si="156"/>
        <v>13618</v>
      </c>
      <c r="U94" s="110">
        <f t="shared" si="156"/>
        <v>13487</v>
      </c>
      <c r="V94" s="110">
        <f t="shared" si="156"/>
        <v>14250</v>
      </c>
      <c r="W94" s="110">
        <f t="shared" ref="W94:Y94" si="157">SUM(W95:W99)</f>
        <v>14531</v>
      </c>
      <c r="X94" s="110">
        <f t="shared" si="157"/>
        <v>14963</v>
      </c>
      <c r="Y94" s="110">
        <f t="shared" si="157"/>
        <v>15392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1508</v>
      </c>
      <c r="S95" s="102">
        <v>1505</v>
      </c>
      <c r="T95" s="102">
        <v>1495</v>
      </c>
      <c r="U95" s="102">
        <v>1479</v>
      </c>
      <c r="V95" s="102">
        <v>1456</v>
      </c>
      <c r="W95" s="102">
        <v>1426</v>
      </c>
      <c r="X95" s="102">
        <v>1389</v>
      </c>
      <c r="Y95" s="102">
        <v>1345</v>
      </c>
      <c r="DA95" s="175"/>
    </row>
    <row r="96" spans="1:105" ht="11.45" hidden="1" customHeight="1" x14ac:dyDescent="0.25">
      <c r="A96" s="111" t="s">
        <v>111</v>
      </c>
      <c r="B96" s="102">
        <v>12005</v>
      </c>
      <c r="C96" s="102">
        <v>12566</v>
      </c>
      <c r="D96" s="102">
        <v>14660</v>
      </c>
      <c r="E96" s="102">
        <v>13848</v>
      </c>
      <c r="F96" s="102">
        <v>13030</v>
      </c>
      <c r="G96" s="102">
        <v>14017</v>
      </c>
      <c r="H96" s="102">
        <v>13285</v>
      </c>
      <c r="I96" s="102">
        <v>13683</v>
      </c>
      <c r="J96" s="102">
        <v>12540</v>
      </c>
      <c r="K96" s="102">
        <v>13124</v>
      </c>
      <c r="L96" s="102">
        <v>13124</v>
      </c>
      <c r="M96" s="102">
        <v>13366</v>
      </c>
      <c r="N96" s="102">
        <v>13469</v>
      </c>
      <c r="O96" s="102">
        <v>12638</v>
      </c>
      <c r="P96" s="102">
        <v>12504</v>
      </c>
      <c r="Q96" s="102">
        <v>12812</v>
      </c>
      <c r="R96" s="102">
        <v>10951</v>
      </c>
      <c r="S96" s="102">
        <v>9595</v>
      </c>
      <c r="T96" s="102">
        <v>9100</v>
      </c>
      <c r="U96" s="102">
        <v>8704</v>
      </c>
      <c r="V96" s="102">
        <v>9231</v>
      </c>
      <c r="W96" s="102">
        <v>9159</v>
      </c>
      <c r="X96" s="102">
        <v>10617</v>
      </c>
      <c r="Y96" s="102">
        <v>11638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31</v>
      </c>
      <c r="S97" s="102">
        <v>31</v>
      </c>
      <c r="T97" s="102">
        <v>34</v>
      </c>
      <c r="U97" s="102">
        <v>34</v>
      </c>
      <c r="V97" s="102">
        <v>11</v>
      </c>
      <c r="W97" s="102">
        <v>30</v>
      </c>
      <c r="X97" s="102">
        <v>29</v>
      </c>
      <c r="Y97" s="102">
        <v>26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100</v>
      </c>
      <c r="G98" s="102">
        <v>259</v>
      </c>
      <c r="H98" s="102">
        <v>470</v>
      </c>
      <c r="I98" s="102">
        <v>700</v>
      </c>
      <c r="J98" s="102">
        <v>700</v>
      </c>
      <c r="K98" s="102">
        <v>942</v>
      </c>
      <c r="L98" s="102">
        <v>1283</v>
      </c>
      <c r="M98" s="102">
        <v>1230</v>
      </c>
      <c r="N98" s="102">
        <v>1261</v>
      </c>
      <c r="O98" s="102">
        <v>2154</v>
      </c>
      <c r="P98" s="102">
        <v>2284</v>
      </c>
      <c r="Q98" s="102">
        <v>2341</v>
      </c>
      <c r="R98" s="102">
        <v>2224</v>
      </c>
      <c r="S98" s="102">
        <v>2246</v>
      </c>
      <c r="T98" s="102">
        <v>2347</v>
      </c>
      <c r="U98" s="102">
        <v>2605</v>
      </c>
      <c r="V98" s="102">
        <v>2892</v>
      </c>
      <c r="W98" s="102">
        <v>3210</v>
      </c>
      <c r="X98" s="102">
        <v>2247</v>
      </c>
      <c r="Y98" s="102">
        <v>1573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9</v>
      </c>
      <c r="K99" s="102">
        <v>25</v>
      </c>
      <c r="L99" s="102">
        <v>50</v>
      </c>
      <c r="M99" s="102">
        <v>55</v>
      </c>
      <c r="N99" s="102">
        <v>59</v>
      </c>
      <c r="O99" s="102">
        <v>467</v>
      </c>
      <c r="P99" s="102">
        <v>615</v>
      </c>
      <c r="Q99" s="102">
        <v>657</v>
      </c>
      <c r="R99" s="102">
        <v>651</v>
      </c>
      <c r="S99" s="102">
        <v>641</v>
      </c>
      <c r="T99" s="102">
        <v>642</v>
      </c>
      <c r="U99" s="102">
        <v>665</v>
      </c>
      <c r="V99" s="102">
        <v>660</v>
      </c>
      <c r="W99" s="102">
        <v>706</v>
      </c>
      <c r="X99" s="102">
        <v>681</v>
      </c>
      <c r="Y99" s="102">
        <v>810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159980</v>
      </c>
      <c r="C100" s="28">
        <f t="shared" si="158"/>
        <v>152983</v>
      </c>
      <c r="D100" s="28">
        <f t="shared" ref="D100:V100" si="159">D101+D107</f>
        <v>153293</v>
      </c>
      <c r="E100" s="28">
        <f t="shared" si="159"/>
        <v>169302</v>
      </c>
      <c r="F100" s="28">
        <f t="shared" si="159"/>
        <v>194236</v>
      </c>
      <c r="G100" s="28">
        <f t="shared" si="159"/>
        <v>193260</v>
      </c>
      <c r="H100" s="28">
        <f t="shared" si="159"/>
        <v>218165</v>
      </c>
      <c r="I100" s="28">
        <f t="shared" si="159"/>
        <v>237079</v>
      </c>
      <c r="J100" s="28">
        <f t="shared" si="159"/>
        <v>250889</v>
      </c>
      <c r="K100" s="28">
        <f t="shared" si="159"/>
        <v>255265</v>
      </c>
      <c r="L100" s="28">
        <f t="shared" si="159"/>
        <v>250089</v>
      </c>
      <c r="M100" s="28">
        <f t="shared" si="159"/>
        <v>270228</v>
      </c>
      <c r="N100" s="28">
        <f t="shared" si="159"/>
        <v>272101</v>
      </c>
      <c r="O100" s="28">
        <f t="shared" si="159"/>
        <v>272086</v>
      </c>
      <c r="P100" s="28">
        <f t="shared" si="159"/>
        <v>271734</v>
      </c>
      <c r="Q100" s="28">
        <f t="shared" si="159"/>
        <v>290414</v>
      </c>
      <c r="R100" s="28">
        <f t="shared" si="159"/>
        <v>290765</v>
      </c>
      <c r="S100" s="28">
        <f t="shared" si="159"/>
        <v>253755</v>
      </c>
      <c r="T100" s="28">
        <f t="shared" si="159"/>
        <v>259798</v>
      </c>
      <c r="U100" s="28">
        <f t="shared" si="159"/>
        <v>258884</v>
      </c>
      <c r="V100" s="28">
        <f t="shared" si="159"/>
        <v>243813</v>
      </c>
      <c r="W100" s="28">
        <f t="shared" ref="W100:Y100" si="160">W101+W107</f>
        <v>235093</v>
      </c>
      <c r="X100" s="28">
        <f t="shared" si="160"/>
        <v>224226</v>
      </c>
      <c r="Y100" s="28">
        <f t="shared" si="160"/>
        <v>212857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140840</v>
      </c>
      <c r="C101" s="137">
        <f t="shared" si="161"/>
        <v>132389</v>
      </c>
      <c r="D101" s="137">
        <f t="shared" ref="D101:V101" si="162">SUM(D102:D106)</f>
        <v>130545</v>
      </c>
      <c r="E101" s="137">
        <f t="shared" si="162"/>
        <v>137342</v>
      </c>
      <c r="F101" s="137">
        <f t="shared" si="162"/>
        <v>155406</v>
      </c>
      <c r="G101" s="137">
        <f t="shared" si="162"/>
        <v>151772</v>
      </c>
      <c r="H101" s="137">
        <f t="shared" si="162"/>
        <v>172381</v>
      </c>
      <c r="I101" s="137">
        <f t="shared" si="162"/>
        <v>192982</v>
      </c>
      <c r="J101" s="137">
        <f t="shared" si="162"/>
        <v>202549</v>
      </c>
      <c r="K101" s="137">
        <f t="shared" si="162"/>
        <v>209527</v>
      </c>
      <c r="L101" s="137">
        <f t="shared" si="162"/>
        <v>205416</v>
      </c>
      <c r="M101" s="137">
        <f t="shared" si="162"/>
        <v>225347</v>
      </c>
      <c r="N101" s="137">
        <f t="shared" si="162"/>
        <v>228773</v>
      </c>
      <c r="O101" s="137">
        <f t="shared" si="162"/>
        <v>228726</v>
      </c>
      <c r="P101" s="137">
        <f t="shared" si="162"/>
        <v>230166</v>
      </c>
      <c r="Q101" s="137">
        <f t="shared" si="162"/>
        <v>247713</v>
      </c>
      <c r="R101" s="137">
        <f t="shared" si="162"/>
        <v>241601</v>
      </c>
      <c r="S101" s="137">
        <f t="shared" si="162"/>
        <v>202442</v>
      </c>
      <c r="T101" s="137">
        <f t="shared" si="162"/>
        <v>196535</v>
      </c>
      <c r="U101" s="137">
        <f t="shared" si="162"/>
        <v>186437</v>
      </c>
      <c r="V101" s="137">
        <f t="shared" si="162"/>
        <v>173589</v>
      </c>
      <c r="W101" s="137">
        <f t="shared" ref="W101:Y101" si="163">SUM(W102:W106)</f>
        <v>161229</v>
      </c>
      <c r="X101" s="137">
        <f t="shared" si="163"/>
        <v>145216</v>
      </c>
      <c r="Y101" s="137">
        <f t="shared" si="163"/>
        <v>129267</v>
      </c>
      <c r="DA101" s="174"/>
    </row>
    <row r="102" spans="1:105" ht="11.45" hidden="1" customHeight="1" x14ac:dyDescent="0.25">
      <c r="A102" s="111" t="s">
        <v>110</v>
      </c>
      <c r="B102" s="84">
        <v>38366</v>
      </c>
      <c r="C102" s="84">
        <v>38366</v>
      </c>
      <c r="D102" s="84">
        <v>38364</v>
      </c>
      <c r="E102" s="84">
        <v>38343</v>
      </c>
      <c r="F102" s="84">
        <v>38135</v>
      </c>
      <c r="G102" s="84">
        <v>36120</v>
      </c>
      <c r="H102" s="84">
        <v>32617</v>
      </c>
      <c r="I102" s="84">
        <v>28912</v>
      </c>
      <c r="J102" s="84">
        <v>24665</v>
      </c>
      <c r="K102" s="84">
        <v>21421</v>
      </c>
      <c r="L102" s="84">
        <v>16463</v>
      </c>
      <c r="M102" s="84">
        <v>17649</v>
      </c>
      <c r="N102" s="84">
        <v>16629</v>
      </c>
      <c r="O102" s="84">
        <v>15608</v>
      </c>
      <c r="P102" s="84">
        <v>14588</v>
      </c>
      <c r="Q102" s="84">
        <v>17568</v>
      </c>
      <c r="R102" s="84">
        <v>17583</v>
      </c>
      <c r="S102" s="84">
        <v>17564</v>
      </c>
      <c r="T102" s="84">
        <v>18029</v>
      </c>
      <c r="U102" s="84">
        <v>17606</v>
      </c>
      <c r="V102" s="84">
        <v>16969</v>
      </c>
      <c r="W102" s="84">
        <v>16279</v>
      </c>
      <c r="X102" s="84">
        <v>15369</v>
      </c>
      <c r="Y102" s="84">
        <v>14580</v>
      </c>
      <c r="DA102" s="171"/>
    </row>
    <row r="103" spans="1:105" ht="11.45" hidden="1" customHeight="1" x14ac:dyDescent="0.25">
      <c r="A103" s="111" t="s">
        <v>111</v>
      </c>
      <c r="B103" s="84">
        <v>102474</v>
      </c>
      <c r="C103" s="84">
        <v>94023</v>
      </c>
      <c r="D103" s="84">
        <v>92181</v>
      </c>
      <c r="E103" s="84">
        <v>98999</v>
      </c>
      <c r="F103" s="84">
        <v>117271</v>
      </c>
      <c r="G103" s="84">
        <v>115652</v>
      </c>
      <c r="H103" s="84">
        <v>139764</v>
      </c>
      <c r="I103" s="84">
        <v>164070</v>
      </c>
      <c r="J103" s="84">
        <v>177884</v>
      </c>
      <c r="K103" s="84">
        <v>188106</v>
      </c>
      <c r="L103" s="84">
        <v>188953</v>
      </c>
      <c r="M103" s="84">
        <v>207698</v>
      </c>
      <c r="N103" s="84">
        <v>212112</v>
      </c>
      <c r="O103" s="84">
        <v>213085</v>
      </c>
      <c r="P103" s="84">
        <v>215544</v>
      </c>
      <c r="Q103" s="84">
        <v>230102</v>
      </c>
      <c r="R103" s="84">
        <v>223669</v>
      </c>
      <c r="S103" s="84">
        <v>183972</v>
      </c>
      <c r="T103" s="84">
        <v>176842</v>
      </c>
      <c r="U103" s="84">
        <v>166190</v>
      </c>
      <c r="V103" s="84">
        <v>153385</v>
      </c>
      <c r="W103" s="84">
        <v>140851</v>
      </c>
      <c r="X103" s="84">
        <v>125796</v>
      </c>
      <c r="Y103" s="84">
        <v>110544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210</v>
      </c>
      <c r="S104" s="84">
        <v>690</v>
      </c>
      <c r="T104" s="84">
        <v>1364</v>
      </c>
      <c r="U104" s="84">
        <v>2205</v>
      </c>
      <c r="V104" s="84">
        <v>2706</v>
      </c>
      <c r="W104" s="84">
        <v>3498</v>
      </c>
      <c r="X104" s="84">
        <v>3448</v>
      </c>
      <c r="Y104" s="84">
        <v>3411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81</v>
      </c>
      <c r="S105" s="84">
        <v>152</v>
      </c>
      <c r="T105" s="84">
        <v>223</v>
      </c>
      <c r="U105" s="84">
        <v>331</v>
      </c>
      <c r="V105" s="84">
        <v>411</v>
      </c>
      <c r="W105" s="84">
        <v>474</v>
      </c>
      <c r="X105" s="84">
        <v>472</v>
      </c>
      <c r="Y105" s="84">
        <v>460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32</v>
      </c>
      <c r="O106" s="84">
        <v>33</v>
      </c>
      <c r="P106" s="84">
        <v>34</v>
      </c>
      <c r="Q106" s="84">
        <v>43</v>
      </c>
      <c r="R106" s="84">
        <v>58</v>
      </c>
      <c r="S106" s="84">
        <v>64</v>
      </c>
      <c r="T106" s="84">
        <v>77</v>
      </c>
      <c r="U106" s="84">
        <v>105</v>
      </c>
      <c r="V106" s="84">
        <v>118</v>
      </c>
      <c r="W106" s="84">
        <v>127</v>
      </c>
      <c r="X106" s="84">
        <v>131</v>
      </c>
      <c r="Y106" s="84">
        <v>272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19140</v>
      </c>
      <c r="C107" s="110">
        <f t="shared" si="164"/>
        <v>20594</v>
      </c>
      <c r="D107" s="110">
        <f t="shared" ref="D107:V107" si="165">SUM(D108:D109)</f>
        <v>22748</v>
      </c>
      <c r="E107" s="110">
        <f t="shared" si="165"/>
        <v>31960</v>
      </c>
      <c r="F107" s="110">
        <f t="shared" si="165"/>
        <v>38830</v>
      </c>
      <c r="G107" s="110">
        <f t="shared" si="165"/>
        <v>41488</v>
      </c>
      <c r="H107" s="110">
        <f t="shared" si="165"/>
        <v>45784</v>
      </c>
      <c r="I107" s="110">
        <f t="shared" si="165"/>
        <v>44097</v>
      </c>
      <c r="J107" s="110">
        <f t="shared" si="165"/>
        <v>48340</v>
      </c>
      <c r="K107" s="110">
        <f t="shared" si="165"/>
        <v>45738</v>
      </c>
      <c r="L107" s="110">
        <f t="shared" si="165"/>
        <v>44673</v>
      </c>
      <c r="M107" s="110">
        <f t="shared" si="165"/>
        <v>44881</v>
      </c>
      <c r="N107" s="110">
        <f t="shared" si="165"/>
        <v>43328</v>
      </c>
      <c r="O107" s="110">
        <f t="shared" si="165"/>
        <v>43360</v>
      </c>
      <c r="P107" s="110">
        <f t="shared" si="165"/>
        <v>41568</v>
      </c>
      <c r="Q107" s="110">
        <f t="shared" si="165"/>
        <v>42701</v>
      </c>
      <c r="R107" s="110">
        <f t="shared" si="165"/>
        <v>49164</v>
      </c>
      <c r="S107" s="110">
        <f t="shared" si="165"/>
        <v>51313</v>
      </c>
      <c r="T107" s="110">
        <f t="shared" si="165"/>
        <v>63263</v>
      </c>
      <c r="U107" s="110">
        <f t="shared" si="165"/>
        <v>72447</v>
      </c>
      <c r="V107" s="110">
        <f t="shared" si="165"/>
        <v>70224</v>
      </c>
      <c r="W107" s="110">
        <f t="shared" ref="W107:Y107" si="166">SUM(W108:W109)</f>
        <v>73864</v>
      </c>
      <c r="X107" s="110">
        <f t="shared" si="166"/>
        <v>79010</v>
      </c>
      <c r="Y107" s="110">
        <f t="shared" si="166"/>
        <v>83590</v>
      </c>
      <c r="DA107" s="176"/>
    </row>
    <row r="108" spans="1:105" ht="11.45" hidden="1" customHeight="1" x14ac:dyDescent="0.25">
      <c r="A108" s="128" t="s">
        <v>27</v>
      </c>
      <c r="B108" s="102">
        <v>15590</v>
      </c>
      <c r="C108" s="102">
        <v>16788</v>
      </c>
      <c r="D108" s="102">
        <v>18743</v>
      </c>
      <c r="E108" s="102">
        <v>27867</v>
      </c>
      <c r="F108" s="102">
        <v>33990</v>
      </c>
      <c r="G108" s="102">
        <v>36478</v>
      </c>
      <c r="H108" s="102">
        <v>41469</v>
      </c>
      <c r="I108" s="102">
        <v>40305</v>
      </c>
      <c r="J108" s="102">
        <v>46102</v>
      </c>
      <c r="K108" s="102">
        <v>43647</v>
      </c>
      <c r="L108" s="102">
        <v>42371</v>
      </c>
      <c r="M108" s="102">
        <v>42208</v>
      </c>
      <c r="N108" s="102">
        <v>40838</v>
      </c>
      <c r="O108" s="102">
        <v>40221</v>
      </c>
      <c r="P108" s="102">
        <v>38641</v>
      </c>
      <c r="Q108" s="102">
        <v>39335</v>
      </c>
      <c r="R108" s="102">
        <v>45913</v>
      </c>
      <c r="S108" s="102">
        <v>48200</v>
      </c>
      <c r="T108" s="102">
        <v>60428</v>
      </c>
      <c r="U108" s="102">
        <v>69948</v>
      </c>
      <c r="V108" s="102">
        <v>67173</v>
      </c>
      <c r="W108" s="102">
        <v>70308</v>
      </c>
      <c r="X108" s="102">
        <v>74800</v>
      </c>
      <c r="Y108" s="102">
        <v>79278</v>
      </c>
      <c r="DA108" s="175"/>
    </row>
    <row r="109" spans="1:105" ht="11.45" hidden="1" customHeight="1" x14ac:dyDescent="0.25">
      <c r="A109" s="138" t="s">
        <v>116</v>
      </c>
      <c r="B109" s="86">
        <v>3550</v>
      </c>
      <c r="C109" s="86">
        <v>3806</v>
      </c>
      <c r="D109" s="86">
        <v>4005</v>
      </c>
      <c r="E109" s="86">
        <v>4093</v>
      </c>
      <c r="F109" s="86">
        <v>4840</v>
      </c>
      <c r="G109" s="86">
        <v>5010</v>
      </c>
      <c r="H109" s="86">
        <v>4315</v>
      </c>
      <c r="I109" s="86">
        <v>3792</v>
      </c>
      <c r="J109" s="86">
        <v>2238</v>
      </c>
      <c r="K109" s="86">
        <v>2091</v>
      </c>
      <c r="L109" s="86">
        <v>2302</v>
      </c>
      <c r="M109" s="86">
        <v>2673</v>
      </c>
      <c r="N109" s="86">
        <v>2490</v>
      </c>
      <c r="O109" s="86">
        <v>3139</v>
      </c>
      <c r="P109" s="86">
        <v>2927</v>
      </c>
      <c r="Q109" s="86">
        <v>3366</v>
      </c>
      <c r="R109" s="86">
        <v>3251</v>
      </c>
      <c r="S109" s="86">
        <v>3113</v>
      </c>
      <c r="T109" s="86">
        <v>2835</v>
      </c>
      <c r="U109" s="86">
        <v>2499</v>
      </c>
      <c r="V109" s="86">
        <v>3051</v>
      </c>
      <c r="W109" s="86">
        <v>3556</v>
      </c>
      <c r="X109" s="86">
        <v>4210</v>
      </c>
      <c r="Y109" s="86">
        <v>4312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108434</v>
      </c>
      <c r="C111" s="54">
        <f t="shared" si="167"/>
        <v>136855</v>
      </c>
      <c r="D111" s="54">
        <f t="shared" si="167"/>
        <v>154530</v>
      </c>
      <c r="E111" s="54">
        <f t="shared" si="167"/>
        <v>244060</v>
      </c>
      <c r="F111" s="54">
        <f t="shared" si="167"/>
        <v>249943</v>
      </c>
      <c r="G111" s="54">
        <f t="shared" si="167"/>
        <v>184648.99999999997</v>
      </c>
      <c r="H111" s="54">
        <f t="shared" si="167"/>
        <v>271960</v>
      </c>
      <c r="I111" s="54">
        <f t="shared" si="167"/>
        <v>404596</v>
      </c>
      <c r="J111" s="54">
        <f t="shared" si="167"/>
        <v>379686</v>
      </c>
      <c r="K111" s="54">
        <f t="shared" si="167"/>
        <v>244852</v>
      </c>
      <c r="L111" s="54">
        <f t="shared" ref="L111" si="168">L112+L127</f>
        <v>222587</v>
      </c>
      <c r="M111" s="54">
        <f t="shared" ref="M111:V111" si="169">M112+M127</f>
        <v>365418</v>
      </c>
      <c r="N111" s="54">
        <f t="shared" si="169"/>
        <v>242857</v>
      </c>
      <c r="O111" s="54">
        <f t="shared" si="169"/>
        <v>251302.99999999997</v>
      </c>
      <c r="P111" s="54">
        <f t="shared" si="169"/>
        <v>254699</v>
      </c>
      <c r="Q111" s="54">
        <f t="shared" si="169"/>
        <v>325801</v>
      </c>
      <c r="R111" s="54">
        <f t="shared" si="169"/>
        <v>229830</v>
      </c>
      <c r="S111" s="54">
        <f t="shared" si="169"/>
        <v>178256</v>
      </c>
      <c r="T111" s="54">
        <f t="shared" si="169"/>
        <v>228000</v>
      </c>
      <c r="U111" s="54">
        <f t="shared" si="169"/>
        <v>208405</v>
      </c>
      <c r="V111" s="54">
        <f t="shared" si="169"/>
        <v>184606</v>
      </c>
      <c r="W111" s="54">
        <f t="shared" ref="W111:Y111" si="170">W112+W127</f>
        <v>177663</v>
      </c>
      <c r="X111" s="54">
        <f t="shared" si="170"/>
        <v>173363</v>
      </c>
      <c r="Y111" s="54">
        <f t="shared" si="170"/>
        <v>178659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108079</v>
      </c>
      <c r="C112" s="28">
        <f t="shared" si="171"/>
        <v>131604</v>
      </c>
      <c r="D112" s="28">
        <f t="shared" si="171"/>
        <v>148335</v>
      </c>
      <c r="E112" s="28">
        <f t="shared" si="171"/>
        <v>218433</v>
      </c>
      <c r="F112" s="28">
        <f t="shared" si="171"/>
        <v>211987</v>
      </c>
      <c r="G112" s="28">
        <f t="shared" si="171"/>
        <v>171928.99999999997</v>
      </c>
      <c r="H112" s="28">
        <f t="shared" si="171"/>
        <v>234450</v>
      </c>
      <c r="I112" s="28">
        <f t="shared" si="171"/>
        <v>370382</v>
      </c>
      <c r="J112" s="28">
        <f t="shared" si="171"/>
        <v>350171</v>
      </c>
      <c r="K112" s="28">
        <f t="shared" si="171"/>
        <v>222082</v>
      </c>
      <c r="L112" s="28">
        <f t="shared" ref="L112" si="172">L113+L114+L121</f>
        <v>209209</v>
      </c>
      <c r="M112" s="28">
        <f t="shared" ref="M112:V112" si="173">M113+M114+M121</f>
        <v>330948</v>
      </c>
      <c r="N112" s="28">
        <f t="shared" si="173"/>
        <v>222854</v>
      </c>
      <c r="O112" s="28">
        <f t="shared" si="173"/>
        <v>233717.99999999997</v>
      </c>
      <c r="P112" s="28">
        <f t="shared" si="173"/>
        <v>236448</v>
      </c>
      <c r="Q112" s="28">
        <f t="shared" si="173"/>
        <v>287968</v>
      </c>
      <c r="R112" s="28">
        <f t="shared" si="173"/>
        <v>193762</v>
      </c>
      <c r="S112" s="28">
        <f t="shared" si="173"/>
        <v>148507</v>
      </c>
      <c r="T112" s="28">
        <f t="shared" si="173"/>
        <v>187891</v>
      </c>
      <c r="U112" s="28">
        <f t="shared" si="173"/>
        <v>180373</v>
      </c>
      <c r="V112" s="28">
        <f t="shared" si="173"/>
        <v>164713</v>
      </c>
      <c r="W112" s="28">
        <f t="shared" ref="W112:Y112" si="174">W113+W114+W121</f>
        <v>157542</v>
      </c>
      <c r="X112" s="28">
        <f t="shared" si="174"/>
        <v>155216</v>
      </c>
      <c r="Y112" s="28">
        <f t="shared" si="174"/>
        <v>162665</v>
      </c>
      <c r="DA112" s="173" t="s">
        <v>527</v>
      </c>
    </row>
    <row r="113" spans="1:105" ht="11.45" customHeight="1" x14ac:dyDescent="0.25">
      <c r="A113" s="136" t="s">
        <v>173</v>
      </c>
      <c r="B113" s="137">
        <v>1514</v>
      </c>
      <c r="C113" s="137">
        <v>2923</v>
      </c>
      <c r="D113" s="137">
        <v>3901</v>
      </c>
      <c r="E113" s="137">
        <v>4899</v>
      </c>
      <c r="F113" s="137">
        <v>1002</v>
      </c>
      <c r="G113" s="137">
        <v>1759</v>
      </c>
      <c r="H113" s="137">
        <v>1939</v>
      </c>
      <c r="I113" s="137">
        <v>19922</v>
      </c>
      <c r="J113" s="137">
        <v>23512</v>
      </c>
      <c r="K113" s="137">
        <v>16097</v>
      </c>
      <c r="L113" s="137">
        <v>12535</v>
      </c>
      <c r="M113" s="137">
        <v>10848</v>
      </c>
      <c r="N113" s="137">
        <v>13070</v>
      </c>
      <c r="O113" s="137">
        <v>13358</v>
      </c>
      <c r="P113" s="137">
        <v>11946</v>
      </c>
      <c r="Q113" s="137">
        <v>14177</v>
      </c>
      <c r="R113" s="137">
        <v>14214</v>
      </c>
      <c r="S113" s="137">
        <v>15427</v>
      </c>
      <c r="T113" s="137">
        <v>15476</v>
      </c>
      <c r="U113" s="137">
        <v>15655</v>
      </c>
      <c r="V113" s="137">
        <v>13345</v>
      </c>
      <c r="W113" s="137">
        <v>12700</v>
      </c>
      <c r="X113" s="137">
        <v>16760</v>
      </c>
      <c r="Y113" s="137">
        <v>25685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106553</v>
      </c>
      <c r="C114" s="110">
        <f t="shared" si="175"/>
        <v>127333</v>
      </c>
      <c r="D114" s="110">
        <f t="shared" si="175"/>
        <v>141512</v>
      </c>
      <c r="E114" s="110">
        <f t="shared" si="175"/>
        <v>213480</v>
      </c>
      <c r="F114" s="110">
        <f t="shared" si="175"/>
        <v>210803</v>
      </c>
      <c r="G114" s="110">
        <f t="shared" si="175"/>
        <v>168101.99999999997</v>
      </c>
      <c r="H114" s="110">
        <f t="shared" si="175"/>
        <v>232095</v>
      </c>
      <c r="I114" s="110">
        <f t="shared" si="175"/>
        <v>348887</v>
      </c>
      <c r="J114" s="110">
        <f t="shared" si="175"/>
        <v>326595</v>
      </c>
      <c r="K114" s="110">
        <f t="shared" si="175"/>
        <v>204454</v>
      </c>
      <c r="L114" s="110">
        <f t="shared" ref="L114" si="176">SUM(L115:L120)</f>
        <v>195380</v>
      </c>
      <c r="M114" s="110">
        <f t="shared" ref="M114:V114" si="177">SUM(M115:M120)</f>
        <v>318955</v>
      </c>
      <c r="N114" s="110">
        <f t="shared" si="177"/>
        <v>208768</v>
      </c>
      <c r="O114" s="110">
        <f t="shared" si="177"/>
        <v>219018.99999999997</v>
      </c>
      <c r="P114" s="110">
        <f t="shared" si="177"/>
        <v>223486</v>
      </c>
      <c r="Q114" s="110">
        <f t="shared" si="177"/>
        <v>272521</v>
      </c>
      <c r="R114" s="110">
        <f t="shared" si="177"/>
        <v>178006</v>
      </c>
      <c r="S114" s="110">
        <f t="shared" si="177"/>
        <v>132803</v>
      </c>
      <c r="T114" s="110">
        <f t="shared" si="177"/>
        <v>171982</v>
      </c>
      <c r="U114" s="110">
        <f t="shared" si="177"/>
        <v>164103</v>
      </c>
      <c r="V114" s="110">
        <f t="shared" si="177"/>
        <v>150441</v>
      </c>
      <c r="W114" s="110">
        <f t="shared" ref="W114:Y114" si="178">SUM(W115:W120)</f>
        <v>144111</v>
      </c>
      <c r="X114" s="110">
        <f t="shared" si="178"/>
        <v>136998</v>
      </c>
      <c r="Y114" s="110">
        <f t="shared" si="178"/>
        <v>135622</v>
      </c>
      <c r="DA114" s="176" t="s">
        <v>529</v>
      </c>
    </row>
    <row r="115" spans="1:105" ht="11.45" customHeight="1" x14ac:dyDescent="0.25">
      <c r="A115" s="111" t="s">
        <v>110</v>
      </c>
      <c r="B115" s="84">
        <v>28553</v>
      </c>
      <c r="C115" s="84">
        <v>985</v>
      </c>
      <c r="D115" s="84">
        <v>21761</v>
      </c>
      <c r="E115" s="84">
        <v>49538</v>
      </c>
      <c r="F115" s="84">
        <v>55920</v>
      </c>
      <c r="G115" s="84">
        <v>28690.999999999971</v>
      </c>
      <c r="H115" s="84">
        <v>72028</v>
      </c>
      <c r="I115" s="84">
        <v>192741</v>
      </c>
      <c r="J115" s="84">
        <v>184126</v>
      </c>
      <c r="K115" s="84">
        <v>76157</v>
      </c>
      <c r="L115" s="84">
        <v>57548</v>
      </c>
      <c r="M115" s="84">
        <v>90508</v>
      </c>
      <c r="N115" s="84">
        <v>56519</v>
      </c>
      <c r="O115" s="84">
        <v>59859.999999999971</v>
      </c>
      <c r="P115" s="84">
        <v>35244</v>
      </c>
      <c r="Q115" s="84">
        <v>56404</v>
      </c>
      <c r="R115" s="84">
        <v>49364</v>
      </c>
      <c r="S115" s="84">
        <v>37885</v>
      </c>
      <c r="T115" s="84">
        <v>54136</v>
      </c>
      <c r="U115" s="84">
        <v>50897</v>
      </c>
      <c r="V115" s="84">
        <v>47951</v>
      </c>
      <c r="W115" s="84">
        <v>48427</v>
      </c>
      <c r="X115" s="84">
        <v>48093</v>
      </c>
      <c r="Y115" s="84">
        <v>49774</v>
      </c>
      <c r="DA115" s="171" t="s">
        <v>530</v>
      </c>
    </row>
    <row r="116" spans="1:105" ht="11.45" customHeight="1" x14ac:dyDescent="0.25">
      <c r="A116" s="111" t="s">
        <v>111</v>
      </c>
      <c r="B116" s="84">
        <v>30000</v>
      </c>
      <c r="C116" s="84">
        <v>10763</v>
      </c>
      <c r="D116" s="84">
        <v>36837</v>
      </c>
      <c r="E116" s="84">
        <v>108331</v>
      </c>
      <c r="F116" s="84">
        <v>101489</v>
      </c>
      <c r="G116" s="84">
        <v>18332</v>
      </c>
      <c r="H116" s="84">
        <v>106250</v>
      </c>
      <c r="I116" s="84">
        <v>145225</v>
      </c>
      <c r="J116" s="84">
        <v>142469</v>
      </c>
      <c r="K116" s="84">
        <v>110805</v>
      </c>
      <c r="L116" s="84">
        <v>35148</v>
      </c>
      <c r="M116" s="84">
        <v>207678</v>
      </c>
      <c r="N116" s="84">
        <v>54049</v>
      </c>
      <c r="O116" s="84">
        <v>50228</v>
      </c>
      <c r="P116" s="84">
        <v>46793</v>
      </c>
      <c r="Q116" s="84">
        <v>121103</v>
      </c>
      <c r="R116" s="84">
        <v>77572</v>
      </c>
      <c r="S116" s="84">
        <v>59715</v>
      </c>
      <c r="T116" s="84">
        <v>85467</v>
      </c>
      <c r="U116" s="84">
        <v>79808</v>
      </c>
      <c r="V116" s="84">
        <v>74457</v>
      </c>
      <c r="W116" s="84">
        <v>70142</v>
      </c>
      <c r="X116" s="84">
        <v>65737</v>
      </c>
      <c r="Y116" s="84">
        <v>62462</v>
      </c>
      <c r="DA116" s="171" t="s">
        <v>531</v>
      </c>
    </row>
    <row r="117" spans="1:105" ht="11.45" customHeight="1" x14ac:dyDescent="0.25">
      <c r="A117" s="111" t="s">
        <v>112</v>
      </c>
      <c r="B117" s="84">
        <v>48000</v>
      </c>
      <c r="C117" s="84">
        <v>115585</v>
      </c>
      <c r="D117" s="84">
        <v>82914</v>
      </c>
      <c r="E117" s="84">
        <v>55611</v>
      </c>
      <c r="F117" s="84">
        <v>47694</v>
      </c>
      <c r="G117" s="84">
        <v>106139</v>
      </c>
      <c r="H117" s="84">
        <v>48527</v>
      </c>
      <c r="I117" s="84">
        <v>0</v>
      </c>
      <c r="J117" s="84">
        <v>0</v>
      </c>
      <c r="K117" s="84">
        <v>3275</v>
      </c>
      <c r="L117" s="84">
        <v>79521</v>
      </c>
      <c r="M117" s="84">
        <v>20180</v>
      </c>
      <c r="N117" s="84">
        <v>91954</v>
      </c>
      <c r="O117" s="84">
        <v>103029</v>
      </c>
      <c r="P117" s="84">
        <v>112776</v>
      </c>
      <c r="Q117" s="84">
        <v>94252</v>
      </c>
      <c r="R117" s="84">
        <v>50896</v>
      </c>
      <c r="S117" s="84">
        <v>34100</v>
      </c>
      <c r="T117" s="84">
        <v>28303</v>
      </c>
      <c r="U117" s="84">
        <v>26322</v>
      </c>
      <c r="V117" s="84">
        <v>24479</v>
      </c>
      <c r="W117" s="84">
        <v>22765</v>
      </c>
      <c r="X117" s="84">
        <v>21171</v>
      </c>
      <c r="Y117" s="84">
        <v>19689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5700</v>
      </c>
      <c r="G118" s="84">
        <v>14940</v>
      </c>
      <c r="H118" s="84">
        <v>5290</v>
      </c>
      <c r="I118" s="84">
        <v>10921</v>
      </c>
      <c r="J118" s="84">
        <v>0</v>
      </c>
      <c r="K118" s="84">
        <v>14217</v>
      </c>
      <c r="L118" s="84">
        <v>23163</v>
      </c>
      <c r="M118" s="84">
        <v>589</v>
      </c>
      <c r="N118" s="84">
        <v>6242</v>
      </c>
      <c r="O118" s="84">
        <v>5902</v>
      </c>
      <c r="P118" s="84">
        <v>28671</v>
      </c>
      <c r="Q118" s="84">
        <v>744</v>
      </c>
      <c r="R118" s="84">
        <v>93</v>
      </c>
      <c r="S118" s="84">
        <v>893</v>
      </c>
      <c r="T118" s="84">
        <v>3633</v>
      </c>
      <c r="U118" s="84">
        <v>6343</v>
      </c>
      <c r="V118" s="84">
        <v>2654</v>
      </c>
      <c r="W118" s="84">
        <v>329</v>
      </c>
      <c r="X118" s="84">
        <v>96</v>
      </c>
      <c r="Y118" s="84">
        <v>83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</v>
      </c>
      <c r="O119" s="84">
        <v>0</v>
      </c>
      <c r="P119" s="84">
        <v>2</v>
      </c>
      <c r="Q119" s="84">
        <v>18</v>
      </c>
      <c r="R119" s="84">
        <v>40</v>
      </c>
      <c r="S119" s="84">
        <v>100</v>
      </c>
      <c r="T119" s="84">
        <v>119</v>
      </c>
      <c r="U119" s="84">
        <v>411</v>
      </c>
      <c r="V119" s="84">
        <v>292</v>
      </c>
      <c r="W119" s="84">
        <v>481</v>
      </c>
      <c r="X119" s="84">
        <v>820</v>
      </c>
      <c r="Y119" s="84">
        <v>1232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41</v>
      </c>
      <c r="S120" s="84">
        <v>110</v>
      </c>
      <c r="T120" s="84">
        <v>324</v>
      </c>
      <c r="U120" s="84">
        <v>322</v>
      </c>
      <c r="V120" s="84">
        <v>608</v>
      </c>
      <c r="W120" s="84">
        <v>1967</v>
      </c>
      <c r="X120" s="84">
        <v>1081</v>
      </c>
      <c r="Y120" s="84">
        <v>2382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12</v>
      </c>
      <c r="C121" s="110">
        <f t="shared" si="179"/>
        <v>1348</v>
      </c>
      <c r="D121" s="110">
        <f t="shared" si="179"/>
        <v>2922</v>
      </c>
      <c r="E121" s="110">
        <f t="shared" si="179"/>
        <v>54</v>
      </c>
      <c r="F121" s="110">
        <f t="shared" si="179"/>
        <v>182</v>
      </c>
      <c r="G121" s="110">
        <f t="shared" si="179"/>
        <v>2068</v>
      </c>
      <c r="H121" s="110">
        <f t="shared" si="179"/>
        <v>416</v>
      </c>
      <c r="I121" s="110">
        <f t="shared" si="179"/>
        <v>1573</v>
      </c>
      <c r="J121" s="110">
        <f t="shared" si="179"/>
        <v>64</v>
      </c>
      <c r="K121" s="110">
        <f t="shared" si="179"/>
        <v>1531</v>
      </c>
      <c r="L121" s="110">
        <f t="shared" ref="L121" si="180">SUM(L122:L126)</f>
        <v>1294</v>
      </c>
      <c r="M121" s="110">
        <f t="shared" ref="M121:V121" si="181">SUM(M122:M126)</f>
        <v>1145</v>
      </c>
      <c r="N121" s="110">
        <f t="shared" si="181"/>
        <v>1016</v>
      </c>
      <c r="O121" s="110">
        <f t="shared" si="181"/>
        <v>1341</v>
      </c>
      <c r="P121" s="110">
        <f t="shared" si="181"/>
        <v>1016</v>
      </c>
      <c r="Q121" s="110">
        <f t="shared" si="181"/>
        <v>1270</v>
      </c>
      <c r="R121" s="110">
        <f t="shared" si="181"/>
        <v>1542</v>
      </c>
      <c r="S121" s="110">
        <f t="shared" si="181"/>
        <v>277</v>
      </c>
      <c r="T121" s="110">
        <f t="shared" si="181"/>
        <v>433</v>
      </c>
      <c r="U121" s="110">
        <f t="shared" si="181"/>
        <v>615</v>
      </c>
      <c r="V121" s="110">
        <f t="shared" si="181"/>
        <v>927</v>
      </c>
      <c r="W121" s="110">
        <f t="shared" ref="W121:Y121" si="182">SUM(W122:W126)</f>
        <v>731</v>
      </c>
      <c r="X121" s="110">
        <f t="shared" si="182"/>
        <v>1458</v>
      </c>
      <c r="Y121" s="110">
        <f t="shared" si="182"/>
        <v>1358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1508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12</v>
      </c>
      <c r="C123" s="102">
        <v>1348</v>
      </c>
      <c r="D123" s="102">
        <v>2922</v>
      </c>
      <c r="E123" s="102">
        <v>54</v>
      </c>
      <c r="F123" s="102">
        <v>82</v>
      </c>
      <c r="G123" s="102">
        <v>1909</v>
      </c>
      <c r="H123" s="102">
        <v>204</v>
      </c>
      <c r="I123" s="102">
        <v>1340</v>
      </c>
      <c r="J123" s="102">
        <v>50</v>
      </c>
      <c r="K123" s="102">
        <v>1265</v>
      </c>
      <c r="L123" s="102">
        <v>916</v>
      </c>
      <c r="M123" s="102">
        <v>1140</v>
      </c>
      <c r="N123" s="102">
        <v>980</v>
      </c>
      <c r="O123" s="102">
        <v>24</v>
      </c>
      <c r="P123" s="102">
        <v>700</v>
      </c>
      <c r="Q123" s="102">
        <v>1119</v>
      </c>
      <c r="R123" s="102">
        <v>2</v>
      </c>
      <c r="S123" s="102">
        <v>247</v>
      </c>
      <c r="T123" s="102">
        <v>236</v>
      </c>
      <c r="U123" s="102">
        <v>230</v>
      </c>
      <c r="V123" s="102">
        <v>527</v>
      </c>
      <c r="W123" s="102">
        <v>215</v>
      </c>
      <c r="X123" s="102">
        <v>1458</v>
      </c>
      <c r="Y123" s="102">
        <v>1229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31</v>
      </c>
      <c r="S124" s="102">
        <v>0</v>
      </c>
      <c r="T124" s="102">
        <v>3</v>
      </c>
      <c r="U124" s="102">
        <v>0</v>
      </c>
      <c r="V124" s="102">
        <v>0</v>
      </c>
      <c r="W124" s="102">
        <v>19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100</v>
      </c>
      <c r="G125" s="102">
        <v>159</v>
      </c>
      <c r="H125" s="102">
        <v>212</v>
      </c>
      <c r="I125" s="102">
        <v>233</v>
      </c>
      <c r="J125" s="102">
        <v>5</v>
      </c>
      <c r="K125" s="102">
        <v>250</v>
      </c>
      <c r="L125" s="102">
        <v>353</v>
      </c>
      <c r="M125" s="102">
        <v>0</v>
      </c>
      <c r="N125" s="102">
        <v>31</v>
      </c>
      <c r="O125" s="102">
        <v>909</v>
      </c>
      <c r="P125" s="102">
        <v>166</v>
      </c>
      <c r="Q125" s="102">
        <v>104</v>
      </c>
      <c r="R125" s="102">
        <v>0</v>
      </c>
      <c r="S125" s="102">
        <v>30</v>
      </c>
      <c r="T125" s="102">
        <v>180</v>
      </c>
      <c r="U125" s="102">
        <v>346</v>
      </c>
      <c r="V125" s="102">
        <v>386</v>
      </c>
      <c r="W125" s="102">
        <v>428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9</v>
      </c>
      <c r="K126" s="102">
        <v>16</v>
      </c>
      <c r="L126" s="102">
        <v>25</v>
      </c>
      <c r="M126" s="102">
        <v>5</v>
      </c>
      <c r="N126" s="102">
        <v>5</v>
      </c>
      <c r="O126" s="102">
        <v>408</v>
      </c>
      <c r="P126" s="102">
        <v>150</v>
      </c>
      <c r="Q126" s="102">
        <v>47</v>
      </c>
      <c r="R126" s="102">
        <v>1</v>
      </c>
      <c r="S126" s="102">
        <v>0</v>
      </c>
      <c r="T126" s="102">
        <v>14</v>
      </c>
      <c r="U126" s="102">
        <v>39</v>
      </c>
      <c r="V126" s="102">
        <v>14</v>
      </c>
      <c r="W126" s="102">
        <v>69</v>
      </c>
      <c r="X126" s="102">
        <v>0</v>
      </c>
      <c r="Y126" s="102">
        <v>129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355</v>
      </c>
      <c r="C127" s="28">
        <f t="shared" si="183"/>
        <v>5251</v>
      </c>
      <c r="D127" s="28">
        <f t="shared" si="183"/>
        <v>6195</v>
      </c>
      <c r="E127" s="28">
        <f t="shared" si="183"/>
        <v>25627</v>
      </c>
      <c r="F127" s="28">
        <f t="shared" si="183"/>
        <v>37956</v>
      </c>
      <c r="G127" s="28">
        <f t="shared" si="183"/>
        <v>12720</v>
      </c>
      <c r="H127" s="28">
        <f t="shared" si="183"/>
        <v>37510</v>
      </c>
      <c r="I127" s="28">
        <f t="shared" si="183"/>
        <v>34214</v>
      </c>
      <c r="J127" s="28">
        <f t="shared" si="183"/>
        <v>29515</v>
      </c>
      <c r="K127" s="28">
        <f t="shared" si="183"/>
        <v>22770</v>
      </c>
      <c r="L127" s="28">
        <f t="shared" ref="L127" si="184">L128+L134</f>
        <v>13378</v>
      </c>
      <c r="M127" s="28">
        <f t="shared" ref="M127:V127" si="185">M128+M134</f>
        <v>34470</v>
      </c>
      <c r="N127" s="28">
        <f t="shared" si="185"/>
        <v>20003</v>
      </c>
      <c r="O127" s="28">
        <f t="shared" si="185"/>
        <v>17585</v>
      </c>
      <c r="P127" s="28">
        <f t="shared" si="185"/>
        <v>18251</v>
      </c>
      <c r="Q127" s="28">
        <f t="shared" si="185"/>
        <v>37833</v>
      </c>
      <c r="R127" s="28">
        <f t="shared" si="185"/>
        <v>36068</v>
      </c>
      <c r="S127" s="28">
        <f t="shared" si="185"/>
        <v>29749</v>
      </c>
      <c r="T127" s="28">
        <f t="shared" si="185"/>
        <v>40109</v>
      </c>
      <c r="U127" s="28">
        <f t="shared" si="185"/>
        <v>28032</v>
      </c>
      <c r="V127" s="28">
        <f t="shared" si="185"/>
        <v>19893</v>
      </c>
      <c r="W127" s="28">
        <f t="shared" ref="W127:Y127" si="186">W128+W134</f>
        <v>20121</v>
      </c>
      <c r="X127" s="28">
        <f t="shared" si="186"/>
        <v>18147</v>
      </c>
      <c r="Y127" s="28">
        <f t="shared" si="186"/>
        <v>15994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2039</v>
      </c>
      <c r="D128" s="137">
        <f t="shared" si="187"/>
        <v>3650</v>
      </c>
      <c r="E128" s="137">
        <f t="shared" si="187"/>
        <v>16193</v>
      </c>
      <c r="F128" s="137">
        <f t="shared" si="187"/>
        <v>28247</v>
      </c>
      <c r="G128" s="137">
        <f t="shared" si="187"/>
        <v>7280</v>
      </c>
      <c r="H128" s="137">
        <f t="shared" si="187"/>
        <v>32519</v>
      </c>
      <c r="I128" s="137">
        <f t="shared" si="187"/>
        <v>33164</v>
      </c>
      <c r="J128" s="137">
        <f t="shared" si="187"/>
        <v>23175</v>
      </c>
      <c r="K128" s="137">
        <f t="shared" si="187"/>
        <v>20118</v>
      </c>
      <c r="L128" s="137">
        <f t="shared" ref="L128" si="188">SUM(L129:L133)</f>
        <v>11281</v>
      </c>
      <c r="M128" s="137">
        <f t="shared" ref="M128:V128" si="189">SUM(M129:M133)</f>
        <v>30879</v>
      </c>
      <c r="N128" s="137">
        <f t="shared" si="189"/>
        <v>17546</v>
      </c>
      <c r="O128" s="137">
        <f t="shared" si="189"/>
        <v>14107</v>
      </c>
      <c r="P128" s="137">
        <f t="shared" si="189"/>
        <v>16727</v>
      </c>
      <c r="Q128" s="137">
        <f t="shared" si="189"/>
        <v>31753</v>
      </c>
      <c r="R128" s="137">
        <f t="shared" si="189"/>
        <v>27479</v>
      </c>
      <c r="S128" s="137">
        <f t="shared" si="189"/>
        <v>25766</v>
      </c>
      <c r="T128" s="137">
        <f t="shared" si="189"/>
        <v>27881</v>
      </c>
      <c r="U128" s="137">
        <f t="shared" si="189"/>
        <v>17892</v>
      </c>
      <c r="V128" s="137">
        <f t="shared" si="189"/>
        <v>10912</v>
      </c>
      <c r="W128" s="137">
        <f t="shared" ref="W128:Y128" si="190">SUM(W129:W133)</f>
        <v>13722</v>
      </c>
      <c r="X128" s="137">
        <f t="shared" si="190"/>
        <v>9603</v>
      </c>
      <c r="Y128" s="137">
        <f t="shared" si="190"/>
        <v>9641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2039</v>
      </c>
      <c r="D129" s="84">
        <v>2318</v>
      </c>
      <c r="E129" s="84">
        <v>2558</v>
      </c>
      <c r="F129" s="84">
        <v>2599</v>
      </c>
      <c r="G129" s="84">
        <v>982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1186</v>
      </c>
      <c r="N129" s="84">
        <v>1617</v>
      </c>
      <c r="O129" s="84">
        <v>1060</v>
      </c>
      <c r="P129" s="84">
        <v>1594</v>
      </c>
      <c r="Q129" s="84">
        <v>3900</v>
      </c>
      <c r="R129" s="84">
        <v>3211</v>
      </c>
      <c r="S129" s="84">
        <v>2750</v>
      </c>
      <c r="T129" s="84">
        <v>3289</v>
      </c>
      <c r="U129" s="84">
        <v>1573</v>
      </c>
      <c r="V129" s="84">
        <v>746</v>
      </c>
      <c r="W129" s="84">
        <v>773</v>
      </c>
      <c r="X129" s="84">
        <v>877</v>
      </c>
      <c r="Y129" s="84">
        <v>1019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0</v>
      </c>
      <c r="D130" s="84">
        <v>1332</v>
      </c>
      <c r="E130" s="84">
        <v>13635</v>
      </c>
      <c r="F130" s="84">
        <v>25648</v>
      </c>
      <c r="G130" s="84">
        <v>6298</v>
      </c>
      <c r="H130" s="84">
        <v>32519</v>
      </c>
      <c r="I130" s="84">
        <v>33164</v>
      </c>
      <c r="J130" s="84">
        <v>23175</v>
      </c>
      <c r="K130" s="84">
        <v>20118</v>
      </c>
      <c r="L130" s="84">
        <v>11281</v>
      </c>
      <c r="M130" s="84">
        <v>29693</v>
      </c>
      <c r="N130" s="84">
        <v>15897</v>
      </c>
      <c r="O130" s="84">
        <v>13046</v>
      </c>
      <c r="P130" s="84">
        <v>15132</v>
      </c>
      <c r="Q130" s="84">
        <v>27844</v>
      </c>
      <c r="R130" s="84">
        <v>23962</v>
      </c>
      <c r="S130" s="84">
        <v>22458</v>
      </c>
      <c r="T130" s="84">
        <v>23829</v>
      </c>
      <c r="U130" s="84">
        <v>15327</v>
      </c>
      <c r="V130" s="84">
        <v>9544</v>
      </c>
      <c r="W130" s="84">
        <v>12020</v>
      </c>
      <c r="X130" s="84">
        <v>8651</v>
      </c>
      <c r="Y130" s="84">
        <v>8425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210</v>
      </c>
      <c r="S131" s="84">
        <v>481</v>
      </c>
      <c r="T131" s="84">
        <v>677</v>
      </c>
      <c r="U131" s="84">
        <v>852</v>
      </c>
      <c r="V131" s="84">
        <v>524</v>
      </c>
      <c r="W131" s="84">
        <v>833</v>
      </c>
      <c r="X131" s="84">
        <v>13</v>
      </c>
      <c r="Y131" s="84">
        <v>53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81</v>
      </c>
      <c r="S132" s="84">
        <v>71</v>
      </c>
      <c r="T132" s="84">
        <v>72</v>
      </c>
      <c r="U132" s="84">
        <v>111</v>
      </c>
      <c r="V132" s="84">
        <v>84</v>
      </c>
      <c r="W132" s="84">
        <v>70</v>
      </c>
      <c r="X132" s="84">
        <v>8</v>
      </c>
      <c r="Y132" s="84">
        <v>2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32</v>
      </c>
      <c r="O133" s="84">
        <v>1</v>
      </c>
      <c r="P133" s="84">
        <v>1</v>
      </c>
      <c r="Q133" s="84">
        <v>9</v>
      </c>
      <c r="R133" s="84">
        <v>15</v>
      </c>
      <c r="S133" s="84">
        <v>6</v>
      </c>
      <c r="T133" s="84">
        <v>14</v>
      </c>
      <c r="U133" s="84">
        <v>29</v>
      </c>
      <c r="V133" s="84">
        <v>14</v>
      </c>
      <c r="W133" s="84">
        <v>26</v>
      </c>
      <c r="X133" s="84">
        <v>54</v>
      </c>
      <c r="Y133" s="84">
        <v>142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355</v>
      </c>
      <c r="C134" s="110">
        <f t="shared" si="191"/>
        <v>3212</v>
      </c>
      <c r="D134" s="110">
        <f t="shared" si="191"/>
        <v>2545</v>
      </c>
      <c r="E134" s="110">
        <f t="shared" si="191"/>
        <v>9434</v>
      </c>
      <c r="F134" s="110">
        <f t="shared" si="191"/>
        <v>9709</v>
      </c>
      <c r="G134" s="110">
        <f t="shared" si="191"/>
        <v>5440</v>
      </c>
      <c r="H134" s="110">
        <f t="shared" si="191"/>
        <v>4991</v>
      </c>
      <c r="I134" s="110">
        <f t="shared" si="191"/>
        <v>1050</v>
      </c>
      <c r="J134" s="110">
        <f t="shared" si="191"/>
        <v>6340</v>
      </c>
      <c r="K134" s="110">
        <f t="shared" si="191"/>
        <v>2652</v>
      </c>
      <c r="L134" s="110">
        <f t="shared" ref="L134" si="192">SUM(L135:L136)</f>
        <v>2097</v>
      </c>
      <c r="M134" s="110">
        <f t="shared" ref="M134:V134" si="193">SUM(M135:M136)</f>
        <v>3591</v>
      </c>
      <c r="N134" s="110">
        <f t="shared" si="193"/>
        <v>2457</v>
      </c>
      <c r="O134" s="110">
        <f t="shared" si="193"/>
        <v>3478</v>
      </c>
      <c r="P134" s="110">
        <f t="shared" si="193"/>
        <v>1524</v>
      </c>
      <c r="Q134" s="110">
        <f t="shared" si="193"/>
        <v>6080</v>
      </c>
      <c r="R134" s="110">
        <f t="shared" si="193"/>
        <v>8589</v>
      </c>
      <c r="S134" s="110">
        <f t="shared" si="193"/>
        <v>3983</v>
      </c>
      <c r="T134" s="110">
        <f t="shared" si="193"/>
        <v>12228</v>
      </c>
      <c r="U134" s="110">
        <f t="shared" si="193"/>
        <v>10140</v>
      </c>
      <c r="V134" s="110">
        <f t="shared" si="193"/>
        <v>8981</v>
      </c>
      <c r="W134" s="110">
        <f t="shared" ref="W134:Y134" si="194">SUM(W135:W136)</f>
        <v>6399</v>
      </c>
      <c r="X134" s="110">
        <f t="shared" si="194"/>
        <v>8544</v>
      </c>
      <c r="Y134" s="110">
        <f t="shared" si="194"/>
        <v>6353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2801</v>
      </c>
      <c r="D135" s="102">
        <v>2157</v>
      </c>
      <c r="E135" s="102">
        <v>9124</v>
      </c>
      <c r="F135" s="102">
        <v>8708</v>
      </c>
      <c r="G135" s="102">
        <v>4978</v>
      </c>
      <c r="H135" s="102">
        <v>4991</v>
      </c>
      <c r="I135" s="102">
        <v>1050</v>
      </c>
      <c r="J135" s="102">
        <v>6340</v>
      </c>
      <c r="K135" s="102">
        <v>2631</v>
      </c>
      <c r="L135" s="102">
        <v>1711</v>
      </c>
      <c r="M135" s="102">
        <v>3041</v>
      </c>
      <c r="N135" s="102">
        <v>2454</v>
      </c>
      <c r="O135" s="102">
        <v>2634</v>
      </c>
      <c r="P135" s="102">
        <v>1524</v>
      </c>
      <c r="Q135" s="102">
        <v>5421</v>
      </c>
      <c r="R135" s="102">
        <v>8472</v>
      </c>
      <c r="S135" s="102">
        <v>3881</v>
      </c>
      <c r="T135" s="102">
        <v>12228</v>
      </c>
      <c r="U135" s="102">
        <v>10140</v>
      </c>
      <c r="V135" s="102">
        <v>8194</v>
      </c>
      <c r="W135" s="102">
        <v>5659</v>
      </c>
      <c r="X135" s="102">
        <v>7653</v>
      </c>
      <c r="Y135" s="102">
        <v>6001</v>
      </c>
      <c r="DA135" s="175" t="s">
        <v>550</v>
      </c>
    </row>
    <row r="136" spans="1:105" ht="11.45" customHeight="1" x14ac:dyDescent="0.25">
      <c r="A136" s="138" t="s">
        <v>116</v>
      </c>
      <c r="B136" s="86">
        <v>355</v>
      </c>
      <c r="C136" s="86">
        <v>411</v>
      </c>
      <c r="D136" s="86">
        <v>388</v>
      </c>
      <c r="E136" s="86">
        <v>310</v>
      </c>
      <c r="F136" s="86">
        <v>1001</v>
      </c>
      <c r="G136" s="86">
        <v>462</v>
      </c>
      <c r="H136" s="86">
        <v>0</v>
      </c>
      <c r="I136" s="86">
        <v>0</v>
      </c>
      <c r="J136" s="86">
        <v>0</v>
      </c>
      <c r="K136" s="86">
        <v>21</v>
      </c>
      <c r="L136" s="86">
        <v>386</v>
      </c>
      <c r="M136" s="86">
        <v>550</v>
      </c>
      <c r="N136" s="86">
        <v>3</v>
      </c>
      <c r="O136" s="86">
        <v>844</v>
      </c>
      <c r="P136" s="86">
        <v>0</v>
      </c>
      <c r="Q136" s="86">
        <v>659</v>
      </c>
      <c r="R136" s="86">
        <v>117</v>
      </c>
      <c r="S136" s="86">
        <v>102</v>
      </c>
      <c r="T136" s="86">
        <v>0</v>
      </c>
      <c r="U136" s="86">
        <v>0</v>
      </c>
      <c r="V136" s="86">
        <v>787</v>
      </c>
      <c r="W136" s="86">
        <v>740</v>
      </c>
      <c r="X136" s="86">
        <v>891</v>
      </c>
      <c r="Y136" s="86">
        <v>352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3.0759419805315433</v>
      </c>
      <c r="C141" s="32">
        <f t="shared" si="195"/>
        <v>3.1057300609065011</v>
      </c>
      <c r="D141" s="32">
        <f t="shared" si="195"/>
        <v>3.0304848383025491</v>
      </c>
      <c r="E141" s="32">
        <f t="shared" si="195"/>
        <v>2.7402908388206164</v>
      </c>
      <c r="F141" s="32">
        <f t="shared" si="195"/>
        <v>2.5335653462442775</v>
      </c>
      <c r="G141" s="32">
        <f t="shared" si="195"/>
        <v>2.4452146581889216</v>
      </c>
      <c r="H141" s="32">
        <f t="shared" si="195"/>
        <v>2.2949849318867108</v>
      </c>
      <c r="I141" s="32">
        <f t="shared" si="195"/>
        <v>2.4760570433348397</v>
      </c>
      <c r="J141" s="32">
        <f t="shared" si="195"/>
        <v>2.4419453205228496</v>
      </c>
      <c r="K141" s="32">
        <f t="shared" si="195"/>
        <v>2.3411459505510392</v>
      </c>
      <c r="L141" s="32">
        <f t="shared" ref="L141" si="196">IF(L4=0,0,L4/L31)</f>
        <v>2.3793118514576164</v>
      </c>
      <c r="M141" s="32">
        <f t="shared" ref="M141:V141" si="197">IF(M4=0,0,M4/M31)</f>
        <v>2.4245177940728859</v>
      </c>
      <c r="N141" s="32">
        <f t="shared" si="197"/>
        <v>2.3237551027796566</v>
      </c>
      <c r="O141" s="32">
        <f t="shared" si="197"/>
        <v>2.3327424846276235</v>
      </c>
      <c r="P141" s="32">
        <f t="shared" si="197"/>
        <v>2.3720828560608846</v>
      </c>
      <c r="Q141" s="32">
        <f t="shared" si="197"/>
        <v>2.2378268176214977</v>
      </c>
      <c r="R141" s="32">
        <f t="shared" si="197"/>
        <v>2.1689505609187512</v>
      </c>
      <c r="S141" s="32">
        <f t="shared" si="197"/>
        <v>2.1409119627263431</v>
      </c>
      <c r="T141" s="32">
        <f t="shared" si="197"/>
        <v>2.082699377908598</v>
      </c>
      <c r="U141" s="32">
        <f t="shared" si="197"/>
        <v>2.0655683429938088</v>
      </c>
      <c r="V141" s="32">
        <f t="shared" si="197"/>
        <v>1.7085943168178146</v>
      </c>
      <c r="W141" s="32">
        <f t="shared" ref="W141:Y141" si="198">IF(W4=0,0,W4/W31)</f>
        <v>1.600453929825471</v>
      </c>
      <c r="X141" s="32">
        <f t="shared" si="198"/>
        <v>1.6734199482734362</v>
      </c>
      <c r="Y141" s="32">
        <f t="shared" si="198"/>
        <v>1.7255898194722596</v>
      </c>
      <c r="DA141" s="173" t="s">
        <v>552</v>
      </c>
    </row>
    <row r="142" spans="1:105" ht="11.45" customHeight="1" x14ac:dyDescent="0.25">
      <c r="A142" s="136" t="s">
        <v>173</v>
      </c>
      <c r="B142" s="141">
        <v>1.2051623672106271</v>
      </c>
      <c r="C142" s="141">
        <v>1.205139251921753</v>
      </c>
      <c r="D142" s="141">
        <v>1.2049298431364226</v>
      </c>
      <c r="E142" s="141">
        <v>1.2054358769600169</v>
      </c>
      <c r="F142" s="141">
        <v>1.2055973067663734</v>
      </c>
      <c r="G142" s="141">
        <v>1.204505606333917</v>
      </c>
      <c r="H142" s="141">
        <v>1.2048415969901545</v>
      </c>
      <c r="I142" s="141">
        <v>1.2067754497377052</v>
      </c>
      <c r="J142" s="141">
        <v>1.2074105465672291</v>
      </c>
      <c r="K142" s="141">
        <v>1.2079899717478595</v>
      </c>
      <c r="L142" s="141">
        <v>1.2059146553065256</v>
      </c>
      <c r="M142" s="141">
        <v>1.2048582714100038</v>
      </c>
      <c r="N142" s="141">
        <v>1.1974221301460342</v>
      </c>
      <c r="O142" s="141">
        <v>1.1968061309351141</v>
      </c>
      <c r="P142" s="141">
        <v>1.199404729284766</v>
      </c>
      <c r="Q142" s="141">
        <v>1.2014776903379958</v>
      </c>
      <c r="R142" s="141">
        <v>1.2023317708252315</v>
      </c>
      <c r="S142" s="141">
        <v>1.2017538418063103</v>
      </c>
      <c r="T142" s="141">
        <v>1.2012851604217885</v>
      </c>
      <c r="U142" s="141">
        <v>1.2021135152418303</v>
      </c>
      <c r="V142" s="141">
        <v>1.2008321936191866</v>
      </c>
      <c r="W142" s="141">
        <v>1.2013264917309654</v>
      </c>
      <c r="X142" s="141">
        <v>1.2013830907639318</v>
      </c>
      <c r="Y142" s="141">
        <v>1.2029656967956748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2.0920225746757359</v>
      </c>
      <c r="C143" s="130">
        <f t="shared" si="199"/>
        <v>2.1225248387860214</v>
      </c>
      <c r="D143" s="130">
        <f t="shared" si="199"/>
        <v>2.0154720789588247</v>
      </c>
      <c r="E143" s="130">
        <f t="shared" si="199"/>
        <v>1.9419619610352894</v>
      </c>
      <c r="F143" s="130">
        <f t="shared" si="199"/>
        <v>1.8766491983296432</v>
      </c>
      <c r="G143" s="130">
        <f t="shared" si="199"/>
        <v>1.8183398013044558</v>
      </c>
      <c r="H143" s="130">
        <f t="shared" si="199"/>
        <v>1.757261564867177</v>
      </c>
      <c r="I143" s="130">
        <f t="shared" si="199"/>
        <v>1.9132603621419038</v>
      </c>
      <c r="J143" s="130">
        <f t="shared" si="199"/>
        <v>1.9033012530116433</v>
      </c>
      <c r="K143" s="130">
        <f t="shared" si="199"/>
        <v>1.9657925264100278</v>
      </c>
      <c r="L143" s="130">
        <f t="shared" ref="L143" si="200">IF(L6=0,0,L6/L33)</f>
        <v>1.9962285691662827</v>
      </c>
      <c r="M143" s="130">
        <f t="shared" ref="M143:V143" si="201">IF(M6=0,0,M6/M33)</f>
        <v>2.0406680501399013</v>
      </c>
      <c r="N143" s="130">
        <f t="shared" si="201"/>
        <v>1.9735815476122733</v>
      </c>
      <c r="O143" s="130">
        <f t="shared" si="201"/>
        <v>1.9973315280159663</v>
      </c>
      <c r="P143" s="130">
        <f t="shared" si="201"/>
        <v>2.0115211503410353</v>
      </c>
      <c r="Q143" s="130">
        <f t="shared" si="201"/>
        <v>1.8821409346187536</v>
      </c>
      <c r="R143" s="130">
        <f t="shared" si="201"/>
        <v>1.8283736629716989</v>
      </c>
      <c r="S143" s="130">
        <f t="shared" si="201"/>
        <v>1.8515450778853395</v>
      </c>
      <c r="T143" s="130">
        <f t="shared" si="201"/>
        <v>1.8157712647919373</v>
      </c>
      <c r="U143" s="130">
        <f t="shared" si="201"/>
        <v>1.7818021558983155</v>
      </c>
      <c r="V143" s="130">
        <f t="shared" si="201"/>
        <v>1.5846602383090762</v>
      </c>
      <c r="W143" s="130">
        <f t="shared" ref="W143:Y143" si="202">IF(W6=0,0,W6/W33)</f>
        <v>1.4877103225552903</v>
      </c>
      <c r="X143" s="130">
        <f t="shared" si="202"/>
        <v>1.5184934462478332</v>
      </c>
      <c r="Y143" s="130">
        <f t="shared" si="202"/>
        <v>1.5719206955567073</v>
      </c>
      <c r="DA143" s="176" t="s">
        <v>554</v>
      </c>
    </row>
    <row r="144" spans="1:105" ht="11.45" customHeight="1" x14ac:dyDescent="0.25">
      <c r="A144" s="111" t="s">
        <v>110</v>
      </c>
      <c r="B144" s="96">
        <v>2.0798148736809012</v>
      </c>
      <c r="C144" s="96">
        <v>2.1080240478591721</v>
      </c>
      <c r="D144" s="96">
        <v>2.0040174056376601</v>
      </c>
      <c r="E144" s="96">
        <v>1.921897740814777</v>
      </c>
      <c r="F144" s="96">
        <v>1.8466918132241548</v>
      </c>
      <c r="G144" s="96">
        <v>1.7886804356220936</v>
      </c>
      <c r="H144" s="96">
        <v>1.7286603882237168</v>
      </c>
      <c r="I144" s="96">
        <v>1.8774749066616667</v>
      </c>
      <c r="J144" s="96">
        <v>1.8615514299863223</v>
      </c>
      <c r="K144" s="96">
        <v>1.9230994806320241</v>
      </c>
      <c r="L144" s="96">
        <v>1.9518422032671643</v>
      </c>
      <c r="M144" s="96">
        <v>1.9885453050470778</v>
      </c>
      <c r="N144" s="96">
        <v>1.9196954734583367</v>
      </c>
      <c r="O144" s="96">
        <v>1.9421939084425817</v>
      </c>
      <c r="P144" s="96">
        <v>1.9574546125712502</v>
      </c>
      <c r="Q144" s="96">
        <v>1.8295429977153777</v>
      </c>
      <c r="R144" s="96">
        <v>1.7770876200683519</v>
      </c>
      <c r="S144" s="96">
        <v>1.7989346958113686</v>
      </c>
      <c r="T144" s="96">
        <v>1.7610998378995664</v>
      </c>
      <c r="U144" s="96">
        <v>1.7262861631023187</v>
      </c>
      <c r="V144" s="96">
        <v>1.5345332389772988</v>
      </c>
      <c r="W144" s="96">
        <v>1.4393528765715815</v>
      </c>
      <c r="X144" s="96">
        <v>1.4686129623666375</v>
      </c>
      <c r="Y144" s="96">
        <v>1.5194330775475604</v>
      </c>
      <c r="DA144" s="171" t="s">
        <v>555</v>
      </c>
    </row>
    <row r="145" spans="1:105" ht="11.45" customHeight="1" x14ac:dyDescent="0.25">
      <c r="A145" s="111" t="s">
        <v>111</v>
      </c>
      <c r="B145" s="96">
        <v>2.1920414275448823</v>
      </c>
      <c r="C145" s="96">
        <v>2.2217727652798427</v>
      </c>
      <c r="D145" s="96">
        <v>2.1121539374820122</v>
      </c>
      <c r="E145" s="96">
        <v>2.0256031056816437</v>
      </c>
      <c r="F145" s="96">
        <v>1.9463390755211998</v>
      </c>
      <c r="G145" s="96">
        <v>1.8851974111443062</v>
      </c>
      <c r="H145" s="96">
        <v>1.8219386893968263</v>
      </c>
      <c r="I145" s="96">
        <v>1.9787832208809195</v>
      </c>
      <c r="J145" s="96">
        <v>1.9620005153696705</v>
      </c>
      <c r="K145" s="96">
        <v>2.0268696912310937</v>
      </c>
      <c r="L145" s="96">
        <v>2.0571633676317975</v>
      </c>
      <c r="M145" s="96">
        <v>2.095846964253345</v>
      </c>
      <c r="N145" s="96">
        <v>2.0232820042504844</v>
      </c>
      <c r="O145" s="96">
        <v>2.0469944520094083</v>
      </c>
      <c r="P145" s="96">
        <v>2.0630786218491699</v>
      </c>
      <c r="Q145" s="96">
        <v>1.9282649120443147</v>
      </c>
      <c r="R145" s="96">
        <v>1.8729790486942322</v>
      </c>
      <c r="S145" s="96">
        <v>1.8960049899476696</v>
      </c>
      <c r="T145" s="96">
        <v>1.8561285677730541</v>
      </c>
      <c r="U145" s="96">
        <v>1.8194363513809377</v>
      </c>
      <c r="V145" s="96">
        <v>1.6173364631389597</v>
      </c>
      <c r="W145" s="96">
        <v>1.5170201801263214</v>
      </c>
      <c r="X145" s="96">
        <v>1.5478591365391894</v>
      </c>
      <c r="Y145" s="96">
        <v>1.6014214988623456</v>
      </c>
      <c r="DA145" s="171" t="s">
        <v>556</v>
      </c>
    </row>
    <row r="146" spans="1:105" ht="11.45" customHeight="1" x14ac:dyDescent="0.25">
      <c r="A146" s="111" t="s">
        <v>112</v>
      </c>
      <c r="B146" s="96">
        <v>2.0292618974354637</v>
      </c>
      <c r="C146" s="96">
        <v>2.0588490936224404</v>
      </c>
      <c r="D146" s="96">
        <v>1.9550079165900598</v>
      </c>
      <c r="E146" s="96">
        <v>1.8837031022042308</v>
      </c>
      <c r="F146" s="96">
        <v>1.8203497223797536</v>
      </c>
      <c r="G146" s="96">
        <v>1.7637896072653219</v>
      </c>
      <c r="H146" s="96">
        <v>1.7045437179211613</v>
      </c>
      <c r="I146" s="96">
        <v>1.8558625512776463</v>
      </c>
      <c r="J146" s="96">
        <v>1.8462022154212945</v>
      </c>
      <c r="K146" s="96">
        <v>1.9068187506177265</v>
      </c>
      <c r="L146" s="96">
        <v>1.9363417120912942</v>
      </c>
      <c r="M146" s="96">
        <v>1.9794480086357042</v>
      </c>
      <c r="N146" s="96">
        <v>1.9143741011839051</v>
      </c>
      <c r="O146" s="96">
        <v>1.9374115821754867</v>
      </c>
      <c r="P146" s="96">
        <v>1.9511755158308035</v>
      </c>
      <c r="Q146" s="96">
        <v>1.8256767065801909</v>
      </c>
      <c r="R146" s="96">
        <v>1.7735224530825475</v>
      </c>
      <c r="S146" s="96">
        <v>1.795998725548779</v>
      </c>
      <c r="T146" s="96">
        <v>1.7612981268481793</v>
      </c>
      <c r="U146" s="96">
        <v>1.7283480912213662</v>
      </c>
      <c r="V146" s="96">
        <v>1.5371204311598041</v>
      </c>
      <c r="W146" s="96">
        <v>1.4430790128786313</v>
      </c>
      <c r="X146" s="96">
        <v>1.4729386428603979</v>
      </c>
      <c r="Y146" s="96">
        <v>1.5247630746900056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1.8203497223797536</v>
      </c>
      <c r="G147" s="96">
        <v>1.7637896072653219</v>
      </c>
      <c r="H147" s="96">
        <v>1.7045437179211615</v>
      </c>
      <c r="I147" s="96">
        <v>1.8558625512776463</v>
      </c>
      <c r="J147" s="96">
        <v>1.8462022154212943</v>
      </c>
      <c r="K147" s="96">
        <v>1.9068187506177268</v>
      </c>
      <c r="L147" s="96">
        <v>1.9363417120912942</v>
      </c>
      <c r="M147" s="96">
        <v>1.9794480086357038</v>
      </c>
      <c r="N147" s="96">
        <v>1.9143741011839048</v>
      </c>
      <c r="O147" s="96">
        <v>1.9374115821754869</v>
      </c>
      <c r="P147" s="96">
        <v>1.9511755158308035</v>
      </c>
      <c r="Q147" s="96">
        <v>1.8256767065801909</v>
      </c>
      <c r="R147" s="96">
        <v>1.7735224530825477</v>
      </c>
      <c r="S147" s="96">
        <v>1.795998725548779</v>
      </c>
      <c r="T147" s="96">
        <v>1.7612981268481791</v>
      </c>
      <c r="U147" s="96">
        <v>1.7283480912213662</v>
      </c>
      <c r="V147" s="96">
        <v>1.5371204311598039</v>
      </c>
      <c r="W147" s="96">
        <v>1.4430790128786315</v>
      </c>
      <c r="X147" s="96">
        <v>1.4729386428603981</v>
      </c>
      <c r="Y147" s="96">
        <v>1.5247630746900056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1.8732284989825569</v>
      </c>
      <c r="O148" s="96">
        <v>1.8957708358808216</v>
      </c>
      <c r="P148" s="96">
        <v>1.9092389416002309</v>
      </c>
      <c r="Q148" s="96">
        <v>1.7864374756113011</v>
      </c>
      <c r="R148" s="96">
        <v>1.7354041723846603</v>
      </c>
      <c r="S148" s="96">
        <v>1.7573973628005792</v>
      </c>
      <c r="T148" s="96">
        <v>1.7234425833363558</v>
      </c>
      <c r="U148" s="96">
        <v>1.6912007421306765</v>
      </c>
      <c r="V148" s="96">
        <v>1.5040831341356993</v>
      </c>
      <c r="W148" s="96">
        <v>1.4120629460752316</v>
      </c>
      <c r="X148" s="96">
        <v>1.4412808036592475</v>
      </c>
      <c r="Y148" s="96">
        <v>1.4919913740680106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1.4649516789314949</v>
      </c>
      <c r="S149" s="96">
        <v>1.4835173604813947</v>
      </c>
      <c r="T149" s="96">
        <v>1.4548542329083458</v>
      </c>
      <c r="U149" s="96">
        <v>1.4276370922804082</v>
      </c>
      <c r="V149" s="96">
        <v>1.2696806586426956</v>
      </c>
      <c r="W149" s="96">
        <v>1.192001273551939</v>
      </c>
      <c r="X149" s="96">
        <v>1.2166657005503301</v>
      </c>
      <c r="Y149" s="96">
        <v>1.2594733279849295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31.37</v>
      </c>
      <c r="C150" s="130">
        <f t="shared" si="203"/>
        <v>30.749999999999996</v>
      </c>
      <c r="D150" s="130">
        <f t="shared" si="203"/>
        <v>30.15</v>
      </c>
      <c r="E150" s="130">
        <f t="shared" si="203"/>
        <v>29.56</v>
      </c>
      <c r="F150" s="130">
        <f t="shared" si="203"/>
        <v>28.98</v>
      </c>
      <c r="G150" s="130">
        <f t="shared" si="203"/>
        <v>28.409999999999997</v>
      </c>
      <c r="H150" s="130">
        <f t="shared" si="203"/>
        <v>27.85</v>
      </c>
      <c r="I150" s="130">
        <f t="shared" si="203"/>
        <v>27.304537830008822</v>
      </c>
      <c r="J150" s="130">
        <f t="shared" si="203"/>
        <v>30.495813133539006</v>
      </c>
      <c r="K150" s="130">
        <f t="shared" si="203"/>
        <v>21.928241712127569</v>
      </c>
      <c r="L150" s="130">
        <f t="shared" ref="L150" si="204">IF(L13=0,0,L13/L40)</f>
        <v>23.957110609480814</v>
      </c>
      <c r="M150" s="130">
        <f t="shared" ref="M150:V150" si="205">IF(M13=0,0,M13/M40)</f>
        <v>22.173824130879343</v>
      </c>
      <c r="N150" s="130">
        <f t="shared" si="205"/>
        <v>23.345211581291771</v>
      </c>
      <c r="O150" s="130">
        <f t="shared" si="205"/>
        <v>23.453057513071155</v>
      </c>
      <c r="P150" s="130">
        <f t="shared" si="205"/>
        <v>25.179903466432645</v>
      </c>
      <c r="Q150" s="130">
        <f t="shared" si="205"/>
        <v>26.090437214199355</v>
      </c>
      <c r="R150" s="130">
        <f t="shared" si="205"/>
        <v>27.333781061114838</v>
      </c>
      <c r="S150" s="130">
        <f t="shared" si="205"/>
        <v>25.169337912612104</v>
      </c>
      <c r="T150" s="130">
        <f t="shared" si="205"/>
        <v>23.11973807296539</v>
      </c>
      <c r="U150" s="130">
        <f t="shared" si="205"/>
        <v>23.098555763554511</v>
      </c>
      <c r="V150" s="130">
        <f t="shared" si="205"/>
        <v>10.820676948010748</v>
      </c>
      <c r="W150" s="130">
        <f t="shared" ref="W150:Y150" si="206">IF(W13=0,0,W13/W40)</f>
        <v>10.635633099539568</v>
      </c>
      <c r="X150" s="130">
        <f t="shared" si="206"/>
        <v>14.43701798712488</v>
      </c>
      <c r="Y150" s="130">
        <f t="shared" si="206"/>
        <v>14.903468267258058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10.5129927158134</v>
      </c>
      <c r="S151" s="97">
        <v>9.6805145817738847</v>
      </c>
      <c r="T151" s="97">
        <v>8.8922069511405333</v>
      </c>
      <c r="U151" s="97">
        <v>8.8840599090594274</v>
      </c>
      <c r="V151" s="97">
        <v>6.4161798826157979</v>
      </c>
      <c r="W151" s="97">
        <v>6.4090628115207515</v>
      </c>
      <c r="X151" s="97">
        <v>6.5552699225817257</v>
      </c>
      <c r="Y151" s="97">
        <v>6.5732103179714638</v>
      </c>
      <c r="DA151" s="175" t="s">
        <v>562</v>
      </c>
    </row>
    <row r="152" spans="1:105" ht="11.45" customHeight="1" x14ac:dyDescent="0.25">
      <c r="A152" s="111" t="s">
        <v>111</v>
      </c>
      <c r="B152" s="97">
        <v>31.37</v>
      </c>
      <c r="C152" s="97">
        <v>30.749999999999996</v>
      </c>
      <c r="D152" s="97">
        <v>30.15</v>
      </c>
      <c r="E152" s="97">
        <v>29.56</v>
      </c>
      <c r="F152" s="97">
        <v>28.98</v>
      </c>
      <c r="G152" s="97">
        <v>28.41</v>
      </c>
      <c r="H152" s="97">
        <v>27.849999999999998</v>
      </c>
      <c r="I152" s="97">
        <v>27.304537830008822</v>
      </c>
      <c r="J152" s="97">
        <v>30.495813133539006</v>
      </c>
      <c r="K152" s="97">
        <v>21.928241712127573</v>
      </c>
      <c r="L152" s="97">
        <v>23.957110609480814</v>
      </c>
      <c r="M152" s="97">
        <v>22.173824130879343</v>
      </c>
      <c r="N152" s="97">
        <v>23.345211581291768</v>
      </c>
      <c r="O152" s="97">
        <v>23.453057513071155</v>
      </c>
      <c r="P152" s="97">
        <v>25.179903466432645</v>
      </c>
      <c r="Q152" s="97">
        <v>26.090437214199351</v>
      </c>
      <c r="R152" s="97">
        <v>28.440058951580532</v>
      </c>
      <c r="S152" s="97">
        <v>26.268259856207735</v>
      </c>
      <c r="T152" s="97">
        <v>24.134060631087308</v>
      </c>
      <c r="U152" s="97">
        <v>24.094540001806642</v>
      </c>
      <c r="V152" s="97">
        <v>11.099836885632273</v>
      </c>
      <c r="W152" s="97">
        <v>10.886579515139191</v>
      </c>
      <c r="X152" s="97">
        <v>14.868361046807051</v>
      </c>
      <c r="Y152" s="97">
        <v>15.321638582159673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28.440058951580536</v>
      </c>
      <c r="S153" s="97">
        <v>26.268259856207735</v>
      </c>
      <c r="T153" s="97">
        <v>24.134060631087308</v>
      </c>
      <c r="U153" s="97">
        <v>24.094540001806642</v>
      </c>
      <c r="V153" s="97">
        <v>11.099836885632273</v>
      </c>
      <c r="W153" s="97">
        <v>10.886579515139193</v>
      </c>
      <c r="X153" s="97">
        <v>14.868361046807049</v>
      </c>
      <c r="Y153" s="97">
        <v>15.321638582159672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28.98</v>
      </c>
      <c r="G154" s="97">
        <v>28.409999999999997</v>
      </c>
      <c r="H154" s="97">
        <v>27.85</v>
      </c>
      <c r="I154" s="97">
        <v>27.304537830008819</v>
      </c>
      <c r="J154" s="97">
        <v>30.495813133539002</v>
      </c>
      <c r="K154" s="97">
        <v>21.928241712127569</v>
      </c>
      <c r="L154" s="97">
        <v>23.957110609480814</v>
      </c>
      <c r="M154" s="97">
        <v>22.173824130879343</v>
      </c>
      <c r="N154" s="97">
        <v>23.345211581291764</v>
      </c>
      <c r="O154" s="97">
        <v>23.453057513071155</v>
      </c>
      <c r="P154" s="97">
        <v>25.179903466432645</v>
      </c>
      <c r="Q154" s="97">
        <v>26.090437214199358</v>
      </c>
      <c r="R154" s="97">
        <v>28.440058951580536</v>
      </c>
      <c r="S154" s="97">
        <v>26.268259856207735</v>
      </c>
      <c r="T154" s="97">
        <v>24.134060631087308</v>
      </c>
      <c r="U154" s="97">
        <v>24.094540001806642</v>
      </c>
      <c r="V154" s="97">
        <v>11.099836885632273</v>
      </c>
      <c r="W154" s="97">
        <v>10.886579515139193</v>
      </c>
      <c r="X154" s="97">
        <v>14.868361046807051</v>
      </c>
      <c r="Y154" s="97">
        <v>15.321638582159672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30.495813133539006</v>
      </c>
      <c r="K155" s="97">
        <v>21.928241712127569</v>
      </c>
      <c r="L155" s="97">
        <v>23.957110609480814</v>
      </c>
      <c r="M155" s="97">
        <v>22.173824130879339</v>
      </c>
      <c r="N155" s="97">
        <v>23.345211581291764</v>
      </c>
      <c r="O155" s="97">
        <v>23.453057513071155</v>
      </c>
      <c r="P155" s="97">
        <v>25.179903466432645</v>
      </c>
      <c r="Q155" s="97">
        <v>26.090437214199358</v>
      </c>
      <c r="R155" s="97">
        <v>28.440058951580539</v>
      </c>
      <c r="S155" s="97">
        <v>26.268259856207735</v>
      </c>
      <c r="T155" s="97">
        <v>24.134060631087308</v>
      </c>
      <c r="U155" s="97">
        <v>24.094540001806642</v>
      </c>
      <c r="V155" s="97">
        <v>11.099836885632273</v>
      </c>
      <c r="W155" s="97">
        <v>10.886579515139193</v>
      </c>
      <c r="X155" s="97">
        <v>14.868361046807049</v>
      </c>
      <c r="Y155" s="97">
        <v>15.321638582159672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4.1174180089500858</v>
      </c>
      <c r="C156" s="32">
        <f t="shared" si="207"/>
        <v>4.3562279967666164</v>
      </c>
      <c r="D156" s="32">
        <f t="shared" si="207"/>
        <v>4.7159429992511335</v>
      </c>
      <c r="E156" s="32">
        <f t="shared" si="207"/>
        <v>4.2839229380350066</v>
      </c>
      <c r="F156" s="32">
        <f t="shared" si="207"/>
        <v>3.9783912438999929</v>
      </c>
      <c r="G156" s="32">
        <f t="shared" si="207"/>
        <v>4.2253966492737556</v>
      </c>
      <c r="H156" s="32">
        <f t="shared" si="207"/>
        <v>3.851033072455714</v>
      </c>
      <c r="I156" s="32">
        <f t="shared" si="207"/>
        <v>3.5681202502376759</v>
      </c>
      <c r="J156" s="32">
        <f t="shared" si="207"/>
        <v>3.1413744634785234</v>
      </c>
      <c r="K156" s="32">
        <f t="shared" si="207"/>
        <v>2.965476330301688</v>
      </c>
      <c r="L156" s="32">
        <f t="shared" ref="L156" si="208">IF(L19=0,0,L19/L46)</f>
        <v>3.0577408721470269</v>
      </c>
      <c r="M156" s="32">
        <f t="shared" ref="M156:V156" si="209">IF(M19=0,0,M19/M46)</f>
        <v>3.0673007454111065</v>
      </c>
      <c r="N156" s="32">
        <f t="shared" si="209"/>
        <v>2.8578802498661533</v>
      </c>
      <c r="O156" s="32">
        <f t="shared" si="209"/>
        <v>3.2470701319952893</v>
      </c>
      <c r="P156" s="32">
        <f t="shared" si="209"/>
        <v>3.0378302857121309</v>
      </c>
      <c r="Q156" s="32">
        <f t="shared" si="209"/>
        <v>2.9536505832438484</v>
      </c>
      <c r="R156" s="32">
        <f t="shared" si="209"/>
        <v>2.977872871972906</v>
      </c>
      <c r="S156" s="32">
        <f t="shared" si="209"/>
        <v>3.4760417202253486</v>
      </c>
      <c r="T156" s="32">
        <f t="shared" si="209"/>
        <v>3.331940679141745</v>
      </c>
      <c r="U156" s="32">
        <f t="shared" si="209"/>
        <v>2.864128515622093</v>
      </c>
      <c r="V156" s="32">
        <f t="shared" si="209"/>
        <v>3.4007460942153629</v>
      </c>
      <c r="W156" s="32">
        <f t="shared" ref="W156:Y156" si="210">IF(W19=0,0,W19/W46)</f>
        <v>3.9012430124847888</v>
      </c>
      <c r="X156" s="32">
        <f t="shared" si="210"/>
        <v>4.3161602710855567</v>
      </c>
      <c r="Y156" s="32">
        <f t="shared" si="210"/>
        <v>4.7515605030291113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0.32746465747189385</v>
      </c>
      <c r="C157" s="141">
        <f t="shared" si="211"/>
        <v>0.32379974993331162</v>
      </c>
      <c r="D157" s="141">
        <f t="shared" si="211"/>
        <v>0.32107910805131035</v>
      </c>
      <c r="E157" s="141">
        <f t="shared" si="211"/>
        <v>0.31961953633812401</v>
      </c>
      <c r="F157" s="141">
        <f t="shared" si="211"/>
        <v>0.32012434105804988</v>
      </c>
      <c r="G157" s="141">
        <f t="shared" si="211"/>
        <v>0.3231815082697036</v>
      </c>
      <c r="H157" s="141">
        <f t="shared" si="211"/>
        <v>0.32889730396933631</v>
      </c>
      <c r="I157" s="141">
        <f t="shared" si="211"/>
        <v>0.33323244422340653</v>
      </c>
      <c r="J157" s="141">
        <f t="shared" si="211"/>
        <v>0.33379895081233163</v>
      </c>
      <c r="K157" s="141">
        <f t="shared" si="211"/>
        <v>0.3377533991979505</v>
      </c>
      <c r="L157" s="141">
        <f t="shared" ref="L157" si="212">IF(L20=0,0,L20/L47)</f>
        <v>0.33914511331579861</v>
      </c>
      <c r="M157" s="141">
        <f t="shared" ref="M157:V157" si="213">IF(M20=0,0,M20/M47)</f>
        <v>0.33822563175907583</v>
      </c>
      <c r="N157" s="141">
        <f t="shared" si="213"/>
        <v>0.33582372794919974</v>
      </c>
      <c r="O157" s="141">
        <f t="shared" si="213"/>
        <v>0.33598953707292278</v>
      </c>
      <c r="P157" s="141">
        <f t="shared" si="213"/>
        <v>0.3335697250462048</v>
      </c>
      <c r="Q157" s="141">
        <f t="shared" si="213"/>
        <v>0.3300591167853808</v>
      </c>
      <c r="R157" s="141">
        <f t="shared" si="213"/>
        <v>0.3282603298594246</v>
      </c>
      <c r="S157" s="141">
        <f t="shared" si="213"/>
        <v>0.32457012826796888</v>
      </c>
      <c r="T157" s="141">
        <f t="shared" si="213"/>
        <v>0.32086409830146168</v>
      </c>
      <c r="U157" s="141">
        <f t="shared" si="213"/>
        <v>0.31710810915719223</v>
      </c>
      <c r="V157" s="141">
        <f t="shared" si="213"/>
        <v>0.31373255155823981</v>
      </c>
      <c r="W157" s="141">
        <f t="shared" ref="W157:Y157" si="214">IF(W20=0,0,W20/W47)</f>
        <v>0.30995231701562542</v>
      </c>
      <c r="X157" s="141">
        <f t="shared" si="214"/>
        <v>0.30716881279567604</v>
      </c>
      <c r="Y157" s="141">
        <f t="shared" si="214"/>
        <v>0.3041962929678334</v>
      </c>
      <c r="DA157" s="174" t="s">
        <v>568</v>
      </c>
    </row>
    <row r="158" spans="1:105" ht="11.45" customHeight="1" x14ac:dyDescent="0.25">
      <c r="A158" s="111" t="s">
        <v>110</v>
      </c>
      <c r="B158" s="96">
        <v>0.24559756948425426</v>
      </c>
      <c r="C158" s="96">
        <v>0.24419024295556205</v>
      </c>
      <c r="D158" s="96">
        <v>0.24266901849627776</v>
      </c>
      <c r="E158" s="96">
        <v>0.24099328685381075</v>
      </c>
      <c r="F158" s="96">
        <v>0.23914622666557087</v>
      </c>
      <c r="G158" s="96">
        <v>0.24069510010246639</v>
      </c>
      <c r="H158" s="96">
        <v>0.24187024261768253</v>
      </c>
      <c r="I158" s="96">
        <v>0.24253745653666323</v>
      </c>
      <c r="J158" s="96">
        <v>0.24106967984598468</v>
      </c>
      <c r="K158" s="96">
        <v>0.24248448404420173</v>
      </c>
      <c r="L158" s="96">
        <v>0.24190245313076658</v>
      </c>
      <c r="M158" s="96">
        <v>0.24072822285530202</v>
      </c>
      <c r="N158" s="96">
        <v>0.23915579318495331</v>
      </c>
      <c r="O158" s="96">
        <v>0.23861900514881382</v>
      </c>
      <c r="P158" s="96">
        <v>0.2370819504257127</v>
      </c>
      <c r="Q158" s="96">
        <v>0.23538871794871799</v>
      </c>
      <c r="R158" s="96">
        <v>0.2339934776762807</v>
      </c>
      <c r="S158" s="96">
        <v>0.23297767935179345</v>
      </c>
      <c r="T158" s="96">
        <v>0.23160798881229031</v>
      </c>
      <c r="U158" s="96">
        <v>0.23030228663970959</v>
      </c>
      <c r="V158" s="96">
        <v>0.22904880845050385</v>
      </c>
      <c r="W158" s="96">
        <v>0.2278080410888195</v>
      </c>
      <c r="X158" s="96">
        <v>0.22664713502552933</v>
      </c>
      <c r="Y158" s="96">
        <v>0.22551994028221764</v>
      </c>
      <c r="DA158" s="171" t="s">
        <v>569</v>
      </c>
    </row>
    <row r="159" spans="1:105" ht="11.45" customHeight="1" x14ac:dyDescent="0.25">
      <c r="A159" s="111" t="s">
        <v>111</v>
      </c>
      <c r="B159" s="96">
        <v>0.34738650958159445</v>
      </c>
      <c r="C159" s="96">
        <v>0.34470233900112063</v>
      </c>
      <c r="D159" s="96">
        <v>0.34186709050995229</v>
      </c>
      <c r="E159" s="96">
        <v>0.3388246092852284</v>
      </c>
      <c r="F159" s="96">
        <v>0.3368975159387439</v>
      </c>
      <c r="G159" s="96">
        <v>0.33975495564906877</v>
      </c>
      <c r="H159" s="96">
        <v>0.34209384922925218</v>
      </c>
      <c r="I159" s="96">
        <v>0.34372088324577688</v>
      </c>
      <c r="J159" s="96">
        <v>0.34232133418395966</v>
      </c>
      <c r="K159" s="96">
        <v>0.34501629267537992</v>
      </c>
      <c r="L159" s="96">
        <v>0.34487379581825728</v>
      </c>
      <c r="M159" s="96">
        <v>0.34388339763609133</v>
      </c>
      <c r="N159" s="96">
        <v>0.34095113746418027</v>
      </c>
      <c r="O159" s="96">
        <v>0.34086353502682598</v>
      </c>
      <c r="P159" s="96">
        <v>0.3379878148110641</v>
      </c>
      <c r="Q159" s="96">
        <v>0.33490006690673801</v>
      </c>
      <c r="R159" s="96">
        <v>0.33358483873545131</v>
      </c>
      <c r="S159" s="96">
        <v>0.3314763836648067</v>
      </c>
      <c r="T159" s="96">
        <v>0.32887248333827135</v>
      </c>
      <c r="U159" s="96">
        <v>0.32636830625848323</v>
      </c>
      <c r="V159" s="96">
        <v>0.32394664740334667</v>
      </c>
      <c r="W159" s="96">
        <v>0.32155126886407481</v>
      </c>
      <c r="X159" s="96">
        <v>0.31927663456553224</v>
      </c>
      <c r="Y159" s="96">
        <v>0.31705716822965196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0.29890976685905707</v>
      </c>
      <c r="O162" s="96">
        <v>0.29883782576202572</v>
      </c>
      <c r="P162" s="96">
        <v>0.29874587852266615</v>
      </c>
      <c r="Q162" s="96">
        <v>0.29864392586190341</v>
      </c>
      <c r="R162" s="96">
        <v>0.29872848285530063</v>
      </c>
      <c r="S162" s="96">
        <v>0.29879037712485418</v>
      </c>
      <c r="T162" s="96">
        <v>0.29887428373693536</v>
      </c>
      <c r="U162" s="96">
        <v>0.29895475584340686</v>
      </c>
      <c r="V162" s="96">
        <v>0.30012244516812964</v>
      </c>
      <c r="W162" s="96">
        <v>0.29910981670309961</v>
      </c>
      <c r="X162" s="96">
        <v>0.29918259487920107</v>
      </c>
      <c r="Y162" s="96">
        <v>0.29925363431433222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11.905039070025289</v>
      </c>
      <c r="C163" s="130">
        <f t="shared" si="215"/>
        <v>11.673711439604215</v>
      </c>
      <c r="D163" s="130">
        <f t="shared" si="215"/>
        <v>12.696788936458773</v>
      </c>
      <c r="E163" s="130">
        <f t="shared" si="215"/>
        <v>10.154554980171262</v>
      </c>
      <c r="F163" s="130">
        <f t="shared" si="215"/>
        <v>9.4897367648949906</v>
      </c>
      <c r="G163" s="130">
        <f t="shared" si="215"/>
        <v>9.3659918660253485</v>
      </c>
      <c r="H163" s="130">
        <f t="shared" si="215"/>
        <v>8.6828911840283034</v>
      </c>
      <c r="I163" s="130">
        <f t="shared" si="215"/>
        <v>8.8447960741085137</v>
      </c>
      <c r="J163" s="130">
        <f t="shared" si="215"/>
        <v>7.8388964702329922</v>
      </c>
      <c r="K163" s="130">
        <f t="shared" si="215"/>
        <v>7.967847786181661</v>
      </c>
      <c r="L163" s="130">
        <f t="shared" ref="L163" si="216">IF(L26=0,0,L26/L53)</f>
        <v>8.3227414692157282</v>
      </c>
      <c r="M163" s="130">
        <f t="shared" ref="M163:V163" si="217">IF(M26=0,0,M26/M53)</f>
        <v>8.6851530686170335</v>
      </c>
      <c r="N163" s="130">
        <f t="shared" si="217"/>
        <v>8.5519708693721821</v>
      </c>
      <c r="O163" s="130">
        <f t="shared" si="217"/>
        <v>9.3330978945480219</v>
      </c>
      <c r="P163" s="130">
        <f t="shared" si="217"/>
        <v>9.3284459930093906</v>
      </c>
      <c r="Q163" s="130">
        <f t="shared" si="217"/>
        <v>9.2303936729546638</v>
      </c>
      <c r="R163" s="130">
        <f t="shared" si="217"/>
        <v>9.3954194013909724</v>
      </c>
      <c r="S163" s="130">
        <f t="shared" si="217"/>
        <v>9.8847426021876359</v>
      </c>
      <c r="T163" s="130">
        <f t="shared" si="217"/>
        <v>10.195071309570952</v>
      </c>
      <c r="U163" s="130">
        <f t="shared" si="217"/>
        <v>10.071541112858158</v>
      </c>
      <c r="V163" s="130">
        <f t="shared" si="217"/>
        <v>10.019631816316176</v>
      </c>
      <c r="W163" s="130">
        <f t="shared" ref="W163:Y163" si="218">IF(W26=0,0,W26/W53)</f>
        <v>10.031845392470951</v>
      </c>
      <c r="X163" s="130">
        <f t="shared" si="218"/>
        <v>11.034557406977189</v>
      </c>
      <c r="Y163" s="130">
        <f t="shared" si="218"/>
        <v>11.087372570508396</v>
      </c>
      <c r="DA163" s="176" t="s">
        <v>574</v>
      </c>
    </row>
    <row r="164" spans="1:105" ht="11.45" customHeight="1" x14ac:dyDescent="0.25">
      <c r="A164" s="128" t="s">
        <v>27</v>
      </c>
      <c r="B164" s="97">
        <v>9.66390059573469</v>
      </c>
      <c r="C164" s="97">
        <v>9.328989989601606</v>
      </c>
      <c r="D164" s="97">
        <v>11.116432436158917</v>
      </c>
      <c r="E164" s="97">
        <v>7.745554022854531</v>
      </c>
      <c r="F164" s="97">
        <v>6.7702605408849879</v>
      </c>
      <c r="G164" s="97">
        <v>6.7326344353648198</v>
      </c>
      <c r="H164" s="97">
        <v>6.4726867335562988</v>
      </c>
      <c r="I164" s="97">
        <v>6.8648018648018647</v>
      </c>
      <c r="J164" s="97">
        <v>6.7443181818181817</v>
      </c>
      <c r="K164" s="97">
        <v>6.8543478260869568</v>
      </c>
      <c r="L164" s="97">
        <v>7.0103092783505154</v>
      </c>
      <c r="M164" s="97">
        <v>7.2989921612541995</v>
      </c>
      <c r="N164" s="97">
        <v>7.2087155963302756</v>
      </c>
      <c r="O164" s="97">
        <v>7.9294377067254684</v>
      </c>
      <c r="P164" s="97">
        <v>7.9372093023255816</v>
      </c>
      <c r="Q164" s="97">
        <v>7.7535135135135134</v>
      </c>
      <c r="R164" s="97">
        <v>8.0219058050383349</v>
      </c>
      <c r="S164" s="97">
        <v>8.7387198321091297</v>
      </c>
      <c r="T164" s="97">
        <v>9.077464788732394</v>
      </c>
      <c r="U164" s="97">
        <v>8.7714723926380369</v>
      </c>
      <c r="V164" s="97">
        <v>8.8319427890345654</v>
      </c>
      <c r="W164" s="97">
        <v>8.8432908912830559</v>
      </c>
      <c r="X164" s="97">
        <v>9.8513966480446928</v>
      </c>
      <c r="Y164" s="97">
        <v>10.0630081300813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14.245058387803747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13.861910981613585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6927.2794218368163</v>
      </c>
      <c r="C167" s="54">
        <f t="shared" si="219"/>
        <v>6810.0649403352563</v>
      </c>
      <c r="D167" s="54">
        <f t="shared" si="219"/>
        <v>7179.1062297679291</v>
      </c>
      <c r="E167" s="54">
        <f t="shared" si="219"/>
        <v>7365.1104278769626</v>
      </c>
      <c r="F167" s="54">
        <f t="shared" si="219"/>
        <v>7706.74375920273</v>
      </c>
      <c r="G167" s="54">
        <f t="shared" si="219"/>
        <v>8094.2497373392989</v>
      </c>
      <c r="H167" s="54">
        <f t="shared" si="219"/>
        <v>8660.3552848727777</v>
      </c>
      <c r="I167" s="54">
        <f t="shared" si="219"/>
        <v>8140.608793591211</v>
      </c>
      <c r="J167" s="54">
        <f t="shared" si="219"/>
        <v>8485.0660352647774</v>
      </c>
      <c r="K167" s="54">
        <f t="shared" si="219"/>
        <v>8700.2630437361458</v>
      </c>
      <c r="L167" s="54">
        <f t="shared" si="219"/>
        <v>8491.0416705407042</v>
      </c>
      <c r="M167" s="54">
        <f>IF(M30=0,0,M30*1000000/M57)</f>
        <v>8374.9453727238833</v>
      </c>
      <c r="N167" s="54">
        <f t="shared" ref="N167:V167" si="220">IF(N30=0,0,N30*1000000/N57)</f>
        <v>8718.1572219291975</v>
      </c>
      <c r="O167" s="54">
        <f t="shared" si="220"/>
        <v>8726.5365559045313</v>
      </c>
      <c r="P167" s="54">
        <f t="shared" si="220"/>
        <v>8896.7262794162416</v>
      </c>
      <c r="Q167" s="54">
        <f t="shared" si="220"/>
        <v>9733.858258748427</v>
      </c>
      <c r="R167" s="54">
        <f t="shared" si="220"/>
        <v>9798.5429733537403</v>
      </c>
      <c r="S167" s="54">
        <f t="shared" si="220"/>
        <v>9908.3597919232579</v>
      </c>
      <c r="T167" s="54">
        <f t="shared" si="220"/>
        <v>9830.9658722258737</v>
      </c>
      <c r="U167" s="54">
        <f t="shared" si="220"/>
        <v>10043.98168093899</v>
      </c>
      <c r="V167" s="54">
        <f t="shared" si="220"/>
        <v>9792.2112709077282</v>
      </c>
      <c r="W167" s="54">
        <f t="shared" ref="W167:Y191" si="221">IF(W30=0,0,W30*1000000/W57)</f>
        <v>10723.328746765999</v>
      </c>
      <c r="X167" s="54">
        <f t="shared" si="221"/>
        <v>11092.513282672586</v>
      </c>
      <c r="Y167" s="54">
        <f t="shared" si="221"/>
        <v>11342.153038208169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6550.8046284127713</v>
      </c>
      <c r="C168" s="28">
        <f t="shared" si="219"/>
        <v>6410.2657899124815</v>
      </c>
      <c r="D168" s="28">
        <f t="shared" si="219"/>
        <v>6801.6983822877837</v>
      </c>
      <c r="E168" s="28">
        <f t="shared" si="219"/>
        <v>6912.8432262125107</v>
      </c>
      <c r="F168" s="28">
        <f t="shared" si="219"/>
        <v>7215.4257185858869</v>
      </c>
      <c r="G168" s="28">
        <f t="shared" si="219"/>
        <v>7653.2432819792066</v>
      </c>
      <c r="H168" s="28">
        <f t="shared" si="219"/>
        <v>8248.6783963628586</v>
      </c>
      <c r="I168" s="28">
        <f t="shared" si="219"/>
        <v>7727.147151157963</v>
      </c>
      <c r="J168" s="28">
        <f t="shared" si="219"/>
        <v>8073.0141577682907</v>
      </c>
      <c r="K168" s="28">
        <f t="shared" si="219"/>
        <v>8369.599225828506</v>
      </c>
      <c r="L168" s="28">
        <f t="shared" si="219"/>
        <v>8152.189023926976</v>
      </c>
      <c r="M168" s="28">
        <f t="shared" ref="M168:M192" si="222">IF(M31=0,0,M31*1000000/M58)</f>
        <v>7996.1205844063206</v>
      </c>
      <c r="N168" s="28">
        <f t="shared" si="219"/>
        <v>8348.9213353944306</v>
      </c>
      <c r="O168" s="28">
        <f t="shared" si="219"/>
        <v>8335.8392158422994</v>
      </c>
      <c r="P168" s="28">
        <f t="shared" si="219"/>
        <v>8509.2305042735952</v>
      </c>
      <c r="Q168" s="28">
        <f t="shared" si="219"/>
        <v>9351.5468439657252</v>
      </c>
      <c r="R168" s="28">
        <f t="shared" si="219"/>
        <v>9439.8822247736789</v>
      </c>
      <c r="S168" s="28">
        <f t="shared" si="219"/>
        <v>9558.8001892727989</v>
      </c>
      <c r="T168" s="28">
        <f t="shared" si="219"/>
        <v>9529.9518667299417</v>
      </c>
      <c r="U168" s="28">
        <f t="shared" si="219"/>
        <v>9837.2589722740122</v>
      </c>
      <c r="V168" s="28">
        <f t="shared" si="219"/>
        <v>9483.3746214735474</v>
      </c>
      <c r="W168" s="28">
        <f t="shared" si="221"/>
        <v>10416.986765866019</v>
      </c>
      <c r="X168" s="28">
        <f t="shared" si="221"/>
        <v>10842.683109458054</v>
      </c>
      <c r="Y168" s="28">
        <f t="shared" si="221"/>
        <v>11095.792042043917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3837.1599956933346</v>
      </c>
      <c r="C169" s="137">
        <f t="shared" si="219"/>
        <v>3881.8002802520909</v>
      </c>
      <c r="D169" s="137">
        <f t="shared" si="219"/>
        <v>3893.2985975045526</v>
      </c>
      <c r="E169" s="137">
        <f t="shared" si="219"/>
        <v>3806.4391959055442</v>
      </c>
      <c r="F169" s="137">
        <f t="shared" si="219"/>
        <v>4062.2190528456945</v>
      </c>
      <c r="G169" s="137">
        <f t="shared" si="219"/>
        <v>4343.7751588500969</v>
      </c>
      <c r="H169" s="137">
        <f t="shared" si="219"/>
        <v>4449.5761461964703</v>
      </c>
      <c r="I169" s="137">
        <f t="shared" si="219"/>
        <v>3981.5938411469533</v>
      </c>
      <c r="J169" s="137">
        <f t="shared" si="219"/>
        <v>3826.352671862674</v>
      </c>
      <c r="K169" s="137">
        <f t="shared" si="219"/>
        <v>3711.4986095617828</v>
      </c>
      <c r="L169" s="137">
        <f t="shared" si="219"/>
        <v>3796.8920989169205</v>
      </c>
      <c r="M169" s="137">
        <f t="shared" si="222"/>
        <v>3830.8346210014529</v>
      </c>
      <c r="N169" s="137">
        <f t="shared" si="219"/>
        <v>3936.3129539020624</v>
      </c>
      <c r="O169" s="137">
        <f t="shared" si="219"/>
        <v>3959.8512178718624</v>
      </c>
      <c r="P169" s="137">
        <f t="shared" si="219"/>
        <v>3989.0634467368595</v>
      </c>
      <c r="Q169" s="137">
        <f t="shared" si="219"/>
        <v>4091.4770801902746</v>
      </c>
      <c r="R169" s="137">
        <f t="shared" si="219"/>
        <v>4174.9244385892907</v>
      </c>
      <c r="S169" s="137">
        <f t="shared" si="219"/>
        <v>3778.4070982297444</v>
      </c>
      <c r="T169" s="137">
        <f t="shared" si="219"/>
        <v>3461.1659877174084</v>
      </c>
      <c r="U169" s="137">
        <f t="shared" si="219"/>
        <v>3536.2435512160014</v>
      </c>
      <c r="V169" s="137">
        <f t="shared" si="219"/>
        <v>3070.8713635221857</v>
      </c>
      <c r="W169" s="137">
        <f t="shared" si="221"/>
        <v>3099.4142738883274</v>
      </c>
      <c r="X169" s="137">
        <f t="shared" si="221"/>
        <v>3020.6175080919365</v>
      </c>
      <c r="Y169" s="137">
        <f t="shared" si="221"/>
        <v>3083.8975212236037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6452.7374166352847</v>
      </c>
      <c r="C170" s="110">
        <f t="shared" si="219"/>
        <v>6302.3073776431565</v>
      </c>
      <c r="D170" s="110">
        <f t="shared" si="219"/>
        <v>6686.6919826727299</v>
      </c>
      <c r="E170" s="110">
        <f t="shared" si="219"/>
        <v>6845.6911429722659</v>
      </c>
      <c r="F170" s="110">
        <f t="shared" si="219"/>
        <v>7167.7986389393318</v>
      </c>
      <c r="G170" s="110">
        <f t="shared" si="219"/>
        <v>7605.4464221311282</v>
      </c>
      <c r="H170" s="110">
        <f t="shared" si="219"/>
        <v>8225.0198221743194</v>
      </c>
      <c r="I170" s="110">
        <f t="shared" si="219"/>
        <v>7709.7699925939178</v>
      </c>
      <c r="J170" s="110">
        <f t="shared" si="219"/>
        <v>8111.314729090238</v>
      </c>
      <c r="K170" s="110">
        <f t="shared" si="219"/>
        <v>8437.3425053058618</v>
      </c>
      <c r="L170" s="110">
        <f t="shared" si="219"/>
        <v>8229.604746743842</v>
      </c>
      <c r="M170" s="110">
        <f t="shared" si="222"/>
        <v>8056.7076685474831</v>
      </c>
      <c r="N170" s="110">
        <f t="shared" si="219"/>
        <v>8446.6403952952951</v>
      </c>
      <c r="O170" s="110">
        <f t="shared" si="219"/>
        <v>8445.6964579968626</v>
      </c>
      <c r="P170" s="110">
        <f t="shared" si="219"/>
        <v>8629.8734163736153</v>
      </c>
      <c r="Q170" s="110">
        <f t="shared" si="219"/>
        <v>9517.7473790607964</v>
      </c>
      <c r="R170" s="110">
        <f t="shared" si="219"/>
        <v>9627.1104698107902</v>
      </c>
      <c r="S170" s="110">
        <f t="shared" si="219"/>
        <v>9797.9834970243628</v>
      </c>
      <c r="T170" s="110">
        <f t="shared" si="219"/>
        <v>9795.6725114991459</v>
      </c>
      <c r="U170" s="110">
        <f t="shared" si="219"/>
        <v>10122.105647194376</v>
      </c>
      <c r="V170" s="110">
        <f t="shared" si="219"/>
        <v>9790.6055194859455</v>
      </c>
      <c r="W170" s="110">
        <f t="shared" si="221"/>
        <v>10801.26896512418</v>
      </c>
      <c r="X170" s="110">
        <f t="shared" si="221"/>
        <v>11287.755072184196</v>
      </c>
      <c r="Y170" s="110">
        <f t="shared" si="221"/>
        <v>11595.121260966625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5090.7306169756903</v>
      </c>
      <c r="C171" s="84">
        <f t="shared" si="219"/>
        <v>4463.1724579969396</v>
      </c>
      <c r="D171" s="84">
        <f t="shared" si="219"/>
        <v>4783.6267988778327</v>
      </c>
      <c r="E171" s="84">
        <f t="shared" si="219"/>
        <v>4591.4852751495655</v>
      </c>
      <c r="F171" s="84">
        <f t="shared" si="219"/>
        <v>4225.4714461989442</v>
      </c>
      <c r="G171" s="84">
        <f t="shared" si="219"/>
        <v>4062.2961639725418</v>
      </c>
      <c r="H171" s="84">
        <f t="shared" si="219"/>
        <v>4676.8577449465092</v>
      </c>
      <c r="I171" s="84">
        <f t="shared" si="219"/>
        <v>4514.4416501019941</v>
      </c>
      <c r="J171" s="84">
        <f t="shared" si="219"/>
        <v>4535.1198602214145</v>
      </c>
      <c r="K171" s="84">
        <f t="shared" si="219"/>
        <v>4979.0818449523294</v>
      </c>
      <c r="L171" s="84">
        <f t="shared" si="219"/>
        <v>4599.0450592526959</v>
      </c>
      <c r="M171" s="84">
        <f t="shared" si="222"/>
        <v>4561.395463357665</v>
      </c>
      <c r="N171" s="84">
        <f t="shared" si="219"/>
        <v>4366.6002010474149</v>
      </c>
      <c r="O171" s="84">
        <f t="shared" si="219"/>
        <v>4255.2668776809815</v>
      </c>
      <c r="P171" s="84">
        <f t="shared" si="219"/>
        <v>4353.0210514911278</v>
      </c>
      <c r="Q171" s="84">
        <f t="shared" si="219"/>
        <v>4592.1032672659712</v>
      </c>
      <c r="R171" s="84">
        <f t="shared" si="219"/>
        <v>4546.9862991480386</v>
      </c>
      <c r="S171" s="84">
        <f t="shared" si="219"/>
        <v>4763.117108243342</v>
      </c>
      <c r="T171" s="84">
        <f t="shared" si="219"/>
        <v>4647.1499287799234</v>
      </c>
      <c r="U171" s="84">
        <f t="shared" si="219"/>
        <v>4761.3649550182627</v>
      </c>
      <c r="V171" s="84">
        <f t="shared" si="219"/>
        <v>4713.4384324727398</v>
      </c>
      <c r="W171" s="84">
        <f t="shared" si="221"/>
        <v>5227.8813958279443</v>
      </c>
      <c r="X171" s="84">
        <f t="shared" si="221"/>
        <v>5600.7121001817122</v>
      </c>
      <c r="Y171" s="84">
        <f t="shared" si="221"/>
        <v>5686.4967711553463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12906.833572732789</v>
      </c>
      <c r="C172" s="84">
        <f t="shared" si="219"/>
        <v>15500.67442140606</v>
      </c>
      <c r="D172" s="84">
        <f t="shared" si="219"/>
        <v>14442.708185545836</v>
      </c>
      <c r="E172" s="84">
        <f t="shared" si="219"/>
        <v>13788.329090359022</v>
      </c>
      <c r="F172" s="84">
        <f t="shared" si="219"/>
        <v>15022.873715270804</v>
      </c>
      <c r="G172" s="84">
        <f t="shared" si="219"/>
        <v>17371.671476421718</v>
      </c>
      <c r="H172" s="84">
        <f t="shared" si="219"/>
        <v>15823.138434483924</v>
      </c>
      <c r="I172" s="84">
        <f t="shared" si="219"/>
        <v>13855.899203248709</v>
      </c>
      <c r="J172" s="84">
        <f t="shared" si="219"/>
        <v>14501.120878186866</v>
      </c>
      <c r="K172" s="84">
        <f t="shared" si="219"/>
        <v>13716.793307339825</v>
      </c>
      <c r="L172" s="84">
        <f t="shared" si="219"/>
        <v>14172.505594423748</v>
      </c>
      <c r="M172" s="84">
        <f t="shared" si="222"/>
        <v>12506.426733526589</v>
      </c>
      <c r="N172" s="84">
        <f t="shared" si="219"/>
        <v>13622.678513497198</v>
      </c>
      <c r="O172" s="84">
        <f t="shared" si="219"/>
        <v>13769.894403414413</v>
      </c>
      <c r="P172" s="84">
        <f t="shared" si="219"/>
        <v>14101.566082014459</v>
      </c>
      <c r="Q172" s="84">
        <f t="shared" si="219"/>
        <v>15799.83977243656</v>
      </c>
      <c r="R172" s="84">
        <f t="shared" si="219"/>
        <v>15970.799544678162</v>
      </c>
      <c r="S172" s="84">
        <f t="shared" si="219"/>
        <v>16056.309324824562</v>
      </c>
      <c r="T172" s="84">
        <f t="shared" si="219"/>
        <v>15844.746420130663</v>
      </c>
      <c r="U172" s="84">
        <f t="shared" si="219"/>
        <v>16225.015204872747</v>
      </c>
      <c r="V172" s="84">
        <f t="shared" si="219"/>
        <v>15340.222675430754</v>
      </c>
      <c r="W172" s="84">
        <f t="shared" si="221"/>
        <v>16755.634281012579</v>
      </c>
      <c r="X172" s="84">
        <f t="shared" si="221"/>
        <v>16971.165533704803</v>
      </c>
      <c r="Y172" s="84">
        <f t="shared" si="221"/>
        <v>17093.29566938354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9867.2743637726289</v>
      </c>
      <c r="C173" s="84">
        <f t="shared" si="219"/>
        <v>9345.5173288985261</v>
      </c>
      <c r="D173" s="84">
        <f t="shared" si="219"/>
        <v>9655.2482954725292</v>
      </c>
      <c r="E173" s="84">
        <f t="shared" si="219"/>
        <v>9608.2103862319273</v>
      </c>
      <c r="F173" s="84">
        <f t="shared" si="219"/>
        <v>9789.7634783838257</v>
      </c>
      <c r="G173" s="84">
        <f t="shared" si="219"/>
        <v>10114.882337589186</v>
      </c>
      <c r="H173" s="84">
        <f t="shared" si="219"/>
        <v>10661.94565628726</v>
      </c>
      <c r="I173" s="84">
        <f t="shared" si="219"/>
        <v>9671.6134800763866</v>
      </c>
      <c r="J173" s="84">
        <f t="shared" si="219"/>
        <v>10069.440793807533</v>
      </c>
      <c r="K173" s="84">
        <f t="shared" si="219"/>
        <v>10819.414669058095</v>
      </c>
      <c r="L173" s="84">
        <f t="shared" si="219"/>
        <v>10232.894682487475</v>
      </c>
      <c r="M173" s="84">
        <f t="shared" si="222"/>
        <v>9759.9080537241643</v>
      </c>
      <c r="N173" s="84">
        <f t="shared" si="219"/>
        <v>9957.7419384615459</v>
      </c>
      <c r="O173" s="84">
        <f t="shared" si="219"/>
        <v>9656.4465362379196</v>
      </c>
      <c r="P173" s="84">
        <f t="shared" si="219"/>
        <v>9600.0324714366216</v>
      </c>
      <c r="Q173" s="84">
        <f t="shared" si="219"/>
        <v>10329.756613567022</v>
      </c>
      <c r="R173" s="84">
        <f t="shared" si="219"/>
        <v>10334.981973906932</v>
      </c>
      <c r="S173" s="84">
        <f t="shared" si="219"/>
        <v>10284.293197672458</v>
      </c>
      <c r="T173" s="84">
        <f t="shared" si="219"/>
        <v>10045.225143109958</v>
      </c>
      <c r="U173" s="84">
        <f t="shared" si="219"/>
        <v>10181.344975320555</v>
      </c>
      <c r="V173" s="84">
        <f t="shared" si="219"/>
        <v>9715.8545218822728</v>
      </c>
      <c r="W173" s="84">
        <f t="shared" si="221"/>
        <v>10504.028000300388</v>
      </c>
      <c r="X173" s="84">
        <f t="shared" si="221"/>
        <v>11181.956969881148</v>
      </c>
      <c r="Y173" s="84">
        <f t="shared" si="221"/>
        <v>11837.03961424692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8170.2834735262477</v>
      </c>
      <c r="G174" s="84">
        <f t="shared" si="219"/>
        <v>8175.1271122959488</v>
      </c>
      <c r="H174" s="84">
        <f t="shared" si="219"/>
        <v>8181.5320592336147</v>
      </c>
      <c r="I174" s="84">
        <f t="shared" si="219"/>
        <v>8176.240945384051</v>
      </c>
      <c r="J174" s="84">
        <f t="shared" si="219"/>
        <v>8180.3932087340227</v>
      </c>
      <c r="K174" s="84">
        <f t="shared" si="219"/>
        <v>8183.6175261493945</v>
      </c>
      <c r="L174" s="84">
        <f t="shared" si="219"/>
        <v>8181.5776534830511</v>
      </c>
      <c r="M174" s="84">
        <f t="shared" si="222"/>
        <v>8179.8406441375282</v>
      </c>
      <c r="N174" s="84">
        <f t="shared" si="219"/>
        <v>8183.7075963944917</v>
      </c>
      <c r="O174" s="84">
        <f t="shared" si="219"/>
        <v>8183.5495031893497</v>
      </c>
      <c r="P174" s="84">
        <f t="shared" si="219"/>
        <v>8185.464067163849</v>
      </c>
      <c r="Q174" s="84">
        <f t="shared" si="219"/>
        <v>8193.4835926306478</v>
      </c>
      <c r="R174" s="84">
        <f t="shared" si="219"/>
        <v>8195.9002411862166</v>
      </c>
      <c r="S174" s="84">
        <f t="shared" si="219"/>
        <v>8197.8942385094488</v>
      </c>
      <c r="T174" s="84">
        <f t="shared" si="219"/>
        <v>8198.4360060432537</v>
      </c>
      <c r="U174" s="84">
        <f t="shared" si="219"/>
        <v>8201.865927481178</v>
      </c>
      <c r="V174" s="84">
        <f t="shared" si="219"/>
        <v>8199.064244034711</v>
      </c>
      <c r="W174" s="84">
        <f t="shared" si="221"/>
        <v>8207.537782294341</v>
      </c>
      <c r="X174" s="84">
        <f t="shared" si="221"/>
        <v>8210.1164398589954</v>
      </c>
      <c r="Y174" s="84">
        <f t="shared" si="221"/>
        <v>8212.2570781650829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9249.3066781118578</v>
      </c>
      <c r="O175" s="84">
        <f t="shared" si="219"/>
        <v>8270.3813526716822</v>
      </c>
      <c r="P175" s="84">
        <f t="shared" si="219"/>
        <v>9360.2481397360298</v>
      </c>
      <c r="Q175" s="84">
        <f t="shared" si="219"/>
        <v>10482.833238900863</v>
      </c>
      <c r="R175" s="84">
        <f t="shared" si="219"/>
        <v>10681.06025079852</v>
      </c>
      <c r="S175" s="84">
        <f t="shared" si="219"/>
        <v>10959.436297479355</v>
      </c>
      <c r="T175" s="84">
        <f t="shared" si="219"/>
        <v>11039.48201010304</v>
      </c>
      <c r="U175" s="84">
        <f t="shared" si="219"/>
        <v>11541.738882621486</v>
      </c>
      <c r="V175" s="84">
        <f t="shared" si="219"/>
        <v>11148.711141203239</v>
      </c>
      <c r="W175" s="84">
        <f t="shared" si="221"/>
        <v>12434.324726254126</v>
      </c>
      <c r="X175" s="84">
        <f t="shared" si="221"/>
        <v>12851.29598369835</v>
      </c>
      <c r="Y175" s="84">
        <f t="shared" si="221"/>
        <v>13207.936909936529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0</v>
      </c>
      <c r="P176" s="84">
        <f t="shared" si="219"/>
        <v>0</v>
      </c>
      <c r="Q176" s="84">
        <f t="shared" si="219"/>
        <v>0</v>
      </c>
      <c r="R176" s="84">
        <f t="shared" si="219"/>
        <v>10118.309715370317</v>
      </c>
      <c r="S176" s="84">
        <f t="shared" si="219"/>
        <v>10094.843444175169</v>
      </c>
      <c r="T176" s="84">
        <f t="shared" si="219"/>
        <v>10082.410123511057</v>
      </c>
      <c r="U176" s="84">
        <f t="shared" si="219"/>
        <v>10070.177368755136</v>
      </c>
      <c r="V176" s="84">
        <f t="shared" si="219"/>
        <v>9994.0586929266228</v>
      </c>
      <c r="W176" s="84">
        <f t="shared" si="221"/>
        <v>10023.223332712487</v>
      </c>
      <c r="X176" s="84">
        <f t="shared" si="221"/>
        <v>9988.7589104557319</v>
      </c>
      <c r="Y176" s="84">
        <f t="shared" si="221"/>
        <v>9981.1700250815611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38733.728123323388</v>
      </c>
      <c r="C177" s="110">
        <f t="shared" si="219"/>
        <v>38723.669108408423</v>
      </c>
      <c r="D177" s="110">
        <f t="shared" si="219"/>
        <v>38427.688750427042</v>
      </c>
      <c r="E177" s="110">
        <f t="shared" si="219"/>
        <v>35177.988897826704</v>
      </c>
      <c r="F177" s="110">
        <f t="shared" si="219"/>
        <v>34241.121197642933</v>
      </c>
      <c r="G177" s="110">
        <f t="shared" si="219"/>
        <v>33749.102152575331</v>
      </c>
      <c r="H177" s="110">
        <f t="shared" si="219"/>
        <v>33784.352613412324</v>
      </c>
      <c r="I177" s="110">
        <f t="shared" si="219"/>
        <v>34556.324230302096</v>
      </c>
      <c r="J177" s="110">
        <f t="shared" si="219"/>
        <v>34251.641633330815</v>
      </c>
      <c r="K177" s="110">
        <f t="shared" si="219"/>
        <v>33823.007593499395</v>
      </c>
      <c r="L177" s="110">
        <f t="shared" si="219"/>
        <v>30642.595282562081</v>
      </c>
      <c r="M177" s="110">
        <f t="shared" si="222"/>
        <v>33376.561326871888</v>
      </c>
      <c r="N177" s="110">
        <f t="shared" si="219"/>
        <v>30360.403002231375</v>
      </c>
      <c r="O177" s="110">
        <f t="shared" si="219"/>
        <v>28828.887869454094</v>
      </c>
      <c r="P177" s="110">
        <f t="shared" si="219"/>
        <v>29591.637992598844</v>
      </c>
      <c r="Q177" s="110">
        <f t="shared" si="219"/>
        <v>30323.173143461874</v>
      </c>
      <c r="R177" s="110">
        <f t="shared" si="219"/>
        <v>29072.567523592585</v>
      </c>
      <c r="S177" s="110">
        <f t="shared" si="219"/>
        <v>29910.115565701239</v>
      </c>
      <c r="T177" s="110">
        <f t="shared" si="219"/>
        <v>31399.618152445288</v>
      </c>
      <c r="U177" s="110">
        <f t="shared" si="219"/>
        <v>34779.932248438985</v>
      </c>
      <c r="V177" s="110">
        <f t="shared" si="219"/>
        <v>32666.503760239157</v>
      </c>
      <c r="W177" s="110">
        <f t="shared" si="221"/>
        <v>32029.219019205648</v>
      </c>
      <c r="X177" s="110">
        <f t="shared" si="221"/>
        <v>31200.655841442342</v>
      </c>
      <c r="Y177" s="110">
        <f t="shared" si="221"/>
        <v>30340.786726561393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18279.723434355405</v>
      </c>
      <c r="S178" s="102">
        <f t="shared" si="219"/>
        <v>18456.40598355393</v>
      </c>
      <c r="T178" s="102">
        <f t="shared" si="219"/>
        <v>19034.207519220065</v>
      </c>
      <c r="U178" s="102">
        <f t="shared" si="219"/>
        <v>20767.559278185898</v>
      </c>
      <c r="V178" s="102">
        <f t="shared" si="219"/>
        <v>19055.666969087248</v>
      </c>
      <c r="W178" s="102">
        <f t="shared" si="221"/>
        <v>18292.207053104987</v>
      </c>
      <c r="X178" s="102">
        <f t="shared" si="221"/>
        <v>17439.756898746728</v>
      </c>
      <c r="Y178" s="102">
        <f t="shared" si="221"/>
        <v>16596.739327014042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38733.728123323388</v>
      </c>
      <c r="C179" s="102">
        <f t="shared" si="219"/>
        <v>38723.669108408423</v>
      </c>
      <c r="D179" s="102">
        <f t="shared" si="219"/>
        <v>38427.688750427042</v>
      </c>
      <c r="E179" s="102">
        <f t="shared" si="219"/>
        <v>35177.988897826704</v>
      </c>
      <c r="F179" s="102">
        <f t="shared" si="219"/>
        <v>34269.260025140917</v>
      </c>
      <c r="G179" s="102">
        <f t="shared" si="219"/>
        <v>33866.863272889226</v>
      </c>
      <c r="H179" s="102">
        <f t="shared" si="219"/>
        <v>34010.00998627417</v>
      </c>
      <c r="I179" s="102">
        <f t="shared" si="219"/>
        <v>34862.409998685325</v>
      </c>
      <c r="J179" s="102">
        <f t="shared" si="219"/>
        <v>34594.930335567456</v>
      </c>
      <c r="K179" s="102">
        <f t="shared" si="219"/>
        <v>34040.952049037507</v>
      </c>
      <c r="L179" s="102">
        <f t="shared" si="219"/>
        <v>30680.2786043946</v>
      </c>
      <c r="M179" s="102">
        <f t="shared" si="222"/>
        <v>33412.793187644951</v>
      </c>
      <c r="N179" s="102">
        <f t="shared" si="219"/>
        <v>30394.512532814158</v>
      </c>
      <c r="O179" s="102">
        <f t="shared" si="219"/>
        <v>28806.180334738187</v>
      </c>
      <c r="P179" s="102">
        <f t="shared" si="219"/>
        <v>29571.380957936752</v>
      </c>
      <c r="Q179" s="102">
        <f t="shared" si="219"/>
        <v>30826.188580969047</v>
      </c>
      <c r="R179" s="102">
        <f t="shared" si="219"/>
        <v>31550.603864196473</v>
      </c>
      <c r="S179" s="102">
        <f t="shared" si="219"/>
        <v>32945.169966554611</v>
      </c>
      <c r="T179" s="102">
        <f t="shared" si="219"/>
        <v>34971.384428321624</v>
      </c>
      <c r="U179" s="102">
        <f t="shared" si="219"/>
        <v>39372.509351146873</v>
      </c>
      <c r="V179" s="102">
        <f t="shared" si="219"/>
        <v>36956.472396152094</v>
      </c>
      <c r="W179" s="102">
        <f t="shared" si="221"/>
        <v>36375.890392498208</v>
      </c>
      <c r="X179" s="102">
        <f t="shared" si="221"/>
        <v>34273.657254959297</v>
      </c>
      <c r="Y179" s="102">
        <f t="shared" si="221"/>
        <v>32669.958748779231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31385.833627653177</v>
      </c>
      <c r="S180" s="102">
        <f t="shared" si="223"/>
        <v>31689.193200568407</v>
      </c>
      <c r="T180" s="102">
        <f t="shared" si="223"/>
        <v>32681.264165610293</v>
      </c>
      <c r="U180" s="102">
        <f t="shared" si="223"/>
        <v>35657.386321969389</v>
      </c>
      <c r="V180" s="102">
        <f t="shared" si="223"/>
        <v>32718.109510983879</v>
      </c>
      <c r="W180" s="102">
        <f t="shared" si="221"/>
        <v>31407.267692700851</v>
      </c>
      <c r="X180" s="102">
        <f t="shared" si="221"/>
        <v>29943.631833184954</v>
      </c>
      <c r="Y180" s="102">
        <f t="shared" si="221"/>
        <v>28496.191485052397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30574.631974655575</v>
      </c>
      <c r="G181" s="102">
        <f t="shared" si="223"/>
        <v>27375.906695278554</v>
      </c>
      <c r="H181" s="102">
        <f t="shared" si="223"/>
        <v>27405.930914540801</v>
      </c>
      <c r="I181" s="102">
        <f t="shared" si="223"/>
        <v>28573.221989176662</v>
      </c>
      <c r="J181" s="102">
        <f t="shared" si="223"/>
        <v>28142.633170486602</v>
      </c>
      <c r="K181" s="102">
        <f t="shared" si="223"/>
        <v>30858.839783983036</v>
      </c>
      <c r="L181" s="102">
        <f t="shared" si="223"/>
        <v>30233.273683294694</v>
      </c>
      <c r="M181" s="102">
        <f t="shared" si="222"/>
        <v>33071.738349300351</v>
      </c>
      <c r="N181" s="102">
        <f t="shared" si="223"/>
        <v>29940.99727163565</v>
      </c>
      <c r="O181" s="102">
        <f t="shared" si="223"/>
        <v>28357.153652780391</v>
      </c>
      <c r="P181" s="102">
        <f t="shared" si="223"/>
        <v>29145.452925193411</v>
      </c>
      <c r="Q181" s="102">
        <f t="shared" si="223"/>
        <v>27184.042835767235</v>
      </c>
      <c r="R181" s="102">
        <f t="shared" si="223"/>
        <v>23407.268376407075</v>
      </c>
      <c r="S181" s="102">
        <f t="shared" si="223"/>
        <v>24115.827732897851</v>
      </c>
      <c r="T181" s="102">
        <f t="shared" si="223"/>
        <v>25378.372191778762</v>
      </c>
      <c r="U181" s="102">
        <f t="shared" si="223"/>
        <v>28254.546792868325</v>
      </c>
      <c r="V181" s="102">
        <f t="shared" si="223"/>
        <v>26454.585743085445</v>
      </c>
      <c r="W181" s="102">
        <f t="shared" si="221"/>
        <v>25912.949220209524</v>
      </c>
      <c r="X181" s="102">
        <f t="shared" si="221"/>
        <v>25209.549597282057</v>
      </c>
      <c r="Y181" s="102">
        <f t="shared" si="221"/>
        <v>24480.560490039279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31081.15251593927</v>
      </c>
      <c r="K182" s="102">
        <f t="shared" si="223"/>
        <v>31100.729276790778</v>
      </c>
      <c r="L182" s="102">
        <f t="shared" si="223"/>
        <v>31254.669205163307</v>
      </c>
      <c r="M182" s="102">
        <f t="shared" si="222"/>
        <v>31388.510623604066</v>
      </c>
      <c r="N182" s="102">
        <f t="shared" si="223"/>
        <v>31537.510779549706</v>
      </c>
      <c r="O182" s="102">
        <f t="shared" si="223"/>
        <v>31619.237604903228</v>
      </c>
      <c r="P182" s="102">
        <f t="shared" si="223"/>
        <v>31660.549627344884</v>
      </c>
      <c r="Q182" s="102">
        <f t="shared" si="223"/>
        <v>31699.231385427207</v>
      </c>
      <c r="R182" s="102">
        <f t="shared" si="223"/>
        <v>31632.547515499016</v>
      </c>
      <c r="S182" s="102">
        <f t="shared" si="223"/>
        <v>31587.65848417097</v>
      </c>
      <c r="T182" s="102">
        <f t="shared" si="223"/>
        <v>31510.995241906221</v>
      </c>
      <c r="U182" s="102">
        <f t="shared" si="223"/>
        <v>31350.314495501229</v>
      </c>
      <c r="V182" s="102">
        <f t="shared" si="223"/>
        <v>29910.408505928823</v>
      </c>
      <c r="W182" s="102">
        <f t="shared" si="221"/>
        <v>31221.429430318571</v>
      </c>
      <c r="X182" s="102">
        <f t="shared" si="221"/>
        <v>31180.54137883208</v>
      </c>
      <c r="Y182" s="102">
        <f t="shared" si="221"/>
        <v>31137.002904522484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11810.454944815023</v>
      </c>
      <c r="C183" s="28">
        <f t="shared" si="223"/>
        <v>12480.536795272983</v>
      </c>
      <c r="D183" s="28">
        <f t="shared" si="223"/>
        <v>12748.657121153225</v>
      </c>
      <c r="E183" s="28">
        <f t="shared" si="223"/>
        <v>13774.326138556115</v>
      </c>
      <c r="F183" s="28">
        <f t="shared" si="223"/>
        <v>14099.359692285723</v>
      </c>
      <c r="G183" s="28">
        <f t="shared" si="223"/>
        <v>14091.81202389771</v>
      </c>
      <c r="H183" s="28">
        <f t="shared" si="223"/>
        <v>13739.121340888574</v>
      </c>
      <c r="I183" s="28">
        <f t="shared" si="223"/>
        <v>13099.685999408954</v>
      </c>
      <c r="J183" s="28">
        <f t="shared" si="223"/>
        <v>13278.150623611624</v>
      </c>
      <c r="K183" s="28">
        <f t="shared" si="223"/>
        <v>12486.884175556652</v>
      </c>
      <c r="L183" s="28">
        <f t="shared" si="223"/>
        <v>12548.657441278125</v>
      </c>
      <c r="M183" s="28">
        <f t="shared" si="222"/>
        <v>12678.840650829976</v>
      </c>
      <c r="N183" s="28">
        <f t="shared" si="223"/>
        <v>12973.846393878503</v>
      </c>
      <c r="O183" s="28">
        <f t="shared" si="223"/>
        <v>13333.106697850169</v>
      </c>
      <c r="P183" s="28">
        <f t="shared" si="223"/>
        <v>13571.851811964554</v>
      </c>
      <c r="Q183" s="28">
        <f t="shared" si="223"/>
        <v>14147.121404444651</v>
      </c>
      <c r="R183" s="28">
        <f t="shared" si="223"/>
        <v>13997.638638341794</v>
      </c>
      <c r="S183" s="28">
        <f t="shared" si="223"/>
        <v>14556.234474567147</v>
      </c>
      <c r="T183" s="28">
        <f t="shared" si="223"/>
        <v>13796.105122128742</v>
      </c>
      <c r="U183" s="28">
        <f t="shared" si="223"/>
        <v>12787.543626965427</v>
      </c>
      <c r="V183" s="28">
        <f t="shared" si="223"/>
        <v>14163.763623973917</v>
      </c>
      <c r="W183" s="28">
        <f t="shared" si="221"/>
        <v>15237.519743240466</v>
      </c>
      <c r="X183" s="28">
        <f t="shared" si="221"/>
        <v>14951.443846517379</v>
      </c>
      <c r="Y183" s="28">
        <f t="shared" si="221"/>
        <v>15383.857858892348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9023.8846082053115</v>
      </c>
      <c r="C184" s="137">
        <f t="shared" si="223"/>
        <v>9298.0912181690437</v>
      </c>
      <c r="D184" s="137">
        <f t="shared" si="223"/>
        <v>9653.9563557589991</v>
      </c>
      <c r="E184" s="137">
        <f t="shared" si="223"/>
        <v>10135.435866384747</v>
      </c>
      <c r="F184" s="137">
        <f t="shared" si="223"/>
        <v>10591.756624569098</v>
      </c>
      <c r="G184" s="137">
        <f t="shared" si="223"/>
        <v>10200.633501460657</v>
      </c>
      <c r="H184" s="137">
        <f t="shared" si="223"/>
        <v>10057.143841950892</v>
      </c>
      <c r="I184" s="137">
        <f t="shared" si="223"/>
        <v>9976.7303226897275</v>
      </c>
      <c r="J184" s="137">
        <f t="shared" si="223"/>
        <v>10294.413092671672</v>
      </c>
      <c r="K184" s="137">
        <f t="shared" si="223"/>
        <v>9973.5871617327157</v>
      </c>
      <c r="L184" s="137">
        <f t="shared" si="223"/>
        <v>10075.287306602972</v>
      </c>
      <c r="M184" s="137">
        <f t="shared" si="222"/>
        <v>10232.972110409091</v>
      </c>
      <c r="N184" s="137">
        <f t="shared" si="223"/>
        <v>10694.24891703731</v>
      </c>
      <c r="O184" s="137">
        <f t="shared" si="223"/>
        <v>10728.845559686739</v>
      </c>
      <c r="P184" s="137">
        <f t="shared" si="223"/>
        <v>11205.722978903086</v>
      </c>
      <c r="Q184" s="137">
        <f t="shared" si="223"/>
        <v>11696.740407343243</v>
      </c>
      <c r="R184" s="137">
        <f t="shared" si="223"/>
        <v>11923.286228712972</v>
      </c>
      <c r="S184" s="137">
        <f t="shared" si="223"/>
        <v>12231.150395215</v>
      </c>
      <c r="T184" s="137">
        <f t="shared" si="223"/>
        <v>12675.713767091778</v>
      </c>
      <c r="U184" s="137">
        <f t="shared" si="223"/>
        <v>13120.113344848287</v>
      </c>
      <c r="V184" s="137">
        <f t="shared" si="223"/>
        <v>13566.331672689706</v>
      </c>
      <c r="W184" s="137">
        <f t="shared" si="221"/>
        <v>14010.806275678397</v>
      </c>
      <c r="X184" s="137">
        <f t="shared" si="221"/>
        <v>14458.601660189661</v>
      </c>
      <c r="Y184" s="137">
        <f t="shared" si="221"/>
        <v>14884.04955914102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6483.3899985512653</v>
      </c>
      <c r="C185" s="84">
        <f t="shared" si="223"/>
        <v>6672.3825011597683</v>
      </c>
      <c r="D185" s="84">
        <f t="shared" si="223"/>
        <v>6884.1575603573338</v>
      </c>
      <c r="E185" s="84">
        <f t="shared" si="223"/>
        <v>7126.852075587597</v>
      </c>
      <c r="F185" s="84">
        <f t="shared" si="223"/>
        <v>7406.3597882812892</v>
      </c>
      <c r="G185" s="84">
        <f t="shared" si="223"/>
        <v>7171.1073359659376</v>
      </c>
      <c r="H185" s="84">
        <f t="shared" si="223"/>
        <v>6998.5854306498077</v>
      </c>
      <c r="I185" s="84">
        <f t="shared" si="223"/>
        <v>6902.8490312146287</v>
      </c>
      <c r="J185" s="84">
        <f t="shared" si="223"/>
        <v>7115.5670270812834</v>
      </c>
      <c r="K185" s="84">
        <f t="shared" si="223"/>
        <v>6910.392213147632</v>
      </c>
      <c r="L185" s="84">
        <f t="shared" si="223"/>
        <v>6993.927189302166</v>
      </c>
      <c r="M185" s="84">
        <f t="shared" si="222"/>
        <v>7166.1751876389417</v>
      </c>
      <c r="N185" s="84">
        <f t="shared" si="223"/>
        <v>7404.87859028616</v>
      </c>
      <c r="O185" s="84">
        <f t="shared" si="223"/>
        <v>7488.5427947752059</v>
      </c>
      <c r="P185" s="84">
        <f t="shared" si="223"/>
        <v>7734.460260013645</v>
      </c>
      <c r="Q185" s="84">
        <f t="shared" si="223"/>
        <v>8016.6745303211828</v>
      </c>
      <c r="R185" s="84">
        <f t="shared" si="223"/>
        <v>8258.5482256282903</v>
      </c>
      <c r="S185" s="84">
        <f t="shared" si="223"/>
        <v>8440.1641748367056</v>
      </c>
      <c r="T185" s="84">
        <f t="shared" si="223"/>
        <v>8692.7020244843116</v>
      </c>
      <c r="U185" s="84">
        <f t="shared" si="223"/>
        <v>8941.929044864115</v>
      </c>
      <c r="V185" s="84">
        <f t="shared" si="223"/>
        <v>9189.2969381568964</v>
      </c>
      <c r="W185" s="84">
        <f t="shared" si="221"/>
        <v>9442.2875403727066</v>
      </c>
      <c r="X185" s="84">
        <f t="shared" si="221"/>
        <v>9686.5985506109701</v>
      </c>
      <c r="Y185" s="84">
        <f t="shared" si="221"/>
        <v>9931.1085810085024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9975.0392054103286</v>
      </c>
      <c r="C186" s="84">
        <f t="shared" si="223"/>
        <v>10369.509282225477</v>
      </c>
      <c r="D186" s="84">
        <f t="shared" si="223"/>
        <v>10806.694566309867</v>
      </c>
      <c r="E186" s="84">
        <f t="shared" si="223"/>
        <v>11300.681255636509</v>
      </c>
      <c r="F186" s="84">
        <f t="shared" si="223"/>
        <v>11627.606138531079</v>
      </c>
      <c r="G186" s="84">
        <f t="shared" si="223"/>
        <v>11146.803780380775</v>
      </c>
      <c r="H186" s="84">
        <f t="shared" si="223"/>
        <v>10770.92564342629</v>
      </c>
      <c r="I186" s="84">
        <f t="shared" si="223"/>
        <v>10518.401901278918</v>
      </c>
      <c r="J186" s="84">
        <f t="shared" si="223"/>
        <v>10735.18482148251</v>
      </c>
      <c r="K186" s="84">
        <f t="shared" si="223"/>
        <v>10322.415476585196</v>
      </c>
      <c r="L186" s="84">
        <f t="shared" si="223"/>
        <v>10343.758469331919</v>
      </c>
      <c r="M186" s="84">
        <f t="shared" si="222"/>
        <v>10493.571147905699</v>
      </c>
      <c r="N186" s="84">
        <f t="shared" si="223"/>
        <v>10952.635586970247</v>
      </c>
      <c r="O186" s="84">
        <f t="shared" si="223"/>
        <v>10966.717041501543</v>
      </c>
      <c r="P186" s="84">
        <f t="shared" si="223"/>
        <v>11441.26750716105</v>
      </c>
      <c r="Q186" s="84">
        <f t="shared" si="223"/>
        <v>11978.520623551827</v>
      </c>
      <c r="R186" s="84">
        <f t="shared" si="223"/>
        <v>12216.529181576892</v>
      </c>
      <c r="S186" s="84">
        <f t="shared" si="223"/>
        <v>12610.038013147478</v>
      </c>
      <c r="T186" s="84">
        <f t="shared" si="223"/>
        <v>13117.215933481566</v>
      </c>
      <c r="U186" s="84">
        <f t="shared" si="223"/>
        <v>13628.230434116904</v>
      </c>
      <c r="V186" s="84">
        <f t="shared" si="223"/>
        <v>14145.291706981612</v>
      </c>
      <c r="W186" s="84">
        <f t="shared" si="221"/>
        <v>14680.073096345544</v>
      </c>
      <c r="X186" s="84">
        <f t="shared" si="221"/>
        <v>15210.50634304598</v>
      </c>
      <c r="Y186" s="84">
        <f t="shared" si="221"/>
        <v>15750.395886483211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8851.5054376843073</v>
      </c>
      <c r="S187" s="84">
        <f t="shared" si="223"/>
        <v>8865.238042631292</v>
      </c>
      <c r="T187" s="84">
        <f t="shared" si="223"/>
        <v>8947.8846219911557</v>
      </c>
      <c r="U187" s="84">
        <f t="shared" si="223"/>
        <v>9020.3393815627587</v>
      </c>
      <c r="V187" s="84">
        <f t="shared" si="223"/>
        <v>9084.478876018924</v>
      </c>
      <c r="W187" s="84">
        <f t="shared" si="221"/>
        <v>9147.8920567601981</v>
      </c>
      <c r="X187" s="84">
        <f t="shared" si="221"/>
        <v>9196.8941221173627</v>
      </c>
      <c r="Y187" s="84">
        <f t="shared" si="221"/>
        <v>9240.4621275901882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8941.8269217423094</v>
      </c>
      <c r="S188" s="84">
        <f t="shared" si="223"/>
        <v>9047.0843456715211</v>
      </c>
      <c r="T188" s="84">
        <f t="shared" si="223"/>
        <v>9224.6040136692591</v>
      </c>
      <c r="U188" s="84">
        <f t="shared" si="223"/>
        <v>9394.1902968279574</v>
      </c>
      <c r="V188" s="84">
        <f t="shared" si="223"/>
        <v>9557.5287682337057</v>
      </c>
      <c r="W188" s="84">
        <f t="shared" si="221"/>
        <v>9722.4505920597458</v>
      </c>
      <c r="X188" s="84">
        <f t="shared" si="221"/>
        <v>9874.2704727691616</v>
      </c>
      <c r="Y188" s="84">
        <f t="shared" si="221"/>
        <v>10022.282558097775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7320.0561273462909</v>
      </c>
      <c r="O189" s="84">
        <f t="shared" si="223"/>
        <v>7328.8713848768111</v>
      </c>
      <c r="P189" s="84">
        <f t="shared" si="223"/>
        <v>7340.1566355073028</v>
      </c>
      <c r="Q189" s="84">
        <f t="shared" si="223"/>
        <v>7352.6943025991677</v>
      </c>
      <c r="R189" s="84">
        <f t="shared" si="223"/>
        <v>7342.2940579906226</v>
      </c>
      <c r="S189" s="84">
        <f t="shared" si="223"/>
        <v>7334.6924462107299</v>
      </c>
      <c r="T189" s="84">
        <f t="shared" si="223"/>
        <v>7324.4024384977329</v>
      </c>
      <c r="U189" s="84">
        <f t="shared" si="223"/>
        <v>7314.5498963646969</v>
      </c>
      <c r="V189" s="84">
        <f t="shared" si="223"/>
        <v>7173.3588925682316</v>
      </c>
      <c r="W189" s="84">
        <f t="shared" si="221"/>
        <v>7295.6099454713039</v>
      </c>
      <c r="X189" s="84">
        <f t="shared" si="221"/>
        <v>7286.7407308588508</v>
      </c>
      <c r="Y189" s="84">
        <f t="shared" si="221"/>
        <v>7278.0958861875661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32315.186721623373</v>
      </c>
      <c r="C190" s="110">
        <f t="shared" si="223"/>
        <v>32938.960972567984</v>
      </c>
      <c r="D190" s="110">
        <f t="shared" si="223"/>
        <v>30508.359574924507</v>
      </c>
      <c r="E190" s="110">
        <f t="shared" si="223"/>
        <v>29411.762551589894</v>
      </c>
      <c r="F190" s="110">
        <f t="shared" si="223"/>
        <v>28137.540540639311</v>
      </c>
      <c r="G190" s="110">
        <f t="shared" si="223"/>
        <v>28326.577418887005</v>
      </c>
      <c r="H190" s="110">
        <f t="shared" si="223"/>
        <v>27602.107607802263</v>
      </c>
      <c r="I190" s="110">
        <f t="shared" si="223"/>
        <v>26766.698095574895</v>
      </c>
      <c r="J190" s="110">
        <f t="shared" si="223"/>
        <v>25780.282463792762</v>
      </c>
      <c r="K190" s="110">
        <f t="shared" si="223"/>
        <v>24000.364944621495</v>
      </c>
      <c r="L190" s="110">
        <f t="shared" si="223"/>
        <v>23921.741845379736</v>
      </c>
      <c r="M190" s="110">
        <f t="shared" si="222"/>
        <v>24959.519289412561</v>
      </c>
      <c r="N190" s="110">
        <f t="shared" si="223"/>
        <v>25010.182102182371</v>
      </c>
      <c r="O190" s="110">
        <f t="shared" si="223"/>
        <v>27070.704324408485</v>
      </c>
      <c r="P190" s="110">
        <f t="shared" si="223"/>
        <v>26673.333937407831</v>
      </c>
      <c r="Q190" s="110">
        <f t="shared" si="223"/>
        <v>28362.039742070963</v>
      </c>
      <c r="R190" s="110">
        <f t="shared" si="223"/>
        <v>24191.390499840705</v>
      </c>
      <c r="S190" s="110">
        <f t="shared" si="223"/>
        <v>23729.244651173605</v>
      </c>
      <c r="T190" s="110">
        <f t="shared" si="223"/>
        <v>17276.751233792584</v>
      </c>
      <c r="U190" s="110">
        <f t="shared" si="223"/>
        <v>11931.70003795654</v>
      </c>
      <c r="V190" s="110">
        <f t="shared" si="223"/>
        <v>15640.575184002886</v>
      </c>
      <c r="W190" s="110">
        <f t="shared" si="221"/>
        <v>17915.167659161139</v>
      </c>
      <c r="X190" s="110">
        <f t="shared" si="221"/>
        <v>15857.260463778059</v>
      </c>
      <c r="Y190" s="110">
        <f t="shared" si="221"/>
        <v>16156.781886694174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20317.242317389013</v>
      </c>
      <c r="C191" s="102">
        <f t="shared" si="223"/>
        <v>21134.618177347966</v>
      </c>
      <c r="D191" s="102">
        <f t="shared" si="223"/>
        <v>18866.811303672985</v>
      </c>
      <c r="E191" s="102">
        <f t="shared" si="223"/>
        <v>21246.693134560115</v>
      </c>
      <c r="F191" s="102">
        <f t="shared" si="223"/>
        <v>20041.616705225249</v>
      </c>
      <c r="G191" s="102">
        <f t="shared" si="223"/>
        <v>20542.113171910521</v>
      </c>
      <c r="H191" s="102">
        <f t="shared" si="223"/>
        <v>21630.615640599</v>
      </c>
      <c r="I191" s="102">
        <f t="shared" si="223"/>
        <v>21287.68142910309</v>
      </c>
      <c r="J191" s="102">
        <f t="shared" si="223"/>
        <v>22905.73077089931</v>
      </c>
      <c r="K191" s="102">
        <f t="shared" si="223"/>
        <v>21078.19552317456</v>
      </c>
      <c r="L191" s="102">
        <f t="shared" si="223"/>
        <v>20603.714804937339</v>
      </c>
      <c r="M191" s="102">
        <f t="shared" si="222"/>
        <v>21157.12661106899</v>
      </c>
      <c r="N191" s="102">
        <f t="shared" si="223"/>
        <v>21352.661736617854</v>
      </c>
      <c r="O191" s="102">
        <f t="shared" si="223"/>
        <v>22550.408990328437</v>
      </c>
      <c r="P191" s="102">
        <f t="shared" si="223"/>
        <v>22256.152791076835</v>
      </c>
      <c r="Q191" s="102">
        <f t="shared" si="223"/>
        <v>23515.952713868057</v>
      </c>
      <c r="R191" s="102">
        <f t="shared" si="223"/>
        <v>19885.435497571492</v>
      </c>
      <c r="S191" s="102">
        <f t="shared" si="223"/>
        <v>19771.784232365146</v>
      </c>
      <c r="T191" s="102">
        <f t="shared" si="223"/>
        <v>14099.42410802939</v>
      </c>
      <c r="U191" s="102">
        <f t="shared" si="223"/>
        <v>9321.2100417452966</v>
      </c>
      <c r="V191" s="102">
        <f t="shared" si="223"/>
        <v>12490.137406398404</v>
      </c>
      <c r="W191" s="102">
        <f t="shared" si="221"/>
        <v>14521.818285259145</v>
      </c>
      <c r="X191" s="102">
        <f t="shared" si="221"/>
        <v>11965.240641711231</v>
      </c>
      <c r="Y191" s="102">
        <f t="shared" si="221"/>
        <v>12412.018466661621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85004.751020782147</v>
      </c>
      <c r="C192" s="86">
        <f t="shared" si="223"/>
        <v>85007.092040921547</v>
      </c>
      <c r="D192" s="86">
        <f t="shared" si="223"/>
        <v>84989.642782931303</v>
      </c>
      <c r="E192" s="86">
        <f t="shared" si="223"/>
        <v>85003.257651606735</v>
      </c>
      <c r="F192" s="86">
        <f t="shared" si="223"/>
        <v>84993.005657524438</v>
      </c>
      <c r="G192" s="86">
        <f t="shared" si="223"/>
        <v>85005.556820325786</v>
      </c>
      <c r="H192" s="86">
        <f t="shared" si="223"/>
        <v>84990.70561196265</v>
      </c>
      <c r="I192" s="86">
        <f t="shared" si="223"/>
        <v>85002.923502258986</v>
      </c>
      <c r="J192" s="86">
        <f t="shared" si="223"/>
        <v>84995.01979434416</v>
      </c>
      <c r="K192" s="86">
        <f t="shared" si="223"/>
        <v>84996.983183690929</v>
      </c>
      <c r="L192" s="86">
        <f t="shared" si="223"/>
        <v>84993.906802193349</v>
      </c>
      <c r="M192" s="86">
        <f t="shared" si="222"/>
        <v>85001.19163042467</v>
      </c>
      <c r="N192" s="86">
        <f t="shared" si="223"/>
        <v>84996.453864802359</v>
      </c>
      <c r="O192" s="86">
        <f t="shared" si="223"/>
        <v>84990.678402788166</v>
      </c>
      <c r="P192" s="86">
        <f t="shared" si="223"/>
        <v>84987.067000399315</v>
      </c>
      <c r="Q192" s="86">
        <f t="shared" si="223"/>
        <v>84993.303335167031</v>
      </c>
      <c r="R192" s="86">
        <f t="shared" si="223"/>
        <v>85003.236706911252</v>
      </c>
      <c r="S192" s="86">
        <f t="shared" si="223"/>
        <v>85004.410788843918</v>
      </c>
      <c r="T192" s="86">
        <f t="shared" si="223"/>
        <v>85001.450900677315</v>
      </c>
      <c r="U192" s="86">
        <f t="shared" si="223"/>
        <v>85000.349199614837</v>
      </c>
      <c r="V192" s="86">
        <f t="shared" ref="V192:W192" si="224">IF(V55=0,0,V55*1000000/V82)</f>
        <v>85002.868476374511</v>
      </c>
      <c r="W192" s="86">
        <f t="shared" si="224"/>
        <v>85007.295831349373</v>
      </c>
      <c r="X192" s="86">
        <f t="shared" ref="X192:Y192" si="225">IF(X55=0,0,X55*1000000/X82)</f>
        <v>85007.636399787312</v>
      </c>
      <c r="Y192" s="86">
        <f t="shared" si="225"/>
        <v>85005.890053053372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20149.894962795181</v>
      </c>
      <c r="C195" s="28">
        <f t="shared" si="226"/>
        <v>19908.555162131754</v>
      </c>
      <c r="D195" s="28">
        <f t="shared" si="226"/>
        <v>20612.443822230103</v>
      </c>
      <c r="E195" s="28">
        <f t="shared" si="226"/>
        <v>18943.200962993298</v>
      </c>
      <c r="F195" s="28">
        <f t="shared" si="226"/>
        <v>18280.752559008917</v>
      </c>
      <c r="G195" s="28">
        <f t="shared" si="226"/>
        <v>18713.822655781449</v>
      </c>
      <c r="H195" s="28">
        <f t="shared" si="226"/>
        <v>18930.592627632195</v>
      </c>
      <c r="I195" s="28">
        <f t="shared" si="226"/>
        <v>19132.857128509415</v>
      </c>
      <c r="J195" s="28">
        <f t="shared" si="226"/>
        <v>19713.859145076989</v>
      </c>
      <c r="K195" s="28">
        <f t="shared" si="226"/>
        <v>19594.453335283521</v>
      </c>
      <c r="L195" s="28">
        <f t="shared" si="226"/>
        <v>19396.599959952153</v>
      </c>
      <c r="M195" s="28">
        <f>IF(M4=0,0,M4*1000000/M58)</f>
        <v>19386.736640445608</v>
      </c>
      <c r="N195" s="28">
        <f t="shared" ref="N195:V195" si="227">IF(N4=0,0,N4*1000000/N58)</f>
        <v>19400.84855582875</v>
      </c>
      <c r="O195" s="28">
        <f t="shared" si="227"/>
        <v>19445.366283820345</v>
      </c>
      <c r="P195" s="28">
        <f t="shared" si="227"/>
        <v>20184.599797457711</v>
      </c>
      <c r="Q195" s="28">
        <f t="shared" si="227"/>
        <v>20927.142313670178</v>
      </c>
      <c r="R195" s="28">
        <f t="shared" si="227"/>
        <v>20474.637846429821</v>
      </c>
      <c r="S195" s="28">
        <f t="shared" si="227"/>
        <v>20464.549674524969</v>
      </c>
      <c r="T195" s="28">
        <f t="shared" si="227"/>
        <v>19848.024824337332</v>
      </c>
      <c r="U195" s="28">
        <f t="shared" si="227"/>
        <v>20319.530714961005</v>
      </c>
      <c r="V195" s="28">
        <f t="shared" si="227"/>
        <v>16203.239982503996</v>
      </c>
      <c r="W195" s="28">
        <f t="shared" ref="W195:Y195" si="228">IF(W4=0,0,W4*1000000/W58)</f>
        <v>16671.907406370192</v>
      </c>
      <c r="X195" s="28">
        <f t="shared" si="228"/>
        <v>18144.362208174556</v>
      </c>
      <c r="Y195" s="28">
        <f t="shared" si="228"/>
        <v>19146.785786732296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4624.4008237756998</v>
      </c>
      <c r="C196" s="137">
        <f t="shared" si="229"/>
        <v>4678.1098858526557</v>
      </c>
      <c r="D196" s="137">
        <f t="shared" si="229"/>
        <v>4691.1516683744148</v>
      </c>
      <c r="E196" s="137">
        <f t="shared" si="229"/>
        <v>4588.4183702113805</v>
      </c>
      <c r="F196" s="137">
        <f t="shared" si="229"/>
        <v>4897.4003496058176</v>
      </c>
      <c r="G196" s="137">
        <f t="shared" si="229"/>
        <v>5232.1015314889419</v>
      </c>
      <c r="H196" s="137">
        <f t="shared" si="229"/>
        <v>5361.0344299126527</v>
      </c>
      <c r="I196" s="137">
        <f t="shared" si="229"/>
        <v>4804.8896983229906</v>
      </c>
      <c r="J196" s="137">
        <f t="shared" si="229"/>
        <v>4619.9785708926884</v>
      </c>
      <c r="K196" s="137">
        <f t="shared" si="229"/>
        <v>4483.4531005067574</v>
      </c>
      <c r="L196" s="137">
        <f t="shared" si="229"/>
        <v>4578.7278267014681</v>
      </c>
      <c r="M196" s="137">
        <f>IF(M5=0,0,M5*1000000/M59)</f>
        <v>4615.612779517407</v>
      </c>
      <c r="N196" s="137">
        <f t="shared" ref="N196:V196" si="230">IF(N5=0,0,N5*1000000/N59)</f>
        <v>4713.4282421828357</v>
      </c>
      <c r="O196" s="137">
        <f t="shared" si="230"/>
        <v>4739.1742151399239</v>
      </c>
      <c r="P196" s="137">
        <f t="shared" si="230"/>
        <v>4784.5015634331785</v>
      </c>
      <c r="Q196" s="137">
        <f t="shared" si="230"/>
        <v>4915.8184323778578</v>
      </c>
      <c r="R196" s="137">
        <f t="shared" si="230"/>
        <v>5019.6442933105964</v>
      </c>
      <c r="S196" s="137">
        <f t="shared" si="230"/>
        <v>4540.7152462058284</v>
      </c>
      <c r="T196" s="137">
        <f t="shared" si="230"/>
        <v>4157.8473388015445</v>
      </c>
      <c r="U196" s="137">
        <f t="shared" si="230"/>
        <v>4250.9661661035207</v>
      </c>
      <c r="V196" s="137">
        <f t="shared" si="230"/>
        <v>3687.6011957806891</v>
      </c>
      <c r="W196" s="137">
        <f t="shared" ref="W196:Y196" si="231">IF(W5=0,0,W5*1000000/W59)</f>
        <v>3723.4084760711416</v>
      </c>
      <c r="X196" s="137">
        <f t="shared" si="231"/>
        <v>3628.9187978871369</v>
      </c>
      <c r="Y196" s="137">
        <f t="shared" si="231"/>
        <v>3709.8229304652073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13499.272344055804</v>
      </c>
      <c r="C197" s="110">
        <f t="shared" si="232"/>
        <v>13376.803950711992</v>
      </c>
      <c r="D197" s="110">
        <f t="shared" si="232"/>
        <v>13476.840991674713</v>
      </c>
      <c r="E197" s="110">
        <f t="shared" si="232"/>
        <v>13294.071796648333</v>
      </c>
      <c r="F197" s="110">
        <f t="shared" si="232"/>
        <v>13451.443569553805</v>
      </c>
      <c r="G197" s="110">
        <f t="shared" si="232"/>
        <v>13829.285936049599</v>
      </c>
      <c r="H197" s="110">
        <f t="shared" si="232"/>
        <v>14453.511203777594</v>
      </c>
      <c r="I197" s="110">
        <f t="shared" si="232"/>
        <v>14750.79732806102</v>
      </c>
      <c r="J197" s="110">
        <f t="shared" si="232"/>
        <v>15438.275487449249</v>
      </c>
      <c r="K197" s="110">
        <f t="shared" si="232"/>
        <v>16586.06483969192</v>
      </c>
      <c r="L197" s="110">
        <f t="shared" si="232"/>
        <v>16428.172108396506</v>
      </c>
      <c r="M197" s="110">
        <f>IF(M6=0,0,M6*1000000/M60)</f>
        <v>16441.065928521981</v>
      </c>
      <c r="N197" s="110">
        <f t="shared" ref="N197:V197" si="233">IF(N6=0,0,N6*1000000/N60)</f>
        <v>16670.133623471229</v>
      </c>
      <c r="O197" s="110">
        <f t="shared" si="233"/>
        <v>16868.855811609905</v>
      </c>
      <c r="P197" s="110">
        <f t="shared" si="233"/>
        <v>17359.172901801376</v>
      </c>
      <c r="Q197" s="110">
        <f t="shared" si="233"/>
        <v>17913.741947490678</v>
      </c>
      <c r="R197" s="110">
        <f t="shared" si="233"/>
        <v>17601.955233521145</v>
      </c>
      <c r="S197" s="110">
        <f t="shared" si="233"/>
        <v>18141.408117117247</v>
      </c>
      <c r="T197" s="110">
        <f t="shared" si="233"/>
        <v>17786.700665692417</v>
      </c>
      <c r="U197" s="110">
        <f t="shared" si="233"/>
        <v>18035.58966440145</v>
      </c>
      <c r="V197" s="110">
        <f t="shared" si="233"/>
        <v>15514.783275698759</v>
      </c>
      <c r="W197" s="110">
        <f t="shared" ref="W197:Y209" si="234">IF(W6=0,0,W6*1000000/W60)</f>
        <v>16069.159336111341</v>
      </c>
      <c r="X197" s="110">
        <f t="shared" si="234"/>
        <v>17140.382099962437</v>
      </c>
      <c r="Y197" s="110">
        <f t="shared" si="234"/>
        <v>18226.611077603025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10587.777255088791</v>
      </c>
      <c r="C198" s="84">
        <f t="shared" si="232"/>
        <v>9408.4748712002802</v>
      </c>
      <c r="D198" s="84">
        <f t="shared" si="232"/>
        <v>9586.4713670259389</v>
      </c>
      <c r="E198" s="84">
        <f t="shared" si="232"/>
        <v>8824.3651772942667</v>
      </c>
      <c r="F198" s="84">
        <f t="shared" si="232"/>
        <v>7803.1435267080196</v>
      </c>
      <c r="G198" s="84">
        <f t="shared" si="232"/>
        <v>7266.1496722003667</v>
      </c>
      <c r="H198" s="84">
        <f t="shared" si="232"/>
        <v>8084.6987250463289</v>
      </c>
      <c r="I198" s="84">
        <f t="shared" si="232"/>
        <v>8475.7509156547821</v>
      </c>
      <c r="J198" s="84">
        <f t="shared" si="232"/>
        <v>8442.3588609545423</v>
      </c>
      <c r="K198" s="84">
        <f t="shared" si="232"/>
        <v>9575.2697100521636</v>
      </c>
      <c r="L198" s="84">
        <f t="shared" si="232"/>
        <v>8976.6102413767476</v>
      </c>
      <c r="M198" s="84">
        <f t="shared" ref="M198:M219" si="235">IF(M7=0,0,M7*1000000/M61)</f>
        <v>9070.5415331229251</v>
      </c>
      <c r="N198" s="84">
        <f t="shared" si="232"/>
        <v>8382.5426403529855</v>
      </c>
      <c r="O198" s="84">
        <f t="shared" si="232"/>
        <v>8264.5534086294865</v>
      </c>
      <c r="P198" s="84">
        <f t="shared" si="232"/>
        <v>8520.841135861061</v>
      </c>
      <c r="Q198" s="84">
        <f t="shared" si="232"/>
        <v>8401.4503774123659</v>
      </c>
      <c r="R198" s="84">
        <f t="shared" si="232"/>
        <v>8080.3930608363908</v>
      </c>
      <c r="S198" s="84">
        <f t="shared" si="232"/>
        <v>8568.536626231662</v>
      </c>
      <c r="T198" s="84">
        <f t="shared" si="232"/>
        <v>8184.0949862693042</v>
      </c>
      <c r="U198" s="84">
        <f t="shared" si="232"/>
        <v>8219.4784393283226</v>
      </c>
      <c r="V198" s="84">
        <f t="shared" si="232"/>
        <v>7232.9279445024758</v>
      </c>
      <c r="W198" s="84">
        <f t="shared" si="234"/>
        <v>7524.7661254600062</v>
      </c>
      <c r="X198" s="84">
        <f t="shared" si="234"/>
        <v>8225.278388810535</v>
      </c>
      <c r="Y198" s="84">
        <f t="shared" si="234"/>
        <v>8640.2512894608335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28292.3138898574</v>
      </c>
      <c r="C199" s="84">
        <f t="shared" si="232"/>
        <v>34438.976272949869</v>
      </c>
      <c r="D199" s="84">
        <f t="shared" si="232"/>
        <v>30505.222962004325</v>
      </c>
      <c r="E199" s="84">
        <f t="shared" si="232"/>
        <v>27929.682227591788</v>
      </c>
      <c r="F199" s="84">
        <f t="shared" si="232"/>
        <v>29239.606138651903</v>
      </c>
      <c r="G199" s="84">
        <f t="shared" si="232"/>
        <v>32749.030094599613</v>
      </c>
      <c r="H199" s="84">
        <f t="shared" si="232"/>
        <v>28828.788101468192</v>
      </c>
      <c r="I199" s="84">
        <f t="shared" si="232"/>
        <v>27417.820853605852</v>
      </c>
      <c r="J199" s="84">
        <f t="shared" si="232"/>
        <v>28451.206636440518</v>
      </c>
      <c r="K199" s="84">
        <f t="shared" si="232"/>
        <v>27802.152615528605</v>
      </c>
      <c r="L199" s="84">
        <f t="shared" si="232"/>
        <v>29155.159336405246</v>
      </c>
      <c r="M199" s="84">
        <f t="shared" si="235"/>
        <v>26211.556503118576</v>
      </c>
      <c r="N199" s="84">
        <f t="shared" si="232"/>
        <v>27562.520286048617</v>
      </c>
      <c r="O199" s="84">
        <f t="shared" si="232"/>
        <v>28186.897448544703</v>
      </c>
      <c r="P199" s="84">
        <f t="shared" si="232"/>
        <v>29092.639518397387</v>
      </c>
      <c r="Q199" s="84">
        <f t="shared" si="232"/>
        <v>30466.276649111649</v>
      </c>
      <c r="R199" s="84">
        <f t="shared" si="232"/>
        <v>29912.972938077579</v>
      </c>
      <c r="S199" s="84">
        <f t="shared" si="232"/>
        <v>30442.84260001067</v>
      </c>
      <c r="T199" s="84">
        <f t="shared" si="232"/>
        <v>29409.886479524353</v>
      </c>
      <c r="U199" s="84">
        <f t="shared" si="232"/>
        <v>29520.382465453909</v>
      </c>
      <c r="V199" s="84">
        <f t="shared" si="232"/>
        <v>24810.301485645246</v>
      </c>
      <c r="W199" s="84">
        <f t="shared" si="234"/>
        <v>25418.635335112471</v>
      </c>
      <c r="X199" s="84">
        <f t="shared" si="234"/>
        <v>26268.973629063967</v>
      </c>
      <c r="Y199" s="84">
        <f t="shared" si="234"/>
        <v>27373.571171361433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20023.283897945552</v>
      </c>
      <c r="C200" s="84">
        <f t="shared" si="232"/>
        <v>19241.009882035538</v>
      </c>
      <c r="D200" s="84">
        <f t="shared" si="232"/>
        <v>18876.086854291472</v>
      </c>
      <c r="E200" s="84">
        <f t="shared" si="232"/>
        <v>18099.015711175991</v>
      </c>
      <c r="F200" s="84">
        <f t="shared" si="232"/>
        <v>17820.79323003945</v>
      </c>
      <c r="G200" s="84">
        <f t="shared" si="232"/>
        <v>17840.524345751372</v>
      </c>
      <c r="H200" s="84">
        <f t="shared" si="232"/>
        <v>18173.752489241262</v>
      </c>
      <c r="I200" s="84">
        <f t="shared" si="232"/>
        <v>17949.185268105834</v>
      </c>
      <c r="J200" s="84">
        <f t="shared" si="232"/>
        <v>18590.223901581023</v>
      </c>
      <c r="K200" s="84">
        <f t="shared" si="232"/>
        <v>20630.662761668456</v>
      </c>
      <c r="L200" s="84">
        <f t="shared" si="232"/>
        <v>19814.380809137696</v>
      </c>
      <c r="M200" s="84">
        <f t="shared" si="235"/>
        <v>19319.23056141187</v>
      </c>
      <c r="N200" s="84">
        <f t="shared" si="232"/>
        <v>19062.843273263596</v>
      </c>
      <c r="O200" s="84">
        <f t="shared" si="232"/>
        <v>18708.51136196571</v>
      </c>
      <c r="P200" s="84">
        <f t="shared" si="232"/>
        <v>18731.348309447814</v>
      </c>
      <c r="Q200" s="84">
        <f t="shared" si="232"/>
        <v>18858.796034031984</v>
      </c>
      <c r="R200" s="84">
        <f t="shared" si="232"/>
        <v>18329.322582927332</v>
      </c>
      <c r="S200" s="84">
        <f t="shared" si="232"/>
        <v>18470.577476189712</v>
      </c>
      <c r="T200" s="84">
        <f t="shared" si="232"/>
        <v>17692.636228327799</v>
      </c>
      <c r="U200" s="84">
        <f t="shared" si="232"/>
        <v>17596.908154161531</v>
      </c>
      <c r="V200" s="84">
        <f t="shared" si="232"/>
        <v>14934.438491761612</v>
      </c>
      <c r="W200" s="84">
        <f t="shared" si="234"/>
        <v>15158.142357922989</v>
      </c>
      <c r="X200" s="84">
        <f t="shared" si="234"/>
        <v>16470.336523740109</v>
      </c>
      <c r="Y200" s="84">
        <f t="shared" si="234"/>
        <v>18048.680917446534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14872.773252797391</v>
      </c>
      <c r="G201" s="84">
        <f t="shared" si="232"/>
        <v>14419.204238740556</v>
      </c>
      <c r="H201" s="84">
        <f t="shared" si="232"/>
        <v>13945.779074537242</v>
      </c>
      <c r="I201" s="84">
        <f t="shared" si="232"/>
        <v>15173.979380761199</v>
      </c>
      <c r="J201" s="84">
        <f t="shared" si="232"/>
        <v>15102.660064982063</v>
      </c>
      <c r="K201" s="84">
        <f t="shared" si="232"/>
        <v>15604.675346745522</v>
      </c>
      <c r="L201" s="84">
        <f t="shared" si="232"/>
        <v>15842.330081153243</v>
      </c>
      <c r="M201" s="84">
        <f t="shared" si="235"/>
        <v>16191.569273995423</v>
      </c>
      <c r="N201" s="84">
        <f t="shared" si="232"/>
        <v>15666.6778741996</v>
      </c>
      <c r="O201" s="84">
        <f t="shared" si="232"/>
        <v>15854.903590785494</v>
      </c>
      <c r="P201" s="84">
        <f t="shared" si="232"/>
        <v>15971.277073562931</v>
      </c>
      <c r="Q201" s="84">
        <f t="shared" si="232"/>
        <v>14958.65214081275</v>
      </c>
      <c r="R201" s="84">
        <f t="shared" si="232"/>
        <v>14535.613100968423</v>
      </c>
      <c r="S201" s="84">
        <f t="shared" si="232"/>
        <v>14723.407604546648</v>
      </c>
      <c r="T201" s="84">
        <f t="shared" si="232"/>
        <v>14439.889980528647</v>
      </c>
      <c r="U201" s="84">
        <f t="shared" si="232"/>
        <v>14175.679320215653</v>
      </c>
      <c r="V201" s="84">
        <f t="shared" si="232"/>
        <v>12602.949165897566</v>
      </c>
      <c r="W201" s="84">
        <f t="shared" si="234"/>
        <v>11844.125521037391</v>
      </c>
      <c r="X201" s="84">
        <f t="shared" si="234"/>
        <v>12092.997766651752</v>
      </c>
      <c r="Y201" s="84">
        <f t="shared" si="234"/>
        <v>12521.746352647753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17326.064865268814</v>
      </c>
      <c r="O202" s="84">
        <f t="shared" si="232"/>
        <v>15678.747770007554</v>
      </c>
      <c r="P202" s="84">
        <f t="shared" si="232"/>
        <v>17870.950251425147</v>
      </c>
      <c r="Q202" s="84">
        <f t="shared" si="232"/>
        <v>18726.926148556297</v>
      </c>
      <c r="R202" s="84">
        <f t="shared" si="232"/>
        <v>18535.956524727699</v>
      </c>
      <c r="S202" s="84">
        <f t="shared" si="232"/>
        <v>19260.084446971166</v>
      </c>
      <c r="T202" s="84">
        <f t="shared" si="232"/>
        <v>19025.913394187206</v>
      </c>
      <c r="U202" s="84">
        <f t="shared" si="232"/>
        <v>19519.397363767941</v>
      </c>
      <c r="V202" s="84">
        <f t="shared" si="232"/>
        <v>16768.588394834558</v>
      </c>
      <c r="W202" s="84">
        <f t="shared" si="234"/>
        <v>17558.049205410498</v>
      </c>
      <c r="X202" s="84">
        <f t="shared" si="234"/>
        <v>18522.326203447614</v>
      </c>
      <c r="Y202" s="84">
        <f t="shared" si="234"/>
        <v>19706.127938859794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0</v>
      </c>
      <c r="N203" s="84">
        <f t="shared" si="232"/>
        <v>0</v>
      </c>
      <c r="O203" s="84">
        <f t="shared" si="232"/>
        <v>0</v>
      </c>
      <c r="P203" s="84">
        <f t="shared" si="232"/>
        <v>0</v>
      </c>
      <c r="Q203" s="84">
        <f t="shared" si="232"/>
        <v>0</v>
      </c>
      <c r="R203" s="84">
        <f t="shared" si="232"/>
        <v>14822.834805480605</v>
      </c>
      <c r="S203" s="84">
        <f t="shared" si="232"/>
        <v>14975.875500775655</v>
      </c>
      <c r="T203" s="84">
        <f t="shared" si="232"/>
        <v>14668.437046108016</v>
      </c>
      <c r="U203" s="84">
        <f t="shared" si="232"/>
        <v>14376.558737477553</v>
      </c>
      <c r="V203" s="84">
        <f t="shared" si="232"/>
        <v>12689.263023748832</v>
      </c>
      <c r="W203" s="84">
        <f t="shared" si="234"/>
        <v>11947.694977688792</v>
      </c>
      <c r="X203" s="84">
        <f t="shared" si="234"/>
        <v>12152.980357417973</v>
      </c>
      <c r="Y203" s="84">
        <f t="shared" si="234"/>
        <v>12571.017428672896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1215077.0512286548</v>
      </c>
      <c r="C204" s="110">
        <f t="shared" si="232"/>
        <v>1190752.8250835589</v>
      </c>
      <c r="D204" s="110">
        <f t="shared" si="232"/>
        <v>1158594.8158253753</v>
      </c>
      <c r="E204" s="110">
        <f t="shared" si="232"/>
        <v>1039861.3518197574</v>
      </c>
      <c r="F204" s="110">
        <f t="shared" si="232"/>
        <v>992307.69230769225</v>
      </c>
      <c r="G204" s="110">
        <f t="shared" si="232"/>
        <v>958811.99215466517</v>
      </c>
      <c r="H204" s="110">
        <f t="shared" si="232"/>
        <v>940894.22028353321</v>
      </c>
      <c r="I204" s="110">
        <f t="shared" si="232"/>
        <v>943544.46221233404</v>
      </c>
      <c r="J204" s="110">
        <f t="shared" si="232"/>
        <v>1044531.6627670013</v>
      </c>
      <c r="K204" s="110">
        <f t="shared" si="232"/>
        <v>741679.08594138105</v>
      </c>
      <c r="L204" s="110">
        <f t="shared" si="232"/>
        <v>734108.04454589472</v>
      </c>
      <c r="M204" s="110">
        <f t="shared" si="235"/>
        <v>740086.00095556618</v>
      </c>
      <c r="N204" s="110">
        <f t="shared" si="232"/>
        <v>708770.03178037738</v>
      </c>
      <c r="O204" s="110">
        <f t="shared" si="232"/>
        <v>676125.56524018617</v>
      </c>
      <c r="P204" s="110">
        <f t="shared" si="232"/>
        <v>745114.58806725964</v>
      </c>
      <c r="Q204" s="110">
        <f t="shared" si="232"/>
        <v>791144.84503478801</v>
      </c>
      <c r="R204" s="110">
        <f t="shared" si="232"/>
        <v>794663.19557435729</v>
      </c>
      <c r="S204" s="110">
        <f t="shared" si="232"/>
        <v>752817.80567841348</v>
      </c>
      <c r="T204" s="110">
        <f t="shared" si="232"/>
        <v>725950.94727566454</v>
      </c>
      <c r="U204" s="110">
        <f t="shared" si="232"/>
        <v>803366.20449321566</v>
      </c>
      <c r="V204" s="110">
        <f t="shared" si="232"/>
        <v>353473.68421052623</v>
      </c>
      <c r="W204" s="110">
        <f t="shared" si="234"/>
        <v>340651.02195306588</v>
      </c>
      <c r="X204" s="110">
        <f t="shared" si="234"/>
        <v>450444.42959299608</v>
      </c>
      <c r="Y204" s="110">
        <f t="shared" si="234"/>
        <v>452182.9521829522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192174.59931246185</v>
      </c>
      <c r="S205" s="102">
        <f t="shared" si="232"/>
        <v>178667.5072509326</v>
      </c>
      <c r="T205" s="102">
        <f t="shared" si="232"/>
        <v>169256.11241186006</v>
      </c>
      <c r="U205" s="102">
        <f t="shared" si="232"/>
        <v>184500.24079234645</v>
      </c>
      <c r="V205" s="102">
        <f t="shared" si="232"/>
        <v>122264.58705688395</v>
      </c>
      <c r="W205" s="102">
        <f t="shared" si="234"/>
        <v>117235.90396469277</v>
      </c>
      <c r="X205" s="102">
        <f t="shared" si="234"/>
        <v>114322.31385549156</v>
      </c>
      <c r="Y205" s="102">
        <f t="shared" si="234"/>
        <v>109093.85818901146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1215077.0512286548</v>
      </c>
      <c r="C206" s="102">
        <f t="shared" si="232"/>
        <v>1190752.8250835589</v>
      </c>
      <c r="D206" s="102">
        <f t="shared" si="232"/>
        <v>1158594.8158253753</v>
      </c>
      <c r="E206" s="102">
        <f t="shared" si="232"/>
        <v>1039861.3518197574</v>
      </c>
      <c r="F206" s="102">
        <f t="shared" si="232"/>
        <v>993123.15552858391</v>
      </c>
      <c r="G206" s="102">
        <f t="shared" si="232"/>
        <v>962157.58558278298</v>
      </c>
      <c r="H206" s="102">
        <f t="shared" si="232"/>
        <v>947178.77811773552</v>
      </c>
      <c r="I206" s="102">
        <f t="shared" si="232"/>
        <v>951901.99265438144</v>
      </c>
      <c r="J206" s="102">
        <f t="shared" si="232"/>
        <v>1055000.5308812649</v>
      </c>
      <c r="K206" s="102">
        <f t="shared" si="232"/>
        <v>746458.2246422387</v>
      </c>
      <c r="L206" s="102">
        <f t="shared" si="232"/>
        <v>735010.82805516897</v>
      </c>
      <c r="M206" s="102">
        <f t="shared" si="235"/>
        <v>740889.39986428258</v>
      </c>
      <c r="N206" s="102">
        <f t="shared" si="232"/>
        <v>709566.32598877081</v>
      </c>
      <c r="O206" s="102">
        <f t="shared" si="232"/>
        <v>675593.00412251393</v>
      </c>
      <c r="P206" s="102">
        <f t="shared" si="232"/>
        <v>744604.51788995194</v>
      </c>
      <c r="Q206" s="102">
        <f t="shared" si="232"/>
        <v>804268.73772484192</v>
      </c>
      <c r="R206" s="102">
        <f t="shared" si="232"/>
        <v>897301.03385571239</v>
      </c>
      <c r="S206" s="102">
        <f t="shared" si="232"/>
        <v>865412.28568838723</v>
      </c>
      <c r="T206" s="102">
        <f t="shared" si="232"/>
        <v>844001.51214617654</v>
      </c>
      <c r="U206" s="102">
        <f t="shared" si="232"/>
        <v>948662.50153271423</v>
      </c>
      <c r="V206" s="102">
        <f t="shared" si="232"/>
        <v>410210.81546565989</v>
      </c>
      <c r="W206" s="102">
        <f t="shared" si="234"/>
        <v>396009.02319191949</v>
      </c>
      <c r="X206" s="102">
        <f t="shared" si="234"/>
        <v>509593.11046125257</v>
      </c>
      <c r="Y206" s="102">
        <f t="shared" si="234"/>
        <v>500557.30044286081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892614.95861495507</v>
      </c>
      <c r="S207" s="102">
        <f t="shared" si="232"/>
        <v>832419.9616261021</v>
      </c>
      <c r="T207" s="102">
        <f t="shared" si="232"/>
        <v>788731.61087341979</v>
      </c>
      <c r="U207" s="102">
        <f t="shared" si="232"/>
        <v>859148.32109456428</v>
      </c>
      <c r="V207" s="102">
        <f t="shared" si="232"/>
        <v>363165.67877817503</v>
      </c>
      <c r="W207" s="102">
        <f t="shared" si="234"/>
        <v>341917.71708985011</v>
      </c>
      <c r="X207" s="102">
        <f t="shared" si="234"/>
        <v>445212.72914845875</v>
      </c>
      <c r="Y207" s="102">
        <f t="shared" si="234"/>
        <v>436608.34690198867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886052.83462551842</v>
      </c>
      <c r="G208" s="102">
        <f t="shared" si="232"/>
        <v>777749.50921286375</v>
      </c>
      <c r="H208" s="102">
        <f t="shared" si="232"/>
        <v>763255.17596996133</v>
      </c>
      <c r="I208" s="102">
        <f t="shared" si="232"/>
        <v>780178.62072871393</v>
      </c>
      <c r="J208" s="102">
        <f t="shared" si="232"/>
        <v>858232.48225289572</v>
      </c>
      <c r="K208" s="102">
        <f t="shared" si="232"/>
        <v>676680.09773899859</v>
      </c>
      <c r="L208" s="102">
        <f t="shared" si="232"/>
        <v>724301.88171739643</v>
      </c>
      <c r="M208" s="102">
        <f t="shared" si="235"/>
        <v>733326.90985984378</v>
      </c>
      <c r="N208" s="102">
        <f t="shared" si="232"/>
        <v>698978.91626121372</v>
      </c>
      <c r="O208" s="102">
        <f t="shared" si="232"/>
        <v>665061.95552565425</v>
      </c>
      <c r="P208" s="102">
        <f t="shared" si="232"/>
        <v>733879.69114182715</v>
      </c>
      <c r="Q208" s="102">
        <f t="shared" si="232"/>
        <v>709243.56283469091</v>
      </c>
      <c r="R208" s="102">
        <f t="shared" si="232"/>
        <v>665704.09252048412</v>
      </c>
      <c r="S208" s="102">
        <f t="shared" si="232"/>
        <v>633480.82953530189</v>
      </c>
      <c r="T208" s="102">
        <f t="shared" si="232"/>
        <v>612483.17319468886</v>
      </c>
      <c r="U208" s="102">
        <f t="shared" si="232"/>
        <v>680780.30793368327</v>
      </c>
      <c r="V208" s="102">
        <f t="shared" si="232"/>
        <v>293641.58662522142</v>
      </c>
      <c r="W208" s="102">
        <f t="shared" si="234"/>
        <v>282103.38215757511</v>
      </c>
      <c r="X208" s="102">
        <f t="shared" si="234"/>
        <v>374824.68523977895</v>
      </c>
      <c r="Y208" s="102">
        <f t="shared" si="234"/>
        <v>375082.30011707958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947845.01910110959</v>
      </c>
      <c r="K209" s="102">
        <f t="shared" si="232"/>
        <v>681984.30900491064</v>
      </c>
      <c r="L209" s="102">
        <f t="shared" si="232"/>
        <v>748771.5672108311</v>
      </c>
      <c r="M209" s="102">
        <f t="shared" si="235"/>
        <v>696003.31429803441</v>
      </c>
      <c r="N209" s="102">
        <f t="shared" si="232"/>
        <v>736249.86189585773</v>
      </c>
      <c r="O209" s="102">
        <f t="shared" si="232"/>
        <v>741567.79806725762</v>
      </c>
      <c r="P209" s="102">
        <f t="shared" si="232"/>
        <v>797209.58331074426</v>
      </c>
      <c r="Q209" s="102">
        <f t="shared" si="232"/>
        <v>827046.80619986635</v>
      </c>
      <c r="R209" s="102">
        <f t="shared" si="232"/>
        <v>899631.51612946438</v>
      </c>
      <c r="S209" s="102">
        <f t="shared" si="232"/>
        <v>829752.821311348</v>
      </c>
      <c r="T209" s="102">
        <f t="shared" si="232"/>
        <v>760488.26971406839</v>
      </c>
      <c r="U209" s="102">
        <f t="shared" si="232"/>
        <v>755371.40668107301</v>
      </c>
      <c r="V209" s="102">
        <f t="shared" si="232"/>
        <v>332000.65559843805</v>
      </c>
      <c r="W209" s="102">
        <f t="shared" si="234"/>
        <v>339894.57406947005</v>
      </c>
      <c r="X209" s="102">
        <f t="shared" si="234"/>
        <v>463603.54685538227</v>
      </c>
      <c r="Y209" s="102">
        <f t="shared" si="234"/>
        <v>477069.90503474948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48628.579883674967</v>
      </c>
      <c r="C210" s="28">
        <f t="shared" si="232"/>
        <v>54368.063802244062</v>
      </c>
      <c r="D210" s="28">
        <f t="shared" si="232"/>
        <v>60121.940300355658</v>
      </c>
      <c r="E210" s="28">
        <f t="shared" si="232"/>
        <v>59008.15170093569</v>
      </c>
      <c r="F210" s="28">
        <f t="shared" ref="B210:V219" si="236">IF(F19=0,0,F19*1000000/F73)</f>
        <v>56092.769144386024</v>
      </c>
      <c r="G210" s="28">
        <f t="shared" si="236"/>
        <v>59543.495307973004</v>
      </c>
      <c r="H210" s="28">
        <f t="shared" si="236"/>
        <v>52909.810670243984</v>
      </c>
      <c r="I210" s="28">
        <f t="shared" si="236"/>
        <v>46741.254886246054</v>
      </c>
      <c r="J210" s="28">
        <f t="shared" si="236"/>
        <v>41711.643291234985</v>
      </c>
      <c r="K210" s="28">
        <f t="shared" si="236"/>
        <v>37029.559461831959</v>
      </c>
      <c r="L210" s="28">
        <f t="shared" si="236"/>
        <v>38370.542748768057</v>
      </c>
      <c r="M210" s="28">
        <f t="shared" si="235"/>
        <v>38889.817379239423</v>
      </c>
      <c r="N210" s="28">
        <f t="shared" si="236"/>
        <v>37077.699373862582</v>
      </c>
      <c r="O210" s="28">
        <f t="shared" si="236"/>
        <v>43293.532525295617</v>
      </c>
      <c r="P210" s="28">
        <f t="shared" si="236"/>
        <v>41228.98246758298</v>
      </c>
      <c r="Q210" s="28">
        <f t="shared" si="236"/>
        <v>41785.653387459475</v>
      </c>
      <c r="R210" s="28">
        <f t="shared" si="236"/>
        <v>41683.188372797798</v>
      </c>
      <c r="S210" s="28">
        <f t="shared" si="236"/>
        <v>50598.078322977912</v>
      </c>
      <c r="T210" s="28">
        <f t="shared" si="236"/>
        <v>45967.803870136544</v>
      </c>
      <c r="U210" s="28">
        <f t="shared" si="236"/>
        <v>36625.168346753242</v>
      </c>
      <c r="V210" s="28">
        <f t="shared" si="236"/>
        <v>48167.363823618929</v>
      </c>
      <c r="W210" s="28">
        <f t="shared" ref="W210:Y210" si="237">IF(W19=0,0,W19*1000000/W73)</f>
        <v>59445.267425915874</v>
      </c>
      <c r="X210" s="28">
        <f t="shared" si="237"/>
        <v>64532.827925704922</v>
      </c>
      <c r="Y210" s="28">
        <f t="shared" si="237"/>
        <v>73097.331386526872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2955.0032822918465</v>
      </c>
      <c r="C211" s="137">
        <f t="shared" si="236"/>
        <v>3010.7196113002578</v>
      </c>
      <c r="D211" s="137">
        <f t="shared" si="236"/>
        <v>3099.6836958733784</v>
      </c>
      <c r="E211" s="137">
        <f t="shared" si="236"/>
        <v>3239.4833121986849</v>
      </c>
      <c r="F211" s="137">
        <f t="shared" si="236"/>
        <v>3390.679110087417</v>
      </c>
      <c r="G211" s="137">
        <f t="shared" si="236"/>
        <v>3296.656120308523</v>
      </c>
      <c r="H211" s="137">
        <f t="shared" si="236"/>
        <v>3307.7674952494613</v>
      </c>
      <c r="I211" s="137">
        <f t="shared" si="236"/>
        <v>3324.5702307876736</v>
      </c>
      <c r="J211" s="137">
        <f t="shared" si="236"/>
        <v>3436.264289562534</v>
      </c>
      <c r="K211" s="137">
        <f t="shared" si="236"/>
        <v>3368.6129660722636</v>
      </c>
      <c r="L211" s="137">
        <f t="shared" si="236"/>
        <v>3416.9844552870923</v>
      </c>
      <c r="M211" s="137">
        <f t="shared" si="235"/>
        <v>3461.0534568161183</v>
      </c>
      <c r="N211" s="137">
        <f t="shared" si="236"/>
        <v>3591.3825389361614</v>
      </c>
      <c r="O211" s="137">
        <f t="shared" si="236"/>
        <v>3604.7798529260308</v>
      </c>
      <c r="P211" s="137">
        <f t="shared" si="236"/>
        <v>3737.8899330166419</v>
      </c>
      <c r="Q211" s="137">
        <f t="shared" si="236"/>
        <v>3860.6158081155859</v>
      </c>
      <c r="R211" s="137">
        <f t="shared" si="236"/>
        <v>3913.9418704456548</v>
      </c>
      <c r="S211" s="137">
        <f t="shared" si="236"/>
        <v>3969.8660526397512</v>
      </c>
      <c r="T211" s="137">
        <f t="shared" si="236"/>
        <v>4067.1814682053282</v>
      </c>
      <c r="U211" s="137">
        <f t="shared" si="236"/>
        <v>4160.4943347128847</v>
      </c>
      <c r="V211" s="137">
        <f t="shared" si="236"/>
        <v>4256.1998509583045</v>
      </c>
      <c r="W211" s="137">
        <f t="shared" ref="W211:Y211" si="238">IF(W20=0,0,W20*1000000/W74)</f>
        <v>4342.6818684035834</v>
      </c>
      <c r="X211" s="137">
        <f t="shared" si="238"/>
        <v>4441.2315066460478</v>
      </c>
      <c r="Y211" s="137">
        <f t="shared" si="238"/>
        <v>4527.6727002402131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1592.3048256627135</v>
      </c>
      <c r="C212" s="84">
        <f t="shared" si="236"/>
        <v>1629.3307040506445</v>
      </c>
      <c r="D212" s="84">
        <f t="shared" si="236"/>
        <v>1670.5717583456442</v>
      </c>
      <c r="E212" s="84">
        <f t="shared" si="236"/>
        <v>1717.5235066167581</v>
      </c>
      <c r="F212" s="84">
        <f t="shared" si="236"/>
        <v>1771.2029966950865</v>
      </c>
      <c r="G212" s="84">
        <f t="shared" si="236"/>
        <v>1726.0503980758524</v>
      </c>
      <c r="H212" s="84">
        <f t="shared" si="236"/>
        <v>1692.7495560918471</v>
      </c>
      <c r="I212" s="84">
        <f t="shared" si="236"/>
        <v>1674.1994468873656</v>
      </c>
      <c r="J212" s="84">
        <f t="shared" si="236"/>
        <v>1715.3474651411298</v>
      </c>
      <c r="K212" s="84">
        <f t="shared" si="236"/>
        <v>1675.6628903481728</v>
      </c>
      <c r="L212" s="84">
        <f t="shared" si="236"/>
        <v>1691.8481441101615</v>
      </c>
      <c r="M212" s="84">
        <f t="shared" si="235"/>
        <v>1725.1006175900829</v>
      </c>
      <c r="N212" s="84">
        <f t="shared" si="236"/>
        <v>1770.9196126981653</v>
      </c>
      <c r="O212" s="84">
        <f t="shared" si="236"/>
        <v>1786.9086317035776</v>
      </c>
      <c r="P212" s="84">
        <f t="shared" si="236"/>
        <v>1833.7009239341996</v>
      </c>
      <c r="Q212" s="84">
        <f t="shared" si="236"/>
        <v>1887.034739904444</v>
      </c>
      <c r="R212" s="84">
        <f t="shared" si="236"/>
        <v>1932.4464198720414</v>
      </c>
      <c r="S212" s="84">
        <f t="shared" si="236"/>
        <v>1966.3698628016</v>
      </c>
      <c r="T212" s="84">
        <f t="shared" si="236"/>
        <v>2013.2992332353358</v>
      </c>
      <c r="U212" s="84">
        <f t="shared" si="236"/>
        <v>2059.3467060022404</v>
      </c>
      <c r="V212" s="84">
        <f t="shared" si="236"/>
        <v>2104.7975141827005</v>
      </c>
      <c r="W212" s="84">
        <f t="shared" ref="W212:Y212" si="239">IF(W21=0,0,W21*1000000/W75)</f>
        <v>2151.0290279696737</v>
      </c>
      <c r="X212" s="84">
        <f t="shared" si="239"/>
        <v>2195.4398096384216</v>
      </c>
      <c r="Y212" s="84">
        <f t="shared" si="239"/>
        <v>2239.6630141252563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3465.1940525070554</v>
      </c>
      <c r="C213" s="84">
        <f t="shared" si="236"/>
        <v>3574.3941038769535</v>
      </c>
      <c r="D213" s="84">
        <f t="shared" si="236"/>
        <v>3694.4532294140649</v>
      </c>
      <c r="E213" s="84">
        <f t="shared" si="236"/>
        <v>3828.9489110979448</v>
      </c>
      <c r="F213" s="84">
        <f t="shared" si="236"/>
        <v>3917.3116243852101</v>
      </c>
      <c r="G213" s="84">
        <f t="shared" si="236"/>
        <v>3787.1818240321422</v>
      </c>
      <c r="H213" s="84">
        <f t="shared" si="236"/>
        <v>3684.6674131217592</v>
      </c>
      <c r="I213" s="84">
        <f t="shared" si="236"/>
        <v>3615.3943918416485</v>
      </c>
      <c r="J213" s="84">
        <f t="shared" si="236"/>
        <v>3674.882790801285</v>
      </c>
      <c r="K213" s="84">
        <f t="shared" si="236"/>
        <v>3561.40151918639</v>
      </c>
      <c r="L213" s="84">
        <f t="shared" si="236"/>
        <v>3567.291246345746</v>
      </c>
      <c r="M213" s="84">
        <f t="shared" si="235"/>
        <v>3608.5648996778714</v>
      </c>
      <c r="N213" s="84">
        <f t="shared" si="236"/>
        <v>3734.3135616081654</v>
      </c>
      <c r="O213" s="84">
        <f t="shared" si="236"/>
        <v>3738.1539384051507</v>
      </c>
      <c r="P213" s="84">
        <f t="shared" si="236"/>
        <v>3867.0090034141936</v>
      </c>
      <c r="Q213" s="84">
        <f t="shared" si="236"/>
        <v>4011.6073582712479</v>
      </c>
      <c r="R213" s="84">
        <f t="shared" si="236"/>
        <v>4075.2489169432629</v>
      </c>
      <c r="S213" s="84">
        <f t="shared" si="236"/>
        <v>4179.9297984738705</v>
      </c>
      <c r="T213" s="84">
        <f t="shared" si="236"/>
        <v>4313.891378528424</v>
      </c>
      <c r="U213" s="84">
        <f t="shared" si="236"/>
        <v>4447.822484083048</v>
      </c>
      <c r="V213" s="84">
        <f t="shared" si="236"/>
        <v>4582.3198250190571</v>
      </c>
      <c r="W213" s="84">
        <f t="shared" ref="W213:Y213" si="240">IF(W22=0,0,W22*1000000/W76)</f>
        <v>4720.3961311472767</v>
      </c>
      <c r="X213" s="84">
        <f t="shared" si="240"/>
        <v>4856.3592752454006</v>
      </c>
      <c r="Y213" s="84">
        <f t="shared" si="240"/>
        <v>4993.7759182643267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2188.0362704202921</v>
      </c>
      <c r="O216" s="84">
        <f t="shared" si="236"/>
        <v>2190.1439899461125</v>
      </c>
      <c r="P216" s="84">
        <f t="shared" si="236"/>
        <v>2192.8415425686067</v>
      </c>
      <c r="Q216" s="84">
        <f t="shared" si="236"/>
        <v>2195.8374921906657</v>
      </c>
      <c r="R216" s="84">
        <f t="shared" si="236"/>
        <v>2193.3523646210274</v>
      </c>
      <c r="S216" s="84">
        <f t="shared" si="236"/>
        <v>2191.5355220981232</v>
      </c>
      <c r="T216" s="84">
        <f t="shared" si="236"/>
        <v>2189.0755326070725</v>
      </c>
      <c r="U216" s="84">
        <f t="shared" si="236"/>
        <v>2186.7194783721247</v>
      </c>
      <c r="V216" s="84">
        <f t="shared" si="236"/>
        <v>2152.8860109061243</v>
      </c>
      <c r="W216" s="84">
        <f t="shared" ref="W216:Y216" si="243">IF(W25=0,0,W25*1000000/W79)</f>
        <v>2182.1885535272322</v>
      </c>
      <c r="X216" s="84">
        <f t="shared" si="243"/>
        <v>2180.0660000703169</v>
      </c>
      <c r="Y216" s="84">
        <f t="shared" si="243"/>
        <v>2177.9966448298196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384713.56047608872</v>
      </c>
      <c r="C217" s="110">
        <f t="shared" si="236"/>
        <v>384519.9255141436</v>
      </c>
      <c r="D217" s="110">
        <f t="shared" si="236"/>
        <v>387358.20232040749</v>
      </c>
      <c r="E217" s="110">
        <f t="shared" si="236"/>
        <v>298663.35989386181</v>
      </c>
      <c r="F217" s="110">
        <f t="shared" si="236"/>
        <v>267017.85294222808</v>
      </c>
      <c r="G217" s="110">
        <f t="shared" si="236"/>
        <v>265306.49369763298</v>
      </c>
      <c r="H217" s="110">
        <f t="shared" si="236"/>
        <v>239666.09680838682</v>
      </c>
      <c r="I217" s="110">
        <f t="shared" si="236"/>
        <v>236745.98623258865</v>
      </c>
      <c r="J217" s="110">
        <f t="shared" si="236"/>
        <v>202088.96520703458</v>
      </c>
      <c r="K217" s="110">
        <f t="shared" si="236"/>
        <v>191231.25469155429</v>
      </c>
      <c r="L217" s="110">
        <f t="shared" si="236"/>
        <v>199094.47287241512</v>
      </c>
      <c r="M217" s="110">
        <f t="shared" si="235"/>
        <v>216777.24554764753</v>
      </c>
      <c r="N217" s="110">
        <f t="shared" si="236"/>
        <v>213886.34877555718</v>
      </c>
      <c r="O217" s="110">
        <f t="shared" si="236"/>
        <v>252653.53353406885</v>
      </c>
      <c r="P217" s="110">
        <f t="shared" si="236"/>
        <v>248820.75508861348</v>
      </c>
      <c r="Q217" s="110">
        <f t="shared" si="236"/>
        <v>261792.79218730054</v>
      </c>
      <c r="R217" s="110">
        <f t="shared" si="236"/>
        <v>227288.25964882865</v>
      </c>
      <c r="S217" s="110">
        <f t="shared" si="236"/>
        <v>234557.47552118881</v>
      </c>
      <c r="T217" s="110">
        <f t="shared" si="236"/>
        <v>176137.71082623335</v>
      </c>
      <c r="U217" s="110">
        <f t="shared" si="236"/>
        <v>120170.60747857054</v>
      </c>
      <c r="V217" s="110">
        <f t="shared" si="236"/>
        <v>156712.80473912053</v>
      </c>
      <c r="W217" s="110">
        <f t="shared" ref="W217:Y217" si="244">IF(W26=0,0,W26*1000000/W80)</f>
        <v>179722.19213690024</v>
      </c>
      <c r="X217" s="110">
        <f t="shared" si="244"/>
        <v>174977.85090494875</v>
      </c>
      <c r="Y217" s="110">
        <f t="shared" si="244"/>
        <v>179136.26031821989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196343.81013470172</v>
      </c>
      <c r="C218" s="163">
        <f t="shared" si="236"/>
        <v>197164.64141053133</v>
      </c>
      <c r="D218" s="163">
        <f t="shared" si="236"/>
        <v>209731.63314304003</v>
      </c>
      <c r="E218" s="163">
        <f t="shared" si="236"/>
        <v>164567.40948074783</v>
      </c>
      <c r="F218" s="163">
        <f t="shared" si="236"/>
        <v>135686.96675492791</v>
      </c>
      <c r="G218" s="163">
        <f t="shared" si="236"/>
        <v>138302.53851636604</v>
      </c>
      <c r="H218" s="163">
        <f t="shared" si="236"/>
        <v>140008.19889556055</v>
      </c>
      <c r="I218" s="163">
        <f t="shared" si="236"/>
        <v>146135.71517181493</v>
      </c>
      <c r="J218" s="163">
        <f t="shared" si="236"/>
        <v>154483.53650600842</v>
      </c>
      <c r="K218" s="163">
        <f t="shared" si="236"/>
        <v>144477.28366210737</v>
      </c>
      <c r="L218" s="163">
        <f t="shared" si="236"/>
        <v>144438.41306554011</v>
      </c>
      <c r="M218" s="163">
        <f t="shared" si="235"/>
        <v>154425.7012888552</v>
      </c>
      <c r="N218" s="163">
        <f t="shared" si="236"/>
        <v>153925.26568392184</v>
      </c>
      <c r="O218" s="163">
        <f t="shared" si="236"/>
        <v>178812.06334999131</v>
      </c>
      <c r="P218" s="163">
        <f t="shared" si="236"/>
        <v>176651.74296731452</v>
      </c>
      <c r="Q218" s="163">
        <f t="shared" si="236"/>
        <v>182331.25715012077</v>
      </c>
      <c r="R218" s="163">
        <f t="shared" si="236"/>
        <v>159519.09045368416</v>
      </c>
      <c r="S218" s="163">
        <f t="shared" si="236"/>
        <v>172780.08298755187</v>
      </c>
      <c r="T218" s="163">
        <f t="shared" si="236"/>
        <v>127987.02588204143</v>
      </c>
      <c r="U218" s="163">
        <f t="shared" si="236"/>
        <v>81760.73654714931</v>
      </c>
      <c r="V218" s="163">
        <f t="shared" si="236"/>
        <v>110312.17900049126</v>
      </c>
      <c r="W218" s="163">
        <f t="shared" ref="W218:Y218" si="245">IF(W27=0,0,W27*1000000/W81)</f>
        <v>128420.66336689993</v>
      </c>
      <c r="X218" s="163">
        <f t="shared" si="245"/>
        <v>117874.33155080213</v>
      </c>
      <c r="Y218" s="163">
        <f t="shared" si="245"/>
        <v>124902.24274073514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1211948.6049330528</v>
      </c>
      <c r="C219" s="86">
        <f t="shared" si="236"/>
        <v>1210930.9895003347</v>
      </c>
      <c r="D219" s="86">
        <f t="shared" si="236"/>
        <v>1218632.8055891711</v>
      </c>
      <c r="E219" s="86">
        <f t="shared" si="236"/>
        <v>1211649.3970700765</v>
      </c>
      <c r="F219" s="86">
        <f t="shared" si="236"/>
        <v>1189318.8491212227</v>
      </c>
      <c r="G219" s="86">
        <f t="shared" si="236"/>
        <v>1190027.1078897</v>
      </c>
      <c r="H219" s="86">
        <f t="shared" si="236"/>
        <v>1197421.2227752449</v>
      </c>
      <c r="I219" s="86">
        <f t="shared" si="236"/>
        <v>1199838.5429584549</v>
      </c>
      <c r="J219" s="86">
        <f t="shared" si="236"/>
        <v>1182743.7793154835</v>
      </c>
      <c r="K219" s="86">
        <f t="shared" si="236"/>
        <v>1167161.705921717</v>
      </c>
      <c r="L219" s="86">
        <f t="shared" si="236"/>
        <v>1205103.1219067767</v>
      </c>
      <c r="M219" s="86">
        <f t="shared" si="235"/>
        <v>1201339.153544321</v>
      </c>
      <c r="N219" s="86">
        <f t="shared" si="236"/>
        <v>1197296.2729908996</v>
      </c>
      <c r="O219" s="86">
        <f t="shared" si="236"/>
        <v>1198807.6502189315</v>
      </c>
      <c r="P219" s="86">
        <f t="shared" si="236"/>
        <v>1201565.1341043683</v>
      </c>
      <c r="Q219" s="86">
        <f t="shared" si="236"/>
        <v>1190378.4964913607</v>
      </c>
      <c r="R219" s="86">
        <f t="shared" si="236"/>
        <v>1184374.0379498648</v>
      </c>
      <c r="S219" s="86">
        <f t="shared" si="236"/>
        <v>1191085.0438222813</v>
      </c>
      <c r="T219" s="86">
        <f t="shared" si="236"/>
        <v>1202469.1358024692</v>
      </c>
      <c r="U219" s="86">
        <f t="shared" si="236"/>
        <v>1195278.1112444978</v>
      </c>
      <c r="V219" s="86">
        <f t="shared" si="236"/>
        <v>1178302.1960013111</v>
      </c>
      <c r="W219" s="86">
        <f t="shared" ref="W219:Y219" si="246">IF(W28=0,0,W28*1000000/W82)</f>
        <v>1194038.2452193475</v>
      </c>
      <c r="X219" s="86">
        <f t="shared" si="246"/>
        <v>1189548.6935866983</v>
      </c>
      <c r="Y219" s="86">
        <f t="shared" si="246"/>
        <v>1176252.319109462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7.7819553560999222E-3</v>
      </c>
      <c r="C223" s="154">
        <f t="shared" si="251"/>
        <v>7.7472391948433085E-3</v>
      </c>
      <c r="D223" s="154">
        <f t="shared" si="251"/>
        <v>7.3887134470620687E-3</v>
      </c>
      <c r="E223" s="154">
        <f t="shared" si="251"/>
        <v>7.6810338776748506E-3</v>
      </c>
      <c r="F223" s="154">
        <f t="shared" si="251"/>
        <v>8.0251003896355325E-3</v>
      </c>
      <c r="G223" s="154">
        <f t="shared" si="251"/>
        <v>8.0752878617272837E-3</v>
      </c>
      <c r="H223" s="154">
        <f t="shared" si="251"/>
        <v>8.0234327401282439E-3</v>
      </c>
      <c r="I223" s="154">
        <f t="shared" si="251"/>
        <v>7.9766249940924523E-3</v>
      </c>
      <c r="J223" s="154">
        <f t="shared" si="251"/>
        <v>8.5851104539902499E-3</v>
      </c>
      <c r="K223" s="154">
        <f t="shared" si="251"/>
        <v>9.2047476328531528E-3</v>
      </c>
      <c r="L223" s="154">
        <f t="shared" ref="L223" si="252">IF(L5=0,0,L5/L$4)</f>
        <v>9.8846689390873575E-3</v>
      </c>
      <c r="M223" s="154">
        <f t="shared" ref="M223:V223" si="253">IF(M5=0,0,M5/M$4)</f>
        <v>1.0220835849622259E-2</v>
      </c>
      <c r="N223" s="154">
        <f t="shared" si="253"/>
        <v>1.0829968948966854E-2</v>
      </c>
      <c r="O223" s="154">
        <f t="shared" si="253"/>
        <v>1.1235988599628198E-2</v>
      </c>
      <c r="P223" s="154">
        <f t="shared" si="253"/>
        <v>1.1192245492638156E-2</v>
      </c>
      <c r="Q223" s="154">
        <f t="shared" si="253"/>
        <v>1.1442264525289958E-2</v>
      </c>
      <c r="R223" s="154">
        <f t="shared" si="253"/>
        <v>1.2365536465696367E-2</v>
      </c>
      <c r="S223" s="154">
        <f t="shared" si="253"/>
        <v>1.1896326108297139E-2</v>
      </c>
      <c r="T223" s="154">
        <f t="shared" si="253"/>
        <v>1.1630470972870783E-2</v>
      </c>
      <c r="U223" s="154">
        <f t="shared" si="253"/>
        <v>1.2123093118159916E-2</v>
      </c>
      <c r="V223" s="154">
        <f t="shared" si="253"/>
        <v>1.3604343871417939E-2</v>
      </c>
      <c r="W223" s="154">
        <f t="shared" ref="W223:Y223" si="254">IF(W5=0,0,W5/W$4)</f>
        <v>1.372517665660776E-2</v>
      </c>
      <c r="X223" s="154">
        <f t="shared" si="254"/>
        <v>1.2848650448614284E-2</v>
      </c>
      <c r="Y223" s="154">
        <f t="shared" si="254"/>
        <v>1.3248132578171106E-2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0.64335009523274556</v>
      </c>
      <c r="C224" s="156">
        <f t="shared" si="255"/>
        <v>0.64586827861941232</v>
      </c>
      <c r="D224" s="156">
        <f t="shared" si="255"/>
        <v>0.62835715017826688</v>
      </c>
      <c r="E224" s="156">
        <f t="shared" si="255"/>
        <v>0.67548098137373358</v>
      </c>
      <c r="F224" s="156">
        <f t="shared" si="255"/>
        <v>0.70996043350760341</v>
      </c>
      <c r="G224" s="156">
        <f t="shared" si="255"/>
        <v>0.71362952767183274</v>
      </c>
      <c r="H224" s="156">
        <f t="shared" si="255"/>
        <v>0.73796681826938348</v>
      </c>
      <c r="I224" s="156">
        <f t="shared" si="255"/>
        <v>0.74257924348703308</v>
      </c>
      <c r="J224" s="156">
        <f t="shared" si="255"/>
        <v>0.75087437066546781</v>
      </c>
      <c r="K224" s="156">
        <f t="shared" si="255"/>
        <v>0.80833501056543322</v>
      </c>
      <c r="L224" s="156">
        <f t="shared" ref="L224" si="256">IF(L6=0,0,L6/L$4)</f>
        <v>0.80740717797292438</v>
      </c>
      <c r="M224" s="156">
        <f t="shared" ref="M224:V224" si="257">IF(M6=0,0,M6/M$4)</f>
        <v>0.80760319281705362</v>
      </c>
      <c r="N224" s="156">
        <f t="shared" si="257"/>
        <v>0.81689303293356175</v>
      </c>
      <c r="O224" s="156">
        <f t="shared" si="257"/>
        <v>0.82337986636537319</v>
      </c>
      <c r="P224" s="156">
        <f t="shared" si="257"/>
        <v>0.81537227237979948</v>
      </c>
      <c r="Q224" s="156">
        <f t="shared" si="257"/>
        <v>0.81027149059230197</v>
      </c>
      <c r="R224" s="156">
        <f t="shared" si="257"/>
        <v>0.81245411404383383</v>
      </c>
      <c r="S224" s="156">
        <f t="shared" si="257"/>
        <v>0.83526756776441546</v>
      </c>
      <c r="T224" s="156">
        <f t="shared" si="257"/>
        <v>0.84282503946094156</v>
      </c>
      <c r="U224" s="156">
        <f t="shared" si="257"/>
        <v>0.83267986175299502</v>
      </c>
      <c r="V224" s="156">
        <f t="shared" si="257"/>
        <v>0.89632021936507034</v>
      </c>
      <c r="W224" s="156">
        <f t="shared" ref="W224:Y224" si="258">IF(W6=0,0,W6/W$4)</f>
        <v>0.90056969740955284</v>
      </c>
      <c r="X224" s="156">
        <f t="shared" si="258"/>
        <v>0.87989817760983036</v>
      </c>
      <c r="Y224" s="156">
        <f t="shared" si="258"/>
        <v>0.88265616900297061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0.39204652455057537</v>
      </c>
      <c r="C225" s="103">
        <f t="shared" si="259"/>
        <v>0.33720709483948874</v>
      </c>
      <c r="D225" s="103">
        <f t="shared" si="259"/>
        <v>0.31829912374278951</v>
      </c>
      <c r="E225" s="103">
        <f t="shared" si="259"/>
        <v>0.30060482345793865</v>
      </c>
      <c r="F225" s="103">
        <f t="shared" si="259"/>
        <v>0.26188500422513167</v>
      </c>
      <c r="G225" s="103">
        <f t="shared" si="259"/>
        <v>0.22970992494261924</v>
      </c>
      <c r="H225" s="103">
        <f t="shared" si="259"/>
        <v>0.23705249601739561</v>
      </c>
      <c r="I225" s="103">
        <f t="shared" si="259"/>
        <v>0.23947745473586329</v>
      </c>
      <c r="J225" s="103">
        <f t="shared" si="259"/>
        <v>0.22672897641379069</v>
      </c>
      <c r="K225" s="103">
        <f t="shared" si="259"/>
        <v>0.25052340253621302</v>
      </c>
      <c r="L225" s="103">
        <f t="shared" ref="L225" si="260">IF(L7=0,0,L7/L$4)</f>
        <v>0.23482589366891105</v>
      </c>
      <c r="M225" s="103">
        <f t="shared" ref="M225:V225" si="261">IF(M7=0,0,M7/M$4)</f>
        <v>0.21945256528606411</v>
      </c>
      <c r="N225" s="103">
        <f t="shared" si="261"/>
        <v>0.19667852056880608</v>
      </c>
      <c r="O225" s="103">
        <f t="shared" si="261"/>
        <v>0.18876667307130027</v>
      </c>
      <c r="P225" s="103">
        <f t="shared" si="261"/>
        <v>0.18098979831190748</v>
      </c>
      <c r="Q225" s="103">
        <f t="shared" si="261"/>
        <v>0.16793454089487081</v>
      </c>
      <c r="R225" s="103">
        <f t="shared" si="261"/>
        <v>0.16095076413348092</v>
      </c>
      <c r="S225" s="103">
        <f t="shared" si="261"/>
        <v>0.1688393781986299</v>
      </c>
      <c r="T225" s="103">
        <f t="shared" si="261"/>
        <v>0.16229243051561609</v>
      </c>
      <c r="U225" s="103">
        <f t="shared" si="261"/>
        <v>0.15620234956424003</v>
      </c>
      <c r="V225" s="103">
        <f t="shared" si="261"/>
        <v>0.16989190650370956</v>
      </c>
      <c r="W225" s="103">
        <f t="shared" ref="W225:Y225" si="262">IF(W7=0,0,W7/W$4)</f>
        <v>0.16932419163650467</v>
      </c>
      <c r="X225" s="103">
        <f t="shared" si="262"/>
        <v>0.16840704908714479</v>
      </c>
      <c r="Y225" s="103">
        <f t="shared" si="262"/>
        <v>0.1646057586783046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0.13158255207050121</v>
      </c>
      <c r="C226" s="103">
        <f t="shared" si="263"/>
        <v>0.15695854635809323</v>
      </c>
      <c r="D226" s="103">
        <f t="shared" si="263"/>
        <v>0.14874176671621275</v>
      </c>
      <c r="E226" s="103">
        <f t="shared" si="263"/>
        <v>0.20399336139358207</v>
      </c>
      <c r="F226" s="103">
        <f t="shared" si="263"/>
        <v>0.27132344966010352</v>
      </c>
      <c r="G226" s="103">
        <f t="shared" si="263"/>
        <v>0.28279715098672498</v>
      </c>
      <c r="H226" s="103">
        <f t="shared" si="263"/>
        <v>0.29226556707649598</v>
      </c>
      <c r="I226" s="103">
        <f t="shared" si="263"/>
        <v>0.31424454542461877</v>
      </c>
      <c r="J226" s="103">
        <f t="shared" si="263"/>
        <v>0.34999286673067898</v>
      </c>
      <c r="K226" s="103">
        <f t="shared" si="263"/>
        <v>0.37361557962232606</v>
      </c>
      <c r="L226" s="103">
        <f t="shared" ref="L226" si="264">IF(L8=0,0,L8/L$4)</f>
        <v>0.38066626156367822</v>
      </c>
      <c r="M226" s="103">
        <f t="shared" ref="M226:V226" si="265">IF(M8=0,0,M8/M$4)</f>
        <v>0.41816723232819847</v>
      </c>
      <c r="N226" s="103">
        <f t="shared" si="265"/>
        <v>0.44515709540848741</v>
      </c>
      <c r="O226" s="103">
        <f t="shared" si="265"/>
        <v>0.45273691101459712</v>
      </c>
      <c r="P226" s="103">
        <f t="shared" si="265"/>
        <v>0.44027027500258348</v>
      </c>
      <c r="Q226" s="103">
        <f t="shared" si="265"/>
        <v>0.45023201800915541</v>
      </c>
      <c r="R226" s="103">
        <f t="shared" si="265"/>
        <v>0.45296527477377291</v>
      </c>
      <c r="S226" s="103">
        <f t="shared" si="265"/>
        <v>0.46999368844371242</v>
      </c>
      <c r="T226" s="103">
        <f t="shared" si="265"/>
        <v>0.49571264280999733</v>
      </c>
      <c r="U226" s="103">
        <f t="shared" si="265"/>
        <v>0.50346765095756996</v>
      </c>
      <c r="V226" s="103">
        <f t="shared" si="265"/>
        <v>0.5494099862000007</v>
      </c>
      <c r="W226" s="103">
        <f t="shared" ref="W226:Y226" si="266">IF(W8=0,0,W8/W$4)</f>
        <v>0.5664805650291348</v>
      </c>
      <c r="X226" s="103">
        <f t="shared" si="266"/>
        <v>0.5595743513113467</v>
      </c>
      <c r="Y226" s="103">
        <f t="shared" si="266"/>
        <v>0.56997117033002975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0.11972101861166887</v>
      </c>
      <c r="C227" s="103">
        <f t="shared" si="267"/>
        <v>0.15170263742183043</v>
      </c>
      <c r="D227" s="103">
        <f t="shared" si="267"/>
        <v>0.16131625971926461</v>
      </c>
      <c r="E227" s="103">
        <f t="shared" si="267"/>
        <v>0.17088279652221289</v>
      </c>
      <c r="F227" s="103">
        <f t="shared" si="267"/>
        <v>0.17491701745431054</v>
      </c>
      <c r="G227" s="103">
        <f t="shared" si="267"/>
        <v>0.19507452925675034</v>
      </c>
      <c r="H227" s="103">
        <f t="shared" si="267"/>
        <v>0.20157032283712578</v>
      </c>
      <c r="I227" s="103">
        <f t="shared" si="267"/>
        <v>0.17863944971751139</v>
      </c>
      <c r="J227" s="103">
        <f t="shared" si="267"/>
        <v>0.16516830627747198</v>
      </c>
      <c r="K227" s="103">
        <f t="shared" si="267"/>
        <v>0.17102835979040432</v>
      </c>
      <c r="L227" s="103">
        <f t="shared" ref="L227" si="268">IF(L9=0,0,L9/L$4)</f>
        <v>0.17249310974685853</v>
      </c>
      <c r="M227" s="103">
        <f t="shared" ref="M227:V227" si="269">IF(M9=0,0,M9/M$4)</f>
        <v>0.1524907672473037</v>
      </c>
      <c r="N227" s="103">
        <f t="shared" si="269"/>
        <v>0.15689500631560416</v>
      </c>
      <c r="O227" s="103">
        <f t="shared" si="269"/>
        <v>0.16248072236740815</v>
      </c>
      <c r="P227" s="103">
        <f t="shared" si="269"/>
        <v>0.16880202364526381</v>
      </c>
      <c r="Q227" s="103">
        <f t="shared" si="269"/>
        <v>0.17195098357964556</v>
      </c>
      <c r="R227" s="103">
        <f t="shared" si="269"/>
        <v>0.17999498497004668</v>
      </c>
      <c r="S227" s="103">
        <f t="shared" si="269"/>
        <v>0.17723513231967108</v>
      </c>
      <c r="T227" s="103">
        <f t="shared" si="269"/>
        <v>0.16481254060357386</v>
      </c>
      <c r="U227" s="103">
        <f t="shared" si="269"/>
        <v>0.15246551059851313</v>
      </c>
      <c r="V227" s="103">
        <f t="shared" si="269"/>
        <v>0.15347141281128429</v>
      </c>
      <c r="W227" s="103">
        <f t="shared" ref="W227:Y227" si="270">IF(W9=0,0,W9/W$4)</f>
        <v>0.14327650992728463</v>
      </c>
      <c r="X227" s="103">
        <f t="shared" si="270"/>
        <v>0.13592635059340039</v>
      </c>
      <c r="Y227" s="103">
        <f t="shared" si="270"/>
        <v>0.13299754976677727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1.834962168057715E-3</v>
      </c>
      <c r="G228" s="103">
        <f t="shared" si="271"/>
        <v>6.0479224857381414E-3</v>
      </c>
      <c r="H228" s="103">
        <f t="shared" si="271"/>
        <v>7.0784323383661293E-3</v>
      </c>
      <c r="I228" s="103">
        <f t="shared" si="271"/>
        <v>1.0217793609039644E-2</v>
      </c>
      <c r="J228" s="103">
        <f t="shared" si="271"/>
        <v>8.9842212435262501E-3</v>
      </c>
      <c r="K228" s="103">
        <f t="shared" si="271"/>
        <v>1.3167668616489811E-2</v>
      </c>
      <c r="L228" s="103">
        <f t="shared" ref="L228" si="272">IF(L10=0,0,L10/L$4)</f>
        <v>1.942191299347662E-2</v>
      </c>
      <c r="M228" s="103">
        <f t="shared" ref="M228:V228" si="273">IF(M10=0,0,M10/M$4)</f>
        <v>1.7492627955487325E-2</v>
      </c>
      <c r="N228" s="103">
        <f t="shared" si="273"/>
        <v>1.816127158993177E-2</v>
      </c>
      <c r="O228" s="103">
        <f t="shared" si="273"/>
        <v>1.9394554574742724E-2</v>
      </c>
      <c r="P228" s="103">
        <f t="shared" si="273"/>
        <v>2.5308555071413677E-2</v>
      </c>
      <c r="Q228" s="103">
        <f t="shared" si="273"/>
        <v>2.0147541802251118E-2</v>
      </c>
      <c r="R228" s="103">
        <f t="shared" si="273"/>
        <v>1.8523733175678847E-2</v>
      </c>
      <c r="S228" s="103">
        <f t="shared" si="273"/>
        <v>1.9129519408067876E-2</v>
      </c>
      <c r="T228" s="103">
        <f t="shared" si="273"/>
        <v>1.983426148321922E-2</v>
      </c>
      <c r="U228" s="103">
        <f t="shared" si="273"/>
        <v>2.0195139972850135E-2</v>
      </c>
      <c r="V228" s="103">
        <f t="shared" si="273"/>
        <v>2.294254486506488E-2</v>
      </c>
      <c r="W228" s="103">
        <f t="shared" ref="W228:Y228" si="274">IF(W10=0,0,W10/W$4)</f>
        <v>2.0398428834931728E-2</v>
      </c>
      <c r="X228" s="103">
        <f t="shared" si="274"/>
        <v>1.4580612784605184E-2</v>
      </c>
      <c r="Y228" s="103">
        <f t="shared" si="274"/>
        <v>1.341552424843081E-2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1.1390507323705791E-6</v>
      </c>
      <c r="O229" s="103">
        <f t="shared" si="277"/>
        <v>1.0053373248665662E-6</v>
      </c>
      <c r="P229" s="103">
        <f t="shared" si="277"/>
        <v>1.6203486309664207E-6</v>
      </c>
      <c r="Q229" s="103">
        <f t="shared" si="277"/>
        <v>6.4063063790526672E-6</v>
      </c>
      <c r="R229" s="103">
        <f t="shared" si="277"/>
        <v>1.0637626018483047E-5</v>
      </c>
      <c r="S229" s="103">
        <f t="shared" si="277"/>
        <v>3.7098799327602374E-5</v>
      </c>
      <c r="T229" s="103">
        <f t="shared" si="277"/>
        <v>7.0586430009998276E-5</v>
      </c>
      <c r="U229" s="103">
        <f t="shared" si="277"/>
        <v>1.8508828327935318E-4</v>
      </c>
      <c r="V229" s="103">
        <f t="shared" si="277"/>
        <v>2.8577473519245176E-4</v>
      </c>
      <c r="W229" s="103">
        <f t="shared" ref="W229:Y229" si="278">IF(W11=0,0,W11/W$4)</f>
        <v>3.9307587072016508E-4</v>
      </c>
      <c r="X229" s="103">
        <f t="shared" si="278"/>
        <v>5.5677244655766745E-4</v>
      </c>
      <c r="Y229" s="103">
        <f t="shared" si="278"/>
        <v>6.5783811391796425E-4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0</v>
      </c>
      <c r="N230" s="103">
        <f t="shared" si="281"/>
        <v>0</v>
      </c>
      <c r="O230" s="103">
        <f t="shared" si="281"/>
        <v>0</v>
      </c>
      <c r="P230" s="103">
        <f t="shared" si="281"/>
        <v>0</v>
      </c>
      <c r="Q230" s="103">
        <f t="shared" si="281"/>
        <v>0</v>
      </c>
      <c r="R230" s="103">
        <f t="shared" si="281"/>
        <v>8.7193648360530063E-6</v>
      </c>
      <c r="S230" s="103">
        <f t="shared" si="281"/>
        <v>3.2750595006654451E-5</v>
      </c>
      <c r="T230" s="103">
        <f t="shared" si="281"/>
        <v>1.0257761852514024E-4</v>
      </c>
      <c r="U230" s="103">
        <f t="shared" si="281"/>
        <v>1.6412237654238161E-4</v>
      </c>
      <c r="V230" s="103">
        <f t="shared" si="281"/>
        <v>3.1859424981855121E-4</v>
      </c>
      <c r="W230" s="103">
        <f t="shared" ref="W230:Y230" si="282">IF(W12=0,0,W12/W$4)</f>
        <v>6.9692611097684539E-4</v>
      </c>
      <c r="X230" s="103">
        <f t="shared" si="282"/>
        <v>8.5304138677555204E-4</v>
      </c>
      <c r="Y230" s="103">
        <f t="shared" si="282"/>
        <v>1.0083278655101072E-3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0.34886794941115462</v>
      </c>
      <c r="C231" s="156">
        <f t="shared" si="283"/>
        <v>0.34638448218574436</v>
      </c>
      <c r="D231" s="156">
        <f t="shared" si="283"/>
        <v>0.36425413637467113</v>
      </c>
      <c r="E231" s="156">
        <f t="shared" si="283"/>
        <v>0.31683798474859171</v>
      </c>
      <c r="F231" s="156">
        <f t="shared" si="283"/>
        <v>0.28201446610276115</v>
      </c>
      <c r="G231" s="156">
        <f t="shared" si="283"/>
        <v>0.27829518446644008</v>
      </c>
      <c r="H231" s="156">
        <f t="shared" si="283"/>
        <v>0.25400974899048834</v>
      </c>
      <c r="I231" s="156">
        <f t="shared" si="283"/>
        <v>0.2494441315188744</v>
      </c>
      <c r="J231" s="156">
        <f t="shared" si="283"/>
        <v>0.24054051888054193</v>
      </c>
      <c r="K231" s="156">
        <f t="shared" si="283"/>
        <v>0.18246024180171366</v>
      </c>
      <c r="L231" s="156">
        <f t="shared" ref="L231" si="284">IF(L13=0,0,L13/L$4)</f>
        <v>0.18270815308798824</v>
      </c>
      <c r="M231" s="156">
        <f t="shared" ref="M231:V231" si="285">IF(M13=0,0,M13/M$4)</f>
        <v>0.18217597133332411</v>
      </c>
      <c r="N231" s="156">
        <f t="shared" si="285"/>
        <v>0.17227699811747141</v>
      </c>
      <c r="O231" s="156">
        <f t="shared" si="285"/>
        <v>0.16538414503499865</v>
      </c>
      <c r="P231" s="156">
        <f t="shared" si="285"/>
        <v>0.17343548212756235</v>
      </c>
      <c r="Q231" s="156">
        <f t="shared" si="285"/>
        <v>0.17828624488240818</v>
      </c>
      <c r="R231" s="156">
        <f t="shared" si="285"/>
        <v>0.17518034949046968</v>
      </c>
      <c r="S231" s="156">
        <f t="shared" si="285"/>
        <v>0.15283610612728743</v>
      </c>
      <c r="T231" s="156">
        <f t="shared" si="285"/>
        <v>0.14554448956618773</v>
      </c>
      <c r="U231" s="156">
        <f t="shared" si="285"/>
        <v>0.15519704512884522</v>
      </c>
      <c r="V231" s="156">
        <f t="shared" si="285"/>
        <v>9.0075436763511679E-2</v>
      </c>
      <c r="W231" s="156">
        <f t="shared" ref="W231:Y231" si="286">IF(W13=0,0,W13/W$4)</f>
        <v>8.5705125933839416E-2</v>
      </c>
      <c r="X231" s="156">
        <f t="shared" si="286"/>
        <v>0.1072531719415554</v>
      </c>
      <c r="Y231" s="156">
        <f t="shared" si="286"/>
        <v>0.10409569841885823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4.1578330805805124E-3</v>
      </c>
      <c r="S232" s="103">
        <f t="shared" si="289"/>
        <v>3.8943242092344035E-3</v>
      </c>
      <c r="T232" s="103">
        <f t="shared" si="289"/>
        <v>3.7252953932811546E-3</v>
      </c>
      <c r="U232" s="103">
        <f t="shared" si="289"/>
        <v>3.9085857460703019E-3</v>
      </c>
      <c r="V232" s="103">
        <f t="shared" si="289"/>
        <v>3.1834386603682803E-3</v>
      </c>
      <c r="W232" s="103">
        <f t="shared" ref="W232:Y232" si="290">IF(W14=0,0,W14/W$4)</f>
        <v>2.8945546958203832E-3</v>
      </c>
      <c r="X232" s="103">
        <f t="shared" si="290"/>
        <v>2.5268734955411873E-3</v>
      </c>
      <c r="Y232" s="103">
        <f t="shared" si="290"/>
        <v>2.1945532803266691E-3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0.34886794941115462</v>
      </c>
      <c r="C233" s="103">
        <f t="shared" si="291"/>
        <v>0.34638448218574436</v>
      </c>
      <c r="D233" s="103">
        <f t="shared" si="291"/>
        <v>0.36425413637467113</v>
      </c>
      <c r="E233" s="103">
        <f t="shared" si="291"/>
        <v>0.31683798474859171</v>
      </c>
      <c r="F233" s="103">
        <f t="shared" si="291"/>
        <v>0.28009659276562282</v>
      </c>
      <c r="G233" s="103">
        <f t="shared" si="291"/>
        <v>0.27419970073821209</v>
      </c>
      <c r="H233" s="103">
        <f t="shared" si="291"/>
        <v>0.2469690365687609</v>
      </c>
      <c r="I233" s="103">
        <f t="shared" si="291"/>
        <v>0.23940598510858135</v>
      </c>
      <c r="J233" s="103">
        <f t="shared" si="291"/>
        <v>0.2299501773229663</v>
      </c>
      <c r="K233" s="103">
        <f t="shared" si="291"/>
        <v>0.17103387194455405</v>
      </c>
      <c r="L233" s="103">
        <f t="shared" ref="L233" si="292">IF(L15=0,0,L15/L$4)</f>
        <v>0.16606561650881344</v>
      </c>
      <c r="M233" s="103">
        <f t="shared" ref="M233:V233" si="293">IF(M15=0,0,M15/M$4)</f>
        <v>0.16637822014044429</v>
      </c>
      <c r="N233" s="103">
        <f t="shared" si="293"/>
        <v>0.15707659926866449</v>
      </c>
      <c r="O233" s="103">
        <f t="shared" si="293"/>
        <v>0.13686863521184228</v>
      </c>
      <c r="P233" s="103">
        <f t="shared" si="293"/>
        <v>0.14069679426738524</v>
      </c>
      <c r="Q233" s="103">
        <f t="shared" si="293"/>
        <v>0.14687506880724679</v>
      </c>
      <c r="R233" s="103">
        <f t="shared" si="293"/>
        <v>0.14098135215989327</v>
      </c>
      <c r="S233" s="103">
        <f t="shared" si="293"/>
        <v>0.12025913110943422</v>
      </c>
      <c r="T233" s="103">
        <f t="shared" si="293"/>
        <v>0.11307322480613934</v>
      </c>
      <c r="U233" s="103">
        <f t="shared" si="293"/>
        <v>0.11827287373431172</v>
      </c>
      <c r="V233" s="103">
        <f t="shared" si="293"/>
        <v>6.7715842060099549E-2</v>
      </c>
      <c r="W233" s="103">
        <f t="shared" ref="W233:Y233" si="294">IF(W15=0,0,W15/W$4)</f>
        <v>6.2799290776115999E-2</v>
      </c>
      <c r="X233" s="103">
        <f t="shared" si="294"/>
        <v>8.6094540738974518E-2</v>
      </c>
      <c r="Y233" s="103">
        <f t="shared" si="294"/>
        <v>8.7127589007434614E-2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3.9700463658708091E-4</v>
      </c>
      <c r="S234" s="103">
        <f t="shared" si="297"/>
        <v>3.7372676902533344E-4</v>
      </c>
      <c r="T234" s="103">
        <f t="shared" si="297"/>
        <v>3.9480561906896853E-4</v>
      </c>
      <c r="U234" s="103">
        <f t="shared" si="297"/>
        <v>4.1840955661132253E-4</v>
      </c>
      <c r="V234" s="103">
        <f t="shared" si="297"/>
        <v>7.1438431301980217E-5</v>
      </c>
      <c r="W234" s="103">
        <f t="shared" ref="W234:Y234" si="298">IF(W16=0,0,W16/W$4)</f>
        <v>1.7760061213452412E-4</v>
      </c>
      <c r="X234" s="103">
        <f t="shared" si="298"/>
        <v>2.0545457630681522E-4</v>
      </c>
      <c r="Y234" s="103">
        <f t="shared" si="298"/>
        <v>1.6978093691995789E-4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1.9178733371383353E-3</v>
      </c>
      <c r="G235" s="103">
        <f t="shared" si="299"/>
        <v>4.0954837282280079E-3</v>
      </c>
      <c r="H235" s="103">
        <f t="shared" si="299"/>
        <v>7.0407124217273841E-3</v>
      </c>
      <c r="I235" s="103">
        <f t="shared" si="299"/>
        <v>1.0038146410293063E-2</v>
      </c>
      <c r="J235" s="103">
        <f t="shared" si="299"/>
        <v>1.0442068113366062E-2</v>
      </c>
      <c r="K235" s="103">
        <f t="shared" si="299"/>
        <v>1.1128706901638575E-2</v>
      </c>
      <c r="L235" s="103">
        <f t="shared" ref="L235" si="300">IF(L17=0,0,L17/L$4)</f>
        <v>1.599801255142631E-2</v>
      </c>
      <c r="M235" s="103">
        <f t="shared" ref="M235:V235" si="301">IF(M17=0,0,M17/M$4)</f>
        <v>1.5154596218164338E-2</v>
      </c>
      <c r="N235" s="103">
        <f t="shared" si="301"/>
        <v>1.4486461046074829E-2</v>
      </c>
      <c r="O235" s="103">
        <f t="shared" si="301"/>
        <v>2.296403742056374E-2</v>
      </c>
      <c r="P235" s="103">
        <f t="shared" si="301"/>
        <v>2.5329728768994728E-2</v>
      </c>
      <c r="Q235" s="103">
        <f t="shared" si="301"/>
        <v>2.3666104712152022E-2</v>
      </c>
      <c r="R235" s="103">
        <f t="shared" si="301"/>
        <v>2.1241527018917523E-2</v>
      </c>
      <c r="S235" s="103">
        <f t="shared" si="301"/>
        <v>2.0605979099295364E-2</v>
      </c>
      <c r="T235" s="103">
        <f t="shared" si="301"/>
        <v>2.1163252453190715E-2</v>
      </c>
      <c r="U235" s="103">
        <f t="shared" si="301"/>
        <v>2.5402077998266711E-2</v>
      </c>
      <c r="V235" s="103">
        <f t="shared" si="301"/>
        <v>1.5186240605823867E-2</v>
      </c>
      <c r="W235" s="103">
        <f t="shared" ref="W235:Y235" si="302">IF(W17=0,0,W17/W$4)</f>
        <v>1.5678875943496602E-2</v>
      </c>
      <c r="X235" s="103">
        <f t="shared" si="302"/>
        <v>1.3402366991420066E-2</v>
      </c>
      <c r="Y235" s="103">
        <f t="shared" si="302"/>
        <v>8.8242709963378217E-3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1.482734442095717E-4</v>
      </c>
      <c r="K236" s="103">
        <f t="shared" si="303"/>
        <v>2.976629555210281E-4</v>
      </c>
      <c r="L236" s="103">
        <f t="shared" ref="L236" si="304">IF(L18=0,0,L18/L$4)</f>
        <v>6.4452402774846601E-4</v>
      </c>
      <c r="M236" s="103">
        <f t="shared" ref="M236:V236" si="305">IF(M18=0,0,M18/M$4)</f>
        <v>6.4315497471549858E-4</v>
      </c>
      <c r="N236" s="103">
        <f t="shared" si="305"/>
        <v>7.1393780273205996E-4</v>
      </c>
      <c r="O236" s="103">
        <f t="shared" si="305"/>
        <v>5.5514724025926381E-3</v>
      </c>
      <c r="P236" s="103">
        <f t="shared" si="305"/>
        <v>7.408959091182399E-3</v>
      </c>
      <c r="Q236" s="103">
        <f t="shared" si="305"/>
        <v>7.7450713630093917E-3</v>
      </c>
      <c r="R236" s="103">
        <f t="shared" si="305"/>
        <v>8.4026325944912914E-3</v>
      </c>
      <c r="S236" s="103">
        <f t="shared" si="305"/>
        <v>7.7029449402981204E-3</v>
      </c>
      <c r="T236" s="103">
        <f t="shared" si="305"/>
        <v>7.1879112945075815E-3</v>
      </c>
      <c r="U236" s="103">
        <f t="shared" si="305"/>
        <v>7.1950980935851392E-3</v>
      </c>
      <c r="V236" s="103">
        <f t="shared" si="305"/>
        <v>3.9184770059180092E-3</v>
      </c>
      <c r="W236" s="103">
        <f t="shared" ref="W236:Y236" si="306">IF(W18=0,0,W18/W$4)</f>
        <v>4.154803906271912E-3</v>
      </c>
      <c r="X236" s="103">
        <f t="shared" si="306"/>
        <v>5.0239361393128136E-3</v>
      </c>
      <c r="Y236" s="103">
        <f t="shared" si="306"/>
        <v>5.7795041978391665E-3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5.3496664488521424E-2</v>
      </c>
      <c r="C238" s="154">
        <f t="shared" si="311"/>
        <v>4.7922026303706858E-2</v>
      </c>
      <c r="D238" s="154">
        <f t="shared" si="311"/>
        <v>4.3905841969227588E-2</v>
      </c>
      <c r="E238" s="154">
        <f t="shared" si="311"/>
        <v>4.4535364828893816E-2</v>
      </c>
      <c r="F238" s="154">
        <f t="shared" si="311"/>
        <v>4.836351603079387E-2</v>
      </c>
      <c r="G238" s="154">
        <f t="shared" si="311"/>
        <v>4.3479946853175203E-2</v>
      </c>
      <c r="H238" s="154">
        <f t="shared" si="311"/>
        <v>4.9397285614545976E-2</v>
      </c>
      <c r="I238" s="154">
        <f t="shared" si="311"/>
        <v>5.7897373174821451E-2</v>
      </c>
      <c r="J238" s="154">
        <f t="shared" si="311"/>
        <v>6.6508590172055376E-2</v>
      </c>
      <c r="K238" s="154">
        <f t="shared" si="311"/>
        <v>7.4670884161465959E-2</v>
      </c>
      <c r="L238" s="154">
        <f t="shared" ref="L238" si="312">IF(L20=0,0,L20/L$19)</f>
        <v>7.314501593775459E-2</v>
      </c>
      <c r="M238" s="154">
        <f t="shared" ref="M238:V238" si="313">IF(M20=0,0,M20/M$19)</f>
        <v>7.4215366616833131E-2</v>
      </c>
      <c r="N238" s="154">
        <f t="shared" si="313"/>
        <v>8.1437328298090111E-2</v>
      </c>
      <c r="O238" s="154">
        <f t="shared" si="313"/>
        <v>6.9994684887607919E-2</v>
      </c>
      <c r="P238" s="154">
        <f t="shared" si="313"/>
        <v>7.6792902173535502E-2</v>
      </c>
      <c r="Q238" s="154">
        <f t="shared" si="313"/>
        <v>7.8806245560065546E-2</v>
      </c>
      <c r="R238" s="154">
        <f t="shared" si="313"/>
        <v>7.8020735374940961E-2</v>
      </c>
      <c r="S238" s="154">
        <f t="shared" si="313"/>
        <v>6.2593298936252886E-2</v>
      </c>
      <c r="T238" s="154">
        <f t="shared" si="313"/>
        <v>6.693355531049569E-2</v>
      </c>
      <c r="U238" s="154">
        <f t="shared" si="313"/>
        <v>8.1807326720892873E-2</v>
      </c>
      <c r="V238" s="154">
        <f t="shared" si="313"/>
        <v>6.2912142708000163E-2</v>
      </c>
      <c r="W238" s="154">
        <f t="shared" ref="W238:Y238" si="314">IF(W20=0,0,W20/W$19)</f>
        <v>5.0100746008105601E-2</v>
      </c>
      <c r="X238" s="154">
        <f t="shared" si="314"/>
        <v>4.4570880681322526E-2</v>
      </c>
      <c r="Y238" s="154">
        <f t="shared" si="314"/>
        <v>3.7616054026043316E-2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7.8526357774138366E-3</v>
      </c>
      <c r="C239" s="103">
        <f t="shared" si="315"/>
        <v>7.5156876753930627E-3</v>
      </c>
      <c r="D239" s="103">
        <f t="shared" si="315"/>
        <v>6.9539843011675387E-3</v>
      </c>
      <c r="E239" s="103">
        <f t="shared" si="315"/>
        <v>6.5919617568951441E-3</v>
      </c>
      <c r="F239" s="103">
        <f t="shared" si="315"/>
        <v>6.1994831329790622E-3</v>
      </c>
      <c r="G239" s="103">
        <f t="shared" si="315"/>
        <v>5.4178242635717286E-3</v>
      </c>
      <c r="H239" s="103">
        <f t="shared" si="315"/>
        <v>4.7831658125791513E-3</v>
      </c>
      <c r="I239" s="103">
        <f t="shared" si="315"/>
        <v>4.3680929841512705E-3</v>
      </c>
      <c r="J239" s="103">
        <f t="shared" si="315"/>
        <v>4.042912150587415E-3</v>
      </c>
      <c r="K239" s="103">
        <f t="shared" si="315"/>
        <v>3.7974020101396639E-3</v>
      </c>
      <c r="L239" s="103">
        <f t="shared" ref="L239" si="316">IF(L21=0,0,L21/L$19)</f>
        <v>2.9025374049589836E-3</v>
      </c>
      <c r="M239" s="103">
        <f t="shared" ref="M239:V239" si="317">IF(M21=0,0,M21/M$19)</f>
        <v>2.8971319994142881E-3</v>
      </c>
      <c r="N239" s="103">
        <f t="shared" si="317"/>
        <v>2.9189191399604866E-3</v>
      </c>
      <c r="O239" s="103">
        <f t="shared" si="317"/>
        <v>2.3676657055333485E-3</v>
      </c>
      <c r="P239" s="103">
        <f t="shared" si="317"/>
        <v>2.3876884584781563E-3</v>
      </c>
      <c r="Q239" s="103">
        <f t="shared" si="317"/>
        <v>2.7318539172146881E-3</v>
      </c>
      <c r="R239" s="103">
        <f t="shared" si="317"/>
        <v>2.8034794562475673E-3</v>
      </c>
      <c r="S239" s="103">
        <f t="shared" si="317"/>
        <v>2.6899239799039075E-3</v>
      </c>
      <c r="T239" s="103">
        <f t="shared" si="317"/>
        <v>3.0394178367127238E-3</v>
      </c>
      <c r="U239" s="103">
        <f t="shared" si="317"/>
        <v>3.823889440493341E-3</v>
      </c>
      <c r="V239" s="103">
        <f t="shared" si="317"/>
        <v>3.0412830066526429E-3</v>
      </c>
      <c r="W239" s="103">
        <f t="shared" ref="W239:Y239" si="318">IF(W21=0,0,W21/W$19)</f>
        <v>2.5056304095050237E-3</v>
      </c>
      <c r="X239" s="103">
        <f t="shared" si="318"/>
        <v>2.3318492952113553E-3</v>
      </c>
      <c r="Y239" s="103">
        <f t="shared" si="318"/>
        <v>2.0987018386221996E-3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4.5644028711107586E-2</v>
      </c>
      <c r="C240" s="103">
        <f t="shared" si="319"/>
        <v>4.0406338628313797E-2</v>
      </c>
      <c r="D240" s="103">
        <f t="shared" si="319"/>
        <v>3.6951857668060056E-2</v>
      </c>
      <c r="E240" s="103">
        <f t="shared" si="319"/>
        <v>3.7943403071998665E-2</v>
      </c>
      <c r="F240" s="103">
        <f t="shared" si="319"/>
        <v>4.2164032897814806E-2</v>
      </c>
      <c r="G240" s="103">
        <f t="shared" si="319"/>
        <v>3.8062122589603474E-2</v>
      </c>
      <c r="H240" s="103">
        <f t="shared" si="319"/>
        <v>4.461411980196682E-2</v>
      </c>
      <c r="I240" s="103">
        <f t="shared" si="319"/>
        <v>5.352928019067018E-2</v>
      </c>
      <c r="J240" s="103">
        <f t="shared" si="319"/>
        <v>6.2465678021467963E-2</v>
      </c>
      <c r="K240" s="103">
        <f t="shared" si="319"/>
        <v>7.08734821513263E-2</v>
      </c>
      <c r="L240" s="103">
        <f t="shared" ref="L240" si="320">IF(L22=0,0,L22/L$19)</f>
        <v>7.024247853279561E-2</v>
      </c>
      <c r="M240" s="103">
        <f t="shared" ref="M240:V240" si="321">IF(M22=0,0,M22/M$19)</f>
        <v>7.1318234617418846E-2</v>
      </c>
      <c r="N240" s="103">
        <f t="shared" si="321"/>
        <v>7.8511469124443331E-2</v>
      </c>
      <c r="O240" s="103">
        <f t="shared" si="321"/>
        <v>6.7620883577130961E-2</v>
      </c>
      <c r="P240" s="103">
        <f t="shared" si="321"/>
        <v>7.4398558845168342E-2</v>
      </c>
      <c r="Q240" s="103">
        <f t="shared" si="321"/>
        <v>7.6066610849061453E-2</v>
      </c>
      <c r="R240" s="103">
        <f t="shared" si="321"/>
        <v>7.5206759688628333E-2</v>
      </c>
      <c r="S240" s="103">
        <f t="shared" si="321"/>
        <v>5.989245100249023E-2</v>
      </c>
      <c r="T240" s="103">
        <f t="shared" si="321"/>
        <v>6.3880023090297708E-2</v>
      </c>
      <c r="U240" s="103">
        <f t="shared" si="321"/>
        <v>7.7959221552238084E-2</v>
      </c>
      <c r="V240" s="103">
        <f t="shared" si="321"/>
        <v>5.9849227869089763E-2</v>
      </c>
      <c r="W240" s="103">
        <f t="shared" ref="W240:Y240" si="322">IF(W22=0,0,W22/W$19)</f>
        <v>4.7575284854461872E-2</v>
      </c>
      <c r="X240" s="103">
        <f t="shared" si="322"/>
        <v>4.2219294698332223E-2</v>
      </c>
      <c r="Y240" s="103">
        <f t="shared" si="322"/>
        <v>3.5479277473285914E-2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6.9400336862791897E-6</v>
      </c>
      <c r="O243" s="103">
        <f t="shared" si="333"/>
        <v>6.1356049436006184E-6</v>
      </c>
      <c r="P243" s="103">
        <f t="shared" si="333"/>
        <v>6.6548698890121532E-6</v>
      </c>
      <c r="Q243" s="103">
        <f t="shared" si="333"/>
        <v>7.7807937894166609E-6</v>
      </c>
      <c r="R243" s="103">
        <f t="shared" si="333"/>
        <v>1.0496230065057129E-5</v>
      </c>
      <c r="S243" s="103">
        <f t="shared" si="333"/>
        <v>1.0923953858748189E-5</v>
      </c>
      <c r="T243" s="103">
        <f t="shared" si="333"/>
        <v>1.4114383485256912E-5</v>
      </c>
      <c r="U243" s="103">
        <f t="shared" si="333"/>
        <v>2.4215728161450672E-5</v>
      </c>
      <c r="V243" s="103">
        <f t="shared" si="333"/>
        <v>2.1631832257752386E-5</v>
      </c>
      <c r="W243" s="103">
        <f t="shared" ref="W243:Y243" si="334">IF(W25=0,0,W25/W$19)</f>
        <v>1.983074413870256E-5</v>
      </c>
      <c r="X243" s="103">
        <f t="shared" si="334"/>
        <v>1.9736687778950778E-5</v>
      </c>
      <c r="Y243" s="103">
        <f t="shared" si="334"/>
        <v>3.8074714135198745E-5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0.94650333551147858</v>
      </c>
      <c r="C244" s="156">
        <f t="shared" si="335"/>
        <v>0.9520779736962931</v>
      </c>
      <c r="D244" s="156">
        <f t="shared" si="335"/>
        <v>0.95609415803077247</v>
      </c>
      <c r="E244" s="156">
        <f t="shared" si="335"/>
        <v>0.95546463517110625</v>
      </c>
      <c r="F244" s="156">
        <f t="shared" si="335"/>
        <v>0.95163648396920619</v>
      </c>
      <c r="G244" s="156">
        <f t="shared" si="335"/>
        <v>0.95652005314682476</v>
      </c>
      <c r="H244" s="156">
        <f t="shared" si="335"/>
        <v>0.95060271438545396</v>
      </c>
      <c r="I244" s="156">
        <f t="shared" si="335"/>
        <v>0.94210262682517854</v>
      </c>
      <c r="J244" s="156">
        <f t="shared" si="335"/>
        <v>0.93349140982794465</v>
      </c>
      <c r="K244" s="156">
        <f t="shared" si="335"/>
        <v>0.92532911583853406</v>
      </c>
      <c r="L244" s="156">
        <f t="shared" ref="L244" si="336">IF(L26=0,0,L26/L$19)</f>
        <v>0.92685498406224531</v>
      </c>
      <c r="M244" s="156">
        <f t="shared" ref="M244:V244" si="337">IF(M26=0,0,M26/M$19)</f>
        <v>0.92578463338316686</v>
      </c>
      <c r="N244" s="156">
        <f t="shared" si="337"/>
        <v>0.91856267170190986</v>
      </c>
      <c r="O244" s="156">
        <f t="shared" si="337"/>
        <v>0.93000531511239215</v>
      </c>
      <c r="P244" s="156">
        <f t="shared" si="337"/>
        <v>0.92320709782646448</v>
      </c>
      <c r="Q244" s="156">
        <f t="shared" si="337"/>
        <v>0.92119375443993445</v>
      </c>
      <c r="R244" s="156">
        <f t="shared" si="337"/>
        <v>0.92197926462505908</v>
      </c>
      <c r="S244" s="156">
        <f t="shared" si="337"/>
        <v>0.93740670106374713</v>
      </c>
      <c r="T244" s="156">
        <f t="shared" si="337"/>
        <v>0.93306644468950428</v>
      </c>
      <c r="U244" s="156">
        <f t="shared" si="337"/>
        <v>0.91819267327910703</v>
      </c>
      <c r="V244" s="156">
        <f t="shared" si="337"/>
        <v>0.93708785729199984</v>
      </c>
      <c r="W244" s="156">
        <f t="shared" ref="W244:Y244" si="338">IF(W26=0,0,W26/W$19)</f>
        <v>0.94989925399189445</v>
      </c>
      <c r="X244" s="156">
        <f t="shared" si="338"/>
        <v>0.95542911931867747</v>
      </c>
      <c r="Y244" s="156">
        <f t="shared" si="338"/>
        <v>0.96238394597395671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0.39346494902756723</v>
      </c>
      <c r="C245" s="103">
        <f t="shared" si="339"/>
        <v>0.39796140341221431</v>
      </c>
      <c r="D245" s="103">
        <f t="shared" si="339"/>
        <v>0.42652818259324637</v>
      </c>
      <c r="E245" s="103">
        <f t="shared" si="339"/>
        <v>0.45904995621000483</v>
      </c>
      <c r="F245" s="103">
        <f t="shared" si="339"/>
        <v>0.42330431188336243</v>
      </c>
      <c r="G245" s="103">
        <f t="shared" si="339"/>
        <v>0.43841446064074469</v>
      </c>
      <c r="H245" s="103">
        <f t="shared" si="339"/>
        <v>0.50298582448275153</v>
      </c>
      <c r="I245" s="103">
        <f t="shared" si="339"/>
        <v>0.53152272845744952</v>
      </c>
      <c r="J245" s="103">
        <f t="shared" si="339"/>
        <v>0.68055471782729204</v>
      </c>
      <c r="K245" s="103">
        <f t="shared" si="339"/>
        <v>0.6671356508259163</v>
      </c>
      <c r="L245" s="103">
        <f t="shared" ref="L245" si="340">IF(L27=0,0,L27/L$19)</f>
        <v>0.63776236842985168</v>
      </c>
      <c r="M245" s="103">
        <f t="shared" ref="M245:V245" si="341">IF(M27=0,0,M27/M$19)</f>
        <v>0.62022333998214296</v>
      </c>
      <c r="N245" s="103">
        <f t="shared" si="341"/>
        <v>0.62306227994410723</v>
      </c>
      <c r="O245" s="103">
        <f t="shared" si="341"/>
        <v>0.6105489086554392</v>
      </c>
      <c r="P245" s="103">
        <f t="shared" si="341"/>
        <v>0.60928387665797368</v>
      </c>
      <c r="Q245" s="103">
        <f t="shared" si="341"/>
        <v>0.59101096015210175</v>
      </c>
      <c r="R245" s="103">
        <f t="shared" si="341"/>
        <v>0.60428981741303223</v>
      </c>
      <c r="S245" s="103">
        <f t="shared" si="341"/>
        <v>0.64862261256377818</v>
      </c>
      <c r="T245" s="103">
        <f t="shared" si="341"/>
        <v>0.64761158424379672</v>
      </c>
      <c r="U245" s="103">
        <f t="shared" si="341"/>
        <v>0.6031637834232958</v>
      </c>
      <c r="V245" s="103">
        <f t="shared" si="341"/>
        <v>0.63096965220660772</v>
      </c>
      <c r="W245" s="103">
        <f t="shared" ref="W245:Y245" si="342">IF(W27=0,0,W27/W$19)</f>
        <v>0.64607460371320635</v>
      </c>
      <c r="X245" s="103">
        <f t="shared" si="342"/>
        <v>0.6093322636551739</v>
      </c>
      <c r="Y245" s="103">
        <f t="shared" si="342"/>
        <v>0.63640482389702946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0.55303838648391135</v>
      </c>
      <c r="C246" s="105">
        <f t="shared" si="343"/>
        <v>0.55411657028407879</v>
      </c>
      <c r="D246" s="105">
        <f t="shared" si="343"/>
        <v>0.52956597543752604</v>
      </c>
      <c r="E246" s="105">
        <f t="shared" si="343"/>
        <v>0.49641467896110142</v>
      </c>
      <c r="F246" s="105">
        <f t="shared" si="343"/>
        <v>0.52833217208584371</v>
      </c>
      <c r="G246" s="105">
        <f t="shared" si="343"/>
        <v>0.51810559250608013</v>
      </c>
      <c r="H246" s="105">
        <f t="shared" si="343"/>
        <v>0.44761688990270249</v>
      </c>
      <c r="I246" s="105">
        <f t="shared" si="343"/>
        <v>0.41057989836772901</v>
      </c>
      <c r="J246" s="105">
        <f t="shared" si="343"/>
        <v>0.25293669200065261</v>
      </c>
      <c r="K246" s="105">
        <f t="shared" si="343"/>
        <v>0.25819346501261775</v>
      </c>
      <c r="L246" s="105">
        <f t="shared" ref="L246" si="344">IF(L28=0,0,L28/L$19)</f>
        <v>0.28909261563239369</v>
      </c>
      <c r="M246" s="105">
        <f t="shared" ref="M246:V246" si="345">IF(M28=0,0,M28/M$19)</f>
        <v>0.30556129340102395</v>
      </c>
      <c r="N246" s="105">
        <f t="shared" si="345"/>
        <v>0.29550039175780268</v>
      </c>
      <c r="O246" s="105">
        <f t="shared" si="345"/>
        <v>0.31945640645695295</v>
      </c>
      <c r="P246" s="105">
        <f t="shared" si="345"/>
        <v>0.31392322116849081</v>
      </c>
      <c r="Q246" s="105">
        <f t="shared" si="345"/>
        <v>0.33018279428783276</v>
      </c>
      <c r="R246" s="105">
        <f t="shared" si="345"/>
        <v>0.31768944721202685</v>
      </c>
      <c r="S246" s="105">
        <f t="shared" si="345"/>
        <v>0.28878408849996895</v>
      </c>
      <c r="T246" s="105">
        <f t="shared" si="345"/>
        <v>0.28545486044570767</v>
      </c>
      <c r="U246" s="105">
        <f t="shared" si="345"/>
        <v>0.31502888985581123</v>
      </c>
      <c r="V246" s="105">
        <f t="shared" si="345"/>
        <v>0.30611820508539206</v>
      </c>
      <c r="W246" s="105">
        <f t="shared" ref="W246:Y246" si="346">IF(W28=0,0,W28/W$19)</f>
        <v>0.30382465027868805</v>
      </c>
      <c r="X246" s="105">
        <f t="shared" si="346"/>
        <v>0.34609685566350357</v>
      </c>
      <c r="Y246" s="105">
        <f t="shared" si="346"/>
        <v>0.32597912207692725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1.9861923855000848E-2</v>
      </c>
      <c r="C250" s="154">
        <f t="shared" si="351"/>
        <v>1.9965189597874088E-2</v>
      </c>
      <c r="D250" s="154">
        <f t="shared" si="351"/>
        <v>1.8583143411569237E-2</v>
      </c>
      <c r="E250" s="154">
        <f t="shared" si="351"/>
        <v>1.7461125199579024E-2</v>
      </c>
      <c r="F250" s="154">
        <f t="shared" si="351"/>
        <v>1.6864765816246213E-2</v>
      </c>
      <c r="G250" s="154">
        <f t="shared" si="351"/>
        <v>1.6393292106534729E-2</v>
      </c>
      <c r="H250" s="154">
        <f t="shared" si="351"/>
        <v>1.5283052383483809E-2</v>
      </c>
      <c r="I250" s="154">
        <f t="shared" si="351"/>
        <v>1.6366407273992988E-2</v>
      </c>
      <c r="J250" s="154">
        <f t="shared" si="351"/>
        <v>1.736308363290082E-2</v>
      </c>
      <c r="K250" s="154">
        <f t="shared" si="351"/>
        <v>1.783926866157497E-2</v>
      </c>
      <c r="L250" s="154">
        <f t="shared" ref="L250" si="352">IF(L32=0,0,L32/L$31)</f>
        <v>1.950279802224265E-2</v>
      </c>
      <c r="M250" s="154">
        <f t="shared" ref="M250:V250" si="353">IF(M32=0,0,M32/M$31)</f>
        <v>2.0567230997806371E-2</v>
      </c>
      <c r="N250" s="154">
        <f t="shared" si="353"/>
        <v>2.1016978870298447E-2</v>
      </c>
      <c r="O250" s="154">
        <f t="shared" si="353"/>
        <v>2.1900512777842183E-2</v>
      </c>
      <c r="P250" s="154">
        <f t="shared" si="353"/>
        <v>2.2135091688143874E-2</v>
      </c>
      <c r="Q250" s="154">
        <f t="shared" si="353"/>
        <v>2.1311928315381073E-2</v>
      </c>
      <c r="R250" s="154">
        <f t="shared" si="353"/>
        <v>2.230685232157268E-2</v>
      </c>
      <c r="S250" s="154">
        <f t="shared" si="353"/>
        <v>2.1193181158851639E-2</v>
      </c>
      <c r="T250" s="154">
        <f t="shared" si="353"/>
        <v>2.0164050516928902E-2</v>
      </c>
      <c r="U250" s="154">
        <f t="shared" si="353"/>
        <v>2.083087582539964E-2</v>
      </c>
      <c r="V250" s="154">
        <f t="shared" si="353"/>
        <v>1.9356829993609662E-2</v>
      </c>
      <c r="W250" s="154">
        <f t="shared" ref="W250:Y250" si="354">IF(W32=0,0,W32/W$31)</f>
        <v>1.8285214776180982E-2</v>
      </c>
      <c r="X250" s="154">
        <f t="shared" si="354"/>
        <v>1.7897028961371072E-2</v>
      </c>
      <c r="Y250" s="154">
        <f t="shared" si="354"/>
        <v>1.9003736153744857E-2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0.94593031168036013</v>
      </c>
      <c r="C251" s="156">
        <f t="shared" si="355"/>
        <v>0.94505020230600234</v>
      </c>
      <c r="D251" s="156">
        <f t="shared" si="355"/>
        <v>0.94480436446330862</v>
      </c>
      <c r="E251" s="156">
        <f t="shared" si="355"/>
        <v>0.95316714858266216</v>
      </c>
      <c r="F251" s="156">
        <f t="shared" si="355"/>
        <v>0.95848022802579869</v>
      </c>
      <c r="G251" s="156">
        <f t="shared" si="355"/>
        <v>0.95965417482902571</v>
      </c>
      <c r="H251" s="156">
        <f t="shared" si="355"/>
        <v>0.96378522242852704</v>
      </c>
      <c r="I251" s="156">
        <f t="shared" si="355"/>
        <v>0.9610132538427375</v>
      </c>
      <c r="J251" s="156">
        <f t="shared" si="355"/>
        <v>0.96337568886992275</v>
      </c>
      <c r="K251" s="156">
        <f t="shared" si="355"/>
        <v>0.96268055313542777</v>
      </c>
      <c r="L251" s="156">
        <f t="shared" ref="L251" si="356">IF(L33=0,0,L33/L$31)</f>
        <v>0.96235145472607719</v>
      </c>
      <c r="M251" s="156">
        <f t="shared" ref="M251:V251" si="357">IF(M33=0,0,M33/M$31)</f>
        <v>0.95951338651123852</v>
      </c>
      <c r="N251" s="156">
        <f t="shared" si="357"/>
        <v>0.9618347698888412</v>
      </c>
      <c r="O251" s="156">
        <f t="shared" si="357"/>
        <v>0.96164966522381312</v>
      </c>
      <c r="P251" s="156">
        <f t="shared" si="357"/>
        <v>0.96152634949506455</v>
      </c>
      <c r="Q251" s="156">
        <f t="shared" si="357"/>
        <v>0.96339611866998143</v>
      </c>
      <c r="R251" s="156">
        <f t="shared" si="357"/>
        <v>0.96379249059627092</v>
      </c>
      <c r="S251" s="156">
        <f t="shared" si="357"/>
        <v>0.965806530590401</v>
      </c>
      <c r="T251" s="156">
        <f t="shared" si="357"/>
        <v>0.96672483996613523</v>
      </c>
      <c r="U251" s="156">
        <f t="shared" si="357"/>
        <v>0.96529076283349313</v>
      </c>
      <c r="V251" s="156">
        <f t="shared" si="357"/>
        <v>0.96642018006976615</v>
      </c>
      <c r="W251" s="156">
        <f t="shared" ref="W251:Y251" si="358">IF(W33=0,0,W33/W$31)</f>
        <v>0.96881784676014282</v>
      </c>
      <c r="X251" s="156">
        <f t="shared" si="358"/>
        <v>0.96967106871623365</v>
      </c>
      <c r="Y251" s="156">
        <f t="shared" si="358"/>
        <v>0.96894360105520105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0.57981716471348976</v>
      </c>
      <c r="C252" s="103">
        <f t="shared" si="359"/>
        <v>0.49680373061091071</v>
      </c>
      <c r="D252" s="103">
        <f t="shared" si="359"/>
        <v>0.48133347835897838</v>
      </c>
      <c r="E252" s="103">
        <f t="shared" si="359"/>
        <v>0.4286100276479104</v>
      </c>
      <c r="F252" s="103">
        <f t="shared" si="359"/>
        <v>0.35929263705751463</v>
      </c>
      <c r="G252" s="103">
        <f t="shared" si="359"/>
        <v>0.31402483328768382</v>
      </c>
      <c r="H252" s="103">
        <f t="shared" si="359"/>
        <v>0.3147130055921955</v>
      </c>
      <c r="I252" s="103">
        <f t="shared" si="359"/>
        <v>0.31582836948429571</v>
      </c>
      <c r="J252" s="103">
        <f t="shared" si="359"/>
        <v>0.29741846186041704</v>
      </c>
      <c r="K252" s="103">
        <f t="shared" si="359"/>
        <v>0.30498258424632657</v>
      </c>
      <c r="L252" s="103">
        <f t="shared" ref="L252" si="360">IF(L34=0,0,L34/L$31)</f>
        <v>0.2862547140851473</v>
      </c>
      <c r="M252" s="103">
        <f t="shared" ref="M252:V252" si="361">IF(M34=0,0,M34/M$31)</f>
        <v>0.26756576686514455</v>
      </c>
      <c r="N252" s="103">
        <f t="shared" si="361"/>
        <v>0.23807563340010957</v>
      </c>
      <c r="O252" s="103">
        <f t="shared" si="361"/>
        <v>0.22672506387806615</v>
      </c>
      <c r="P252" s="103">
        <f t="shared" si="361"/>
        <v>0.2193270765719815</v>
      </c>
      <c r="Q252" s="103">
        <f t="shared" si="361"/>
        <v>0.20541108882862155</v>
      </c>
      <c r="R252" s="103">
        <f t="shared" si="361"/>
        <v>0.19644177709942515</v>
      </c>
      <c r="S252" s="103">
        <f t="shared" si="361"/>
        <v>0.20093572346254135</v>
      </c>
      <c r="T252" s="103">
        <f t="shared" si="361"/>
        <v>0.19192912110950075</v>
      </c>
      <c r="U252" s="103">
        <f t="shared" si="361"/>
        <v>0.18690216909421142</v>
      </c>
      <c r="V252" s="103">
        <f t="shared" si="361"/>
        <v>0.18916263170619785</v>
      </c>
      <c r="W252" s="103">
        <f t="shared" ref="W252:Y252" si="362">IF(W34=0,0,W34/W$31)</f>
        <v>0.18827597619053213</v>
      </c>
      <c r="X252" s="103">
        <f t="shared" si="362"/>
        <v>0.19189243360493841</v>
      </c>
      <c r="Y252" s="103">
        <f t="shared" si="362"/>
        <v>0.18693947472846104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0.18464080593241675</v>
      </c>
      <c r="C253" s="103">
        <f t="shared" si="363"/>
        <v>0.21940627023534404</v>
      </c>
      <c r="D253" s="103">
        <f t="shared" si="363"/>
        <v>0.2134123185136719</v>
      </c>
      <c r="E253" s="103">
        <f t="shared" si="363"/>
        <v>0.2759677539193664</v>
      </c>
      <c r="F253" s="103">
        <f t="shared" si="363"/>
        <v>0.353183933019591</v>
      </c>
      <c r="G253" s="103">
        <f t="shared" si="363"/>
        <v>0.36680494827704463</v>
      </c>
      <c r="H253" s="103">
        <f t="shared" si="363"/>
        <v>0.3681490911046742</v>
      </c>
      <c r="I253" s="103">
        <f t="shared" si="363"/>
        <v>0.39321508885737949</v>
      </c>
      <c r="J253" s="103">
        <f t="shared" si="363"/>
        <v>0.43560816443941019</v>
      </c>
      <c r="K253" s="103">
        <f t="shared" si="363"/>
        <v>0.43154653951350658</v>
      </c>
      <c r="L253" s="103">
        <f t="shared" ref="L253" si="364">IF(L35=0,0,L35/L$31)</f>
        <v>0.44027798756264647</v>
      </c>
      <c r="M253" s="103">
        <f t="shared" ref="M253:V253" si="365">IF(M35=0,0,M35/M$31)</f>
        <v>0.48374423942690775</v>
      </c>
      <c r="N253" s="103">
        <f t="shared" si="365"/>
        <v>0.51126638294657556</v>
      </c>
      <c r="O253" s="103">
        <f t="shared" si="365"/>
        <v>0.51593624283939798</v>
      </c>
      <c r="P253" s="103">
        <f t="shared" si="365"/>
        <v>0.5062131710864054</v>
      </c>
      <c r="Q253" s="103">
        <f t="shared" si="365"/>
        <v>0.52251185911201092</v>
      </c>
      <c r="R253" s="103">
        <f t="shared" si="365"/>
        <v>0.52454366079653869</v>
      </c>
      <c r="S253" s="103">
        <f t="shared" si="365"/>
        <v>0.53070277521938047</v>
      </c>
      <c r="T253" s="103">
        <f t="shared" si="365"/>
        <v>0.55622246795139074</v>
      </c>
      <c r="U253" s="103">
        <f t="shared" si="365"/>
        <v>0.57157637899787028</v>
      </c>
      <c r="V253" s="103">
        <f t="shared" si="365"/>
        <v>0.58041032365175926</v>
      </c>
      <c r="W253" s="103">
        <f t="shared" ref="W253:Y253" si="366">IF(W35=0,0,W35/W$31)</f>
        <v>0.59763611476489242</v>
      </c>
      <c r="X253" s="103">
        <f t="shared" si="366"/>
        <v>0.60496647267286219</v>
      </c>
      <c r="Y253" s="103">
        <f t="shared" si="366"/>
        <v>0.61416463411593747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0.18147234103445342</v>
      </c>
      <c r="C254" s="103">
        <f t="shared" si="367"/>
        <v>0.22884020145974776</v>
      </c>
      <c r="D254" s="103">
        <f t="shared" si="367"/>
        <v>0.25005856759065836</v>
      </c>
      <c r="E254" s="103">
        <f t="shared" si="367"/>
        <v>0.24858936701538539</v>
      </c>
      <c r="F254" s="103">
        <f t="shared" si="367"/>
        <v>0.24344975497966193</v>
      </c>
      <c r="G254" s="103">
        <f t="shared" si="367"/>
        <v>0.27043990757915604</v>
      </c>
      <c r="H254" s="103">
        <f t="shared" si="367"/>
        <v>0.27139277729463296</v>
      </c>
      <c r="I254" s="103">
        <f t="shared" si="367"/>
        <v>0.23833740671473386</v>
      </c>
      <c r="J254" s="103">
        <f t="shared" si="367"/>
        <v>0.21846576135806398</v>
      </c>
      <c r="K254" s="103">
        <f t="shared" si="367"/>
        <v>0.2099844842741232</v>
      </c>
      <c r="L254" s="103">
        <f t="shared" ref="L254" si="368">IF(L36=0,0,L36/L$31)</f>
        <v>0.21195375679441522</v>
      </c>
      <c r="M254" s="103">
        <f t="shared" ref="M254:V254" si="369">IF(M36=0,0,M36/M$31)</f>
        <v>0.1867776152795923</v>
      </c>
      <c r="N254" s="103">
        <f t="shared" si="369"/>
        <v>0.19044635596619341</v>
      </c>
      <c r="O254" s="103">
        <f t="shared" si="369"/>
        <v>0.19563508729200285</v>
      </c>
      <c r="P254" s="103">
        <f t="shared" si="369"/>
        <v>0.2052159752459892</v>
      </c>
      <c r="Q254" s="103">
        <f t="shared" si="369"/>
        <v>0.21076925667289431</v>
      </c>
      <c r="R254" s="103">
        <f t="shared" si="369"/>
        <v>0.22012702626617042</v>
      </c>
      <c r="S254" s="103">
        <f t="shared" si="369"/>
        <v>0.21127231862741347</v>
      </c>
      <c r="T254" s="103">
        <f t="shared" si="369"/>
        <v>0.19488749267044828</v>
      </c>
      <c r="U254" s="103">
        <f t="shared" si="369"/>
        <v>0.18221325535652175</v>
      </c>
      <c r="V254" s="103">
        <f t="shared" si="369"/>
        <v>0.17059195779832803</v>
      </c>
      <c r="W254" s="103">
        <f t="shared" ref="W254:Y254" si="370">IF(W36=0,0,W36/W$31)</f>
        <v>0.15890152328345616</v>
      </c>
      <c r="X254" s="103">
        <f t="shared" si="370"/>
        <v>0.15442725172671254</v>
      </c>
      <c r="Y254" s="103">
        <f t="shared" si="370"/>
        <v>0.15051467451031025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2.5539029690309373E-3</v>
      </c>
      <c r="G255" s="103">
        <f t="shared" si="371"/>
        <v>8.3844856851414129E-3</v>
      </c>
      <c r="H255" s="103">
        <f t="shared" si="371"/>
        <v>9.5303484370245061E-3</v>
      </c>
      <c r="I255" s="103">
        <f t="shared" si="371"/>
        <v>1.3632388786328465E-2</v>
      </c>
      <c r="J255" s="103">
        <f t="shared" si="371"/>
        <v>1.188330121203139E-2</v>
      </c>
      <c r="K255" s="103">
        <f t="shared" si="371"/>
        <v>1.6166945101471427E-2</v>
      </c>
      <c r="L255" s="103">
        <f t="shared" ref="L255" si="372">IF(L37=0,0,L37/L$31)</f>
        <v>2.3864996283868126E-2</v>
      </c>
      <c r="M255" s="103">
        <f t="shared" ref="M255:V255" si="373">IF(M37=0,0,M37/M$31)</f>
        <v>2.1425764939593899E-2</v>
      </c>
      <c r="N255" s="103">
        <f t="shared" si="373"/>
        <v>2.2044984574317E-2</v>
      </c>
      <c r="O255" s="103">
        <f t="shared" si="373"/>
        <v>2.3352034148639358E-2</v>
      </c>
      <c r="P255" s="103">
        <f t="shared" si="373"/>
        <v>3.0768113431871809E-2</v>
      </c>
      <c r="Q255" s="103">
        <f t="shared" si="373"/>
        <v>2.4695889032118366E-2</v>
      </c>
      <c r="R255" s="103">
        <f t="shared" si="373"/>
        <v>2.2653821716136967E-2</v>
      </c>
      <c r="S255" s="103">
        <f t="shared" si="373"/>
        <v>2.2803255013126095E-2</v>
      </c>
      <c r="T255" s="103">
        <f t="shared" si="373"/>
        <v>2.3453612663688412E-2</v>
      </c>
      <c r="U255" s="103">
        <f t="shared" si="373"/>
        <v>2.4135440089947321E-2</v>
      </c>
      <c r="V255" s="103">
        <f t="shared" si="373"/>
        <v>2.5501906665966554E-2</v>
      </c>
      <c r="W255" s="103">
        <f t="shared" ref="W255:Y255" si="374">IF(W37=0,0,W37/W$31)</f>
        <v>2.2622978575517125E-2</v>
      </c>
      <c r="X255" s="103">
        <f t="shared" si="374"/>
        <v>1.6565176295752559E-2</v>
      </c>
      <c r="Y255" s="103">
        <f t="shared" si="374"/>
        <v>1.5182484708768233E-2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1.4130016456127411E-6</v>
      </c>
      <c r="O256" s="103">
        <f t="shared" si="377"/>
        <v>1.2370657068413482E-6</v>
      </c>
      <c r="P256" s="103">
        <f t="shared" si="377"/>
        <v>2.0131588166411761E-6</v>
      </c>
      <c r="Q256" s="103">
        <f t="shared" si="377"/>
        <v>8.0250243362354587E-6</v>
      </c>
      <c r="R256" s="103">
        <f t="shared" si="377"/>
        <v>1.3295165061132852E-5</v>
      </c>
      <c r="S256" s="103">
        <f t="shared" si="377"/>
        <v>4.5194823302042658E-5</v>
      </c>
      <c r="T256" s="103">
        <f t="shared" si="377"/>
        <v>8.5300383831772193E-5</v>
      </c>
      <c r="U256" s="103">
        <f t="shared" si="377"/>
        <v>2.2605979827045367E-4</v>
      </c>
      <c r="V256" s="103">
        <f t="shared" si="377"/>
        <v>3.2463171573326522E-4</v>
      </c>
      <c r="W256" s="103">
        <f t="shared" ref="W256:Y256" si="378">IF(W38=0,0,W38/W$31)</f>
        <v>4.455182566486947E-4</v>
      </c>
      <c r="X256" s="103">
        <f t="shared" si="378"/>
        <v>6.4644871169663163E-4</v>
      </c>
      <c r="Y256" s="103">
        <f t="shared" si="378"/>
        <v>7.6083466162581647E-4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0</v>
      </c>
      <c r="N257" s="103">
        <f t="shared" si="381"/>
        <v>0</v>
      </c>
      <c r="O257" s="103">
        <f t="shared" si="381"/>
        <v>0</v>
      </c>
      <c r="P257" s="103">
        <f t="shared" si="381"/>
        <v>0</v>
      </c>
      <c r="Q257" s="103">
        <f t="shared" si="381"/>
        <v>0</v>
      </c>
      <c r="R257" s="103">
        <f t="shared" si="381"/>
        <v>1.2909552938842546E-5</v>
      </c>
      <c r="S257" s="103">
        <f t="shared" si="381"/>
        <v>4.7263444637681747E-5</v>
      </c>
      <c r="T257" s="103">
        <f t="shared" si="381"/>
        <v>1.4684518727527669E-4</v>
      </c>
      <c r="U257" s="103">
        <f t="shared" si="381"/>
        <v>2.3745949667176871E-4</v>
      </c>
      <c r="V257" s="103">
        <f t="shared" si="381"/>
        <v>4.2872853178115412E-4</v>
      </c>
      <c r="W257" s="103">
        <f t="shared" ref="W257:Y257" si="382">IF(W39=0,0,W39/W$31)</f>
        <v>9.3573568909637017E-4</v>
      </c>
      <c r="X257" s="103">
        <f t="shared" si="382"/>
        <v>1.1732857042713954E-3</v>
      </c>
      <c r="Y257" s="103">
        <f t="shared" si="382"/>
        <v>1.3814983300982255E-3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3.4207764464638989E-2</v>
      </c>
      <c r="C258" s="156">
        <f t="shared" si="383"/>
        <v>3.498460809612354E-2</v>
      </c>
      <c r="D258" s="156">
        <f t="shared" si="383"/>
        <v>3.6612492125122055E-2</v>
      </c>
      <c r="E258" s="156">
        <f t="shared" si="383"/>
        <v>2.9371726217758864E-2</v>
      </c>
      <c r="F258" s="156">
        <f t="shared" si="383"/>
        <v>2.4655006157955042E-2</v>
      </c>
      <c r="G258" s="156">
        <f t="shared" si="383"/>
        <v>2.3952533064439605E-2</v>
      </c>
      <c r="H258" s="156">
        <f t="shared" si="383"/>
        <v>2.0931725187989095E-2</v>
      </c>
      <c r="I258" s="156">
        <f t="shared" si="383"/>
        <v>2.2620338883269482E-2</v>
      </c>
      <c r="J258" s="156">
        <f t="shared" si="383"/>
        <v>1.9261227497176493E-2</v>
      </c>
      <c r="K258" s="156">
        <f t="shared" si="383"/>
        <v>1.948017820299738E-2</v>
      </c>
      <c r="L258" s="156">
        <f t="shared" ref="L258" si="384">IF(L40=0,0,L40/L$31)</f>
        <v>1.8145747251680111E-2</v>
      </c>
      <c r="M258" s="156">
        <f t="shared" ref="M258:V258" si="385">IF(M40=0,0,M40/M$31)</f>
        <v>1.9919382490955127E-2</v>
      </c>
      <c r="N258" s="156">
        <f t="shared" si="385"/>
        <v>1.7148251240860411E-2</v>
      </c>
      <c r="O258" s="156">
        <f t="shared" si="385"/>
        <v>1.6449821998344556E-2</v>
      </c>
      <c r="P258" s="156">
        <f t="shared" si="385"/>
        <v>1.633855881679161E-2</v>
      </c>
      <c r="Q258" s="156">
        <f t="shared" si="385"/>
        <v>1.5291953014637512E-2</v>
      </c>
      <c r="R258" s="156">
        <f t="shared" si="385"/>
        <v>1.390065708215635E-2</v>
      </c>
      <c r="S258" s="156">
        <f t="shared" si="385"/>
        <v>1.3000288250747418E-2</v>
      </c>
      <c r="T258" s="156">
        <f t="shared" si="385"/>
        <v>1.3111109516935979E-2</v>
      </c>
      <c r="U258" s="156">
        <f t="shared" si="385"/>
        <v>1.3878361341107214E-2</v>
      </c>
      <c r="V258" s="156">
        <f t="shared" si="385"/>
        <v>1.4222989936624218E-2</v>
      </c>
      <c r="W258" s="156">
        <f t="shared" ref="W258:Y258" si="386">IF(W40=0,0,W40/W$31)</f>
        <v>1.2896938463676257E-2</v>
      </c>
      <c r="X258" s="156">
        <f t="shared" si="386"/>
        <v>1.2431902322395235E-2</v>
      </c>
      <c r="Y258" s="156">
        <f t="shared" si="386"/>
        <v>1.2052662791054075E-2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8.5780848861112329E-4</v>
      </c>
      <c r="S259" s="103">
        <f t="shared" si="389"/>
        <v>8.612564152304567E-4</v>
      </c>
      <c r="T259" s="103">
        <f t="shared" si="389"/>
        <v>8.7252472201147801E-4</v>
      </c>
      <c r="U259" s="103">
        <f t="shared" si="389"/>
        <v>9.0875692708092108E-4</v>
      </c>
      <c r="V259" s="103">
        <f t="shared" si="389"/>
        <v>8.4773265440710546E-4</v>
      </c>
      <c r="W259" s="103">
        <f t="shared" ref="W259:Y259" si="390">IF(W41=0,0,W41/W$31)</f>
        <v>7.2282041450632509E-4</v>
      </c>
      <c r="X259" s="103">
        <f t="shared" si="390"/>
        <v>6.4505665886244569E-4</v>
      </c>
      <c r="Y259" s="103">
        <f t="shared" si="390"/>
        <v>5.7611100446118308E-4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3.4207764464638989E-2</v>
      </c>
      <c r="C260" s="103">
        <f t="shared" si="391"/>
        <v>3.498460809612354E-2</v>
      </c>
      <c r="D260" s="103">
        <f t="shared" si="391"/>
        <v>3.6612492125122055E-2</v>
      </c>
      <c r="E260" s="103">
        <f t="shared" si="391"/>
        <v>2.9371726217758864E-2</v>
      </c>
      <c r="F260" s="103">
        <f t="shared" si="391"/>
        <v>2.4487336819602398E-2</v>
      </c>
      <c r="G260" s="103">
        <f t="shared" si="391"/>
        <v>2.3600039687296438E-2</v>
      </c>
      <c r="H260" s="103">
        <f t="shared" si="391"/>
        <v>2.0351533844448273E-2</v>
      </c>
      <c r="I260" s="103">
        <f t="shared" si="391"/>
        <v>2.1710049784952799E-2</v>
      </c>
      <c r="J260" s="103">
        <f t="shared" si="391"/>
        <v>1.8413208298737126E-2</v>
      </c>
      <c r="K260" s="103">
        <f t="shared" si="391"/>
        <v>1.8260253693236389E-2</v>
      </c>
      <c r="L260" s="103">
        <f t="shared" ref="L260" si="392">IF(L42=0,0,L42/L$31)</f>
        <v>1.6492885804128207E-2</v>
      </c>
      <c r="M260" s="103">
        <f t="shared" ref="M260:V260" si="393">IF(M42=0,0,M42/M$31)</f>
        <v>1.8192033674287376E-2</v>
      </c>
      <c r="N260" s="103">
        <f t="shared" si="393"/>
        <v>1.5635221287535545E-2</v>
      </c>
      <c r="O260" s="103">
        <f t="shared" si="393"/>
        <v>1.3613546122663111E-2</v>
      </c>
      <c r="P260" s="103">
        <f t="shared" si="393"/>
        <v>1.32543976599952E-2</v>
      </c>
      <c r="Q260" s="103">
        <f t="shared" si="393"/>
        <v>1.2597756224567198E-2</v>
      </c>
      <c r="R260" s="103">
        <f t="shared" si="393"/>
        <v>1.0751791456089474E-2</v>
      </c>
      <c r="S260" s="103">
        <f t="shared" si="393"/>
        <v>9.8013425262510993E-3</v>
      </c>
      <c r="T260" s="103">
        <f t="shared" si="393"/>
        <v>9.7578910802320132E-3</v>
      </c>
      <c r="U260" s="103">
        <f t="shared" si="393"/>
        <v>1.0139255773390164E-2</v>
      </c>
      <c r="V260" s="103">
        <f t="shared" si="393"/>
        <v>1.042347775868495E-2</v>
      </c>
      <c r="W260" s="103">
        <f t="shared" ref="W260:Y260" si="394">IF(W42=0,0,W42/W$31)</f>
        <v>9.2322268507862223E-3</v>
      </c>
      <c r="X260" s="103">
        <f t="shared" si="394"/>
        <v>9.6898589869109496E-3</v>
      </c>
      <c r="Y260" s="103">
        <f t="shared" si="394"/>
        <v>9.8126894052607341E-3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3.0277132360340626E-5</v>
      </c>
      <c r="S261" s="103">
        <f t="shared" si="397"/>
        <v>3.0459425747165259E-5</v>
      </c>
      <c r="T261" s="103">
        <f t="shared" si="397"/>
        <v>3.4070578913297207E-5</v>
      </c>
      <c r="U261" s="103">
        <f t="shared" si="397"/>
        <v>3.5869268908126938E-5</v>
      </c>
      <c r="V261" s="103">
        <f t="shared" si="397"/>
        <v>1.0996494721732164E-5</v>
      </c>
      <c r="W261" s="103">
        <f t="shared" ref="W261:Y261" si="398">IF(W43=0,0,W43/W$31)</f>
        <v>2.6109357602618318E-5</v>
      </c>
      <c r="X261" s="103">
        <f t="shared" si="398"/>
        <v>2.3123717898263197E-5</v>
      </c>
      <c r="Y261" s="103">
        <f t="shared" si="398"/>
        <v>1.9121470247358175E-5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1.6766933835264165E-4</v>
      </c>
      <c r="G262" s="103">
        <f t="shared" si="399"/>
        <v>3.5249337714316582E-4</v>
      </c>
      <c r="H262" s="103">
        <f t="shared" si="399"/>
        <v>5.8019134354082369E-4</v>
      </c>
      <c r="I262" s="103">
        <f t="shared" si="399"/>
        <v>9.1028909831668248E-4</v>
      </c>
      <c r="J262" s="103">
        <f t="shared" si="399"/>
        <v>8.3614623602121967E-4</v>
      </c>
      <c r="K262" s="103">
        <f t="shared" si="399"/>
        <v>1.1881448334834454E-3</v>
      </c>
      <c r="L262" s="103">
        <f t="shared" ref="L262" si="400">IF(L44=0,0,L44/L$31)</f>
        <v>1.588850236735674E-3</v>
      </c>
      <c r="M262" s="103">
        <f t="shared" ref="M262:V262" si="401">IF(M44=0,0,M44/M$31)</f>
        <v>1.6570253275239634E-3</v>
      </c>
      <c r="N262" s="103">
        <f t="shared" si="401"/>
        <v>1.4419654180393778E-3</v>
      </c>
      <c r="O262" s="103">
        <f t="shared" si="401"/>
        <v>2.2841024322594922E-3</v>
      </c>
      <c r="P262" s="103">
        <f t="shared" si="401"/>
        <v>2.3861972084882259E-3</v>
      </c>
      <c r="Q262" s="103">
        <f t="shared" si="401"/>
        <v>2.0298871712532743E-3</v>
      </c>
      <c r="R262" s="103">
        <f t="shared" si="401"/>
        <v>1.6199622518676801E-3</v>
      </c>
      <c r="S262" s="103">
        <f t="shared" si="401"/>
        <v>1.6794255652585609E-3</v>
      </c>
      <c r="T262" s="103">
        <f t="shared" si="401"/>
        <v>1.8263272555969013E-3</v>
      </c>
      <c r="U262" s="103">
        <f t="shared" si="401"/>
        <v>2.1776605054732319E-3</v>
      </c>
      <c r="V262" s="103">
        <f t="shared" si="401"/>
        <v>2.3376131253356322E-3</v>
      </c>
      <c r="W262" s="103">
        <f t="shared" ref="W262:Y262" si="402">IF(W44=0,0,W44/W$31)</f>
        <v>2.3049772965071059E-3</v>
      </c>
      <c r="X262" s="103">
        <f t="shared" si="402"/>
        <v>1.5084237063465779E-3</v>
      </c>
      <c r="Y262" s="103">
        <f t="shared" si="402"/>
        <v>9.938279195069314E-4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1.187296241814789E-5</v>
      </c>
      <c r="K263" s="103">
        <f t="shared" si="403"/>
        <v>3.1779676277542073E-5</v>
      </c>
      <c r="L263" s="103">
        <f t="shared" ref="L263" si="404">IF(L45=0,0,L45/L$31)</f>
        <v>6.401121081622607E-5</v>
      </c>
      <c r="M263" s="103">
        <f t="shared" ref="M263:V263" si="405">IF(M45=0,0,M45/M$31)</f>
        <v>7.0323489143790953E-5</v>
      </c>
      <c r="N263" s="103">
        <f t="shared" si="405"/>
        <v>7.1064535285489215E-5</v>
      </c>
      <c r="O263" s="103">
        <f t="shared" si="405"/>
        <v>5.521734434219542E-4</v>
      </c>
      <c r="P263" s="103">
        <f t="shared" si="405"/>
        <v>6.9796394830818178E-4</v>
      </c>
      <c r="Q263" s="103">
        <f t="shared" si="405"/>
        <v>6.6430961881704044E-4</v>
      </c>
      <c r="R263" s="103">
        <f t="shared" si="405"/>
        <v>6.4081775322773129E-4</v>
      </c>
      <c r="S263" s="103">
        <f t="shared" si="405"/>
        <v>6.2780431826013627E-4</v>
      </c>
      <c r="T263" s="103">
        <f t="shared" si="405"/>
        <v>6.2029588018229281E-4</v>
      </c>
      <c r="U263" s="103">
        <f t="shared" si="405"/>
        <v>6.1681886625476962E-4</v>
      </c>
      <c r="V263" s="103">
        <f t="shared" si="405"/>
        <v>6.0316990347479582E-4</v>
      </c>
      <c r="W263" s="103">
        <f t="shared" ref="W263:Y263" si="406">IF(W45=0,0,W45/W$31)</f>
        <v>6.1080454427398531E-4</v>
      </c>
      <c r="X263" s="103">
        <f t="shared" si="406"/>
        <v>5.6543925237700053E-4</v>
      </c>
      <c r="Y263" s="103">
        <f t="shared" si="406"/>
        <v>6.5091299157786909E-4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0.67264703154325656</v>
      </c>
      <c r="C265" s="154">
        <f t="shared" si="411"/>
        <v>0.6447172139230779</v>
      </c>
      <c r="D265" s="154">
        <f t="shared" si="411"/>
        <v>0.64487985318532914</v>
      </c>
      <c r="E265" s="154">
        <f t="shared" si="411"/>
        <v>0.59691617455581314</v>
      </c>
      <c r="F265" s="154">
        <f t="shared" si="411"/>
        <v>0.60104454433296806</v>
      </c>
      <c r="G265" s="154">
        <f t="shared" si="411"/>
        <v>0.568473186252625</v>
      </c>
      <c r="H265" s="154">
        <f t="shared" si="411"/>
        <v>0.57838899344973949</v>
      </c>
      <c r="I265" s="154">
        <f t="shared" si="411"/>
        <v>0.61994200517326858</v>
      </c>
      <c r="J265" s="154">
        <f t="shared" si="411"/>
        <v>0.62591085520193002</v>
      </c>
      <c r="K265" s="154">
        <f t="shared" si="411"/>
        <v>0.65561069131904737</v>
      </c>
      <c r="L265" s="154">
        <f t="shared" ref="L265" si="412">IF(L47=0,0,L47/L$46)</f>
        <v>0.65947730350593581</v>
      </c>
      <c r="M265" s="154">
        <f t="shared" ref="M265:V265" si="413">IF(M47=0,0,M47/M$46)</f>
        <v>0.67304434664172197</v>
      </c>
      <c r="N265" s="154">
        <f t="shared" si="413"/>
        <v>0.69303659263821926</v>
      </c>
      <c r="O265" s="154">
        <f t="shared" si="413"/>
        <v>0.67644264365186357</v>
      </c>
      <c r="P265" s="154">
        <f t="shared" si="413"/>
        <v>0.69935544635587499</v>
      </c>
      <c r="Q265" s="154">
        <f t="shared" si="413"/>
        <v>0.70522552271477035</v>
      </c>
      <c r="R265" s="154">
        <f t="shared" si="413"/>
        <v>0.70777919288605451</v>
      </c>
      <c r="S265" s="154">
        <f t="shared" si="413"/>
        <v>0.67035410704622178</v>
      </c>
      <c r="T265" s="154">
        <f t="shared" si="413"/>
        <v>0.6950563709657902</v>
      </c>
      <c r="U265" s="154">
        <f t="shared" si="413"/>
        <v>0.73888585779424321</v>
      </c>
      <c r="V265" s="154">
        <f t="shared" si="413"/>
        <v>0.68194461343050905</v>
      </c>
      <c r="W265" s="154">
        <f t="shared" ref="W265:Y265" si="414">IF(W47=0,0,W47/W$46)</f>
        <v>0.63059759374066504</v>
      </c>
      <c r="X265" s="154">
        <f t="shared" si="414"/>
        <v>0.62628449383624096</v>
      </c>
      <c r="Y265" s="154">
        <f t="shared" si="414"/>
        <v>0.58756454539982372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0.13164863168453461</v>
      </c>
      <c r="C266" s="103">
        <f t="shared" si="415"/>
        <v>0.13407599202257697</v>
      </c>
      <c r="D266" s="103">
        <f t="shared" si="415"/>
        <v>0.13514124623410206</v>
      </c>
      <c r="E266" s="103">
        <f t="shared" si="415"/>
        <v>0.11717943078697882</v>
      </c>
      <c r="F266" s="103">
        <f t="shared" si="415"/>
        <v>0.10313342492098117</v>
      </c>
      <c r="G266" s="103">
        <f t="shared" si="415"/>
        <v>9.5109773650998639E-2</v>
      </c>
      <c r="H266" s="103">
        <f t="shared" si="415"/>
        <v>7.6157073048452678E-2</v>
      </c>
      <c r="I266" s="103">
        <f t="shared" si="415"/>
        <v>6.4261748491269532E-2</v>
      </c>
      <c r="J266" s="103">
        <f t="shared" si="415"/>
        <v>5.2683112185888954E-2</v>
      </c>
      <c r="K266" s="103">
        <f t="shared" si="415"/>
        <v>4.6440521017651878E-2</v>
      </c>
      <c r="L266" s="103">
        <f t="shared" ref="L266" si="416">IF(L48=0,0,L48/L$46)</f>
        <v>3.66891990602548E-2</v>
      </c>
      <c r="M266" s="103">
        <f t="shared" ref="M266:V266" si="417">IF(M48=0,0,M48/M$46)</f>
        <v>3.6914554662330873E-2</v>
      </c>
      <c r="N266" s="103">
        <f t="shared" si="417"/>
        <v>3.4880699522081289E-2</v>
      </c>
      <c r="O266" s="103">
        <f t="shared" si="417"/>
        <v>3.2218626467712883E-2</v>
      </c>
      <c r="P266" s="103">
        <f t="shared" si="417"/>
        <v>3.0594451829782099E-2</v>
      </c>
      <c r="Q266" s="103">
        <f t="shared" si="417"/>
        <v>3.4279221137845969E-2</v>
      </c>
      <c r="R266" s="103">
        <f t="shared" si="417"/>
        <v>3.5677940696460873E-2</v>
      </c>
      <c r="S266" s="103">
        <f t="shared" si="417"/>
        <v>4.0133836015517066E-2</v>
      </c>
      <c r="T266" s="103">
        <f t="shared" si="417"/>
        <v>4.3725434441986427E-2</v>
      </c>
      <c r="U266" s="103">
        <f t="shared" si="417"/>
        <v>4.755537145072699E-2</v>
      </c>
      <c r="V266" s="103">
        <f t="shared" si="417"/>
        <v>4.5154704694796585E-2</v>
      </c>
      <c r="W266" s="103">
        <f t="shared" ref="W266:Y266" si="418">IF(W48=0,0,W48/W$46)</f>
        <v>4.2909254125668442E-2</v>
      </c>
      <c r="X266" s="103">
        <f t="shared" si="418"/>
        <v>4.4406629208070224E-2</v>
      </c>
      <c r="Y266" s="103">
        <f t="shared" si="418"/>
        <v>4.4218301723353753E-2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0.54099839985872189</v>
      </c>
      <c r="C267" s="103">
        <f t="shared" si="419"/>
        <v>0.51064122190050099</v>
      </c>
      <c r="D267" s="103">
        <f t="shared" si="419"/>
        <v>0.50973860695122697</v>
      </c>
      <c r="E267" s="103">
        <f t="shared" si="419"/>
        <v>0.47973674376883435</v>
      </c>
      <c r="F267" s="103">
        <f t="shared" si="419"/>
        <v>0.4979111194119869</v>
      </c>
      <c r="G267" s="103">
        <f t="shared" si="419"/>
        <v>0.47336341260162645</v>
      </c>
      <c r="H267" s="103">
        <f t="shared" si="419"/>
        <v>0.50223192040128672</v>
      </c>
      <c r="I267" s="103">
        <f t="shared" si="419"/>
        <v>0.55568025668199905</v>
      </c>
      <c r="J267" s="103">
        <f t="shared" si="419"/>
        <v>0.57322774301604107</v>
      </c>
      <c r="K267" s="103">
        <f t="shared" si="419"/>
        <v>0.60917017030139542</v>
      </c>
      <c r="L267" s="103">
        <f t="shared" ref="L267" si="420">IF(L49=0,0,L49/L$46)</f>
        <v>0.622788104445681</v>
      </c>
      <c r="M267" s="103">
        <f t="shared" ref="M267:V267" si="421">IF(M49=0,0,M49/M$46)</f>
        <v>0.63612979197939123</v>
      </c>
      <c r="N267" s="103">
        <f t="shared" si="421"/>
        <v>0.65808953936191361</v>
      </c>
      <c r="O267" s="103">
        <f t="shared" si="421"/>
        <v>0.64415734978853811</v>
      </c>
      <c r="P267" s="103">
        <f t="shared" si="421"/>
        <v>0.66869332375052837</v>
      </c>
      <c r="Q267" s="103">
        <f t="shared" si="421"/>
        <v>0.67086934790693797</v>
      </c>
      <c r="R267" s="103">
        <f t="shared" si="421"/>
        <v>0.67136195492193751</v>
      </c>
      <c r="S267" s="103">
        <f t="shared" si="421"/>
        <v>0.62806482956484666</v>
      </c>
      <c r="T267" s="103">
        <f t="shared" si="421"/>
        <v>0.64719445469735315</v>
      </c>
      <c r="U267" s="103">
        <f t="shared" si="421"/>
        <v>0.68415108091600041</v>
      </c>
      <c r="V267" s="103">
        <f t="shared" si="421"/>
        <v>0.62828873071865476</v>
      </c>
      <c r="W267" s="103">
        <f t="shared" ref="W267:Y267" si="422">IF(W49=0,0,W49/W$46)</f>
        <v>0.57721043447009446</v>
      </c>
      <c r="X267" s="103">
        <f t="shared" si="422"/>
        <v>0.57074405929567784</v>
      </c>
      <c r="Y267" s="103">
        <f t="shared" si="422"/>
        <v>0.53170831764941506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4.5670895713221805E-4</v>
      </c>
      <c r="S268" s="103">
        <f t="shared" si="425"/>
        <v>1.6560591369668485E-3</v>
      </c>
      <c r="T268" s="103">
        <f t="shared" si="425"/>
        <v>3.4051986102160677E-3</v>
      </c>
      <c r="U268" s="103">
        <f t="shared" si="425"/>
        <v>6.0081273970906974E-3</v>
      </c>
      <c r="V268" s="103">
        <f t="shared" si="425"/>
        <v>7.1185621826185931E-3</v>
      </c>
      <c r="W268" s="103">
        <f t="shared" ref="W268:Y268" si="426">IF(W50=0,0,W50/W$46)</f>
        <v>8.9327845051330214E-3</v>
      </c>
      <c r="X268" s="103">
        <f t="shared" si="426"/>
        <v>9.4588718205554315E-3</v>
      </c>
      <c r="Y268" s="103">
        <f t="shared" si="426"/>
        <v>9.6254759970001574E-3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1.7795671172221843E-4</v>
      </c>
      <c r="S269" s="103">
        <f t="shared" si="429"/>
        <v>3.7229617662547557E-4</v>
      </c>
      <c r="T269" s="103">
        <f t="shared" si="429"/>
        <v>5.7393181113046397E-4</v>
      </c>
      <c r="U269" s="103">
        <f t="shared" si="429"/>
        <v>9.3927985612586422E-4</v>
      </c>
      <c r="V269" s="103">
        <f t="shared" si="429"/>
        <v>1.1375013145302191E-3</v>
      </c>
      <c r="W269" s="103">
        <f t="shared" ref="W269:Y269" si="430">IF(W51=0,0,W51/W$46)</f>
        <v>1.2864713153963243E-3</v>
      </c>
      <c r="X269" s="103">
        <f t="shared" si="430"/>
        <v>1.3902020164148921E-3</v>
      </c>
      <c r="Y269" s="103">
        <f t="shared" si="430"/>
        <v>1.407898281624048E-3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6.6353754224348185E-5</v>
      </c>
      <c r="O270" s="103">
        <f t="shared" si="433"/>
        <v>6.6667395612606738E-5</v>
      </c>
      <c r="P270" s="103">
        <f t="shared" si="433"/>
        <v>6.7670775564460236E-5</v>
      </c>
      <c r="Q270" s="103">
        <f t="shared" si="433"/>
        <v>7.6953669986369234E-5</v>
      </c>
      <c r="R270" s="103">
        <f t="shared" si="433"/>
        <v>1.0463159880157851E-4</v>
      </c>
      <c r="S270" s="103">
        <f t="shared" si="433"/>
        <v>1.2708615226573431E-4</v>
      </c>
      <c r="T270" s="103">
        <f t="shared" si="433"/>
        <v>1.573514051042529E-4</v>
      </c>
      <c r="U270" s="103">
        <f t="shared" si="433"/>
        <v>2.319981742993015E-4</v>
      </c>
      <c r="V270" s="103">
        <f t="shared" si="433"/>
        <v>2.4511451990890689E-4</v>
      </c>
      <c r="W270" s="103">
        <f t="shared" ref="W270:Y270" si="434">IF(W52=0,0,W52/W$46)</f>
        <v>2.5864932437266052E-4</v>
      </c>
      <c r="X270" s="103">
        <f t="shared" si="434"/>
        <v>2.8473149552273399E-4</v>
      </c>
      <c r="Y270" s="103">
        <f t="shared" si="434"/>
        <v>6.0455174843057863E-4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0.3273529684567435</v>
      </c>
      <c r="C271" s="156">
        <f t="shared" si="435"/>
        <v>0.35528278607692204</v>
      </c>
      <c r="D271" s="156">
        <f t="shared" si="435"/>
        <v>0.35512014681467086</v>
      </c>
      <c r="E271" s="156">
        <f t="shared" si="435"/>
        <v>0.40308382544418686</v>
      </c>
      <c r="F271" s="156">
        <f t="shared" si="435"/>
        <v>0.39895545566703189</v>
      </c>
      <c r="G271" s="156">
        <f t="shared" si="435"/>
        <v>0.43152681374737489</v>
      </c>
      <c r="H271" s="156">
        <f t="shared" si="435"/>
        <v>0.42161100655026057</v>
      </c>
      <c r="I271" s="156">
        <f t="shared" si="435"/>
        <v>0.38005799482673142</v>
      </c>
      <c r="J271" s="156">
        <f t="shared" si="435"/>
        <v>0.37408914479807004</v>
      </c>
      <c r="K271" s="156">
        <f t="shared" si="435"/>
        <v>0.34438930868095269</v>
      </c>
      <c r="L271" s="156">
        <f t="shared" ref="L271" si="436">IF(L53=0,0,L53/L$46)</f>
        <v>0.34052269649406419</v>
      </c>
      <c r="M271" s="156">
        <f t="shared" ref="M271:V271" si="437">IF(M53=0,0,M53/M$46)</f>
        <v>0.32695565335827803</v>
      </c>
      <c r="N271" s="156">
        <f t="shared" si="437"/>
        <v>0.30696340736178079</v>
      </c>
      <c r="O271" s="156">
        <f t="shared" si="437"/>
        <v>0.32355735634813643</v>
      </c>
      <c r="P271" s="156">
        <f t="shared" si="437"/>
        <v>0.30064455364412507</v>
      </c>
      <c r="Q271" s="156">
        <f t="shared" si="437"/>
        <v>0.29477447728522976</v>
      </c>
      <c r="R271" s="156">
        <f t="shared" si="437"/>
        <v>0.29222080711394555</v>
      </c>
      <c r="S271" s="156">
        <f t="shared" si="437"/>
        <v>0.32964589295377822</v>
      </c>
      <c r="T271" s="156">
        <f t="shared" si="437"/>
        <v>0.3049436290342098</v>
      </c>
      <c r="U271" s="156">
        <f t="shared" si="437"/>
        <v>0.26111414220575674</v>
      </c>
      <c r="V271" s="156">
        <f t="shared" si="437"/>
        <v>0.31805538656949095</v>
      </c>
      <c r="W271" s="156">
        <f t="shared" ref="W271:Y271" si="438">IF(W53=0,0,W53/W$46)</f>
        <v>0.36940240625933496</v>
      </c>
      <c r="X271" s="156">
        <f t="shared" si="438"/>
        <v>0.37371550616375909</v>
      </c>
      <c r="Y271" s="156">
        <f t="shared" si="438"/>
        <v>0.41243545460017628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0.16764034883924311</v>
      </c>
      <c r="C272" s="104">
        <f t="shared" si="439"/>
        <v>0.18583047137033698</v>
      </c>
      <c r="D272" s="104">
        <f t="shared" si="439"/>
        <v>0.18094677480709459</v>
      </c>
      <c r="E272" s="104">
        <f t="shared" si="439"/>
        <v>0.25389205617950905</v>
      </c>
      <c r="F272" s="104">
        <f t="shared" si="439"/>
        <v>0.24874525252491161</v>
      </c>
      <c r="G272" s="104">
        <f t="shared" si="439"/>
        <v>0.27514860798827612</v>
      </c>
      <c r="H272" s="104">
        <f t="shared" si="439"/>
        <v>0.299259816641122</v>
      </c>
      <c r="I272" s="104">
        <f t="shared" si="439"/>
        <v>0.27626973774651631</v>
      </c>
      <c r="J272" s="104">
        <f t="shared" si="439"/>
        <v>0.31698937593809418</v>
      </c>
      <c r="K272" s="104">
        <f t="shared" si="439"/>
        <v>0.28863066652310387</v>
      </c>
      <c r="L272" s="104">
        <f t="shared" ref="L272" si="440">IF(L54=0,0,L54/L$46)</f>
        <v>0.27817774983018984</v>
      </c>
      <c r="M272" s="104">
        <f t="shared" ref="M272:V272" si="441">IF(M54=0,0,M54/M$46)</f>
        <v>0.2606403008825397</v>
      </c>
      <c r="N272" s="104">
        <f t="shared" si="441"/>
        <v>0.24701174023224126</v>
      </c>
      <c r="O272" s="104">
        <f t="shared" si="441"/>
        <v>0.25001711328609272</v>
      </c>
      <c r="P272" s="104">
        <f t="shared" si="441"/>
        <v>0.23319291990515831</v>
      </c>
      <c r="Q272" s="104">
        <f t="shared" si="441"/>
        <v>0.22514178431678822</v>
      </c>
      <c r="R272" s="104">
        <f t="shared" si="441"/>
        <v>0.22432303467755937</v>
      </c>
      <c r="S272" s="104">
        <f t="shared" si="441"/>
        <v>0.25800566962553462</v>
      </c>
      <c r="T272" s="104">
        <f t="shared" si="441"/>
        <v>0.23770991483258178</v>
      </c>
      <c r="U272" s="104">
        <f t="shared" si="441"/>
        <v>0.19694966983457715</v>
      </c>
      <c r="V272" s="104">
        <f t="shared" si="441"/>
        <v>0.24295533061810118</v>
      </c>
      <c r="W272" s="104">
        <f t="shared" ref="W272:Y272" si="442">IF(W54=0,0,W54/W$46)</f>
        <v>0.28501765510897176</v>
      </c>
      <c r="X272" s="104">
        <f t="shared" si="442"/>
        <v>0.26696475659632374</v>
      </c>
      <c r="Y272" s="104">
        <f t="shared" si="442"/>
        <v>0.30049821942674826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0.15971261961750033</v>
      </c>
      <c r="C273" s="105">
        <f t="shared" si="443"/>
        <v>0.16945231470658509</v>
      </c>
      <c r="D273" s="105">
        <f t="shared" si="443"/>
        <v>0.17417337200757629</v>
      </c>
      <c r="E273" s="105">
        <f t="shared" si="443"/>
        <v>0.14919176926467775</v>
      </c>
      <c r="F273" s="105">
        <f t="shared" si="443"/>
        <v>0.15021020314212036</v>
      </c>
      <c r="G273" s="105">
        <f t="shared" si="443"/>
        <v>0.15637820575909878</v>
      </c>
      <c r="H273" s="105">
        <f t="shared" si="443"/>
        <v>0.12235118990913856</v>
      </c>
      <c r="I273" s="105">
        <f t="shared" si="443"/>
        <v>0.10378825708021515</v>
      </c>
      <c r="J273" s="105">
        <f t="shared" si="443"/>
        <v>5.7099768859975898E-2</v>
      </c>
      <c r="K273" s="105">
        <f t="shared" si="443"/>
        <v>5.5758642157848752E-2</v>
      </c>
      <c r="L273" s="105">
        <f t="shared" ref="L273" si="444">IF(L55=0,0,L55/L$46)</f>
        <v>6.2344946663874398E-2</v>
      </c>
      <c r="M273" s="105">
        <f t="shared" ref="M273:V273" si="445">IF(M55=0,0,M55/M$46)</f>
        <v>6.6315352475738359E-2</v>
      </c>
      <c r="N273" s="105">
        <f t="shared" si="445"/>
        <v>5.9951667129539511E-2</v>
      </c>
      <c r="O273" s="105">
        <f t="shared" si="445"/>
        <v>7.3540243062043709E-2</v>
      </c>
      <c r="P273" s="105">
        <f t="shared" si="445"/>
        <v>6.7451633738966787E-2</v>
      </c>
      <c r="Q273" s="105">
        <f t="shared" si="445"/>
        <v>6.9632692968441559E-2</v>
      </c>
      <c r="R273" s="105">
        <f t="shared" si="445"/>
        <v>6.7897772436386131E-2</v>
      </c>
      <c r="S273" s="105">
        <f t="shared" si="445"/>
        <v>7.1640223328243602E-2</v>
      </c>
      <c r="T273" s="105">
        <f t="shared" si="445"/>
        <v>6.7233714201628034E-2</v>
      </c>
      <c r="U273" s="105">
        <f t="shared" si="445"/>
        <v>6.4164472371179573E-2</v>
      </c>
      <c r="V273" s="105">
        <f t="shared" si="445"/>
        <v>7.5100055951389758E-2</v>
      </c>
      <c r="W273" s="105">
        <f t="shared" ref="W273:Y273" si="446">IF(W55=0,0,W55/W$46)</f>
        <v>8.4384751150363244E-2</v>
      </c>
      <c r="X273" s="105">
        <f t="shared" si="446"/>
        <v>0.10675074956743534</v>
      </c>
      <c r="Y273" s="105">
        <f t="shared" si="446"/>
        <v>0.11193723517342802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1658.8195012897677</v>
      </c>
      <c r="C4" s="145">
        <f t="shared" si="0"/>
        <v>1720.1911109200341</v>
      </c>
      <c r="D4" s="145">
        <f t="shared" si="0"/>
        <v>1822.2699767841787</v>
      </c>
      <c r="E4" s="145">
        <f t="shared" si="0"/>
        <v>2061.0051556319868</v>
      </c>
      <c r="F4" s="145">
        <f t="shared" si="0"/>
        <v>2184.5283086844365</v>
      </c>
      <c r="G4" s="145">
        <f t="shared" si="0"/>
        <v>2403.9573834909716</v>
      </c>
      <c r="H4" s="145">
        <f t="shared" si="0"/>
        <v>2524.5995735167667</v>
      </c>
      <c r="I4" s="145">
        <f t="shared" si="0"/>
        <v>2390.8513172828893</v>
      </c>
      <c r="J4" s="145">
        <f t="shared" si="0"/>
        <v>2517.1790651074857</v>
      </c>
      <c r="K4" s="145">
        <f t="shared" si="0"/>
        <v>2483.0014563561649</v>
      </c>
      <c r="L4" s="145">
        <f t="shared" ref="L4" si="1">L5+L9+L10+L15</f>
        <v>2427.3037084289263</v>
      </c>
      <c r="M4" s="145">
        <f t="shared" ref="M4:V4" si="2">M5+M9+M10+M15</f>
        <v>2441.2617413650814</v>
      </c>
      <c r="N4" s="145">
        <f t="shared" si="2"/>
        <v>2600.7965778441476</v>
      </c>
      <c r="O4" s="145">
        <f t="shared" si="2"/>
        <v>2341.3087044762028</v>
      </c>
      <c r="P4" s="145">
        <f t="shared" si="2"/>
        <v>2654.4144677629806</v>
      </c>
      <c r="Q4" s="145">
        <f t="shared" si="2"/>
        <v>2946.7181535886039</v>
      </c>
      <c r="R4" s="145">
        <f t="shared" si="2"/>
        <v>3005.8553331879716</v>
      </c>
      <c r="S4" s="145">
        <f t="shared" si="2"/>
        <v>3033.1723102119931</v>
      </c>
      <c r="T4" s="145">
        <f t="shared" si="2"/>
        <v>3116.5981864416785</v>
      </c>
      <c r="U4" s="145">
        <f t="shared" si="2"/>
        <v>3229.277891483363</v>
      </c>
      <c r="V4" s="145">
        <f t="shared" si="2"/>
        <v>3044.1047351642169</v>
      </c>
      <c r="W4" s="145">
        <f t="shared" ref="W4:Y4" si="3">W5+W9+W10+W15</f>
        <v>3332.6561454615198</v>
      </c>
      <c r="X4" s="145">
        <f t="shared" si="3"/>
        <v>3335.1180265798803</v>
      </c>
      <c r="Y4" s="145">
        <f t="shared" si="3"/>
        <v>3390.3774599105991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1658.8195012897677</v>
      </c>
      <c r="C5" s="97">
        <f t="shared" si="4"/>
        <v>1720.1911109200341</v>
      </c>
      <c r="D5" s="97">
        <f t="shared" si="4"/>
        <v>1822.2699767841787</v>
      </c>
      <c r="E5" s="97">
        <f t="shared" si="4"/>
        <v>2061.0051556319868</v>
      </c>
      <c r="F5" s="97">
        <f t="shared" si="4"/>
        <v>2178.7243533963883</v>
      </c>
      <c r="G5" s="97">
        <f t="shared" si="4"/>
        <v>2384.8688194325023</v>
      </c>
      <c r="H5" s="97">
        <f t="shared" si="4"/>
        <v>2493.9132450558895</v>
      </c>
      <c r="I5" s="97">
        <f t="shared" si="4"/>
        <v>2351.5543267411867</v>
      </c>
      <c r="J5" s="97">
        <f t="shared" si="4"/>
        <v>2477.870708512467</v>
      </c>
      <c r="K5" s="97">
        <f t="shared" si="4"/>
        <v>2429.888467755804</v>
      </c>
      <c r="L5" s="97">
        <f t="shared" ref="L5" si="5">SUM(L6:L8)</f>
        <v>2347.4668933791918</v>
      </c>
      <c r="M5" s="97">
        <f t="shared" ref="M5:V5" si="6">SUM(M6:M8)</f>
        <v>2362.7770197764403</v>
      </c>
      <c r="N5" s="97">
        <f t="shared" si="6"/>
        <v>2449.4585167669816</v>
      </c>
      <c r="O5" s="97">
        <f t="shared" si="6"/>
        <v>2162.2877583834907</v>
      </c>
      <c r="P5" s="97">
        <f t="shared" si="6"/>
        <v>2458.7834703353396</v>
      </c>
      <c r="Q5" s="97">
        <f t="shared" si="6"/>
        <v>2715.9505821152197</v>
      </c>
      <c r="R5" s="97">
        <f t="shared" si="6"/>
        <v>2761.905154772141</v>
      </c>
      <c r="S5" s="97">
        <f t="shared" si="6"/>
        <v>2785.2838478073941</v>
      </c>
      <c r="T5" s="97">
        <f t="shared" si="6"/>
        <v>2867.8635442820287</v>
      </c>
      <c r="U5" s="97">
        <f t="shared" si="6"/>
        <v>2955.487744625967</v>
      </c>
      <c r="V5" s="97">
        <f t="shared" si="6"/>
        <v>2779.0866706792776</v>
      </c>
      <c r="W5" s="97">
        <f t="shared" ref="W5:Y5" si="7">SUM(W6:W8)</f>
        <v>3065.3755803955282</v>
      </c>
      <c r="X5" s="97">
        <f t="shared" si="7"/>
        <v>3072.769733447979</v>
      </c>
      <c r="Y5" s="97">
        <f t="shared" si="7"/>
        <v>3148.7241616509018</v>
      </c>
      <c r="DA5" s="175"/>
    </row>
    <row r="6" spans="1:105" ht="11.45" customHeight="1" x14ac:dyDescent="0.25">
      <c r="A6" s="128" t="s">
        <v>52</v>
      </c>
      <c r="B6" s="97">
        <v>222.55898538263111</v>
      </c>
      <c r="C6" s="97">
        <v>294.86242476354249</v>
      </c>
      <c r="D6" s="97">
        <v>340.05210662080822</v>
      </c>
      <c r="E6" s="97">
        <v>363.77661220980218</v>
      </c>
      <c r="F6" s="97">
        <v>371.89501289767838</v>
      </c>
      <c r="G6" s="97">
        <v>434.29346517626823</v>
      </c>
      <c r="H6" s="97">
        <v>454.26104901117787</v>
      </c>
      <c r="I6" s="97">
        <v>382.3445399828031</v>
      </c>
      <c r="J6" s="97">
        <v>364.76543422184</v>
      </c>
      <c r="K6" s="97">
        <v>387.83800515907132</v>
      </c>
      <c r="L6" s="97">
        <v>373.55494411006021</v>
      </c>
      <c r="M6" s="97">
        <v>349.38374892519352</v>
      </c>
      <c r="N6" s="97">
        <v>370.25889939810833</v>
      </c>
      <c r="O6" s="97">
        <v>397.72622527944958</v>
      </c>
      <c r="P6" s="97">
        <v>433.98297506448841</v>
      </c>
      <c r="Q6" s="97">
        <v>462.54892519346521</v>
      </c>
      <c r="R6" s="97">
        <v>495.50971625107479</v>
      </c>
      <c r="S6" s="97">
        <v>478.86448839208941</v>
      </c>
      <c r="T6" s="97">
        <v>457.02141014617371</v>
      </c>
      <c r="U6" s="97">
        <v>438.50963026655199</v>
      </c>
      <c r="V6" s="97">
        <v>415.71289767841779</v>
      </c>
      <c r="W6" s="97">
        <v>402.27368873602751</v>
      </c>
      <c r="X6" s="97">
        <v>439.29733447979362</v>
      </c>
      <c r="Y6" s="97">
        <v>460.38340498710232</v>
      </c>
      <c r="DA6" s="175" t="s">
        <v>630</v>
      </c>
    </row>
    <row r="7" spans="1:105" ht="11.45" customHeight="1" x14ac:dyDescent="0.25">
      <c r="A7" s="128" t="s">
        <v>53</v>
      </c>
      <c r="B7" s="97">
        <v>697.27953568357691</v>
      </c>
      <c r="C7" s="97">
        <v>599.93551160791048</v>
      </c>
      <c r="D7" s="97">
        <v>645.43327601031808</v>
      </c>
      <c r="E7" s="97">
        <v>620.03920894239025</v>
      </c>
      <c r="F7" s="97">
        <v>586.94462596732581</v>
      </c>
      <c r="G7" s="97">
        <v>571.19484092863286</v>
      </c>
      <c r="H7" s="97">
        <v>635.24419604471188</v>
      </c>
      <c r="I7" s="97">
        <v>627.40042992261397</v>
      </c>
      <c r="J7" s="97">
        <v>628.45133276010313</v>
      </c>
      <c r="K7" s="97">
        <v>647.36792777300082</v>
      </c>
      <c r="L7" s="97">
        <v>610.58564058469472</v>
      </c>
      <c r="M7" s="97">
        <v>564.34505588993977</v>
      </c>
      <c r="N7" s="97">
        <v>540.17386070507303</v>
      </c>
      <c r="O7" s="97">
        <v>442.43817712811688</v>
      </c>
      <c r="P7" s="97">
        <v>505.49346517626827</v>
      </c>
      <c r="Q7" s="97">
        <v>520.20636285468618</v>
      </c>
      <c r="R7" s="97">
        <v>492.88237317282892</v>
      </c>
      <c r="S7" s="97">
        <v>504.95752364574372</v>
      </c>
      <c r="T7" s="97">
        <v>477.50842648323288</v>
      </c>
      <c r="U7" s="97">
        <v>472.81401547721413</v>
      </c>
      <c r="V7" s="97">
        <v>459.23817712811689</v>
      </c>
      <c r="W7" s="97">
        <v>501.34333619948399</v>
      </c>
      <c r="X7" s="97">
        <v>524.2271711092003</v>
      </c>
      <c r="Y7" s="97">
        <v>519.10077386070498</v>
      </c>
      <c r="DA7" s="175" t="s">
        <v>631</v>
      </c>
    </row>
    <row r="8" spans="1:105" ht="11.45" customHeight="1" x14ac:dyDescent="0.25">
      <c r="A8" s="128" t="s">
        <v>54</v>
      </c>
      <c r="B8" s="97">
        <v>738.98098022355964</v>
      </c>
      <c r="C8" s="97">
        <v>825.3931745485811</v>
      </c>
      <c r="D8" s="97">
        <v>836.78459415305235</v>
      </c>
      <c r="E8" s="97">
        <v>1077.1893344797941</v>
      </c>
      <c r="F8" s="97">
        <v>1219.8847145313839</v>
      </c>
      <c r="G8" s="97">
        <v>1379.380513327601</v>
      </c>
      <c r="H8" s="97">
        <v>1404.4079999999999</v>
      </c>
      <c r="I8" s="97">
        <v>1341.8093568357699</v>
      </c>
      <c r="J8" s="97">
        <v>1484.653941530524</v>
      </c>
      <c r="K8" s="97">
        <v>1394.6825348237319</v>
      </c>
      <c r="L8" s="97">
        <v>1363.326308684437</v>
      </c>
      <c r="M8" s="97">
        <v>1449.0482149613069</v>
      </c>
      <c r="N8" s="97">
        <v>1539.0257566638002</v>
      </c>
      <c r="O8" s="97">
        <v>1322.1233559759239</v>
      </c>
      <c r="P8" s="97">
        <v>1519.3070300945828</v>
      </c>
      <c r="Q8" s="97">
        <v>1733.1952940670681</v>
      </c>
      <c r="R8" s="97">
        <v>1773.5130653482372</v>
      </c>
      <c r="S8" s="97">
        <v>1801.4618357695608</v>
      </c>
      <c r="T8" s="97">
        <v>1933.333707652622</v>
      </c>
      <c r="U8" s="97">
        <v>2044.1640988822012</v>
      </c>
      <c r="V8" s="97">
        <v>1904.1355958727429</v>
      </c>
      <c r="W8" s="97">
        <v>2161.7585554600169</v>
      </c>
      <c r="X8" s="97">
        <v>2109.2452278589849</v>
      </c>
      <c r="Y8" s="97">
        <v>2169.2399828030948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5.8039552880481509</v>
      </c>
      <c r="G9" s="97">
        <v>19.088564058469469</v>
      </c>
      <c r="H9" s="97">
        <v>25.257867583834908</v>
      </c>
      <c r="I9" s="97">
        <v>36.973774720550303</v>
      </c>
      <c r="J9" s="97">
        <v>35.0390369733448</v>
      </c>
      <c r="K9" s="97">
        <v>49.118400687876168</v>
      </c>
      <c r="L9" s="97">
        <v>65.929406706792776</v>
      </c>
      <c r="M9" s="97">
        <v>60.747893379191737</v>
      </c>
      <c r="N9" s="97">
        <v>64.811006018916586</v>
      </c>
      <c r="O9" s="97">
        <v>70.87360275150472</v>
      </c>
      <c r="P9" s="97">
        <v>78.590971625107471</v>
      </c>
      <c r="Q9" s="97">
        <v>77.774118658641441</v>
      </c>
      <c r="R9" s="97">
        <v>74.096990541702496</v>
      </c>
      <c r="S9" s="97">
        <v>75.014617368873587</v>
      </c>
      <c r="T9" s="97">
        <v>78.423387790197751</v>
      </c>
      <c r="U9" s="97">
        <v>87.356749785038687</v>
      </c>
      <c r="V9" s="97">
        <v>86.186758383490968</v>
      </c>
      <c r="W9" s="97">
        <v>91.883061049011161</v>
      </c>
      <c r="X9" s="97">
        <v>64.257093723129827</v>
      </c>
      <c r="Y9" s="97">
        <v>55.267067927772992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5.4284608770421334</v>
      </c>
      <c r="I10" s="97">
        <f t="shared" si="8"/>
        <v>2.3232158211521918</v>
      </c>
      <c r="J10" s="97">
        <f t="shared" si="8"/>
        <v>4.1803955288048149</v>
      </c>
      <c r="K10" s="97">
        <f t="shared" si="8"/>
        <v>3.7470335339638856</v>
      </c>
      <c r="L10" s="97">
        <f t="shared" si="8"/>
        <v>13.40877042132416</v>
      </c>
      <c r="M10" s="97">
        <f t="shared" si="8"/>
        <v>17.185640584694749</v>
      </c>
      <c r="N10" s="97">
        <f t="shared" si="8"/>
        <v>85.928374892519344</v>
      </c>
      <c r="O10" s="97">
        <f t="shared" si="8"/>
        <v>103.35700773860704</v>
      </c>
      <c r="P10" s="97">
        <f t="shared" si="8"/>
        <v>110.71031814273429</v>
      </c>
      <c r="Q10" s="97">
        <f t="shared" si="8"/>
        <v>146.21238177128114</v>
      </c>
      <c r="R10" s="97">
        <f t="shared" si="8"/>
        <v>163.13843508168529</v>
      </c>
      <c r="S10" s="97">
        <f t="shared" si="8"/>
        <v>166.24368013757521</v>
      </c>
      <c r="T10" s="97">
        <f t="shared" si="8"/>
        <v>163.62725709372313</v>
      </c>
      <c r="U10" s="97">
        <f t="shared" si="8"/>
        <v>179.43258813413587</v>
      </c>
      <c r="V10" s="97">
        <f t="shared" si="8"/>
        <v>172.05752364574369</v>
      </c>
      <c r="W10" s="97">
        <f t="shared" si="8"/>
        <v>167.51822871883064</v>
      </c>
      <c r="X10" s="97">
        <f t="shared" ref="X10:Y10" si="9">SUM(X11:X13)</f>
        <v>190.1477214101462</v>
      </c>
      <c r="Y10" s="97">
        <f t="shared" si="9"/>
        <v>177.0040412725709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8.3834909716251076</v>
      </c>
      <c r="P12" s="97">
        <v>14.832330180567499</v>
      </c>
      <c r="Q12" s="97">
        <v>32.244196044711948</v>
      </c>
      <c r="R12" s="97">
        <v>32.889079965606193</v>
      </c>
      <c r="S12" s="97">
        <v>26.64987102321582</v>
      </c>
      <c r="T12" s="97">
        <v>28.594840928632841</v>
      </c>
      <c r="U12" s="97">
        <v>31.818572656921749</v>
      </c>
      <c r="V12" s="97">
        <v>26.507308684436801</v>
      </c>
      <c r="W12" s="97">
        <v>20.750472914875321</v>
      </c>
      <c r="X12" s="97">
        <v>20.898108340498709</v>
      </c>
      <c r="Y12" s="97">
        <v>21.06577815993121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5.4284608770421334</v>
      </c>
      <c r="I13" s="97">
        <v>2.3232158211521918</v>
      </c>
      <c r="J13" s="97">
        <v>4.1803955288048149</v>
      </c>
      <c r="K13" s="97">
        <v>3.7470335339638856</v>
      </c>
      <c r="L13" s="97">
        <v>13.40877042132416</v>
      </c>
      <c r="M13" s="97">
        <v>17.185640584694749</v>
      </c>
      <c r="N13" s="97">
        <v>85.928374892519344</v>
      </c>
      <c r="O13" s="97">
        <v>94.97351676698193</v>
      </c>
      <c r="P13" s="97">
        <v>95.877987962166799</v>
      </c>
      <c r="Q13" s="97">
        <v>113.9681857265692</v>
      </c>
      <c r="R13" s="97">
        <v>130.2493551160791</v>
      </c>
      <c r="S13" s="97">
        <v>139.5938091143594</v>
      </c>
      <c r="T13" s="97">
        <v>135.0324161650903</v>
      </c>
      <c r="U13" s="97">
        <v>147.61401547721411</v>
      </c>
      <c r="V13" s="97">
        <v>145.55021496130689</v>
      </c>
      <c r="W13" s="97">
        <v>146.76775580395531</v>
      </c>
      <c r="X13" s="97">
        <v>169.24961306964749</v>
      </c>
      <c r="Y13" s="97">
        <v>155.9382631126397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8.8924092868873927E-2</v>
      </c>
      <c r="K15" s="98">
        <v>0.24755437852095166</v>
      </c>
      <c r="L15" s="98">
        <v>0.49863792161737402</v>
      </c>
      <c r="M15" s="98">
        <v>0.55118762475486061</v>
      </c>
      <c r="N15" s="98">
        <v>0.59868016573013649</v>
      </c>
      <c r="O15" s="98">
        <v>4.7903356026003809</v>
      </c>
      <c r="P15" s="98">
        <v>6.3297076597991291</v>
      </c>
      <c r="Q15" s="98">
        <v>6.7810710434616555</v>
      </c>
      <c r="R15" s="98">
        <v>6.71475279244319</v>
      </c>
      <c r="S15" s="98">
        <v>6.6301648981502455</v>
      </c>
      <c r="T15" s="98">
        <v>6.683997275729018</v>
      </c>
      <c r="U15" s="98">
        <v>7.000808938221236</v>
      </c>
      <c r="V15" s="98">
        <v>6.7737824557048141</v>
      </c>
      <c r="W15" s="98">
        <v>7.8792752981492704</v>
      </c>
      <c r="X15" s="98">
        <v>7.9434779986252346</v>
      </c>
      <c r="Y15" s="98">
        <v>9.3821890593533723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1658.8195012897679</v>
      </c>
      <c r="C17" s="79">
        <f t="shared" si="10"/>
        <v>1720.1911109200344</v>
      </c>
      <c r="D17" s="79">
        <f t="shared" si="10"/>
        <v>1822.2699767841787</v>
      </c>
      <c r="E17" s="79">
        <f t="shared" si="10"/>
        <v>2061.0051556319863</v>
      </c>
      <c r="F17" s="79">
        <f t="shared" si="10"/>
        <v>2184.5283086844365</v>
      </c>
      <c r="G17" s="79">
        <f t="shared" si="10"/>
        <v>2403.9573834909716</v>
      </c>
      <c r="H17" s="79">
        <f t="shared" si="10"/>
        <v>2524.5995735167671</v>
      </c>
      <c r="I17" s="79">
        <f t="shared" si="10"/>
        <v>2390.8513172828893</v>
      </c>
      <c r="J17" s="79">
        <f t="shared" si="10"/>
        <v>2517.1790651074857</v>
      </c>
      <c r="K17" s="79">
        <f t="shared" si="10"/>
        <v>2483.0014563561654</v>
      </c>
      <c r="L17" s="79">
        <f t="shared" ref="L17" si="11">L18+L42</f>
        <v>2427.3037084289263</v>
      </c>
      <c r="M17" s="79">
        <f t="shared" ref="M17:V17" si="12">M18+M42</f>
        <v>2441.2617413650814</v>
      </c>
      <c r="N17" s="79">
        <f t="shared" si="12"/>
        <v>2600.7965778441476</v>
      </c>
      <c r="O17" s="79">
        <f t="shared" si="12"/>
        <v>2341.3087044762024</v>
      </c>
      <c r="P17" s="79">
        <f t="shared" si="12"/>
        <v>2654.4144677629802</v>
      </c>
      <c r="Q17" s="79">
        <f t="shared" si="12"/>
        <v>2946.7181535886039</v>
      </c>
      <c r="R17" s="79">
        <f t="shared" si="12"/>
        <v>3005.8553331879716</v>
      </c>
      <c r="S17" s="79">
        <f t="shared" si="12"/>
        <v>3033.172310211994</v>
      </c>
      <c r="T17" s="79">
        <f t="shared" si="12"/>
        <v>3116.5981864416785</v>
      </c>
      <c r="U17" s="79">
        <f t="shared" si="12"/>
        <v>3229.2778914833634</v>
      </c>
      <c r="V17" s="79">
        <f t="shared" si="12"/>
        <v>3044.1047351642164</v>
      </c>
      <c r="W17" s="79">
        <f t="shared" ref="W17:Y17" si="13">W18+W42</f>
        <v>3332.6561454615189</v>
      </c>
      <c r="X17" s="79">
        <f t="shared" si="13"/>
        <v>3335.1180265798803</v>
      </c>
      <c r="Y17" s="79">
        <f t="shared" si="13"/>
        <v>3390.3774599105996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1331.949325850039</v>
      </c>
      <c r="C18" s="32">
        <f t="shared" si="14"/>
        <v>1361.8228298157039</v>
      </c>
      <c r="D18" s="32">
        <f t="shared" si="14"/>
        <v>1479.4675973538356</v>
      </c>
      <c r="E18" s="32">
        <f t="shared" si="14"/>
        <v>1576.1444945715109</v>
      </c>
      <c r="F18" s="32">
        <f t="shared" si="14"/>
        <v>1648.7123677877707</v>
      </c>
      <c r="G18" s="32">
        <f t="shared" si="14"/>
        <v>1826.0461810305071</v>
      </c>
      <c r="H18" s="32">
        <f t="shared" si="14"/>
        <v>1935.0021787691005</v>
      </c>
      <c r="I18" s="32">
        <f t="shared" si="14"/>
        <v>1858.548125479022</v>
      </c>
      <c r="J18" s="32">
        <f t="shared" si="14"/>
        <v>1951.0608855171113</v>
      </c>
      <c r="K18" s="32">
        <f t="shared" si="14"/>
        <v>1990.0860070131353</v>
      </c>
      <c r="L18" s="32">
        <f t="shared" ref="L18" si="15">L19+L21+L33</f>
        <v>1946.8484462591398</v>
      </c>
      <c r="M18" s="32">
        <f t="shared" ref="M18:V18" si="16">M19+M21+M33</f>
        <v>1940.3536026470908</v>
      </c>
      <c r="N18" s="32">
        <f t="shared" si="16"/>
        <v>2078.7095992925451</v>
      </c>
      <c r="O18" s="32">
        <f t="shared" si="16"/>
        <v>1858.2771514982683</v>
      </c>
      <c r="P18" s="32">
        <f t="shared" si="16"/>
        <v>2130.0968707000934</v>
      </c>
      <c r="Q18" s="32">
        <f t="shared" si="16"/>
        <v>2360.6702682948735</v>
      </c>
      <c r="R18" s="32">
        <f t="shared" si="16"/>
        <v>2416.0873206060924</v>
      </c>
      <c r="S18" s="32">
        <f t="shared" si="16"/>
        <v>2452.3346656801868</v>
      </c>
      <c r="T18" s="32">
        <f t="shared" si="16"/>
        <v>2555.3405626556737</v>
      </c>
      <c r="U18" s="32">
        <f t="shared" si="16"/>
        <v>2730.3459796769857</v>
      </c>
      <c r="V18" s="32">
        <f t="shared" si="16"/>
        <v>2505.2076424768429</v>
      </c>
      <c r="W18" s="32">
        <f t="shared" ref="W18:Y18" si="17">W19+W21+W33</f>
        <v>2717.5070664509585</v>
      </c>
      <c r="X18" s="32">
        <f t="shared" si="17"/>
        <v>2766.6624394050036</v>
      </c>
      <c r="Y18" s="32">
        <f t="shared" si="17"/>
        <v>2811.0473141295943</v>
      </c>
      <c r="DA18" s="173" t="s">
        <v>391</v>
      </c>
    </row>
    <row r="19" spans="1:105" ht="11.45" customHeight="1" x14ac:dyDescent="0.25">
      <c r="A19" s="107" t="s">
        <v>174</v>
      </c>
      <c r="B19" s="129">
        <v>12.42420710908906</v>
      </c>
      <c r="C19" s="129">
        <v>12.733976628173769</v>
      </c>
      <c r="D19" s="129">
        <v>13.053311796047891</v>
      </c>
      <c r="E19" s="129">
        <v>13.148560550106373</v>
      </c>
      <c r="F19" s="129">
        <v>13.265780285444622</v>
      </c>
      <c r="G19" s="129">
        <v>14.196730538315887</v>
      </c>
      <c r="H19" s="129">
        <v>14.575427914144155</v>
      </c>
      <c r="I19" s="129">
        <v>15.18320978006815</v>
      </c>
      <c r="J19" s="129">
        <v>16.930558164060134</v>
      </c>
      <c r="K19" s="129">
        <v>17.797269072386236</v>
      </c>
      <c r="L19" s="129">
        <v>19.193208011010206</v>
      </c>
      <c r="M19" s="129">
        <v>20.090120944721331</v>
      </c>
      <c r="N19" s="129">
        <v>21.594847073432376</v>
      </c>
      <c r="O19" s="129">
        <v>22.679870280803705</v>
      </c>
      <c r="P19" s="129">
        <v>23.733623338523309</v>
      </c>
      <c r="Q19" s="129">
        <v>25.357064954965129</v>
      </c>
      <c r="R19" s="129">
        <v>26.868831917781389</v>
      </c>
      <c r="S19" s="129">
        <v>25.420202530240143</v>
      </c>
      <c r="T19" s="129">
        <v>24.185892373789994</v>
      </c>
      <c r="U19" s="129">
        <v>25.645199331418148</v>
      </c>
      <c r="V19" s="129">
        <v>23.001517953758125</v>
      </c>
      <c r="W19" s="129">
        <v>23.891728766376616</v>
      </c>
      <c r="X19" s="129">
        <v>24.256052220095299</v>
      </c>
      <c r="Y19" s="129">
        <v>26.393477605406225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0.42175543278163757</v>
      </c>
      <c r="P20" s="97">
        <v>0.67654715733780635</v>
      </c>
      <c r="Q20" s="97">
        <v>1.4799843358929061</v>
      </c>
      <c r="R20" s="97">
        <v>1.6807515057187197</v>
      </c>
      <c r="S20" s="97">
        <v>1.2743335130557774</v>
      </c>
      <c r="T20" s="97">
        <v>1.3665032211355852</v>
      </c>
      <c r="U20" s="97">
        <v>1.6170054360640518</v>
      </c>
      <c r="V20" s="97">
        <v>1.2552012410181503</v>
      </c>
      <c r="W20" s="97">
        <v>0.94957010024160882</v>
      </c>
      <c r="X20" s="97">
        <v>0.92988827764521242</v>
      </c>
      <c r="Y20" s="97">
        <v>1.0293105747194782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1048.8634581368174</v>
      </c>
      <c r="C21" s="130">
        <f t="shared" si="18"/>
        <v>1070.3110530657489</v>
      </c>
      <c r="D21" s="130">
        <f t="shared" si="18"/>
        <v>1150.6550677910286</v>
      </c>
      <c r="E21" s="130">
        <f t="shared" si="18"/>
        <v>1290.5454037518971</v>
      </c>
      <c r="F21" s="130">
        <f t="shared" si="18"/>
        <v>1385.094926297148</v>
      </c>
      <c r="G21" s="130">
        <f t="shared" si="18"/>
        <v>1546.4642516565816</v>
      </c>
      <c r="H21" s="130">
        <f t="shared" si="18"/>
        <v>1666.3394881891436</v>
      </c>
      <c r="I21" s="130">
        <f t="shared" si="18"/>
        <v>1572.873012048723</v>
      </c>
      <c r="J21" s="130">
        <f t="shared" si="18"/>
        <v>1688.1564379344882</v>
      </c>
      <c r="K21" s="130">
        <f t="shared" si="18"/>
        <v>1715.3244358377424</v>
      </c>
      <c r="L21" s="130">
        <f t="shared" ref="L21" si="19">L22+L24+L26+L27+L29+L32</f>
        <v>1689.2031489214276</v>
      </c>
      <c r="M21" s="130">
        <f t="shared" ref="M21:V21" si="20">M22+M24+M26+M27+M29+M32</f>
        <v>1658.2496282908628</v>
      </c>
      <c r="N21" s="130">
        <f t="shared" si="20"/>
        <v>1815.0986108274747</v>
      </c>
      <c r="O21" s="130">
        <f t="shared" si="20"/>
        <v>1611.8533439916655</v>
      </c>
      <c r="P21" s="130">
        <f t="shared" si="20"/>
        <v>1886.4870947594738</v>
      </c>
      <c r="Q21" s="130">
        <f t="shared" si="20"/>
        <v>2093.4717645185533</v>
      </c>
      <c r="R21" s="130">
        <f t="shared" si="20"/>
        <v>2169.271599339836</v>
      </c>
      <c r="S21" s="130">
        <f t="shared" si="20"/>
        <v>2222.0836857524469</v>
      </c>
      <c r="T21" s="130">
        <f t="shared" si="20"/>
        <v>2323.0641865950829</v>
      </c>
      <c r="U21" s="130">
        <f t="shared" si="20"/>
        <v>2476.4790108783427</v>
      </c>
      <c r="V21" s="130">
        <f t="shared" si="20"/>
        <v>2259.1506938572957</v>
      </c>
      <c r="W21" s="130">
        <f t="shared" ref="W21:Y21" si="21">W22+W24+W26+W27+W29+W32</f>
        <v>2467.7376483082003</v>
      </c>
      <c r="X21" s="130">
        <f t="shared" si="21"/>
        <v>2517.5266068169954</v>
      </c>
      <c r="Y21" s="130">
        <f t="shared" si="21"/>
        <v>2561.6330374710528</v>
      </c>
      <c r="DA21" s="176" t="s">
        <v>393</v>
      </c>
    </row>
    <row r="22" spans="1:105" ht="11.45" customHeight="1" x14ac:dyDescent="0.25">
      <c r="A22" s="111" t="s">
        <v>110</v>
      </c>
      <c r="B22" s="96">
        <v>654.96783716205675</v>
      </c>
      <c r="C22" s="96">
        <v>556.81519556226124</v>
      </c>
      <c r="D22" s="96">
        <v>601.45127589232584</v>
      </c>
      <c r="E22" s="96">
        <v>575.35318516520238</v>
      </c>
      <c r="F22" s="96">
        <v>541.5317299283148</v>
      </c>
      <c r="G22" s="96">
        <v>527.73648745726075</v>
      </c>
      <c r="H22" s="96">
        <v>595.00042015321537</v>
      </c>
      <c r="I22" s="96">
        <v>589.89983389887391</v>
      </c>
      <c r="J22" s="96">
        <v>592.03896129895361</v>
      </c>
      <c r="K22" s="96">
        <v>613.24396265078497</v>
      </c>
      <c r="L22" s="96">
        <v>578.92261251876744</v>
      </c>
      <c r="M22" s="96">
        <v>530.72117407761175</v>
      </c>
      <c r="N22" s="96">
        <v>505.8485770459763</v>
      </c>
      <c r="O22" s="96">
        <v>416.4071803676465</v>
      </c>
      <c r="P22" s="96">
        <v>485.92827201026364</v>
      </c>
      <c r="Q22" s="96">
        <v>514.40790895152952</v>
      </c>
      <c r="R22" s="96">
        <v>482.73378904378768</v>
      </c>
      <c r="S22" s="96">
        <v>490.27606804319856</v>
      </c>
      <c r="T22" s="96">
        <v>465.80550438280835</v>
      </c>
      <c r="U22" s="96">
        <v>462.66055894103107</v>
      </c>
      <c r="V22" s="96">
        <v>446.97422595285411</v>
      </c>
      <c r="W22" s="96">
        <v>482.82349405138012</v>
      </c>
      <c r="X22" s="96">
        <v>506.0735229653896</v>
      </c>
      <c r="Y22" s="96">
        <v>499.62145575205813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7.7435183003663397</v>
      </c>
      <c r="P23" s="96">
        <v>13.851799466497773</v>
      </c>
      <c r="Q23" s="96">
        <v>30.023807915458917</v>
      </c>
      <c r="R23" s="96">
        <v>30.196904178022937</v>
      </c>
      <c r="S23" s="96">
        <v>24.577901116776044</v>
      </c>
      <c r="T23" s="96">
        <v>26.31801681428092</v>
      </c>
      <c r="U23" s="96">
        <v>29.172112456289081</v>
      </c>
      <c r="V23" s="96">
        <v>24.391546864300892</v>
      </c>
      <c r="W23" s="96">
        <v>19.18968518890081</v>
      </c>
      <c r="X23" s="96">
        <v>19.401006905907881</v>
      </c>
      <c r="Y23" s="96">
        <v>19.484573251423122</v>
      </c>
      <c r="DA23" s="171" t="s">
        <v>642</v>
      </c>
    </row>
    <row r="24" spans="1:105" ht="11.45" customHeight="1" x14ac:dyDescent="0.25">
      <c r="A24" s="111" t="s">
        <v>111</v>
      </c>
      <c r="B24" s="96">
        <v>171.33663559212945</v>
      </c>
      <c r="C24" s="96">
        <v>218.63343273994516</v>
      </c>
      <c r="D24" s="96">
        <v>209.1516852778945</v>
      </c>
      <c r="E24" s="96">
        <v>351.41560637689258</v>
      </c>
      <c r="F24" s="96">
        <v>467.1204758231454</v>
      </c>
      <c r="G24" s="96">
        <v>568.09753110487486</v>
      </c>
      <c r="H24" s="96">
        <v>596.67123983144916</v>
      </c>
      <c r="I24" s="96">
        <v>571.98745913175185</v>
      </c>
      <c r="J24" s="96">
        <v>704.60788233706739</v>
      </c>
      <c r="K24" s="96">
        <v>677.79643830079715</v>
      </c>
      <c r="L24" s="96">
        <v>689.30777407602193</v>
      </c>
      <c r="M24" s="96">
        <v>736.18516096597557</v>
      </c>
      <c r="N24" s="96">
        <v>893.47226616553439</v>
      </c>
      <c r="O24" s="96">
        <v>748.69364201314386</v>
      </c>
      <c r="P24" s="96">
        <v>901.10385552319258</v>
      </c>
      <c r="Q24" s="96">
        <v>1058.6962296595416</v>
      </c>
      <c r="R24" s="96">
        <v>1137.9171015542142</v>
      </c>
      <c r="S24" s="96">
        <v>1199.8020529396276</v>
      </c>
      <c r="T24" s="96">
        <v>1346.0419144637451</v>
      </c>
      <c r="U24" s="96">
        <v>1519.019314037437</v>
      </c>
      <c r="V24" s="96">
        <v>1339.1184603801978</v>
      </c>
      <c r="W24" s="96">
        <v>1527.0916281723146</v>
      </c>
      <c r="X24" s="96">
        <v>1531.7478091762839</v>
      </c>
      <c r="Y24" s="96">
        <v>1563.1589096636862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2.29743418599509</v>
      </c>
      <c r="I25" s="96">
        <v>0.98863039374815154</v>
      </c>
      <c r="J25" s="96">
        <v>1.978420007897177</v>
      </c>
      <c r="K25" s="96">
        <v>1.8161272051026522</v>
      </c>
      <c r="L25" s="96">
        <v>6.7135426651748213</v>
      </c>
      <c r="M25" s="96">
        <v>8.6287828727263811</v>
      </c>
      <c r="N25" s="96">
        <v>47.24725353915624</v>
      </c>
      <c r="O25" s="96">
        <v>50.17728112365144</v>
      </c>
      <c r="P25" s="96">
        <v>53.489862552377396</v>
      </c>
      <c r="Q25" s="96">
        <v>65.320525145579936</v>
      </c>
      <c r="R25" s="96">
        <v>77.852660111258004</v>
      </c>
      <c r="S25" s="96">
        <v>86.285490678494654</v>
      </c>
      <c r="T25" s="96">
        <v>87.875782665613784</v>
      </c>
      <c r="U25" s="96">
        <v>102.30439799698614</v>
      </c>
      <c r="V25" s="96">
        <v>95.092125210975894</v>
      </c>
      <c r="W25" s="96">
        <v>97.086964129572138</v>
      </c>
      <c r="X25" s="96">
        <v>113.78025500277467</v>
      </c>
      <c r="Y25" s="96">
        <v>104.83337600898781</v>
      </c>
      <c r="DA25" s="171" t="s">
        <v>644</v>
      </c>
    </row>
    <row r="26" spans="1:105" ht="11.45" customHeight="1" x14ac:dyDescent="0.25">
      <c r="A26" s="111" t="s">
        <v>112</v>
      </c>
      <c r="B26" s="96">
        <v>222.55898538263111</v>
      </c>
      <c r="C26" s="96">
        <v>294.86242476354249</v>
      </c>
      <c r="D26" s="96">
        <v>340.05210662080822</v>
      </c>
      <c r="E26" s="96">
        <v>363.77661220980218</v>
      </c>
      <c r="F26" s="96">
        <v>371.89501289767838</v>
      </c>
      <c r="G26" s="96">
        <v>434.29346517626823</v>
      </c>
      <c r="H26" s="96">
        <v>454.26104901117787</v>
      </c>
      <c r="I26" s="96">
        <v>382.3445399828031</v>
      </c>
      <c r="J26" s="96">
        <v>364.76543422184</v>
      </c>
      <c r="K26" s="96">
        <v>387.83800515907132</v>
      </c>
      <c r="L26" s="96">
        <v>373.55494411006021</v>
      </c>
      <c r="M26" s="96">
        <v>349.38374892519352</v>
      </c>
      <c r="N26" s="96">
        <v>370.25889939810833</v>
      </c>
      <c r="O26" s="96">
        <v>397.72622527944958</v>
      </c>
      <c r="P26" s="96">
        <v>433.98297506448841</v>
      </c>
      <c r="Q26" s="96">
        <v>462.54892519346521</v>
      </c>
      <c r="R26" s="96">
        <v>494.86534574867659</v>
      </c>
      <c r="S26" s="96">
        <v>477.84382511907694</v>
      </c>
      <c r="T26" s="96">
        <v>455.40112341005698</v>
      </c>
      <c r="U26" s="96">
        <v>436.13170829106525</v>
      </c>
      <c r="V26" s="96">
        <v>413.35194185654507</v>
      </c>
      <c r="W26" s="96">
        <v>399.04421032734149</v>
      </c>
      <c r="X26" s="96">
        <v>436.12705754610374</v>
      </c>
      <c r="Y26" s="96">
        <v>457.30199588420851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4.5477076480094105</v>
      </c>
      <c r="G27" s="96">
        <v>16.336767918177944</v>
      </c>
      <c r="H27" s="96">
        <v>20.406779193301123</v>
      </c>
      <c r="I27" s="96">
        <v>28.641179035294304</v>
      </c>
      <c r="J27" s="96">
        <v>26.744160076627097</v>
      </c>
      <c r="K27" s="96">
        <v>36.446029727088799</v>
      </c>
      <c r="L27" s="96">
        <v>47.417818216578006</v>
      </c>
      <c r="M27" s="96">
        <v>41.959544322082117</v>
      </c>
      <c r="N27" s="96">
        <v>45.517814498788276</v>
      </c>
      <c r="O27" s="96">
        <v>49.025445114489855</v>
      </c>
      <c r="P27" s="96">
        <v>65.470159250213314</v>
      </c>
      <c r="Q27" s="96">
        <v>57.809729046644343</v>
      </c>
      <c r="R27" s="96">
        <v>53.73574865900887</v>
      </c>
      <c r="S27" s="96">
        <v>54.093059004854133</v>
      </c>
      <c r="T27" s="96">
        <v>55.659566332345506</v>
      </c>
      <c r="U27" s="96">
        <v>58.260083702278742</v>
      </c>
      <c r="V27" s="96">
        <v>59.102832809134476</v>
      </c>
      <c r="W27" s="96">
        <v>57.697132431675691</v>
      </c>
      <c r="X27" s="96">
        <v>42.080789339837608</v>
      </c>
      <c r="Y27" s="96">
        <v>39.733161548741947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1.0537190672953753E-3</v>
      </c>
      <c r="O29" s="96">
        <v>8.5121693574931215E-4</v>
      </c>
      <c r="P29" s="96">
        <v>1.8329113157243568E-3</v>
      </c>
      <c r="Q29" s="96">
        <v>8.9716673727600702E-3</v>
      </c>
      <c r="R29" s="96">
        <v>1.4589157765059056E-2</v>
      </c>
      <c r="S29" s="96">
        <v>5.09640939096958E-2</v>
      </c>
      <c r="T29" s="96">
        <v>9.6642506906004649E-2</v>
      </c>
      <c r="U29" s="96">
        <v>0.29702798262884944</v>
      </c>
      <c r="V29" s="96">
        <v>0.4002215375057816</v>
      </c>
      <c r="W29" s="96">
        <v>0.55996852848757173</v>
      </c>
      <c r="X29" s="96">
        <v>0.80830780185346529</v>
      </c>
      <c r="Y29" s="96">
        <v>0.93302275587998906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9.7348091786494062E-6</v>
      </c>
      <c r="P30" s="96">
        <v>3.5209897061040428E-5</v>
      </c>
      <c r="Q30" s="96">
        <v>3.5069479158877492E-4</v>
      </c>
      <c r="R30" s="96">
        <v>5.8996844729355936E-4</v>
      </c>
      <c r="S30" s="96">
        <v>1.6035707937789828E-3</v>
      </c>
      <c r="T30" s="96">
        <v>3.3899751341085549E-3</v>
      </c>
      <c r="U30" s="96">
        <v>1.1757043197455018E-2</v>
      </c>
      <c r="V30" s="96">
        <v>1.3307563519082518E-2</v>
      </c>
      <c r="W30" s="96">
        <v>1.2123713006928475E-2</v>
      </c>
      <c r="X30" s="96">
        <v>1.5366386564292822E-2</v>
      </c>
      <c r="Y30" s="96">
        <v>1.5505092857264181E-2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3.6651983690605015E-4</v>
      </c>
      <c r="O31" s="96">
        <v>3.2772822115471916E-4</v>
      </c>
      <c r="P31" s="96">
        <v>5.9772996055732852E-4</v>
      </c>
      <c r="Q31" s="96">
        <v>2.9630966102057238E-3</v>
      </c>
      <c r="R31" s="96">
        <v>5.1578034017341727E-3</v>
      </c>
      <c r="S31" s="96">
        <v>1.897631839267893E-2</v>
      </c>
      <c r="T31" s="96">
        <v>3.6642960271025461E-2</v>
      </c>
      <c r="U31" s="96">
        <v>0.1105649630110945</v>
      </c>
      <c r="V31" s="96">
        <v>0.15636091085704884</v>
      </c>
      <c r="W31" s="96">
        <v>0.254928950336125</v>
      </c>
      <c r="X31" s="96">
        <v>0.40747698819751865</v>
      </c>
      <c r="Y31" s="96">
        <v>0.53544273372829188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5.0251763838923356E-3</v>
      </c>
      <c r="S32" s="96">
        <v>1.7716551779261829E-2</v>
      </c>
      <c r="T32" s="96">
        <v>5.943549922087131E-2</v>
      </c>
      <c r="U32" s="96">
        <v>0.11031792390179214</v>
      </c>
      <c r="V32" s="96">
        <v>0.20301132105853426</v>
      </c>
      <c r="W32" s="96">
        <v>0.52121479700137785</v>
      </c>
      <c r="X32" s="96">
        <v>0.68911998752656889</v>
      </c>
      <c r="Y32" s="96">
        <v>0.8844918664780278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270.66166060413246</v>
      </c>
      <c r="C33" s="130">
        <f t="shared" si="22"/>
        <v>278.77780012178113</v>
      </c>
      <c r="D33" s="130">
        <f t="shared" si="22"/>
        <v>315.75921776675921</v>
      </c>
      <c r="E33" s="130">
        <f t="shared" si="22"/>
        <v>272.45053026950745</v>
      </c>
      <c r="F33" s="130">
        <f t="shared" si="22"/>
        <v>250.351661205178</v>
      </c>
      <c r="G33" s="130">
        <f t="shared" si="22"/>
        <v>265.38519883560951</v>
      </c>
      <c r="H33" s="130">
        <f t="shared" si="22"/>
        <v>254.08726266581257</v>
      </c>
      <c r="I33" s="130">
        <f t="shared" si="22"/>
        <v>270.49190365023088</v>
      </c>
      <c r="J33" s="130">
        <f t="shared" si="22"/>
        <v>245.97388941856292</v>
      </c>
      <c r="K33" s="130">
        <f t="shared" si="22"/>
        <v>256.96430210300667</v>
      </c>
      <c r="L33" s="130">
        <f t="shared" ref="L33" si="23">L34+L36+L38+L39+L41</f>
        <v>238.45208932670201</v>
      </c>
      <c r="M33" s="130">
        <f t="shared" ref="M33:V33" si="24">M34+M36+M38+M39+M41</f>
        <v>262.01385341150672</v>
      </c>
      <c r="N33" s="130">
        <f t="shared" si="24"/>
        <v>242.01614139163783</v>
      </c>
      <c r="O33" s="130">
        <f t="shared" si="24"/>
        <v>223.74393722579904</v>
      </c>
      <c r="P33" s="130">
        <f t="shared" si="24"/>
        <v>219.8761526020964</v>
      </c>
      <c r="Q33" s="130">
        <f t="shared" si="24"/>
        <v>241.84143882135481</v>
      </c>
      <c r="R33" s="130">
        <f t="shared" si="24"/>
        <v>219.94688934847497</v>
      </c>
      <c r="S33" s="130">
        <f t="shared" si="24"/>
        <v>204.83077739749962</v>
      </c>
      <c r="T33" s="130">
        <f t="shared" si="24"/>
        <v>208.09048368680072</v>
      </c>
      <c r="U33" s="130">
        <f t="shared" si="24"/>
        <v>228.22176946722482</v>
      </c>
      <c r="V33" s="130">
        <f t="shared" si="24"/>
        <v>223.05543066578915</v>
      </c>
      <c r="W33" s="130">
        <f t="shared" ref="W33:Y33" si="25">W34+W36+W38+W39+W41</f>
        <v>225.87768937638148</v>
      </c>
      <c r="X33" s="130">
        <f t="shared" si="25"/>
        <v>224.87978036791299</v>
      </c>
      <c r="Y33" s="130">
        <f t="shared" si="25"/>
        <v>223.02079905313531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3.845489702353289</v>
      </c>
      <c r="S34" s="97">
        <v>3.8749341371165902</v>
      </c>
      <c r="T34" s="97">
        <v>3.969690819987707</v>
      </c>
      <c r="U34" s="97">
        <v>4.2848371746405434</v>
      </c>
      <c r="V34" s="97">
        <v>3.8704924050070639</v>
      </c>
      <c r="W34" s="97">
        <v>3.638868190535796</v>
      </c>
      <c r="X34" s="97">
        <v>3.3792736584295637</v>
      </c>
      <c r="Y34" s="97">
        <v>3.1140511921182035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0.24055056160364005</v>
      </c>
      <c r="S35" s="97">
        <v>0.19425330801111021</v>
      </c>
      <c r="T35" s="97">
        <v>0.22428758090001855</v>
      </c>
      <c r="U35" s="97">
        <v>0.27017161826286917</v>
      </c>
      <c r="V35" s="97">
        <v>0.21121418507609507</v>
      </c>
      <c r="W35" s="97">
        <v>0.14462580193509841</v>
      </c>
      <c r="X35" s="97">
        <v>0.12954898568884088</v>
      </c>
      <c r="Y35" s="97">
        <v>0.12144386087297988</v>
      </c>
      <c r="DA35" s="175" t="s">
        <v>653</v>
      </c>
    </row>
    <row r="36" spans="1:105" ht="11.45" customHeight="1" x14ac:dyDescent="0.25">
      <c r="A36" s="111" t="s">
        <v>111</v>
      </c>
      <c r="B36" s="97">
        <v>270.66166060413246</v>
      </c>
      <c r="C36" s="97">
        <v>278.77780012178113</v>
      </c>
      <c r="D36" s="97">
        <v>315.75921776675921</v>
      </c>
      <c r="E36" s="97">
        <v>272.45053026950745</v>
      </c>
      <c r="F36" s="97">
        <v>249.09541356513927</v>
      </c>
      <c r="G36" s="97">
        <v>262.63340269531801</v>
      </c>
      <c r="H36" s="97">
        <v>249.23617427527878</v>
      </c>
      <c r="I36" s="97">
        <v>262.15930796497486</v>
      </c>
      <c r="J36" s="97">
        <v>237.59008842897634</v>
      </c>
      <c r="K36" s="97">
        <v>244.04437676369838</v>
      </c>
      <c r="L36" s="97">
        <v>219.44186291486986</v>
      </c>
      <c r="M36" s="97">
        <v>242.67431672964224</v>
      </c>
      <c r="N36" s="97">
        <v>222.12822831513679</v>
      </c>
      <c r="O36" s="97">
        <v>197.10948235838237</v>
      </c>
      <c r="P36" s="97">
        <v>200.43006426989024</v>
      </c>
      <c r="Q36" s="97">
        <v>215.10392760288724</v>
      </c>
      <c r="R36" s="97">
        <v>188.62811096352274</v>
      </c>
      <c r="S36" s="97">
        <v>173.07049261686723</v>
      </c>
      <c r="T36" s="97">
        <v>174.38758412322105</v>
      </c>
      <c r="U36" s="97">
        <v>187.70364902065393</v>
      </c>
      <c r="V36" s="97">
        <v>185.81101360578569</v>
      </c>
      <c r="W36" s="97">
        <v>180.87818212338851</v>
      </c>
      <c r="X36" s="97">
        <v>192.44842964787935</v>
      </c>
      <c r="Y36" s="97">
        <v>196.46468161435718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0.95966366223451227</v>
      </c>
      <c r="I37" s="97">
        <v>0.45311947966757199</v>
      </c>
      <c r="J37" s="97">
        <v>0.66711286718345897</v>
      </c>
      <c r="K37" s="97">
        <v>0.65390669948634472</v>
      </c>
      <c r="L37" s="97">
        <v>2.1372634469112257</v>
      </c>
      <c r="M37" s="97">
        <v>2.8443713604600789</v>
      </c>
      <c r="N37" s="97">
        <v>11.746250128668732</v>
      </c>
      <c r="O37" s="97">
        <v>13.210233603480143</v>
      </c>
      <c r="P37" s="97">
        <v>11.89760372619409</v>
      </c>
      <c r="Q37" s="97">
        <v>13.271702607664771</v>
      </c>
      <c r="R37" s="97">
        <v>12.905333956413999</v>
      </c>
      <c r="S37" s="97">
        <v>12.446613456633754</v>
      </c>
      <c r="T37" s="97">
        <v>11.384820396249532</v>
      </c>
      <c r="U37" s="97">
        <v>12.641648883223027</v>
      </c>
      <c r="V37" s="97">
        <v>13.194623697714652</v>
      </c>
      <c r="W37" s="97">
        <v>11.49958080816228</v>
      </c>
      <c r="X37" s="97">
        <v>14.295324118657978</v>
      </c>
      <c r="Y37" s="97">
        <v>13.175919423697763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0.45615592980371267</v>
      </c>
      <c r="S38" s="97">
        <v>0.46056490200721284</v>
      </c>
      <c r="T38" s="97">
        <v>0.52071673624199111</v>
      </c>
      <c r="U38" s="97">
        <v>0.5681358510003337</v>
      </c>
      <c r="V38" s="97">
        <v>0.16850261041665621</v>
      </c>
      <c r="W38" s="97">
        <v>0.43444398613559848</v>
      </c>
      <c r="X38" s="97">
        <v>0.4001880668667116</v>
      </c>
      <c r="Y38" s="97">
        <v>0.34085584445957778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1.2562476400387403</v>
      </c>
      <c r="G39" s="97">
        <v>2.7517961402915248</v>
      </c>
      <c r="H39" s="97">
        <v>4.8510883905337856</v>
      </c>
      <c r="I39" s="97">
        <v>8.332595685255999</v>
      </c>
      <c r="J39" s="97">
        <v>8.2948768967177031</v>
      </c>
      <c r="K39" s="97">
        <v>12.672370960787369</v>
      </c>
      <c r="L39" s="97">
        <v>18.51158849021477</v>
      </c>
      <c r="M39" s="97">
        <v>18.78834905710962</v>
      </c>
      <c r="N39" s="97">
        <v>19.29319152012831</v>
      </c>
      <c r="O39" s="97">
        <v>21.848157637014864</v>
      </c>
      <c r="P39" s="97">
        <v>13.120812374894157</v>
      </c>
      <c r="Q39" s="97">
        <v>19.964389611997099</v>
      </c>
      <c r="R39" s="97">
        <v>20.319493794080536</v>
      </c>
      <c r="S39" s="97">
        <v>20.839052042813201</v>
      </c>
      <c r="T39" s="97">
        <v>22.633880647907716</v>
      </c>
      <c r="U39" s="97">
        <v>28.898634159080778</v>
      </c>
      <c r="V39" s="97">
        <v>26.806522616743742</v>
      </c>
      <c r="W39" s="97">
        <v>33.84302057840393</v>
      </c>
      <c r="X39" s="97">
        <v>21.830692965068273</v>
      </c>
      <c r="Y39" s="97">
        <v>15.19099838500064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8.8924092868873927E-2</v>
      </c>
      <c r="K41" s="97">
        <v>0.24755437852095166</v>
      </c>
      <c r="L41" s="97">
        <v>0.49863792161737402</v>
      </c>
      <c r="M41" s="97">
        <v>0.55118762475486061</v>
      </c>
      <c r="N41" s="97">
        <v>0.59472155637270796</v>
      </c>
      <c r="O41" s="97">
        <v>4.7862972304018081</v>
      </c>
      <c r="P41" s="97">
        <v>6.3252759573119839</v>
      </c>
      <c r="Q41" s="97">
        <v>6.7731216064704771</v>
      </c>
      <c r="R41" s="97">
        <v>6.6976389587146983</v>
      </c>
      <c r="S41" s="97">
        <v>6.5857336986953978</v>
      </c>
      <c r="T41" s="97">
        <v>6.5786113594422817</v>
      </c>
      <c r="U41" s="97">
        <v>6.7665132618492363</v>
      </c>
      <c r="V41" s="97">
        <v>6.3988994278359925</v>
      </c>
      <c r="W41" s="97">
        <v>7.0831744979176747</v>
      </c>
      <c r="X41" s="97">
        <v>6.821196029669089</v>
      </c>
      <c r="Y41" s="97">
        <v>7.910212017199675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326.87017543972888</v>
      </c>
      <c r="C42" s="32">
        <f t="shared" si="26"/>
        <v>358.36828110433038</v>
      </c>
      <c r="D42" s="32">
        <f t="shared" si="26"/>
        <v>342.80237943034302</v>
      </c>
      <c r="E42" s="32">
        <f t="shared" si="26"/>
        <v>484.86066106047554</v>
      </c>
      <c r="F42" s="32">
        <f t="shared" si="26"/>
        <v>535.81594089666555</v>
      </c>
      <c r="G42" s="32">
        <f t="shared" si="26"/>
        <v>577.91120246046421</v>
      </c>
      <c r="H42" s="32">
        <f t="shared" si="26"/>
        <v>589.5973947476665</v>
      </c>
      <c r="I42" s="32">
        <f t="shared" si="26"/>
        <v>532.30319180386721</v>
      </c>
      <c r="J42" s="32">
        <f t="shared" si="26"/>
        <v>566.11817959037455</v>
      </c>
      <c r="K42" s="32">
        <f t="shared" si="26"/>
        <v>492.91544934302988</v>
      </c>
      <c r="L42" s="32">
        <f t="shared" ref="L42" si="27">L43+L52</f>
        <v>480.45526216978641</v>
      </c>
      <c r="M42" s="32">
        <f t="shared" ref="M42:V42" si="28">M43+M52</f>
        <v>500.90813871799037</v>
      </c>
      <c r="N42" s="32">
        <f t="shared" si="28"/>
        <v>522.08697855160267</v>
      </c>
      <c r="O42" s="32">
        <f t="shared" si="28"/>
        <v>483.03155297793415</v>
      </c>
      <c r="P42" s="32">
        <f t="shared" si="28"/>
        <v>524.31759706288699</v>
      </c>
      <c r="Q42" s="32">
        <f t="shared" si="28"/>
        <v>586.04788529373047</v>
      </c>
      <c r="R42" s="32">
        <f t="shared" si="28"/>
        <v>589.76801258187936</v>
      </c>
      <c r="S42" s="32">
        <f t="shared" si="28"/>
        <v>580.83764453180709</v>
      </c>
      <c r="T42" s="32">
        <f t="shared" si="28"/>
        <v>561.25762378600484</v>
      </c>
      <c r="U42" s="32">
        <f t="shared" si="28"/>
        <v>498.93191180637757</v>
      </c>
      <c r="V42" s="32">
        <f t="shared" si="28"/>
        <v>538.89709268737374</v>
      </c>
      <c r="W42" s="32">
        <f t="shared" ref="W42:Y42" si="29">W43+W52</f>
        <v>615.14907901056051</v>
      </c>
      <c r="X42" s="32">
        <f t="shared" si="29"/>
        <v>568.45558717487677</v>
      </c>
      <c r="Y42" s="32">
        <f t="shared" si="29"/>
        <v>579.3301457810054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127.63818988942762</v>
      </c>
      <c r="C43" s="141">
        <f t="shared" si="30"/>
        <v>123.62239196430548</v>
      </c>
      <c r="D43" s="141">
        <f t="shared" si="30"/>
        <v>125.7164966346062</v>
      </c>
      <c r="E43" s="141">
        <f t="shared" si="30"/>
        <v>133.16978318948119</v>
      </c>
      <c r="F43" s="141">
        <f t="shared" si="30"/>
        <v>148.74772550623854</v>
      </c>
      <c r="G43" s="141">
        <f t="shared" si="30"/>
        <v>137.71127651010738</v>
      </c>
      <c r="H43" s="141">
        <f t="shared" si="30"/>
        <v>147.05577306059556</v>
      </c>
      <c r="I43" s="141">
        <f t="shared" si="30"/>
        <v>157.79240493520726</v>
      </c>
      <c r="J43" s="141">
        <f t="shared" si="30"/>
        <v>167.08209032785169</v>
      </c>
      <c r="K43" s="141">
        <f t="shared" si="30"/>
        <v>164.76550782561711</v>
      </c>
      <c r="L43" s="141">
        <f t="shared" ref="L43" si="31">L44+L46+L48+L49+L51</f>
        <v>160.8537752922752</v>
      </c>
      <c r="M43" s="141">
        <f t="shared" ref="M43:V43" si="32">M44+M46+M48+M49+M51</f>
        <v>178.00643509044963</v>
      </c>
      <c r="N43" s="141">
        <f t="shared" si="32"/>
        <v>186.83961966064342</v>
      </c>
      <c r="O43" s="141">
        <f t="shared" si="32"/>
        <v>185.79115998006949</v>
      </c>
      <c r="P43" s="141">
        <f t="shared" si="32"/>
        <v>193.33842095554726</v>
      </c>
      <c r="Q43" s="141">
        <f t="shared" si="32"/>
        <v>215.2585010546172</v>
      </c>
      <c r="R43" s="141">
        <f t="shared" si="32"/>
        <v>210.86002221150773</v>
      </c>
      <c r="S43" s="141">
        <f t="shared" si="32"/>
        <v>179.25702374849678</v>
      </c>
      <c r="T43" s="141">
        <f t="shared" si="32"/>
        <v>178.21822818829071</v>
      </c>
      <c r="U43" s="141">
        <f t="shared" si="32"/>
        <v>173.95521136090744</v>
      </c>
      <c r="V43" s="141">
        <f t="shared" si="32"/>
        <v>167.24649024807886</v>
      </c>
      <c r="W43" s="141">
        <f t="shared" ref="W43:Y43" si="33">W44+W46+W48+W49+W51</f>
        <v>161.22879928418675</v>
      </c>
      <c r="X43" s="141">
        <f t="shared" si="33"/>
        <v>150.69558321477155</v>
      </c>
      <c r="Y43" s="141">
        <f t="shared" si="33"/>
        <v>139.34743679688265</v>
      </c>
      <c r="DA43" s="174" t="s">
        <v>400</v>
      </c>
    </row>
    <row r="44" spans="1:105" ht="11.45" customHeight="1" x14ac:dyDescent="0.25">
      <c r="A44" s="111" t="s">
        <v>110</v>
      </c>
      <c r="B44" s="96">
        <v>29.887491412431096</v>
      </c>
      <c r="C44" s="96">
        <v>30.386339417475536</v>
      </c>
      <c r="D44" s="96">
        <v>30.928688321944367</v>
      </c>
      <c r="E44" s="96">
        <v>31.537463227081467</v>
      </c>
      <c r="F44" s="96">
        <v>32.147115753566361</v>
      </c>
      <c r="G44" s="96">
        <v>29.261622933056159</v>
      </c>
      <c r="H44" s="96">
        <v>25.668347977352383</v>
      </c>
      <c r="I44" s="96">
        <v>22.317386243671841</v>
      </c>
      <c r="J44" s="96">
        <v>19.481813297089335</v>
      </c>
      <c r="K44" s="96">
        <v>16.326696049829614</v>
      </c>
      <c r="L44" s="96">
        <v>12.469820054917017</v>
      </c>
      <c r="M44" s="96">
        <v>13.533760867606663</v>
      </c>
      <c r="N44" s="96">
        <v>12.729749386433996</v>
      </c>
      <c r="O44" s="96">
        <v>11.734093962577219</v>
      </c>
      <c r="P44" s="96">
        <v>10.662664826693639</v>
      </c>
      <c r="Q44" s="96">
        <v>12.679576422140956</v>
      </c>
      <c r="R44" s="96">
        <v>12.313911120149443</v>
      </c>
      <c r="S44" s="96">
        <v>12.004202182887258</v>
      </c>
      <c r="T44" s="96">
        <v>12.082180288644656</v>
      </c>
      <c r="U44" s="96">
        <v>11.855529667428403</v>
      </c>
      <c r="V44" s="96">
        <v>11.655388874285643</v>
      </c>
      <c r="W44" s="96">
        <v>11.434678527915333</v>
      </c>
      <c r="X44" s="96">
        <v>11.015599792128546</v>
      </c>
      <c r="Y44" s="96">
        <v>10.639987448901927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0.21820750366795225</v>
      </c>
      <c r="P45" s="96">
        <v>0.30394834683485938</v>
      </c>
      <c r="Q45" s="96">
        <v>0.74005309856853807</v>
      </c>
      <c r="R45" s="96">
        <v>0.77028375181360031</v>
      </c>
      <c r="S45" s="96">
        <v>0.60177951457910894</v>
      </c>
      <c r="T45" s="96">
        <v>0.68264333718221148</v>
      </c>
      <c r="U45" s="96">
        <v>0.74752610310829137</v>
      </c>
      <c r="V45" s="96">
        <v>0.63603883052258159</v>
      </c>
      <c r="W45" s="96">
        <v>0.45446811079087296</v>
      </c>
      <c r="X45" s="96">
        <v>0.42229778469248075</v>
      </c>
      <c r="Y45" s="96">
        <v>0.41494538005836668</v>
      </c>
      <c r="DA45" s="171" t="s">
        <v>661</v>
      </c>
    </row>
    <row r="46" spans="1:105" ht="11.45" customHeight="1" x14ac:dyDescent="0.25">
      <c r="A46" s="111" t="s">
        <v>111</v>
      </c>
      <c r="B46" s="96">
        <v>97.750698476996533</v>
      </c>
      <c r="C46" s="96">
        <v>93.236052546829939</v>
      </c>
      <c r="D46" s="96">
        <v>94.787808312661838</v>
      </c>
      <c r="E46" s="96">
        <v>101.63231996239972</v>
      </c>
      <c r="F46" s="96">
        <v>116.60060975267218</v>
      </c>
      <c r="G46" s="96">
        <v>108.44965357705121</v>
      </c>
      <c r="H46" s="96">
        <v>121.38742508324317</v>
      </c>
      <c r="I46" s="96">
        <v>135.47501869153541</v>
      </c>
      <c r="J46" s="96">
        <v>147.60027703076236</v>
      </c>
      <c r="K46" s="96">
        <v>148.43881177578749</v>
      </c>
      <c r="L46" s="96">
        <v>148.38395523735818</v>
      </c>
      <c r="M46" s="96">
        <v>164.47267422284295</v>
      </c>
      <c r="N46" s="96">
        <v>174.1062781846889</v>
      </c>
      <c r="O46" s="96">
        <v>174.05335537351485</v>
      </c>
      <c r="P46" s="96">
        <v>182.67192215632704</v>
      </c>
      <c r="Q46" s="96">
        <v>202.57393829209525</v>
      </c>
      <c r="R46" s="96">
        <v>198.3092175762078</v>
      </c>
      <c r="S46" s="96">
        <v>166.60247854411509</v>
      </c>
      <c r="T46" s="96">
        <v>164.89722963303194</v>
      </c>
      <c r="U46" s="96">
        <v>160.07845085585433</v>
      </c>
      <c r="V46" s="96">
        <v>153.10573440877118</v>
      </c>
      <c r="W46" s="96">
        <v>146.63622124189533</v>
      </c>
      <c r="X46" s="96">
        <v>136.53859814436382</v>
      </c>
      <c r="Y46" s="96">
        <v>125.57194565356869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0.46739242906184003</v>
      </c>
      <c r="I47" s="96">
        <v>0.23415674405756551</v>
      </c>
      <c r="J47" s="96">
        <v>0.41443666551140468</v>
      </c>
      <c r="K47" s="96">
        <v>0.39773558715497687</v>
      </c>
      <c r="L47" s="96">
        <v>1.445191903788871</v>
      </c>
      <c r="M47" s="96">
        <v>1.9277745187140012</v>
      </c>
      <c r="N47" s="96">
        <v>9.2068257512391742</v>
      </c>
      <c r="O47" s="96">
        <v>11.665017108477514</v>
      </c>
      <c r="P47" s="96">
        <v>10.843473755472161</v>
      </c>
      <c r="Q47" s="96">
        <v>12.498614483876288</v>
      </c>
      <c r="R47" s="96">
        <v>13.567684404956152</v>
      </c>
      <c r="S47" s="96">
        <v>11.981456919673812</v>
      </c>
      <c r="T47" s="96">
        <v>10.765246577902472</v>
      </c>
      <c r="U47" s="96">
        <v>10.781120026426928</v>
      </c>
      <c r="V47" s="96">
        <v>10.872189502027855</v>
      </c>
      <c r="W47" s="96">
        <v>9.3226007458679341</v>
      </c>
      <c r="X47" s="96">
        <v>10.142267820798411</v>
      </c>
      <c r="Y47" s="96">
        <v>8.421492474948062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0.18821457259453245</v>
      </c>
      <c r="S48" s="96">
        <v>0.56009837100526583</v>
      </c>
      <c r="T48" s="96">
        <v>1.099569999874733</v>
      </c>
      <c r="U48" s="96">
        <v>1.8097861244864129</v>
      </c>
      <c r="V48" s="96">
        <v>2.1924532114560349</v>
      </c>
      <c r="W48" s="96">
        <v>2.7950344225504562</v>
      </c>
      <c r="X48" s="96">
        <v>2.7700888668231753</v>
      </c>
      <c r="Y48" s="96">
        <v>2.7405532584342391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4.1748088613084836E-2</v>
      </c>
      <c r="S49" s="96">
        <v>8.2506321206246819E-2</v>
      </c>
      <c r="T49" s="96">
        <v>0.12994080994452925</v>
      </c>
      <c r="U49" s="96">
        <v>0.19803192367916136</v>
      </c>
      <c r="V49" s="96">
        <v>0.27740295761274669</v>
      </c>
      <c r="W49" s="96">
        <v>0.34290803893154348</v>
      </c>
      <c r="X49" s="96">
        <v>0.34561141822394281</v>
      </c>
      <c r="Y49" s="96">
        <v>0.342907994030408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3.5920895205224491E-3</v>
      </c>
      <c r="O51" s="96">
        <v>3.7106439774178563E-3</v>
      </c>
      <c r="P51" s="96">
        <v>3.8339725265873303E-3</v>
      </c>
      <c r="Q51" s="96">
        <v>4.9863403809724616E-3</v>
      </c>
      <c r="R51" s="96">
        <v>6.9308539428653559E-3</v>
      </c>
      <c r="S51" s="96">
        <v>7.7383292829077445E-3</v>
      </c>
      <c r="T51" s="96">
        <v>9.3074567948386276E-3</v>
      </c>
      <c r="U51" s="96">
        <v>1.3412789459113943E-2</v>
      </c>
      <c r="V51" s="96">
        <v>1.5510795953238073E-2</v>
      </c>
      <c r="W51" s="96">
        <v>1.9957052894093118E-2</v>
      </c>
      <c r="X51" s="96">
        <v>2.5684993232058407E-2</v>
      </c>
      <c r="Y51" s="96">
        <v>5.2042441947378656E-2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199.23198555030123</v>
      </c>
      <c r="C52" s="130">
        <f t="shared" si="34"/>
        <v>234.7458891400249</v>
      </c>
      <c r="D52" s="130">
        <f t="shared" si="34"/>
        <v>217.08588279573684</v>
      </c>
      <c r="E52" s="130">
        <f t="shared" si="34"/>
        <v>351.69087787099431</v>
      </c>
      <c r="F52" s="130">
        <f t="shared" si="34"/>
        <v>387.06821539042699</v>
      </c>
      <c r="G52" s="130">
        <f t="shared" si="34"/>
        <v>440.19992595035683</v>
      </c>
      <c r="H52" s="130">
        <f t="shared" si="34"/>
        <v>442.54162168707091</v>
      </c>
      <c r="I52" s="130">
        <f t="shared" si="34"/>
        <v>374.51078686865992</v>
      </c>
      <c r="J52" s="130">
        <f t="shared" si="34"/>
        <v>399.03608926252286</v>
      </c>
      <c r="K52" s="130">
        <f t="shared" si="34"/>
        <v>328.1499415174128</v>
      </c>
      <c r="L52" s="130">
        <f t="shared" ref="L52" si="35">L53+L55</f>
        <v>319.60148687751121</v>
      </c>
      <c r="M52" s="130">
        <f t="shared" ref="M52:V52" si="36">M53+M55</f>
        <v>322.90170362754077</v>
      </c>
      <c r="N52" s="130">
        <f t="shared" si="36"/>
        <v>335.24735889095922</v>
      </c>
      <c r="O52" s="130">
        <f t="shared" si="36"/>
        <v>297.24039299786466</v>
      </c>
      <c r="P52" s="130">
        <f t="shared" si="36"/>
        <v>330.97917610733975</v>
      </c>
      <c r="Q52" s="130">
        <f t="shared" si="36"/>
        <v>370.78938423911325</v>
      </c>
      <c r="R52" s="130">
        <f t="shared" si="36"/>
        <v>378.90799037037164</v>
      </c>
      <c r="S52" s="130">
        <f t="shared" si="36"/>
        <v>401.58062078331034</v>
      </c>
      <c r="T52" s="130">
        <f t="shared" si="36"/>
        <v>383.03939559771413</v>
      </c>
      <c r="U52" s="130">
        <f t="shared" si="36"/>
        <v>324.9767004454701</v>
      </c>
      <c r="V52" s="130">
        <f t="shared" si="36"/>
        <v>371.65060243929486</v>
      </c>
      <c r="W52" s="130">
        <f t="shared" ref="W52:Y52" si="37">W53+W55</f>
        <v>453.92027972637379</v>
      </c>
      <c r="X52" s="130">
        <f t="shared" si="37"/>
        <v>417.76000396010522</v>
      </c>
      <c r="Y52" s="130">
        <f t="shared" si="37"/>
        <v>439.98270898412272</v>
      </c>
      <c r="DA52" s="176" t="s">
        <v>401</v>
      </c>
    </row>
    <row r="53" spans="1:105" ht="11.45" customHeight="1" x14ac:dyDescent="0.25">
      <c r="A53" s="128" t="s">
        <v>27</v>
      </c>
      <c r="B53" s="97">
        <v>74.565912978786301</v>
      </c>
      <c r="C53" s="97">
        <v>104.37052792776379</v>
      </c>
      <c r="D53" s="97">
        <v>78.606069777194108</v>
      </c>
      <c r="E53" s="97">
        <v>216.793512200252</v>
      </c>
      <c r="F53" s="97">
        <v>228.36203337029198</v>
      </c>
      <c r="G53" s="97">
        <v>279.19241967184018</v>
      </c>
      <c r="H53" s="97">
        <v>303.01467847415461</v>
      </c>
      <c r="I53" s="97">
        <v>250.08702489651623</v>
      </c>
      <c r="J53" s="97">
        <v>327.79882001493348</v>
      </c>
      <c r="K53" s="97">
        <v>260.9973001217387</v>
      </c>
      <c r="L53" s="97">
        <v>246.16126788885924</v>
      </c>
      <c r="M53" s="97">
        <v>237.55630959206906</v>
      </c>
      <c r="N53" s="97">
        <v>256.9013547507061</v>
      </c>
      <c r="O53" s="97">
        <v>195.18311707719906</v>
      </c>
      <c r="P53" s="97">
        <v>238.4443487841524</v>
      </c>
      <c r="Q53" s="97">
        <v>265.18240547736696</v>
      </c>
      <c r="R53" s="97">
        <v>277.89179229790614</v>
      </c>
      <c r="S53" s="97">
        <v>305.73215663146982</v>
      </c>
      <c r="T53" s="97">
        <v>296.98630266989682</v>
      </c>
      <c r="U53" s="97">
        <v>250.36024547432578</v>
      </c>
      <c r="V53" s="97">
        <v>279.03305566651125</v>
      </c>
      <c r="W53" s="97">
        <v>346.44482799910151</v>
      </c>
      <c r="X53" s="97">
        <v>289.34655566062361</v>
      </c>
      <c r="Y53" s="97">
        <v>307.96529876262701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1.1667334282468305</v>
      </c>
      <c r="I54" s="97">
        <v>0.43225359218548265</v>
      </c>
      <c r="J54" s="97">
        <v>0.9204037597927297</v>
      </c>
      <c r="K54" s="97">
        <v>0.69933134850595779</v>
      </c>
      <c r="L54" s="97">
        <v>2.39749823901322</v>
      </c>
      <c r="M54" s="97">
        <v>2.7843835005129498</v>
      </c>
      <c r="N54" s="97">
        <v>13.585070183040841</v>
      </c>
      <c r="O54" s="97">
        <v>13.081129031413957</v>
      </c>
      <c r="P54" s="97">
        <v>14.154145900807526</v>
      </c>
      <c r="Q54" s="97">
        <v>16.361495866212845</v>
      </c>
      <c r="R54" s="97">
        <v>19.012470437369963</v>
      </c>
      <c r="S54" s="97">
        <v>21.987167871989094</v>
      </c>
      <c r="T54" s="97">
        <v>19.388626392426495</v>
      </c>
      <c r="U54" s="97">
        <v>16.861506604251979</v>
      </c>
      <c r="V54" s="97">
        <v>19.814413028036171</v>
      </c>
      <c r="W54" s="97">
        <v>22.025709504465464</v>
      </c>
      <c r="X54" s="97">
        <v>21.493045193219153</v>
      </c>
      <c r="Y54" s="97">
        <v>20.653717138616969</v>
      </c>
      <c r="DA54" s="175" t="s">
        <v>669</v>
      </c>
    </row>
    <row r="55" spans="1:105" ht="11.45" customHeight="1" x14ac:dyDescent="0.25">
      <c r="A55" s="128" t="s">
        <v>116</v>
      </c>
      <c r="B55" s="97">
        <v>124.66607257151493</v>
      </c>
      <c r="C55" s="97">
        <v>130.37536121226111</v>
      </c>
      <c r="D55" s="97">
        <v>138.47981301854273</v>
      </c>
      <c r="E55" s="97">
        <v>134.89736567074232</v>
      </c>
      <c r="F55" s="97">
        <v>158.706182020135</v>
      </c>
      <c r="G55" s="97">
        <v>161.00750627851667</v>
      </c>
      <c r="H55" s="97">
        <v>139.52694321291628</v>
      </c>
      <c r="I55" s="97">
        <v>124.42376197214369</v>
      </c>
      <c r="J55" s="97">
        <v>71.237269247589367</v>
      </c>
      <c r="K55" s="97">
        <v>67.152641395674095</v>
      </c>
      <c r="L55" s="97">
        <v>73.440218988651935</v>
      </c>
      <c r="M55" s="97">
        <v>85.345394035471713</v>
      </c>
      <c r="N55" s="97">
        <v>78.346004140253129</v>
      </c>
      <c r="O55" s="97">
        <v>102.05727592066562</v>
      </c>
      <c r="P55" s="97">
        <v>92.534827323187372</v>
      </c>
      <c r="Q55" s="97">
        <v>105.60697876174632</v>
      </c>
      <c r="R55" s="97">
        <v>101.01619807246547</v>
      </c>
      <c r="S55" s="97">
        <v>95.848464151840503</v>
      </c>
      <c r="T55" s="97">
        <v>86.053092927817289</v>
      </c>
      <c r="U55" s="97">
        <v>74.616454971144293</v>
      </c>
      <c r="V55" s="97">
        <v>92.617546772783598</v>
      </c>
      <c r="W55" s="97">
        <v>107.47545172727227</v>
      </c>
      <c r="X55" s="97">
        <v>128.41344829948159</v>
      </c>
      <c r="Y55" s="97">
        <v>132.01741022149574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0.53723717150386086</v>
      </c>
      <c r="I56" s="98">
        <v>0.21505561149342037</v>
      </c>
      <c r="J56" s="98">
        <v>0.20002222842004505</v>
      </c>
      <c r="K56" s="98">
        <v>0.17993269371395404</v>
      </c>
      <c r="L56" s="98">
        <v>0.71527416643602282</v>
      </c>
      <c r="M56" s="98">
        <v>1.0003283322813386</v>
      </c>
      <c r="N56" s="98">
        <v>4.1429752904143484</v>
      </c>
      <c r="O56" s="98">
        <v>6.8398558999588719</v>
      </c>
      <c r="P56" s="98">
        <v>5.4929020273156244</v>
      </c>
      <c r="Q56" s="98">
        <v>6.5158476232353779</v>
      </c>
      <c r="R56" s="98">
        <v>6.9112062060809851</v>
      </c>
      <c r="S56" s="98">
        <v>6.8930801875680832</v>
      </c>
      <c r="T56" s="98">
        <v>5.6179401328980045</v>
      </c>
      <c r="U56" s="98">
        <v>5.0253419663260468</v>
      </c>
      <c r="V56" s="98">
        <v>6.5768635225523289</v>
      </c>
      <c r="W56" s="98">
        <v>6.8329006158874996</v>
      </c>
      <c r="X56" s="98">
        <v>9.538720934197265</v>
      </c>
      <c r="Y56" s="98">
        <v>8.8537580663891031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10.713953725111264</v>
      </c>
      <c r="C60" s="79">
        <f>IF(C17=0,0,C17/TrRoad_act!C30*100)</f>
        <v>10.874669304088739</v>
      </c>
      <c r="D60" s="79">
        <f>IF(D17=0,0,D17/TrRoad_act!D30*100)</f>
        <v>10.508386010798681</v>
      </c>
      <c r="E60" s="79">
        <f>IF(E17=0,0,E17/TrRoad_act!E30*100)</f>
        <v>10.894688931832125</v>
      </c>
      <c r="F60" s="79">
        <f>IF(F17=0,0,F17/TrRoad_act!F30*100)</f>
        <v>10.415570112870839</v>
      </c>
      <c r="G60" s="79">
        <f>IF(G17=0,0,G17/TrRoad_act!G30*100)</f>
        <v>10.526010505339729</v>
      </c>
      <c r="H60" s="79">
        <f>IF(H17=0,0,H17/TrRoad_act!H30*100)</f>
        <v>10.018917968050507</v>
      </c>
      <c r="I60" s="79">
        <f>IF(I17=0,0,I17/TrRoad_act!I30*100)</f>
        <v>9.5336292438861641</v>
      </c>
      <c r="J60" s="79">
        <f>IF(J17=0,0,J17/TrRoad_act!J30*100)</f>
        <v>9.3604567570609838</v>
      </c>
      <c r="K60" s="79">
        <f>IF(K17=0,0,K17/TrRoad_act!K30*100)</f>
        <v>8.9790227186204543</v>
      </c>
      <c r="L60" s="79">
        <f>IF(L17=0,0,L17/TrRoad_act!L30*100)</f>
        <v>8.8099913408040553</v>
      </c>
      <c r="M60" s="79">
        <f>IF(M17=0,0,M17/TrRoad_act!M30*100)</f>
        <v>8.7265424973919963</v>
      </c>
      <c r="N60" s="79">
        <f>IF(N17=0,0,N17/TrRoad_act!N30*100)</f>
        <v>8.7528755695262372</v>
      </c>
      <c r="O60" s="79">
        <f>IF(O17=0,0,O17/TrRoad_act!O30*100)</f>
        <v>7.7093618418322114</v>
      </c>
      <c r="P60" s="79">
        <f>IF(P17=0,0,P17/TrRoad_act!P30*100)</f>
        <v>8.4040001993871911</v>
      </c>
      <c r="Q60" s="79">
        <f>IF(Q17=0,0,Q17/TrRoad_act!Q30*100)</f>
        <v>8.3102224554459667</v>
      </c>
      <c r="R60" s="79">
        <f>IF(R17=0,0,R17/TrRoad_act!R30*100)</f>
        <v>8.3022763374317083</v>
      </c>
      <c r="S60" s="79">
        <f>IF(S17=0,0,S17/TrRoad_act!S30*100)</f>
        <v>8.4382978548748913</v>
      </c>
      <c r="T60" s="79">
        <f>IF(T17=0,0,T17/TrRoad_act!T30*100)</f>
        <v>8.6099191186032282</v>
      </c>
      <c r="U60" s="79">
        <f>IF(U17=0,0,U17/TrRoad_act!U30*100)</f>
        <v>8.7019896737116653</v>
      </c>
      <c r="V60" s="79">
        <f>IF(V17=0,0,V17/TrRoad_act!V30*100)</f>
        <v>8.4133477360413185</v>
      </c>
      <c r="W60" s="79">
        <f>IF(W17=0,0,W17/TrRoad_act!W30*100)</f>
        <v>8.4010321416115357</v>
      </c>
      <c r="X60" s="79">
        <f>IF(X17=0,0,X17/TrRoad_act!X30*100)</f>
        <v>8.1532229426491174</v>
      </c>
      <c r="Y60" s="79">
        <f>IF(Y17=0,0,Y17/TrRoad_act!Y30*100)</f>
        <v>8.0681714993603055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9.7985301062958605</v>
      </c>
      <c r="C61" s="32">
        <f>IF(C18=0,0,C18/TrRoad_act!C31*100)</f>
        <v>9.7909327569456828</v>
      </c>
      <c r="D61" s="32">
        <f>IF(D18=0,0,D18/TrRoad_act!D31*100)</f>
        <v>9.615159976969915</v>
      </c>
      <c r="E61" s="32">
        <f>IF(E18=0,0,E18/TrRoad_act!E31*100)</f>
        <v>9.5031468056446524</v>
      </c>
      <c r="F61" s="32">
        <f>IF(F18=0,0,F18/TrRoad_act!F31*100)</f>
        <v>9.0414338288664471</v>
      </c>
      <c r="G61" s="32">
        <f>IF(G18=0,0,G18/TrRoad_act!G31*100)</f>
        <v>9.0780891271169413</v>
      </c>
      <c r="H61" s="32">
        <f>IF(H18=0,0,H18/TrRoad_act!H31*100)</f>
        <v>8.7158608218182323</v>
      </c>
      <c r="I61" s="32">
        <f>IF(I18=0,0,I18/TrRoad_act!I31*100)</f>
        <v>8.4585495466514953</v>
      </c>
      <c r="J61" s="32">
        <f>IF(J18=0,0,J18/TrRoad_act!J31*100)</f>
        <v>8.281143141645595</v>
      </c>
      <c r="K61" s="32">
        <f>IF(K18=0,0,K18/TrRoad_act!K31*100)</f>
        <v>8.1341229659897962</v>
      </c>
      <c r="L61" s="32">
        <f>IF(L18=0,0,L18/TrRoad_act!L31*100)</f>
        <v>7.9744965785879183</v>
      </c>
      <c r="M61" s="32">
        <f>IF(M18=0,0,M18/TrRoad_act!M31*100)</f>
        <v>7.9040175007832643</v>
      </c>
      <c r="N61" s="32">
        <f>IF(N18=0,0,N18/TrRoad_act!N31*100)</f>
        <v>7.9390277205917252</v>
      </c>
      <c r="O61" s="32">
        <f>IF(O18=0,0,O18/TrRoad_act!O31*100)</f>
        <v>6.948926657362418</v>
      </c>
      <c r="P61" s="32">
        <f>IF(P18=0,0,P18/TrRoad_act!P31*100)</f>
        <v>7.63552281864792</v>
      </c>
      <c r="Q61" s="32">
        <f>IF(Q18=0,0,Q18/TrRoad_act!Q31*100)</f>
        <v>7.5299444025752216</v>
      </c>
      <c r="R61" s="32">
        <f>IF(R18=0,0,R18/TrRoad_act!R31*100)</f>
        <v>7.5185138402263787</v>
      </c>
      <c r="S61" s="32">
        <f>IF(S18=0,0,S18/TrRoad_act!S31*100)</f>
        <v>7.6037630082862853</v>
      </c>
      <c r="T61" s="32">
        <f>IF(T18=0,0,T18/TrRoad_act!T31*100)</f>
        <v>7.8352081314423172</v>
      </c>
      <c r="U61" s="32">
        <f>IF(U18=0,0,U18/TrRoad_act!U31*100)</f>
        <v>8.0781476037915212</v>
      </c>
      <c r="V61" s="32">
        <f>IF(V18=0,0,V18/TrRoad_act!V31*100)</f>
        <v>7.6545050012999685</v>
      </c>
      <c r="W61" s="32">
        <f>IF(W18=0,0,W18/TrRoad_act!W31*100)</f>
        <v>7.5303551266999573</v>
      </c>
      <c r="X61" s="32">
        <f>IF(X18=0,0,X18/TrRoad_act!X31*100)</f>
        <v>7.3673510516909593</v>
      </c>
      <c r="Y61" s="32">
        <f>IF(Y18=0,0,Y18/TrRoad_act!Y31*100)</f>
        <v>7.2548638931195519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4.6017243343714656</v>
      </c>
      <c r="C62" s="141">
        <f>IF(C19=0,0,C19/TrRoad_act!C32*100)</f>
        <v>4.5855778090005126</v>
      </c>
      <c r="D62" s="141">
        <f>IF(D19=0,0,D19/TrRoad_act!D32*100)</f>
        <v>4.5651241195603811</v>
      </c>
      <c r="E62" s="141">
        <f>IF(E19=0,0,E19/TrRoad_act!E32*100)</f>
        <v>4.54022518415817</v>
      </c>
      <c r="F62" s="141">
        <f>IF(F19=0,0,F19/TrRoad_act!F32*100)</f>
        <v>4.313649929887144</v>
      </c>
      <c r="G62" s="141">
        <f>IF(G19=0,0,G19/TrRoad_act!G32*100)</f>
        <v>4.3053141576987111</v>
      </c>
      <c r="H62" s="141">
        <f>IF(H19=0,0,H19/TrRoad_act!H32*100)</f>
        <v>4.2957603041674757</v>
      </c>
      <c r="I62" s="141">
        <f>IF(I19=0,0,I19/TrRoad_act!I32*100)</f>
        <v>4.2221370327267929</v>
      </c>
      <c r="J62" s="141">
        <f>IF(J19=0,0,J19/TrRoad_act!J32*100)</f>
        <v>4.1386994394176178</v>
      </c>
      <c r="K62" s="141">
        <f>IF(K19=0,0,K19/TrRoad_act!K32*100)</f>
        <v>4.0776994052411668</v>
      </c>
      <c r="L62" s="141">
        <f>IF(L19=0,0,L19/TrRoad_act!L32*100)</f>
        <v>4.031083351010281</v>
      </c>
      <c r="M62" s="141">
        <f>IF(M19=0,0,M19/TrRoad_act!M32*100)</f>
        <v>3.9789981508250687</v>
      </c>
      <c r="N62" s="141">
        <f>IF(N19=0,0,N19/TrRoad_act!N32*100)</f>
        <v>3.92421995666448</v>
      </c>
      <c r="O62" s="141">
        <f>IF(O19=0,0,O19/TrRoad_act!O32*100)</f>
        <v>3.8725187001473231</v>
      </c>
      <c r="P62" s="141">
        <f>IF(P19=0,0,P19/TrRoad_act!P32*100)</f>
        <v>3.8434580514991872</v>
      </c>
      <c r="Q62" s="141">
        <f>IF(Q19=0,0,Q19/TrRoad_act!Q32*100)</f>
        <v>3.7951825957412728</v>
      </c>
      <c r="R62" s="141">
        <f>IF(R19=0,0,R19/TrRoad_act!R32*100)</f>
        <v>3.7482614103071863</v>
      </c>
      <c r="S62" s="141">
        <f>IF(S19=0,0,S19/TrRoad_act!S32*100)</f>
        <v>3.7190472074250636</v>
      </c>
      <c r="T62" s="141">
        <f>IF(T19=0,0,T19/TrRoad_act!T32*100)</f>
        <v>3.6777828870414031</v>
      </c>
      <c r="U62" s="141">
        <f>IF(U19=0,0,U19/TrRoad_act!U32*100)</f>
        <v>3.6424420459275235</v>
      </c>
      <c r="V62" s="141">
        <f>IF(V19=0,0,V19/TrRoad_act!V32*100)</f>
        <v>3.6307441401677338</v>
      </c>
      <c r="W62" s="141">
        <f>IF(W19=0,0,W19/TrRoad_act!W32*100)</f>
        <v>3.6206978614896643</v>
      </c>
      <c r="X62" s="141">
        <f>IF(X19=0,0,X19/TrRoad_act!X32*100)</f>
        <v>3.6090622113555639</v>
      </c>
      <c r="Y62" s="141">
        <f>IF(Y19=0,0,Y19/TrRoad_act!Y32*100)</f>
        <v>3.5844187316455089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8.1570484467460247</v>
      </c>
      <c r="C63" s="130">
        <f>IF(C21=0,0,C21/TrRoad_act!C33*100)</f>
        <v>8.1425153955529588</v>
      </c>
      <c r="D63" s="130">
        <f>IF(D21=0,0,D21/TrRoad_act!D33*100)</f>
        <v>7.9150619851375144</v>
      </c>
      <c r="E63" s="130">
        <f>IF(E21=0,0,E21/TrRoad_act!E33*100)</f>
        <v>8.1634856126225195</v>
      </c>
      <c r="F63" s="130">
        <f>IF(F21=0,0,F21/TrRoad_act!F33*100)</f>
        <v>7.9248087897743877</v>
      </c>
      <c r="G63" s="130">
        <f>IF(G21=0,0,G21/TrRoad_act!G33*100)</f>
        <v>8.011388889121573</v>
      </c>
      <c r="H63" s="130">
        <f>IF(H21=0,0,H21/TrRoad_act!H33*100)</f>
        <v>7.7877508952532581</v>
      </c>
      <c r="I63" s="130">
        <f>IF(I21=0,0,I21/TrRoad_act!I33*100)</f>
        <v>7.4488009619692237</v>
      </c>
      <c r="J63" s="130">
        <f>IF(J21=0,0,J21/TrRoad_act!J33*100)</f>
        <v>7.437662647223112</v>
      </c>
      <c r="K63" s="130">
        <f>IF(K21=0,0,K21/TrRoad_act!K33*100)</f>
        <v>7.2828767955471507</v>
      </c>
      <c r="L63" s="130">
        <f>IF(L21=0,0,L21/TrRoad_act!L33*100)</f>
        <v>7.1898413326281467</v>
      </c>
      <c r="M63" s="130">
        <f>IF(M21=0,0,M21/TrRoad_act!M33*100)</f>
        <v>7.0398901481193823</v>
      </c>
      <c r="N63" s="130">
        <f>IF(N21=0,0,N21/TrRoad_act!N33*100)</f>
        <v>7.2073107687159466</v>
      </c>
      <c r="O63" s="130">
        <f>IF(O21=0,0,O21/TrRoad_act!O33*100)</f>
        <v>6.2678108333852594</v>
      </c>
      <c r="P63" s="130">
        <f>IF(P21=0,0,P21/TrRoad_act!P33*100)</f>
        <v>7.0328616411848577</v>
      </c>
      <c r="Q63" s="130">
        <f>IF(Q21=0,0,Q21/TrRoad_act!Q33*100)</f>
        <v>6.9313631761691665</v>
      </c>
      <c r="R63" s="130">
        <f>IF(R21=0,0,R21/TrRoad_act!R33*100)</f>
        <v>7.0040585766586272</v>
      </c>
      <c r="S63" s="130">
        <f>IF(S21=0,0,S21/TrRoad_act!S33*100)</f>
        <v>7.1337700855197115</v>
      </c>
      <c r="T63" s="130">
        <f>IF(T21=0,0,T21/TrRoad_act!T33*100)</f>
        <v>7.3681775116097636</v>
      </c>
      <c r="U63" s="130">
        <f>IF(U21=0,0,U21/TrRoad_act!U33*100)</f>
        <v>7.5905038130007583</v>
      </c>
      <c r="V63" s="130">
        <f>IF(V21=0,0,V21/TrRoad_act!V33*100)</f>
        <v>7.1425385691626566</v>
      </c>
      <c r="W63" s="130">
        <f>IF(W21=0,0,W21/TrRoad_act!W33*100)</f>
        <v>7.0583246834278635</v>
      </c>
      <c r="X63" s="130">
        <f>IF(X21=0,0,X21/TrRoad_act!X33*100)</f>
        <v>6.9136091106936917</v>
      </c>
      <c r="Y63" s="130">
        <f>IF(Y21=0,0,Y21/TrRoad_act!Y33*100)</f>
        <v>6.8230653424790972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8.3100212647906329</v>
      </c>
      <c r="C64" s="96">
        <f>IF(C22=0,0,C22/TrRoad_act!C34*100)</f>
        <v>8.0580449881385281</v>
      </c>
      <c r="D64" s="96">
        <f>IF(D22=0,0,D22/TrRoad_act!D34*100)</f>
        <v>8.1209238420008081</v>
      </c>
      <c r="E64" s="96">
        <f>IF(E22=0,0,E22/TrRoad_act!E34*100)</f>
        <v>8.093634779835007</v>
      </c>
      <c r="F64" s="96">
        <f>IF(F22=0,0,F22/TrRoad_act!F34*100)</f>
        <v>8.2654785530882062</v>
      </c>
      <c r="G64" s="96">
        <f>IF(G22=0,0,G22/TrRoad_act!G34*100)</f>
        <v>8.354795303752617</v>
      </c>
      <c r="H64" s="96">
        <f>IF(H22=0,0,H22/TrRoad_act!H34*100)</f>
        <v>8.5159168063566621</v>
      </c>
      <c r="I64" s="96">
        <f>IF(I22=0,0,I22/TrRoad_act!I34*100)</f>
        <v>8.5005929786570995</v>
      </c>
      <c r="J64" s="96">
        <f>IF(J22=0,0,J22/TrRoad_act!J34*100)</f>
        <v>8.4489323734086419</v>
      </c>
      <c r="K64" s="96">
        <f>IF(K22=0,0,K22/TrRoad_act!K34*100)</f>
        <v>8.2185864667373938</v>
      </c>
      <c r="L64" s="96">
        <f>IF(L22=0,0,L22/TrRoad_act!L34*100)</f>
        <v>8.2839791476699638</v>
      </c>
      <c r="M64" s="96">
        <f>IF(M22=0,0,M22/TrRoad_act!M34*100)</f>
        <v>8.0798421997876062</v>
      </c>
      <c r="N64" s="96">
        <f>IF(N22=0,0,N22/TrRoad_act!N34*100)</f>
        <v>8.1148235517759435</v>
      </c>
      <c r="O64" s="96">
        <f>IF(O22=0,0,O22/TrRoad_act!O34*100)</f>
        <v>6.8679309111260523</v>
      </c>
      <c r="P64" s="96">
        <f>IF(P22=0,0,P22/TrRoad_act!P34*100)</f>
        <v>7.9418072569239664</v>
      </c>
      <c r="Q64" s="96">
        <f>IF(Q22=0,0,Q22/TrRoad_act!Q34*100)</f>
        <v>7.9880392805471461</v>
      </c>
      <c r="R64" s="96">
        <f>IF(R22=0,0,R22/TrRoad_act!R34*100)</f>
        <v>7.647037526496085</v>
      </c>
      <c r="S64" s="96">
        <f>IF(S22=0,0,S22/TrRoad_act!S34*100)</f>
        <v>7.565408355173715</v>
      </c>
      <c r="T64" s="96">
        <f>IF(T22=0,0,T22/TrRoad_act!T34*100)</f>
        <v>7.4415857444277576</v>
      </c>
      <c r="U64" s="96">
        <f>IF(U22=0,0,U22/TrRoad_act!U34*100)</f>
        <v>7.3238971715580696</v>
      </c>
      <c r="V64" s="96">
        <f>IF(V22=0,0,V22/TrRoad_act!V34*100)</f>
        <v>7.2197226921544626</v>
      </c>
      <c r="W64" s="96">
        <f>IF(W22=0,0,W22/TrRoad_act!W34*100)</f>
        <v>7.1062136774109632</v>
      </c>
      <c r="X64" s="96">
        <f>IF(X22=0,0,X22/TrRoad_act!X34*100)</f>
        <v>7.0228105974621604</v>
      </c>
      <c r="Y64" s="96">
        <f>IF(Y22=0,0,Y22/TrRoad_act!Y34*100)</f>
        <v>6.8976503557220212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6.8264635648982424</v>
      </c>
      <c r="C65" s="96">
        <f>IF(C24=0,0,C24/TrRoad_act!C35*100)</f>
        <v>7.1642543537261556</v>
      </c>
      <c r="D65" s="96">
        <f>IF(D24=0,0,D24/TrRoad_act!D35*100)</f>
        <v>6.3693181245398103</v>
      </c>
      <c r="E65" s="96">
        <f>IF(E24=0,0,E24/TrRoad_act!E35*100)</f>
        <v>7.6777526170889869</v>
      </c>
      <c r="F65" s="96">
        <f>IF(F24=0,0,F24/TrRoad_act!F35*100)</f>
        <v>7.2530451094527644</v>
      </c>
      <c r="G65" s="96">
        <f>IF(G24=0,0,G24/TrRoad_act!G35*100)</f>
        <v>7.699639674358373</v>
      </c>
      <c r="H65" s="96">
        <f>IF(H24=0,0,H24/TrRoad_act!H35*100)</f>
        <v>7.300291479347691</v>
      </c>
      <c r="I65" s="96">
        <f>IF(I24=0,0,I24/TrRoad_act!I35*100)</f>
        <v>6.6203114112333648</v>
      </c>
      <c r="J65" s="96">
        <f>IF(J24=0,0,J24/TrRoad_act!J35*100)</f>
        <v>6.8654807775576785</v>
      </c>
      <c r="K65" s="96">
        <f>IF(K24=0,0,K24/TrRoad_act!K35*100)</f>
        <v>6.4196378853752663</v>
      </c>
      <c r="L65" s="96">
        <f>IF(L24=0,0,L24/TrRoad_act!L35*100)</f>
        <v>6.4129423380523507</v>
      </c>
      <c r="M65" s="96">
        <f>IF(M24=0,0,M24/TrRoad_act!M35*100)</f>
        <v>6.1992373543089156</v>
      </c>
      <c r="N65" s="96">
        <f>IF(N24=0,0,N24/TrRoad_act!N35*100)</f>
        <v>6.6743247694887247</v>
      </c>
      <c r="O65" s="96">
        <f>IF(O24=0,0,O24/TrRoad_act!O35*100)</f>
        <v>5.4264442962847532</v>
      </c>
      <c r="P65" s="96">
        <f>IF(P24=0,0,P24/TrRoad_act!P35*100)</f>
        <v>6.3808837439572637</v>
      </c>
      <c r="Q65" s="96">
        <f>IF(Q24=0,0,Q24/TrRoad_act!Q35*100)</f>
        <v>6.4629627664311409</v>
      </c>
      <c r="R65" s="96">
        <f>IF(R24=0,0,R24/TrRoad_act!R35*100)</f>
        <v>6.7506930114192096</v>
      </c>
      <c r="S65" s="96">
        <f>IF(S24=0,0,S24/TrRoad_act!S35*100)</f>
        <v>7.0098234056530577</v>
      </c>
      <c r="T65" s="96">
        <f>IF(T24=0,0,T24/TrRoad_act!T35*100)</f>
        <v>7.4201349598782746</v>
      </c>
      <c r="U65" s="96">
        <f>IF(U24=0,0,U24/TrRoad_act!U35*100)</f>
        <v>7.8629067396531109</v>
      </c>
      <c r="V65" s="96">
        <f>IF(V24=0,0,V24/TrRoad_act!V35*100)</f>
        <v>7.0494827429947327</v>
      </c>
      <c r="W65" s="96">
        <f>IF(W24=0,0,W24/TrRoad_act!W35*100)</f>
        <v>7.0806485434392403</v>
      </c>
      <c r="X65" s="96">
        <f>IF(X24=0,0,X24/TrRoad_act!X35*100)</f>
        <v>6.7423477975334754</v>
      </c>
      <c r="Y65" s="96">
        <f>IF(Y24=0,0,Y24/TrRoad_act!Y35*100)</f>
        <v>6.5687001794391247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9.0221058897378601</v>
      </c>
      <c r="C66" s="96">
        <f>IF(C26=0,0,C26/TrRoad_act!C36*100)</f>
        <v>9.2638298254330085</v>
      </c>
      <c r="D66" s="96">
        <f>IF(D26=0,0,D26/TrRoad_act!D36*100)</f>
        <v>8.8380160743202776</v>
      </c>
      <c r="E66" s="96">
        <f>IF(E26=0,0,E26/TrRoad_act!E36*100)</f>
        <v>8.8231494314054491</v>
      </c>
      <c r="F66" s="96">
        <f>IF(F26=0,0,F26/TrRoad_act!F36*100)</f>
        <v>8.3772875941862992</v>
      </c>
      <c r="G66" s="96">
        <f>IF(G26=0,0,G26/TrRoad_act!G36*100)</f>
        <v>7.9835344057231969</v>
      </c>
      <c r="H66" s="96">
        <f>IF(H26=0,0,H26/TrRoad_act!H36*100)</f>
        <v>7.5393871034898945</v>
      </c>
      <c r="I66" s="96">
        <f>IF(I26=0,0,I26/TrRoad_act!I36*100)</f>
        <v>7.3010406994317236</v>
      </c>
      <c r="J66" s="96">
        <f>IF(J26=0,0,J26/TrRoad_act!J36*100)</f>
        <v>7.0867932645584508</v>
      </c>
      <c r="K66" s="96">
        <f>IF(K26=0,0,K26/TrRoad_act!K36*100)</f>
        <v>7.5492193750245313</v>
      </c>
      <c r="L66" s="96">
        <f>IF(L26=0,0,L26/TrRoad_act!L36*100)</f>
        <v>7.219123995287215</v>
      </c>
      <c r="M66" s="96">
        <f>IF(M26=0,0,M26/TrRoad_act!M36*100)</f>
        <v>7.6198230520823236</v>
      </c>
      <c r="N66" s="96">
        <f>IF(N26=0,0,N26/TrRoad_act!N36*100)</f>
        <v>7.4251688732948535</v>
      </c>
      <c r="O66" s="96">
        <f>IF(O26=0,0,O26/TrRoad_act!O36*100)</f>
        <v>7.6022950504420068</v>
      </c>
      <c r="P66" s="96">
        <f>IF(P26=0,0,P26/TrRoad_act!P36*100)</f>
        <v>7.5805541060040822</v>
      </c>
      <c r="Q66" s="96">
        <f>IF(Q26=0,0,Q26/TrRoad_act!Q36*100)</f>
        <v>7.0001420266012246</v>
      </c>
      <c r="R66" s="96">
        <f>IF(R26=0,0,R26/TrRoad_act!R36*100)</f>
        <v>6.9957302150788614</v>
      </c>
      <c r="S66" s="96">
        <f>IF(S26=0,0,S26/TrRoad_act!S36*100)</f>
        <v>7.0128122977313492</v>
      </c>
      <c r="T66" s="96">
        <f>IF(T26=0,0,T26/TrRoad_act!T36*100)</f>
        <v>7.1649287816465765</v>
      </c>
      <c r="U66" s="96">
        <f>IF(U26=0,0,U26/TrRoad_act!U36*100)</f>
        <v>7.0816065991667623</v>
      </c>
      <c r="V66" s="96">
        <f>IF(V26=0,0,V26/TrRoad_act!V36*100)</f>
        <v>7.4034613255143125</v>
      </c>
      <c r="W66" s="96">
        <f>IF(W26=0,0,W26/TrRoad_act!W36*100)</f>
        <v>6.9588540692796048</v>
      </c>
      <c r="X66" s="96">
        <f>IF(X26=0,0,X26/TrRoad_act!X36*100)</f>
        <v>7.5204578072037727</v>
      </c>
      <c r="Y66" s="96">
        <f>IF(Y26=0,0,Y26/TrRoad_act!Y36*100)</f>
        <v>7.8412511950757047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9.7651868457735436</v>
      </c>
      <c r="G67" s="96">
        <f>IF(G27=0,0,G27/TrRoad_act!G37*100)</f>
        <v>9.6866229983531476</v>
      </c>
      <c r="H67" s="96">
        <f>IF(H27=0,0,H27/TrRoad_act!H37*100)</f>
        <v>9.6448286092479734</v>
      </c>
      <c r="I67" s="96">
        <f>IF(I27=0,0,I27/TrRoad_act!I37*100)</f>
        <v>9.5618299316568773</v>
      </c>
      <c r="J67" s="96">
        <f>IF(J27=0,0,J27/TrRoad_act!J37*100)</f>
        <v>9.5523741953904473</v>
      </c>
      <c r="K67" s="96">
        <f>IF(K27=0,0,K27/TrRoad_act!K37*100)</f>
        <v>9.2142745609522763</v>
      </c>
      <c r="L67" s="96">
        <f>IF(L27=0,0,L27/TrRoad_act!L37*100)</f>
        <v>8.1386304222164778</v>
      </c>
      <c r="M67" s="96">
        <f>IF(M27=0,0,M27/TrRoad_act!M37*100)</f>
        <v>7.9774012889643338</v>
      </c>
      <c r="N67" s="96">
        <f>IF(N27=0,0,N27/TrRoad_act!N37*100)</f>
        <v>7.8857880306597234</v>
      </c>
      <c r="O67" s="96">
        <f>IF(O27=0,0,O27/TrRoad_act!O37*100)</f>
        <v>7.8506220406416682</v>
      </c>
      <c r="P67" s="96">
        <f>IF(P27=0,0,P27/TrRoad_act!P37*100)</f>
        <v>7.62749539867586</v>
      </c>
      <c r="Q67" s="96">
        <f>IF(Q27=0,0,Q27/TrRoad_act!Q37*100)</f>
        <v>7.4667688689869864</v>
      </c>
      <c r="R67" s="96">
        <f>IF(R27=0,0,R27/TrRoad_act!R37*100)</f>
        <v>7.3814418524161551</v>
      </c>
      <c r="S67" s="96">
        <f>IF(S27=0,0,S27/TrRoad_act!S37*100)</f>
        <v>7.3551838519400823</v>
      </c>
      <c r="T67" s="96">
        <f>IF(T27=0,0,T27/TrRoad_act!T37*100)</f>
        <v>7.2766555624896689</v>
      </c>
      <c r="U67" s="96">
        <f>IF(U27=0,0,U27/TrRoad_act!U37*100)</f>
        <v>7.1418378159193443</v>
      </c>
      <c r="V67" s="96">
        <f>IF(V27=0,0,V27/TrRoad_act!V37*100)</f>
        <v>7.0812353462079081</v>
      </c>
      <c r="W67" s="96">
        <f>IF(W27=0,0,W27/TrRoad_act!W37*100)</f>
        <v>7.0672299196341077</v>
      </c>
      <c r="X67" s="96">
        <f>IF(X27=0,0,X27/TrRoad_act!X37*100)</f>
        <v>6.764613774334288</v>
      </c>
      <c r="Y67" s="96">
        <f>IF(Y27=0,0,Y27/TrRoad_act!Y37*100)</f>
        <v>6.7541606194560817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2.8481028469651748</v>
      </c>
      <c r="O68" s="96">
        <f>IF(O29=0,0,O29/TrRoad_act!O38*100)</f>
        <v>2.5730885295704446</v>
      </c>
      <c r="P68" s="96">
        <f>IF(P29=0,0,P29/TrRoad_act!P38*100)</f>
        <v>3.2636444539386735</v>
      </c>
      <c r="Q68" s="96">
        <f>IF(Q29=0,0,Q29/TrRoad_act!Q38*100)</f>
        <v>3.5660156500228588</v>
      </c>
      <c r="R68" s="96">
        <f>IF(R29=0,0,R29/TrRoad_act!R38*100)</f>
        <v>3.4147260249675035</v>
      </c>
      <c r="S68" s="96">
        <f>IF(S29=0,0,S29/TrRoad_act!S38*100)</f>
        <v>3.4964268746275105</v>
      </c>
      <c r="T68" s="96">
        <f>IF(T29=0,0,T29/TrRoad_act!T38*100)</f>
        <v>3.4739130982848079</v>
      </c>
      <c r="U68" s="96">
        <f>IF(U29=0,0,U29/TrRoad_act!U38*100)</f>
        <v>3.8874796751065892</v>
      </c>
      <c r="V68" s="96">
        <f>IF(V29=0,0,V29/TrRoad_act!V38*100)</f>
        <v>3.7668896009206891</v>
      </c>
      <c r="W68" s="96">
        <f>IF(W29=0,0,W29/TrRoad_act!W38*100)</f>
        <v>3.4829151111088077</v>
      </c>
      <c r="X68" s="96">
        <f>IF(X29=0,0,X29/TrRoad_act!X38*100)</f>
        <v>3.3296446491693255</v>
      </c>
      <c r="Y68" s="96">
        <f>IF(Y29=0,0,Y29/TrRoad_act!Y38*100)</f>
        <v>3.1649223555907664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0</v>
      </c>
      <c r="P69" s="96">
        <f>IF(P32=0,0,P32/TrRoad_act!P39*100)</f>
        <v>0</v>
      </c>
      <c r="Q69" s="96">
        <f>IF(Q32=0,0,Q32/TrRoad_act!Q39*100)</f>
        <v>0</v>
      </c>
      <c r="R69" s="96">
        <f>IF(R32=0,0,R32/TrRoad_act!R39*100)</f>
        <v>1.2113216644251028</v>
      </c>
      <c r="S69" s="96">
        <f>IF(S32=0,0,S32/TrRoad_act!S39*100)</f>
        <v>1.1622583166087113</v>
      </c>
      <c r="T69" s="96">
        <f>IF(T32=0,0,T32/TrRoad_act!T39*100)</f>
        <v>1.2410461908209689</v>
      </c>
      <c r="U69" s="96">
        <f>IF(U32=0,0,U32/TrRoad_act!U39*100)</f>
        <v>1.3745186560125371</v>
      </c>
      <c r="V69" s="96">
        <f>IF(V32=0,0,V32/TrRoad_act!V39*100)</f>
        <v>1.4468091739468902</v>
      </c>
      <c r="W69" s="96">
        <f>IF(W32=0,0,W32/TrRoad_act!W39*100)</f>
        <v>1.5435059871060726</v>
      </c>
      <c r="X69" s="96">
        <f>IF(X32=0,0,X32/TrRoad_act!X39*100)</f>
        <v>1.5640342444834046</v>
      </c>
      <c r="Y69" s="96">
        <f>IF(Y32=0,0,Y32/TrRoad_act!Y39*100)</f>
        <v>1.6523596951059945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58.207008248108828</v>
      </c>
      <c r="C70" s="130">
        <f>IF(C33=0,0,C33/TrRoad_act!C40*100)</f>
        <v>57.290766248377793</v>
      </c>
      <c r="D70" s="130">
        <f>IF(D33=0,0,D33/TrRoad_act!D40*100)</f>
        <v>56.050282105786223</v>
      </c>
      <c r="E70" s="130">
        <f>IF(E33=0,0,E33/TrRoad_act!E40*100)</f>
        <v>55.928039408101668</v>
      </c>
      <c r="F70" s="130">
        <f>IF(F33=0,0,F33/TrRoad_act!F40*100)</f>
        <v>55.684942372600034</v>
      </c>
      <c r="G70" s="130">
        <f>IF(G33=0,0,G33/TrRoad_act!G40*100)</f>
        <v>55.081776000289786</v>
      </c>
      <c r="H70" s="130">
        <f>IF(H33=0,0,H33/TrRoad_act!H40*100)</f>
        <v>54.67725440614187</v>
      </c>
      <c r="I70" s="130">
        <f>IF(I33=0,0,I33/TrRoad_act!I40*100)</f>
        <v>54.422344822996315</v>
      </c>
      <c r="J70" s="130">
        <f>IF(J33=0,0,J33/TrRoad_act!J40*100)</f>
        <v>54.203148836175174</v>
      </c>
      <c r="K70" s="130">
        <f>IF(K33=0,0,K33/TrRoad_act!K40*100)</f>
        <v>53.916135565045465</v>
      </c>
      <c r="L70" s="130">
        <f>IF(L33=0,0,L33/TrRoad_act!L40*100)</f>
        <v>53.826656732889845</v>
      </c>
      <c r="M70" s="130">
        <f>IF(M33=0,0,M33/TrRoad_act!M40*100)</f>
        <v>53.581565114827548</v>
      </c>
      <c r="N70" s="130">
        <f>IF(N33=0,0,N33/TrRoad_act!N40*100)</f>
        <v>53.901145076088618</v>
      </c>
      <c r="O70" s="130">
        <f>IF(O33=0,0,O33/TrRoad_act!O40*100)</f>
        <v>50.862454472789054</v>
      </c>
      <c r="P70" s="130">
        <f>IF(P33=0,0,P33/TrRoad_act!P40*100)</f>
        <v>48.239612242671434</v>
      </c>
      <c r="Q70" s="130">
        <f>IF(Q33=0,0,Q33/TrRoad_act!Q40*100)</f>
        <v>50.445705751200776</v>
      </c>
      <c r="R70" s="130">
        <f>IF(R33=0,0,R33/TrRoad_act!R40*100)</f>
        <v>49.238166408881789</v>
      </c>
      <c r="S70" s="130">
        <f>IF(S33=0,0,S33/TrRoad_act!S40*100)</f>
        <v>48.85298068057137</v>
      </c>
      <c r="T70" s="130">
        <f>IF(T33=0,0,T33/TrRoad_act!T40*100)</f>
        <v>48.664752966978661</v>
      </c>
      <c r="U70" s="130">
        <f>IF(U33=0,0,U33/TrRoad_act!U40*100)</f>
        <v>48.653375805221735</v>
      </c>
      <c r="V70" s="130">
        <f>IF(V33=0,0,V33/TrRoad_act!V40*100)</f>
        <v>47.917624711810888</v>
      </c>
      <c r="W70" s="130">
        <f>IF(W33=0,0,W33/TrRoad_act!W40*100)</f>
        <v>48.532368274322423</v>
      </c>
      <c r="X70" s="130">
        <f>IF(X33=0,0,X33/TrRoad_act!X40*100)</f>
        <v>48.169042049143215</v>
      </c>
      <c r="Y70" s="130">
        <f>IF(Y33=0,0,Y33/TrRoad_act!Y40*100)</f>
        <v>47.755508644065202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13.950208237431575</v>
      </c>
      <c r="S71" s="97">
        <f>IF(S34=0,0,S34/TrRoad_act!S41*100)</f>
        <v>13.950208237431577</v>
      </c>
      <c r="T71" s="97">
        <f>IF(T34=0,0,T34/TrRoad_act!T41*100)</f>
        <v>13.950208237431577</v>
      </c>
      <c r="U71" s="97">
        <f>IF(U34=0,0,U34/TrRoad_act!U41*100)</f>
        <v>13.950208237431577</v>
      </c>
      <c r="V71" s="97">
        <f>IF(V34=0,0,V34/TrRoad_act!V41*100)</f>
        <v>13.950208237431575</v>
      </c>
      <c r="W71" s="97">
        <f>IF(W34=0,0,W34/TrRoad_act!W41*100)</f>
        <v>13.950208237431577</v>
      </c>
      <c r="X71" s="97">
        <f>IF(X34=0,0,X34/TrRoad_act!X41*100)</f>
        <v>13.950208237431577</v>
      </c>
      <c r="Y71" s="97">
        <f>IF(Y34=0,0,Y34/TrRoad_act!Y41*100)</f>
        <v>13.950208237431577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58.207008248108828</v>
      </c>
      <c r="C72" s="97">
        <f>IF(C36=0,0,C36/TrRoad_act!C42*100)</f>
        <v>57.290766248377793</v>
      </c>
      <c r="D72" s="97">
        <f>IF(D36=0,0,D36/TrRoad_act!D42*100)</f>
        <v>56.050282105786223</v>
      </c>
      <c r="E72" s="97">
        <f>IF(E36=0,0,E36/TrRoad_act!E42*100)</f>
        <v>55.928039408101668</v>
      </c>
      <c r="F72" s="97">
        <f>IF(F36=0,0,F36/TrRoad_act!F42*100)</f>
        <v>55.784890980893643</v>
      </c>
      <c r="G72" s="97">
        <f>IF(G36=0,0,G36/TrRoad_act!G42*100)</f>
        <v>55.324807651589957</v>
      </c>
      <c r="H72" s="97">
        <f>IF(H36=0,0,H36/TrRoad_act!H42*100)</f>
        <v>55.162349821989807</v>
      </c>
      <c r="I72" s="97">
        <f>IF(I36=0,0,I36/TrRoad_act!I42*100)</f>
        <v>54.95744689130958</v>
      </c>
      <c r="J72" s="97">
        <f>IF(J36=0,0,J36/TrRoad_act!J42*100)</f>
        <v>54.766920588824142</v>
      </c>
      <c r="K72" s="97">
        <f>IF(K36=0,0,K36/TrRoad_act!K42*100)</f>
        <v>54.626186815316949</v>
      </c>
      <c r="L72" s="97">
        <f>IF(L36=0,0,L36/TrRoad_act!L42*100)</f>
        <v>54.499681055058979</v>
      </c>
      <c r="M72" s="97">
        <f>IF(M36=0,0,M36/TrRoad_act!M42*100)</f>
        <v>54.338741538303623</v>
      </c>
      <c r="N72" s="97">
        <f>IF(N36=0,0,N36/TrRoad_act!N42*100)</f>
        <v>54.259178887298511</v>
      </c>
      <c r="O72" s="97">
        <f>IF(O36=0,0,O36/TrRoad_act!O42*100)</f>
        <v>54.143146532501177</v>
      </c>
      <c r="P72" s="97">
        <f>IF(P36=0,0,P36/TrRoad_act!P42*100)</f>
        <v>54.205367669992441</v>
      </c>
      <c r="Q72" s="97">
        <f>IF(Q36=0,0,Q36/TrRoad_act!Q42*100)</f>
        <v>54.464256500149347</v>
      </c>
      <c r="R72" s="97">
        <f>IF(R36=0,0,R36/TrRoad_act!R42*100)</f>
        <v>54.594005687441381</v>
      </c>
      <c r="S72" s="97">
        <f>IF(S36=0,0,S36/TrRoad_act!S42*100)</f>
        <v>54.750274169890076</v>
      </c>
      <c r="T72" s="97">
        <f>IF(T36=0,0,T36/TrRoad_act!T42*100)</f>
        <v>54.797575492184357</v>
      </c>
      <c r="U72" s="97">
        <f>IF(U36=0,0,U36/TrRoad_act!U42*100)</f>
        <v>54.772269749677939</v>
      </c>
      <c r="V72" s="97">
        <f>IF(V36=0,0,V36/TrRoad_act!V42*100)</f>
        <v>54.466841511839583</v>
      </c>
      <c r="W72" s="97">
        <f>IF(W36=0,0,W36/TrRoad_act!W42*100)</f>
        <v>54.290581451860994</v>
      </c>
      <c r="X72" s="97">
        <f>IF(X36=0,0,X36/TrRoad_act!X42*100)</f>
        <v>52.887386332856337</v>
      </c>
      <c r="Y72" s="97">
        <f>IF(Y36=0,0,Y36/TrRoad_act!Y42*100)</f>
        <v>51.67227106675243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46.88327730144556</v>
      </c>
      <c r="S73" s="97">
        <f>IF(S38=0,0,S38/TrRoad_act!S43*100)</f>
        <v>46.88327730144556</v>
      </c>
      <c r="T73" s="97">
        <f>IF(T38=0,0,T38/TrRoad_act!T43*100)</f>
        <v>46.862318566245236</v>
      </c>
      <c r="U73" s="97">
        <f>IF(U38=0,0,U38/TrRoad_act!U43*100)</f>
        <v>46.862318566245236</v>
      </c>
      <c r="V73" s="97">
        <f>IF(V38=0,0,V38/TrRoad_act!V43*100)</f>
        <v>46.819389499397396</v>
      </c>
      <c r="W73" s="97">
        <f>IF(W38=0,0,W38/TrRoad_act!W43*100)</f>
        <v>46.108647037403664</v>
      </c>
      <c r="X73" s="97">
        <f>IF(X38=0,0,X38/TrRoad_act!X43*100)</f>
        <v>46.085219687185273</v>
      </c>
      <c r="Y73" s="97">
        <f>IF(Y38=0,0,Y38/TrRoad_act!Y43*100)</f>
        <v>46.005587021686587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41.087907160422724</v>
      </c>
      <c r="G74" s="97">
        <f>IF(G39=0,0,G39/TrRoad_act!G44*100)</f>
        <v>38.81038769098928</v>
      </c>
      <c r="H74" s="97">
        <f>IF(H39=0,0,H39/TrRoad_act!H44*100)</f>
        <v>37.661426984163889</v>
      </c>
      <c r="I74" s="97">
        <f>IF(I39=0,0,I39/TrRoad_act!I44*100)</f>
        <v>41.660363421049709</v>
      </c>
      <c r="J74" s="97">
        <f>IF(J39=0,0,J39/TrRoad_act!J44*100)</f>
        <v>42.106309194248212</v>
      </c>
      <c r="K74" s="97">
        <f>IF(K39=0,0,K39/TrRoad_act!K44*100)</f>
        <v>43.594066383552047</v>
      </c>
      <c r="L74" s="97">
        <f>IF(L39=0,0,L39/TrRoad_act!L44*100)</f>
        <v>47.723452595986544</v>
      </c>
      <c r="M74" s="97">
        <f>IF(M39=0,0,M39/TrRoad_act!M44*100)</f>
        <v>46.187715846387064</v>
      </c>
      <c r="N74" s="97">
        <f>IF(N39=0,0,N39/TrRoad_act!N44*100)</f>
        <v>51.100214980592071</v>
      </c>
      <c r="O74" s="97">
        <f>IF(O39=0,0,O39/TrRoad_act!O44*100)</f>
        <v>35.768974185587801</v>
      </c>
      <c r="P74" s="97">
        <f>IF(P39=0,0,P39/TrRoad_act!P44*100)</f>
        <v>19.710326433062402</v>
      </c>
      <c r="Q74" s="97">
        <f>IF(Q39=0,0,Q39/TrRoad_act!Q44*100)</f>
        <v>31.371882310495387</v>
      </c>
      <c r="R74" s="97">
        <f>IF(R39=0,0,R39/TrRoad_act!R44*100)</f>
        <v>39.032589749411535</v>
      </c>
      <c r="S74" s="97">
        <f>IF(S39=0,0,S39/TrRoad_act!S44*100)</f>
        <v>38.473884282613035</v>
      </c>
      <c r="T74" s="97">
        <f>IF(T39=0,0,T39/TrRoad_act!T44*100)</f>
        <v>37.999875132208373</v>
      </c>
      <c r="U74" s="97">
        <f>IF(U39=0,0,U39/TrRoad_act!U44*100)</f>
        <v>39.262797843562183</v>
      </c>
      <c r="V74" s="97">
        <f>IF(V39=0,0,V39/TrRoad_act!V44*100)</f>
        <v>35.038154752594593</v>
      </c>
      <c r="W74" s="97">
        <f>IF(W39=0,0,W39/TrRoad_act!W44*100)</f>
        <v>40.686210493944294</v>
      </c>
      <c r="X74" s="97">
        <f>IF(X39=0,0,X39/TrRoad_act!X44*100)</f>
        <v>38.538904267685226</v>
      </c>
      <c r="Y74" s="97">
        <f>IF(Y39=0,0,Y39/TrRoad_act!Y44*100)</f>
        <v>39.449021743484579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31.789216175755534</v>
      </c>
      <c r="K75" s="97">
        <f>IF(K41=0,0,K41/TrRoad_act!K45*100)</f>
        <v>31.839044842680465</v>
      </c>
      <c r="L75" s="97">
        <f>IF(L41=0,0,L41/TrRoad_act!L45*100)</f>
        <v>31.908059454681322</v>
      </c>
      <c r="M75" s="97">
        <f>IF(M41=0,0,M41/TrRoad_act!M45*100)</f>
        <v>31.927584260162039</v>
      </c>
      <c r="N75" s="97">
        <f>IF(N41=0,0,N41/TrRoad_act!N45*100)</f>
        <v>31.962022778712029</v>
      </c>
      <c r="O75" s="97">
        <f>IF(O41=0,0,O41/TrRoad_act!O45*100)</f>
        <v>32.41390763439265</v>
      </c>
      <c r="P75" s="97">
        <f>IF(P41=0,0,P41/TrRoad_act!P45*100)</f>
        <v>32.485227444446522</v>
      </c>
      <c r="Q75" s="97">
        <f>IF(Q41=0,0,Q41/TrRoad_act!Q45*100)</f>
        <v>32.521814744667623</v>
      </c>
      <c r="R75" s="97">
        <f>IF(R41=0,0,R41/TrRoad_act!R45*100)</f>
        <v>32.524196422642348</v>
      </c>
      <c r="S75" s="97">
        <f>IF(S41=0,0,S41/TrRoad_act!S45*100)</f>
        <v>32.525853542879076</v>
      </c>
      <c r="T75" s="97">
        <f>IF(T41=0,0,T41/TrRoad_act!T45*100)</f>
        <v>32.518992540896384</v>
      </c>
      <c r="U75" s="97">
        <f>IF(U41=0,0,U41/TrRoad_act!U45*100)</f>
        <v>32.45647795340421</v>
      </c>
      <c r="V75" s="97">
        <f>IF(V41=0,0,V41/TrRoad_act!V45*100)</f>
        <v>32.414475922206378</v>
      </c>
      <c r="W75" s="97">
        <f>IF(W41=0,0,W41/TrRoad_act!W45*100)</f>
        <v>32.134419374563819</v>
      </c>
      <c r="X75" s="97">
        <f>IF(X41=0,0,X41/TrRoad_act!X45*100)</f>
        <v>32.124011095590824</v>
      </c>
      <c r="Y75" s="97">
        <f>IF(Y41=0,0,Y41/TrRoad_act!Y45*100)</f>
        <v>31.363628279638455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17.299875451832349</v>
      </c>
      <c r="C76" s="32">
        <f>IF(C42=0,0,C42/TrRoad_act!C46*100)</f>
        <v>18.769518229552631</v>
      </c>
      <c r="D76" s="32">
        <f>IF(D42=0,0,D42/TrRoad_act!D46*100)</f>
        <v>17.54110964960509</v>
      </c>
      <c r="E76" s="32">
        <f>IF(E42=0,0,E42/TrRoad_act!E46*100)</f>
        <v>20.791436636468582</v>
      </c>
      <c r="F76" s="32">
        <f>IF(F42=0,0,F42/TrRoad_act!F46*100)</f>
        <v>19.565300120345878</v>
      </c>
      <c r="G76" s="32">
        <f>IF(G42=0,0,G42/TrRoad_act!G46*100)</f>
        <v>21.220337972718514</v>
      </c>
      <c r="H76" s="32">
        <f>IF(H42=0,0,H42/TrRoad_act!H46*100)</f>
        <v>19.670324218982152</v>
      </c>
      <c r="I76" s="32">
        <f>IF(I42=0,0,I42/TrRoad_act!I46*100)</f>
        <v>17.139774265884373</v>
      </c>
      <c r="J76" s="32">
        <f>IF(J42=0,0,J42/TrRoad_act!J46*100)</f>
        <v>16.993697770413139</v>
      </c>
      <c r="K76" s="32">
        <f>IF(K42=0,0,K42/TrRoad_act!K46*100)</f>
        <v>15.464186378631952</v>
      </c>
      <c r="L76" s="32">
        <f>IF(L42=0,0,L42/TrRoad_act!L46*100)</f>
        <v>15.309503290316737</v>
      </c>
      <c r="M76" s="32">
        <f>IF(M42=0,0,M42/TrRoad_act!M46*100)</f>
        <v>14.620027770433364</v>
      </c>
      <c r="N76" s="32">
        <f>IF(N42=0,0,N42/TrRoad_act!N46*100)</f>
        <v>14.789175817044059</v>
      </c>
      <c r="O76" s="32">
        <f>IF(O42=0,0,O42/TrRoad_act!O46*100)</f>
        <v>13.314901268097184</v>
      </c>
      <c r="P76" s="32">
        <f>IF(P42=0,0,P42/TrRoad_act!P46*100)</f>
        <v>14.217110629854753</v>
      </c>
      <c r="Q76" s="32">
        <f>IF(Q42=0,0,Q42/TrRoad_act!Q46*100)</f>
        <v>14.264201793525503</v>
      </c>
      <c r="R76" s="32">
        <f>IF(R42=0,0,R42/TrRoad_act!R46*100)</f>
        <v>14.490531252806155</v>
      </c>
      <c r="S76" s="32">
        <f>IF(S42=0,0,S42/TrRoad_act!S46*100)</f>
        <v>15.725016308619846</v>
      </c>
      <c r="T76" s="32">
        <f>IF(T42=0,0,T42/TrRoad_act!T46*100)</f>
        <v>15.659213843815541</v>
      </c>
      <c r="U76" s="32">
        <f>IF(U42=0,0,U42/TrRoad_act!U46*100)</f>
        <v>15.071238542975527</v>
      </c>
      <c r="V76" s="32">
        <f>IF(V42=0,0,V42/TrRoad_act!V46*100)</f>
        <v>15.605234961024362</v>
      </c>
      <c r="W76" s="32">
        <f>IF(W42=0,0,W42/TrRoad_act!W46*100)</f>
        <v>17.172218221550789</v>
      </c>
      <c r="X76" s="32">
        <f>IF(X42=0,0,X42/TrRoad_act!X46*100)</f>
        <v>16.95615725876662</v>
      </c>
      <c r="Y76" s="32">
        <f>IF(Y42=0,0,Y42/TrRoad_act!Y46*100)</f>
        <v>17.691837120673846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10.042945062559143</v>
      </c>
      <c r="C77" s="141">
        <f>IF(C43=0,0,C43/TrRoad_act!C47*100)</f>
        <v>10.042721940658037</v>
      </c>
      <c r="D77" s="141">
        <f>IF(D43=0,0,D43/TrRoad_act!D47*100)</f>
        <v>9.9753167815870079</v>
      </c>
      <c r="E77" s="141">
        <f>IF(E43=0,0,E43/TrRoad_act!E47*100)</f>
        <v>9.5666502197416268</v>
      </c>
      <c r="F77" s="141">
        <f>IF(F43=0,0,F43/TrRoad_act!F47*100)</f>
        <v>9.0367976619638792</v>
      </c>
      <c r="G77" s="141">
        <f>IF(G43=0,0,G43/TrRoad_act!G47*100)</f>
        <v>8.8950972944970808</v>
      </c>
      <c r="H77" s="141">
        <f>IF(H43=0,0,H43/TrRoad_act!H47*100)</f>
        <v>8.4823857952681472</v>
      </c>
      <c r="I77" s="141">
        <f>IF(I43=0,0,I43/TrRoad_act!I47*100)</f>
        <v>8.1956057649671497</v>
      </c>
      <c r="J77" s="141">
        <f>IF(J43=0,0,J43/TrRoad_act!J47*100)</f>
        <v>8.0130565015650177</v>
      </c>
      <c r="K77" s="141">
        <f>IF(K43=0,0,K43/TrRoad_act!K47*100)</f>
        <v>7.8845138243559711</v>
      </c>
      <c r="L77" s="141">
        <f>IF(L43=0,0,L43/TrRoad_act!L47*100)</f>
        <v>7.7721209590032299</v>
      </c>
      <c r="M77" s="141">
        <f>IF(M43=0,0,M43/TrRoad_act!M47*100)</f>
        <v>7.71937486523455</v>
      </c>
      <c r="N77" s="141">
        <f>IF(N43=0,0,N43/TrRoad_act!N47*100)</f>
        <v>7.6368439924998421</v>
      </c>
      <c r="O77" s="141">
        <f>IF(O43=0,0,O43/TrRoad_act!O47*100)</f>
        <v>7.5710570284513823</v>
      </c>
      <c r="P77" s="141">
        <f>IF(P43=0,0,P43/TrRoad_act!P47*100)</f>
        <v>7.4961300948528544</v>
      </c>
      <c r="Q77" s="141">
        <f>IF(Q43=0,0,Q43/TrRoad_act!Q47*100)</f>
        <v>7.429278881921114</v>
      </c>
      <c r="R77" s="141">
        <f>IF(R43=0,0,R43/TrRoad_act!R47*100)</f>
        <v>7.3198056595557963</v>
      </c>
      <c r="S77" s="141">
        <f>IF(S43=0,0,S43/TrRoad_act!S47*100)</f>
        <v>7.2394947233009255</v>
      </c>
      <c r="T77" s="141">
        <f>IF(T43=0,0,T43/TrRoad_act!T47*100)</f>
        <v>7.1538494256347551</v>
      </c>
      <c r="U77" s="141">
        <f>IF(U43=0,0,U43/TrRoad_act!U47*100)</f>
        <v>7.1116070366528579</v>
      </c>
      <c r="V77" s="141">
        <f>IF(V43=0,0,V43/TrRoad_act!V47*100)</f>
        <v>7.1018644808106313</v>
      </c>
      <c r="W77" s="141">
        <f>IF(W43=0,0,W43/TrRoad_act!W47*100)</f>
        <v>7.13733910392122</v>
      </c>
      <c r="X77" s="141">
        <f>IF(X43=0,0,X43/TrRoad_act!X47*100)</f>
        <v>7.1772778777702646</v>
      </c>
      <c r="Y77" s="141">
        <f>IF(Y43=0,0,Y43/TrRoad_act!Y47*100)</f>
        <v>7.2425284061114317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12.015470877623944</v>
      </c>
      <c r="C78" s="96">
        <f>IF(C44=0,0,C44/TrRoad_act!C48*100)</f>
        <v>11.870005698557637</v>
      </c>
      <c r="D78" s="96">
        <f>IF(D44=0,0,D44/TrRoad_act!D48*100)</f>
        <v>11.710806851012379</v>
      </c>
      <c r="E78" s="96">
        <f>IF(E44=0,0,E44/TrRoad_act!E48*100)</f>
        <v>11.540986230246029</v>
      </c>
      <c r="F78" s="96">
        <f>IF(F44=0,0,F44/TrRoad_act!F48*100)</f>
        <v>11.381865724097153</v>
      </c>
      <c r="G78" s="96">
        <f>IF(G44=0,0,G44/TrRoad_act!G48*100)</f>
        <v>11.297034239303667</v>
      </c>
      <c r="H78" s="96">
        <f>IF(H44=0,0,H44/TrRoad_act!H48*100)</f>
        <v>11.244590296832365</v>
      </c>
      <c r="I78" s="96">
        <f>IF(I44=0,0,I44/TrRoad_act!I48*100)</f>
        <v>11.182446248472369</v>
      </c>
      <c r="J78" s="96">
        <f>IF(J44=0,0,J44/TrRoad_act!J48*100)</f>
        <v>11.100402925833693</v>
      </c>
      <c r="K78" s="96">
        <f>IF(K44=0,0,K44/TrRoad_act!K48*100)</f>
        <v>11.029501120160933</v>
      </c>
      <c r="L78" s="96">
        <f>IF(L44=0,0,L44/TrRoad_act!L48*100)</f>
        <v>10.830041018945639</v>
      </c>
      <c r="M78" s="96">
        <f>IF(M44=0,0,M44/TrRoad_act!M48*100)</f>
        <v>10.700670086738139</v>
      </c>
      <c r="N78" s="96">
        <f>IF(N44=0,0,N44/TrRoad_act!N48*100)</f>
        <v>10.337982153436085</v>
      </c>
      <c r="O78" s="96">
        <f>IF(O44=0,0,O44/TrRoad_act!O48*100)</f>
        <v>10.039335990694811</v>
      </c>
      <c r="P78" s="96">
        <f>IF(P44=0,0,P44/TrRoad_act!P48*100)</f>
        <v>9.4501780407182299</v>
      </c>
      <c r="Q78" s="96">
        <f>IF(Q44=0,0,Q44/TrRoad_act!Q48*100)</f>
        <v>9.0030190863387283</v>
      </c>
      <c r="R78" s="96">
        <f>IF(R44=0,0,R44/TrRoad_act!R48*100)</f>
        <v>8.4800678930166704</v>
      </c>
      <c r="S78" s="96">
        <f>IF(S44=0,0,S44/TrRoad_act!S48*100)</f>
        <v>8.0976495719851069</v>
      </c>
      <c r="T78" s="96">
        <f>IF(T44=0,0,T44/TrRoad_act!T48*100)</f>
        <v>7.7093698386780165</v>
      </c>
      <c r="U78" s="96">
        <f>IF(U44=0,0,U44/TrRoad_act!U48*100)</f>
        <v>7.5305907195836745</v>
      </c>
      <c r="V78" s="96">
        <f>IF(V44=0,0,V44/TrRoad_act!V48*100)</f>
        <v>7.4746047591998694</v>
      </c>
      <c r="W78" s="96">
        <f>IF(W44=0,0,W44/TrRoad_act!W48*100)</f>
        <v>7.4390763263508672</v>
      </c>
      <c r="X78" s="96">
        <f>IF(X44=0,0,X44/TrRoad_act!X48*100)</f>
        <v>7.3993102464685485</v>
      </c>
      <c r="Y78" s="96">
        <f>IF(Y44=0,0,Y44/TrRoad_act!Y48*100)</f>
        <v>7.3482827928489041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9.5629430429902946</v>
      </c>
      <c r="C79" s="96">
        <f>IF(C46=0,0,C46/TrRoad_act!C49*100)</f>
        <v>9.5629430429902929</v>
      </c>
      <c r="D79" s="96">
        <f>IF(D46=0,0,D46/TrRoad_act!D49*100)</f>
        <v>9.5152058784481905</v>
      </c>
      <c r="E79" s="96">
        <f>IF(E46=0,0,E46/TrRoad_act!E49*100)</f>
        <v>9.0844032939055275</v>
      </c>
      <c r="F79" s="96">
        <f>IF(F46=0,0,F46/TrRoad_act!F49*100)</f>
        <v>8.5510585581530769</v>
      </c>
      <c r="G79" s="96">
        <f>IF(G46=0,0,G46/TrRoad_act!G49*100)</f>
        <v>8.4124920211216683</v>
      </c>
      <c r="H79" s="96">
        <f>IF(H46=0,0,H46/TrRoad_act!H49*100)</f>
        <v>8.0635326689429405</v>
      </c>
      <c r="I79" s="96">
        <f>IF(I46=0,0,I46/TrRoad_act!I49*100)</f>
        <v>7.8501920317518694</v>
      </c>
      <c r="J79" s="96">
        <f>IF(J46=0,0,J46/TrRoad_act!J49*100)</f>
        <v>7.7293106082300929</v>
      </c>
      <c r="K79" s="96">
        <f>IF(K46=0,0,K46/TrRoad_act!K49*100)</f>
        <v>7.644753481956382</v>
      </c>
      <c r="L79" s="96">
        <f>IF(L46=0,0,L46/TrRoad_act!L49*100)</f>
        <v>7.591975196762907</v>
      </c>
      <c r="M79" s="96">
        <f>IF(M46=0,0,M46/TrRoad_act!M49*100)</f>
        <v>7.5463705714468032</v>
      </c>
      <c r="N79" s="96">
        <f>IF(N46=0,0,N46/TrRoad_act!N49*100)</f>
        <v>7.4942910374347873</v>
      </c>
      <c r="O79" s="96">
        <f>IF(O46=0,0,O46/TrRoad_act!O49*100)</f>
        <v>7.44822663580835</v>
      </c>
      <c r="P79" s="96">
        <f>IF(P46=0,0,P46/TrRoad_act!P49*100)</f>
        <v>7.4073304693456627</v>
      </c>
      <c r="Q79" s="96">
        <f>IF(Q46=0,0,Q46/TrRoad_act!Q49*100)</f>
        <v>7.3495372091740228</v>
      </c>
      <c r="R79" s="96">
        <f>IF(R46=0,0,R46/TrRoad_act!R49*100)</f>
        <v>7.2575371610908119</v>
      </c>
      <c r="S79" s="96">
        <f>IF(S46=0,0,S46/TrRoad_act!S49*100)</f>
        <v>7.1814697036380188</v>
      </c>
      <c r="T79" s="96">
        <f>IF(T46=0,0,T46/TrRoad_act!T49*100)</f>
        <v>7.1086359490536113</v>
      </c>
      <c r="U79" s="96">
        <f>IF(U46=0,0,U46/TrRoad_act!U49*100)</f>
        <v>7.0678694112774956</v>
      </c>
      <c r="V79" s="96">
        <f>IF(V46=0,0,V46/TrRoad_act!V49*100)</f>
        <v>7.0566188158885979</v>
      </c>
      <c r="W79" s="96">
        <f>IF(W46=0,0,W46/TrRoad_act!W49*100)</f>
        <v>7.0917449443009861</v>
      </c>
      <c r="X79" s="96">
        <f>IF(X46=0,0,X46/TrRoad_act!X49*100)</f>
        <v>7.1358372477869718</v>
      </c>
      <c r="Y79" s="96">
        <f>IF(Y46=0,0,Y46/TrRoad_act!Y49*100)</f>
        <v>7.2121703115824083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10.125507754670139</v>
      </c>
      <c r="S80" s="96">
        <f>IF(S48=0,0,S48/TrRoad_act!S50*100)</f>
        <v>9.1564012795748617</v>
      </c>
      <c r="T80" s="96">
        <f>IF(T48=0,0,T48/TrRoad_act!T50*100)</f>
        <v>9.0092395867878068</v>
      </c>
      <c r="U80" s="96">
        <f>IF(U48=0,0,U48/TrRoad_act!U50*100)</f>
        <v>9.0990443661618325</v>
      </c>
      <c r="V80" s="96">
        <f>IF(V48=0,0,V48/TrRoad_act!V50*100)</f>
        <v>8.9187198500529821</v>
      </c>
      <c r="W80" s="96">
        <f>IF(W48=0,0,W48/TrRoad_act!W50*100)</f>
        <v>8.7346664312277813</v>
      </c>
      <c r="X80" s="96">
        <f>IF(X48=0,0,X48/TrRoad_act!X50*100)</f>
        <v>8.7354495106133321</v>
      </c>
      <c r="Y80" s="96">
        <f>IF(Y48=0,0,Y48/TrRoad_act!Y50*100)</f>
        <v>8.694864843253864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5.7640178668956175</v>
      </c>
      <c r="S81" s="96">
        <f>IF(S49=0,0,S49/TrRoad_act!S51*100)</f>
        <v>5.9997754418818765</v>
      </c>
      <c r="T81" s="96">
        <f>IF(T49=0,0,T49/TrRoad_act!T51*100)</f>
        <v>6.3167396035042538</v>
      </c>
      <c r="U81" s="96">
        <f>IF(U49=0,0,U49/TrRoad_act!U51*100)</f>
        <v>6.3686569936833468</v>
      </c>
      <c r="V81" s="96">
        <f>IF(V49=0,0,V49/TrRoad_act!V51*100)</f>
        <v>7.0619339502359253</v>
      </c>
      <c r="W81" s="96">
        <f>IF(W49=0,0,W49/TrRoad_act!W51*100)</f>
        <v>7.4408676540974135</v>
      </c>
      <c r="X81" s="96">
        <f>IF(X49=0,0,X49/TrRoad_act!X51*100)</f>
        <v>7.415510674963131</v>
      </c>
      <c r="Y81" s="96">
        <f>IF(Y49=0,0,Y49/TrRoad_act!Y51*100)</f>
        <v>7.4379479586051112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1.5334964044465744</v>
      </c>
      <c r="O82" s="96">
        <f>IF(O51=0,0,O51/TrRoad_act!O52*100)</f>
        <v>1.5342574727601148</v>
      </c>
      <c r="P82" s="96">
        <f>IF(P51=0,0,P51/TrRoad_act!P52*100)</f>
        <v>1.5362601023433111</v>
      </c>
      <c r="Q82" s="96">
        <f>IF(Q51=0,0,Q51/TrRoad_act!Q52*100)</f>
        <v>1.5771280490699808</v>
      </c>
      <c r="R82" s="96">
        <f>IF(R51=0,0,R51/TrRoad_act!R52*100)</f>
        <v>1.6275224177856435</v>
      </c>
      <c r="S82" s="96">
        <f>IF(S51=0,0,S51/TrRoad_act!S52*100)</f>
        <v>1.6484862307743948</v>
      </c>
      <c r="T82" s="96">
        <f>IF(T51=0,0,T51/TrRoad_act!T52*100)</f>
        <v>1.6503197808369434</v>
      </c>
      <c r="U82" s="96">
        <f>IF(U51=0,0,U51/TrRoad_act!U52*100)</f>
        <v>1.7463938834438475</v>
      </c>
      <c r="V82" s="96">
        <f>IF(V51=0,0,V51/TrRoad_act!V52*100)</f>
        <v>1.8324389634081835</v>
      </c>
      <c r="W82" s="96">
        <f>IF(W51=0,0,W51/TrRoad_act!W52*100)</f>
        <v>2.1539274981378571</v>
      </c>
      <c r="X82" s="96">
        <f>IF(X51=0,0,X51/TrRoad_act!X52*100)</f>
        <v>2.690759255315105</v>
      </c>
      <c r="Y82" s="96">
        <f>IF(Y51=0,0,Y51/TrRoad_act!Y52*100)</f>
        <v>2.6288813743522237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32.211463721439543</v>
      </c>
      <c r="C83" s="130">
        <f>IF(C52=0,0,C52/TrRoad_act!C53*100)</f>
        <v>34.605680324476722</v>
      </c>
      <c r="D83" s="130">
        <f>IF(D52=0,0,D52/TrRoad_act!D53*100)</f>
        <v>31.280198906358425</v>
      </c>
      <c r="E83" s="130">
        <f>IF(E52=0,0,E52/TrRoad_act!E53*100)</f>
        <v>37.413925918183658</v>
      </c>
      <c r="F83" s="130">
        <f>IF(F52=0,0,F52/TrRoad_act!F53*100)</f>
        <v>35.426968065270962</v>
      </c>
      <c r="G83" s="130">
        <f>IF(G52=0,0,G52/TrRoad_act!G53*100)</f>
        <v>37.457032000684073</v>
      </c>
      <c r="H83" s="130">
        <f>IF(H52=0,0,H52/TrRoad_act!H53*100)</f>
        <v>35.018548869512465</v>
      </c>
      <c r="I83" s="130">
        <f>IF(I52=0,0,I52/TrRoad_act!I53*100)</f>
        <v>31.729299629228247</v>
      </c>
      <c r="J83" s="130">
        <f>IF(J52=0,0,J52/TrRoad_act!J53*100)</f>
        <v>32.019744195472285</v>
      </c>
      <c r="K83" s="130">
        <f>IF(K52=0,0,K52/TrRoad_act!K53*100)</f>
        <v>29.893537807437582</v>
      </c>
      <c r="L83" s="130">
        <f>IF(L52=0,0,L52/TrRoad_act!L53*100)</f>
        <v>29.906863837867085</v>
      </c>
      <c r="M83" s="130">
        <f>IF(M52=0,0,M52/TrRoad_act!M53*100)</f>
        <v>28.825151242916814</v>
      </c>
      <c r="N83" s="130">
        <f>IF(N52=0,0,N52/TrRoad_act!N53*100)</f>
        <v>30.937119051391882</v>
      </c>
      <c r="O83" s="130">
        <f>IF(O52=0,0,O52/TrRoad_act!O53*100)</f>
        <v>25.323224076897731</v>
      </c>
      <c r="P83" s="130">
        <f>IF(P52=0,0,P52/TrRoad_act!P53*100)</f>
        <v>29.851368044573267</v>
      </c>
      <c r="Q83" s="130">
        <f>IF(Q52=0,0,Q52/TrRoad_act!Q53*100)</f>
        <v>30.616235142692556</v>
      </c>
      <c r="R83" s="130">
        <f>IF(R52=0,0,R52/TrRoad_act!R53*100)</f>
        <v>31.858529181917028</v>
      </c>
      <c r="S83" s="130">
        <f>IF(S52=0,0,S52/TrRoad_act!S53*100)</f>
        <v>32.980818266830497</v>
      </c>
      <c r="T83" s="130">
        <f>IF(T52=0,0,T52/TrRoad_act!T53*100)</f>
        <v>35.045445144877085</v>
      </c>
      <c r="U83" s="130">
        <f>IF(U52=0,0,U52/TrRoad_act!U53*100)</f>
        <v>37.594948302981187</v>
      </c>
      <c r="V83" s="130">
        <f>IF(V52=0,0,V52/TrRoad_act!V53*100)</f>
        <v>33.837366658371948</v>
      </c>
      <c r="W83" s="130">
        <f>IF(W52=0,0,W52/TrRoad_act!W53*100)</f>
        <v>34.302508977191323</v>
      </c>
      <c r="X83" s="130">
        <f>IF(X52=0,0,X52/TrRoad_act!X53*100)</f>
        <v>33.343918597011211</v>
      </c>
      <c r="Y83" s="130">
        <f>IF(Y52=0,0,Y52/TrRoad_act!Y53*100)</f>
        <v>32.578150254364502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23.541247006115455</v>
      </c>
      <c r="C84" s="97">
        <f>IF(C53=0,0,C53/TrRoad_act!C54*100)</f>
        <v>29.416060732554179</v>
      </c>
      <c r="D84" s="97">
        <f>IF(D53=0,0,D53/TrRoad_act!D54*100)</f>
        <v>22.228925559658403</v>
      </c>
      <c r="E84" s="97">
        <f>IF(E53=0,0,E53/TrRoad_act!E54*100)</f>
        <v>36.615478860693948</v>
      </c>
      <c r="F84" s="97">
        <f>IF(F53=0,0,F53/TrRoad_act!F54*100)</f>
        <v>33.522776746815886</v>
      </c>
      <c r="G84" s="97">
        <f>IF(G53=0,0,G53/TrRoad_act!G54*100)</f>
        <v>37.258681838958523</v>
      </c>
      <c r="H84" s="97">
        <f>IF(H53=0,0,H53/TrRoad_act!H54*100)</f>
        <v>33.780900610273648</v>
      </c>
      <c r="I84" s="97">
        <f>IF(I53=0,0,I53/TrRoad_act!I54*100)</f>
        <v>29.147671899360866</v>
      </c>
      <c r="J84" s="97">
        <f>IF(J53=0,0,J53/TrRoad_act!J54*100)</f>
        <v>31.041554925656577</v>
      </c>
      <c r="K84" s="97">
        <f>IF(K53=0,0,K53/TrRoad_act!K54*100)</f>
        <v>28.369271752362902</v>
      </c>
      <c r="L84" s="97">
        <f>IF(L53=0,0,L53/TrRoad_act!L54*100)</f>
        <v>28.197166997578378</v>
      </c>
      <c r="M84" s="97">
        <f>IF(M53=0,0,M53/TrRoad_act!M54*100)</f>
        <v>26.602050346256334</v>
      </c>
      <c r="N84" s="97">
        <f>IF(N53=0,0,N53/TrRoad_act!N54*100)</f>
        <v>29.461164535631433</v>
      </c>
      <c r="O84" s="97">
        <f>IF(O53=0,0,O53/TrRoad_act!O54*100)</f>
        <v>21.519638045997691</v>
      </c>
      <c r="P84" s="97">
        <f>IF(P53=0,0,P53/TrRoad_act!P54*100)</f>
        <v>27.726087067924698</v>
      </c>
      <c r="Q84" s="97">
        <f>IF(Q53=0,0,Q53/TrRoad_act!Q54*100)</f>
        <v>28.668368159715346</v>
      </c>
      <c r="R84" s="97">
        <f>IF(R53=0,0,R53/TrRoad_act!R54*100)</f>
        <v>30.4372171191573</v>
      </c>
      <c r="S84" s="97">
        <f>IF(S53=0,0,S53/TrRoad_act!S54*100)</f>
        <v>32.081023780846778</v>
      </c>
      <c r="T84" s="97">
        <f>IF(T53=0,0,T53/TrRoad_act!T54*100)</f>
        <v>34.857547261724982</v>
      </c>
      <c r="U84" s="97">
        <f>IF(U53=0,0,U53/TrRoad_act!U54*100)</f>
        <v>38.398810655571438</v>
      </c>
      <c r="V84" s="97">
        <f>IF(V53=0,0,V53/TrRoad_act!V54*100)</f>
        <v>33.257813547855932</v>
      </c>
      <c r="W84" s="97">
        <f>IF(W53=0,0,W53/TrRoad_act!W54*100)</f>
        <v>33.931912634583888</v>
      </c>
      <c r="X84" s="97">
        <f>IF(X53=0,0,X53/TrRoad_act!X54*100)</f>
        <v>32.329224096159066</v>
      </c>
      <c r="Y84" s="97">
        <f>IF(Y53=0,0,Y53/TrRoad_act!Y54*100)</f>
        <v>31.297286459616569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41.312047996807003</v>
      </c>
      <c r="C85" s="98">
        <f>IF(C55=0,0,C55/TrRoad_act!C55*100)</f>
        <v>40.296894732905365</v>
      </c>
      <c r="D85" s="98">
        <f>IF(D55=0,0,D55/TrRoad_act!D55*100)</f>
        <v>40.683465898924567</v>
      </c>
      <c r="E85" s="98">
        <f>IF(E55=0,0,E55/TrRoad_act!E55*100)</f>
        <v>38.772709758442971</v>
      </c>
      <c r="F85" s="98">
        <f>IF(F55=0,0,F55/TrRoad_act!F55*100)</f>
        <v>38.580272837229117</v>
      </c>
      <c r="G85" s="98">
        <f>IF(G55=0,0,G55/TrRoad_act!G55*100)</f>
        <v>37.806030575185609</v>
      </c>
      <c r="H85" s="98">
        <f>IF(H55=0,0,H55/TrRoad_act!H55*100)</f>
        <v>38.045723279512615</v>
      </c>
      <c r="I85" s="98">
        <f>IF(I55=0,0,I55/TrRoad_act!I55*100)</f>
        <v>38.601229421231238</v>
      </c>
      <c r="J85" s="98">
        <f>IF(J55=0,0,J55/TrRoad_act!J55*100)</f>
        <v>37.450162082952836</v>
      </c>
      <c r="K85" s="98">
        <f>IF(K55=0,0,K55/TrRoad_act!K55*100)</f>
        <v>37.783793208372202</v>
      </c>
      <c r="L85" s="98">
        <f>IF(L55=0,0,L55/TrRoad_act!L55*100)</f>
        <v>37.535382994157935</v>
      </c>
      <c r="M85" s="98">
        <f>IF(M55=0,0,M55/TrRoad_act!M55*100)</f>
        <v>37.562640601958016</v>
      </c>
      <c r="N85" s="98">
        <f>IF(N55=0,0,N55/TrRoad_act!N55*100)</f>
        <v>37.018319306488493</v>
      </c>
      <c r="O85" s="98">
        <f>IF(O55=0,0,O55/TrRoad_act!O55*100)</f>
        <v>38.25439699644653</v>
      </c>
      <c r="P85" s="98">
        <f>IF(P55=0,0,P55/TrRoad_act!P55*100)</f>
        <v>37.198862079803114</v>
      </c>
      <c r="Q85" s="98">
        <f>IF(Q55=0,0,Q55/TrRoad_act!Q55*100)</f>
        <v>36.9142286492485</v>
      </c>
      <c r="R85" s="98">
        <f>IF(R55=0,0,R55/TrRoad_act!R55*100)</f>
        <v>36.554309672223987</v>
      </c>
      <c r="S85" s="98">
        <f>IF(S55=0,0,S55/TrRoad_act!S55*100)</f>
        <v>36.221345279398726</v>
      </c>
      <c r="T85" s="98">
        <f>IF(T55=0,0,T55/TrRoad_act!T55*100)</f>
        <v>35.709772414784609</v>
      </c>
      <c r="U85" s="98">
        <f>IF(U55=0,0,U55/TrRoad_act!U55*100)</f>
        <v>35.127532627539445</v>
      </c>
      <c r="V85" s="98">
        <f>IF(V55=0,0,V55/TrRoad_act!V55*100)</f>
        <v>35.712272286502326</v>
      </c>
      <c r="W85" s="98">
        <f>IF(W55=0,0,W55/TrRoad_act!W55*100)</f>
        <v>35.554233952639997</v>
      </c>
      <c r="X85" s="98">
        <f>IF(X55=0,0,X55/TrRoad_act!X55*100)</f>
        <v>35.881490197559991</v>
      </c>
      <c r="Y85" s="98">
        <f>IF(Y55=0,0,Y55/TrRoad_act!Y55*100)</f>
        <v>36.016660139422925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31.855380134974492</v>
      </c>
      <c r="C88" s="29">
        <f>IF(TrRoad_act!C4=0,0,C18/TrRoad_act!C4*1000)</f>
        <v>31.525382325365079</v>
      </c>
      <c r="D88" s="29">
        <f>IF(TrRoad_act!D4=0,0,D18/TrRoad_act!D4*1000)</f>
        <v>31.728124343151663</v>
      </c>
      <c r="E88" s="29">
        <f>IF(TrRoad_act!E4=0,0,E18/TrRoad_act!E4*1000)</f>
        <v>34.679336481432301</v>
      </c>
      <c r="F88" s="29">
        <f>IF(TrRoad_act!F4=0,0,F18/TrRoad_act!F4*1000)</f>
        <v>35.686602053779055</v>
      </c>
      <c r="G88" s="29">
        <f>IF(TrRoad_act!G4=0,0,G18/TrRoad_act!G4*1000)</f>
        <v>37.125939420961672</v>
      </c>
      <c r="H88" s="29">
        <f>IF(TrRoad_act!H4=0,0,H18/TrRoad_act!H4*1000)</f>
        <v>37.977856415174415</v>
      </c>
      <c r="I88" s="29">
        <f>IF(TrRoad_act!I4=0,0,I18/TrRoad_act!I4*1000)</f>
        <v>34.161367846595439</v>
      </c>
      <c r="J88" s="29">
        <f>IF(TrRoad_act!J4=0,0,J18/TrRoad_act!J4*1000)</f>
        <v>33.912074410709991</v>
      </c>
      <c r="K88" s="29">
        <f>IF(TrRoad_act!K4=0,0,K18/TrRoad_act!K4*1000)</f>
        <v>34.744194244170266</v>
      </c>
      <c r="L88" s="29">
        <f>IF(TrRoad_act!L4=0,0,L18/TrRoad_act!L4*1000)</f>
        <v>33.515978889873452</v>
      </c>
      <c r="M88" s="29">
        <f>IF(TrRoad_act!M4=0,0,M18/TrRoad_act!M4*1000)</f>
        <v>32.600369113008263</v>
      </c>
      <c r="N88" s="29">
        <f>IF(TrRoad_act!N4=0,0,N18/TrRoad_act!N4*1000)</f>
        <v>34.164648895639331</v>
      </c>
      <c r="O88" s="29">
        <f>IF(TrRoad_act!O4=0,0,O18/TrRoad_act!O4*1000)</f>
        <v>29.788657355686126</v>
      </c>
      <c r="P88" s="29">
        <f>IF(TrRoad_act!P4=0,0,P18/TrRoad_act!P4*1000)</f>
        <v>32.189106713277212</v>
      </c>
      <c r="Q88" s="29">
        <f>IF(TrRoad_act!Q4=0,0,Q18/TrRoad_act!Q4*1000)</f>
        <v>33.648467983677655</v>
      </c>
      <c r="R88" s="29">
        <f>IF(TrRoad_act!R4=0,0,R18/TrRoad_act!R4*1000)</f>
        <v>34.664293302478931</v>
      </c>
      <c r="S88" s="29">
        <f>IF(TrRoad_act!S4=0,0,S18/TrRoad_act!S4*1000)</f>
        <v>35.516467471195206</v>
      </c>
      <c r="T88" s="29">
        <f>IF(TrRoad_act!T4=0,0,T18/TrRoad_act!T4*1000)</f>
        <v>37.620446880385906</v>
      </c>
      <c r="U88" s="29">
        <f>IF(TrRoad_act!U4=0,0,U18/TrRoad_act!U4*1000)</f>
        <v>39.108595129237678</v>
      </c>
      <c r="V88" s="29">
        <f>IF(TrRoad_act!V4=0,0,V18/TrRoad_act!V4*1000)</f>
        <v>44.800014409249378</v>
      </c>
      <c r="W88" s="29">
        <f>IF(TrRoad_act!W4=0,0,W18/TrRoad_act!W4*1000)</f>
        <v>47.051370779046046</v>
      </c>
      <c r="X88" s="29">
        <f>IF(TrRoad_act!X4=0,0,X18/TrRoad_act!X4*1000)</f>
        <v>44.025715477410671</v>
      </c>
      <c r="Y88" s="29">
        <f>IF(TrRoad_act!Y4=0,0,Y18/TrRoad_act!Y4*1000)</f>
        <v>42.04280653057122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38.183438676584714</v>
      </c>
      <c r="C89" s="152">
        <f>IF(TrRoad_act!C5=0,0,C19/TrRoad_act!C5*1000)</f>
        <v>38.050190479550032</v>
      </c>
      <c r="D89" s="152">
        <f>IF(TrRoad_act!D5=0,0,D19/TrRoad_act!D5*1000)</f>
        <v>37.887053304924379</v>
      </c>
      <c r="E89" s="152">
        <f>IF(TrRoad_act!E5=0,0,E19/TrRoad_act!E5*1000)</f>
        <v>37.664593123013248</v>
      </c>
      <c r="F89" s="152">
        <f>IF(TrRoad_act!F5=0,0,F19/TrRoad_act!F5*1000)</f>
        <v>35.780188838154601</v>
      </c>
      <c r="G89" s="152">
        <f>IF(TrRoad_act!G5=0,0,G19/TrRoad_act!G5*1000)</f>
        <v>35.743413190101649</v>
      </c>
      <c r="H89" s="152">
        <f>IF(TrRoad_act!H5=0,0,H19/TrRoad_act!H5*1000)</f>
        <v>35.654150013568788</v>
      </c>
      <c r="I89" s="152">
        <f>IF(TrRoad_act!I5=0,0,I19/TrRoad_act!I5*1000)</f>
        <v>34.986931774627024</v>
      </c>
      <c r="J89" s="152">
        <f>IF(TrRoad_act!J5=0,0,J19/TrRoad_act!J5*1000)</f>
        <v>34.277482925623701</v>
      </c>
      <c r="K89" s="152">
        <f>IF(TrRoad_act!K5=0,0,K19/TrRoad_act!K5*1000)</f>
        <v>33.756070005623315</v>
      </c>
      <c r="L89" s="152">
        <f>IF(TrRoad_act!L5=0,0,L19/TrRoad_act!L5*1000)</f>
        <v>33.427600645467237</v>
      </c>
      <c r="M89" s="152">
        <f>IF(TrRoad_act!M5=0,0,M19/TrRoad_act!M5*1000)</f>
        <v>33.024615801231008</v>
      </c>
      <c r="N89" s="152">
        <f>IF(TrRoad_act!N5=0,0,N19/TrRoad_act!N5*1000)</f>
        <v>32.772235102969852</v>
      </c>
      <c r="O89" s="152">
        <f>IF(TrRoad_act!O5=0,0,O19/TrRoad_act!O5*1000)</f>
        <v>32.357109477050926</v>
      </c>
      <c r="P89" s="152">
        <f>IF(TrRoad_act!P5=0,0,P19/TrRoad_act!P5*1000)</f>
        <v>32.044713161929359</v>
      </c>
      <c r="Q89" s="152">
        <f>IF(TrRoad_act!Q5=0,0,Q19/TrRoad_act!Q5*1000)</f>
        <v>31.587624358415049</v>
      </c>
      <c r="R89" s="152">
        <f>IF(TrRoad_act!R5=0,0,R19/TrRoad_act!R5*1000)</f>
        <v>31.174934417099642</v>
      </c>
      <c r="S89" s="152">
        <f>IF(TrRoad_act!S5=0,0,S19/TrRoad_act!S5*1000)</f>
        <v>30.9468301914068</v>
      </c>
      <c r="T89" s="152">
        <f>IF(TrRoad_act!T5=0,0,T19/TrRoad_act!T5*1000)</f>
        <v>30.615402638871196</v>
      </c>
      <c r="U89" s="152">
        <f>IF(TrRoad_act!U5=0,0,U19/TrRoad_act!U5*1000)</f>
        <v>30.300316898065741</v>
      </c>
      <c r="V89" s="152">
        <f>IF(TrRoad_act!V5=0,0,V19/TrRoad_act!V5*1000)</f>
        <v>30.235233194615134</v>
      </c>
      <c r="W89" s="152">
        <f>IF(TrRoad_act!W5=0,0,W19/TrRoad_act!W5*1000)</f>
        <v>30.139166050293944</v>
      </c>
      <c r="X89" s="152">
        <f>IF(TrRoad_act!X5=0,0,X19/TrRoad_act!X5*1000)</f>
        <v>30.040894025407368</v>
      </c>
      <c r="Y89" s="152">
        <f>IF(TrRoad_act!Y5=0,0,Y19/TrRoad_act!Y5*1000)</f>
        <v>29.79651656895356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38.991206622186517</v>
      </c>
      <c r="C90" s="116">
        <f>IF(TrRoad_act!C6=0,0,C21/TrRoad_act!C6*1000)</f>
        <v>38.362403335689926</v>
      </c>
      <c r="D90" s="116">
        <f>IF(TrRoad_act!D6=0,0,D21/TrRoad_act!D6*1000)</f>
        <v>39.271504020171626</v>
      </c>
      <c r="E90" s="116">
        <f>IF(TrRoad_act!E6=0,0,E21/TrRoad_act!E6*1000)</f>
        <v>42.037309568465709</v>
      </c>
      <c r="F90" s="116">
        <f>IF(TrRoad_act!F6=0,0,F21/TrRoad_act!F6*1000)</f>
        <v>42.228503850522806</v>
      </c>
      <c r="G90" s="116">
        <f>IF(TrRoad_act!G6=0,0,G21/TrRoad_act!G6*1000)</f>
        <v>44.058810588506603</v>
      </c>
      <c r="H90" s="116">
        <f>IF(TrRoad_act!H6=0,0,H21/TrRoad_act!H6*1000)</f>
        <v>44.317539579498501</v>
      </c>
      <c r="I90" s="116">
        <f>IF(TrRoad_act!I6=0,0,I21/TrRoad_act!I6*1000)</f>
        <v>38.932500298235716</v>
      </c>
      <c r="J90" s="116">
        <f>IF(TrRoad_act!J6=0,0,J21/TrRoad_act!J6*1000)</f>
        <v>39.077695322557602</v>
      </c>
      <c r="K90" s="116">
        <f>IF(TrRoad_act!K6=0,0,K21/TrRoad_act!K6*1000)</f>
        <v>37.048043970577588</v>
      </c>
      <c r="L90" s="116">
        <f>IF(TrRoad_act!L6=0,0,L21/TrRoad_act!L6*1000)</f>
        <v>36.0171247104782</v>
      </c>
      <c r="M90" s="116">
        <f>IF(TrRoad_act!M6=0,0,M21/TrRoad_act!M6*1000)</f>
        <v>34.497968190547951</v>
      </c>
      <c r="N90" s="116">
        <f>IF(TrRoad_act!N6=0,0,N21/TrRoad_act!N6*1000)</f>
        <v>36.518940792873096</v>
      </c>
      <c r="O90" s="116">
        <f>IF(TrRoad_act!O6=0,0,O21/TrRoad_act!O6*1000)</f>
        <v>31.380923724822694</v>
      </c>
      <c r="P90" s="116">
        <f>IF(TrRoad_act!P6=0,0,P21/TrRoad_act!P6*1000)</f>
        <v>34.962901782029483</v>
      </c>
      <c r="Q90" s="116">
        <f>IF(TrRoad_act!Q6=0,0,Q21/TrRoad_act!Q6*1000)</f>
        <v>36.827014644220483</v>
      </c>
      <c r="R90" s="116">
        <f>IF(TrRoad_act!R6=0,0,R21/TrRoad_act!R6*1000)</f>
        <v>38.307588424101262</v>
      </c>
      <c r="S90" s="116">
        <f>IF(TrRoad_act!S6=0,0,S21/TrRoad_act!S6*1000)</f>
        <v>38.528741053754047</v>
      </c>
      <c r="T90" s="116">
        <f>IF(TrRoad_act!T6=0,0,T21/TrRoad_act!T6*1000)</f>
        <v>40.578775831955113</v>
      </c>
      <c r="U90" s="116">
        <f>IF(TrRoad_act!U6=0,0,U21/TrRoad_act!U6*1000)</f>
        <v>42.600149449106041</v>
      </c>
      <c r="V90" s="116">
        <f>IF(TrRoad_act!V6=0,0,V21/TrRoad_act!V6*1000)</f>
        <v>45.072996699810915</v>
      </c>
      <c r="W90" s="116">
        <f>IF(TrRoad_act!W6=0,0,W21/TrRoad_act!W6*1000)</f>
        <v>47.444213946868956</v>
      </c>
      <c r="X90" s="116">
        <f>IF(TrRoad_act!X6=0,0,X21/TrRoad_act!X6*1000)</f>
        <v>45.529397099322892</v>
      </c>
      <c r="Y90" s="116">
        <f>IF(TrRoad_act!Y6=0,0,Y21/TrRoad_act!Y6*1000)</f>
        <v>43.405913299351646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39.955581479631299</v>
      </c>
      <c r="C91" s="87">
        <f>IF(TrRoad_act!C7=0,0,C22/TrRoad_act!C7*1000)</f>
        <v>38.225583794084166</v>
      </c>
      <c r="D91" s="87">
        <f>IF(TrRoad_act!D7=0,0,D22/TrRoad_act!D7*1000)</f>
        <v>40.523220103553967</v>
      </c>
      <c r="E91" s="87">
        <f>IF(TrRoad_act!E7=0,0,E22/TrRoad_act!E7*1000)</f>
        <v>42.112723314840672</v>
      </c>
      <c r="F91" s="87">
        <f>IF(TrRoad_act!F7=0,0,F22/TrRoad_act!F7*1000)</f>
        <v>44.758299646422529</v>
      </c>
      <c r="G91" s="87">
        <f>IF(TrRoad_act!G7=0,0,G22/TrRoad_act!G7*1000)</f>
        <v>46.709267554809827</v>
      </c>
      <c r="H91" s="87">
        <f>IF(TrRoad_act!H7=0,0,H22/TrRoad_act!H7*1000)</f>
        <v>49.263099127915936</v>
      </c>
      <c r="I91" s="87">
        <f>IF(TrRoad_act!I7=0,0,I22/TrRoad_act!I7*1000)</f>
        <v>45.276732852701514</v>
      </c>
      <c r="J91" s="87">
        <f>IF(TrRoad_act!J7=0,0,J22/TrRoad_act!J7*1000)</f>
        <v>45.386510613197082</v>
      </c>
      <c r="K91" s="87">
        <f>IF(TrRoad_act!K7=0,0,K22/TrRoad_act!K7*1000)</f>
        <v>42.736148335063604</v>
      </c>
      <c r="L91" s="87">
        <f>IF(TrRoad_act!L7=0,0,L22/TrRoad_act!L7*1000)</f>
        <v>42.4418486996721</v>
      </c>
      <c r="M91" s="87">
        <f>IF(TrRoad_act!M7=0,0,M22/TrRoad_act!M7*1000)</f>
        <v>40.63192414716606</v>
      </c>
      <c r="N91" s="87">
        <f>IF(TrRoad_act!N7=0,0,N22/TrRoad_act!N7*1000)</f>
        <v>42.271410564703089</v>
      </c>
      <c r="O91" s="87">
        <f>IF(TrRoad_act!O7=0,0,O22/TrRoad_act!O7*1000)</f>
        <v>35.361715847586765</v>
      </c>
      <c r="P91" s="87">
        <f>IF(TrRoad_act!P7=0,0,P22/TrRoad_act!P7*1000)</f>
        <v>40.572114448630103</v>
      </c>
      <c r="Q91" s="87">
        <f>IF(TrRoad_act!Q7=0,0,Q22/TrRoad_act!Q7*1000)</f>
        <v>43.661391344844731</v>
      </c>
      <c r="R91" s="87">
        <f>IF(TrRoad_act!R7=0,0,R22/TrRoad_act!R7*1000)</f>
        <v>43.031291423897031</v>
      </c>
      <c r="S91" s="87">
        <f>IF(TrRoad_act!S7=0,0,S22/TrRoad_act!S7*1000)</f>
        <v>42.054936028467168</v>
      </c>
      <c r="T91" s="87">
        <f>IF(TrRoad_act!T7=0,0,T22/TrRoad_act!T7*1000)</f>
        <v>42.255331493887418</v>
      </c>
      <c r="U91" s="87">
        <f>IF(TrRoad_act!U7=0,0,U22/TrRoad_act!U7*1000)</f>
        <v>42.425742197899865</v>
      </c>
      <c r="V91" s="87">
        <f>IF(TrRoad_act!V7=0,0,V22/TrRoad_act!V7*1000)</f>
        <v>47.048330454973396</v>
      </c>
      <c r="W91" s="87">
        <f>IF(TrRoad_act!W7=0,0,W22/TrRoad_act!W7*1000)</f>
        <v>49.370892941398573</v>
      </c>
      <c r="X91" s="87">
        <f>IF(TrRoad_act!X7=0,0,X22/TrRoad_act!X7*1000)</f>
        <v>47.819342314295362</v>
      </c>
      <c r="Y91" s="87">
        <f>IF(TrRoad_act!Y7=0,0,Y22/TrRoad_act!Y7*1000)</f>
        <v>45.396210321122972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31.142037185601819</v>
      </c>
      <c r="C92" s="87">
        <f>IF(TrRoad_act!C8=0,0,C24/TrRoad_act!C8*1000)</f>
        <v>32.245666459160972</v>
      </c>
      <c r="D92" s="87">
        <f>IF(TrRoad_act!D8=0,0,D24/TrRoad_act!D8*1000)</f>
        <v>30.155558321345378</v>
      </c>
      <c r="E92" s="87">
        <f>IF(TrRoad_act!E8=0,0,E24/TrRoad_act!E8*1000)</f>
        <v>37.903538928991303</v>
      </c>
      <c r="F92" s="87">
        <f>IF(TrRoad_act!F8=0,0,F24/TrRoad_act!F8*1000)</f>
        <v>37.265064451889039</v>
      </c>
      <c r="G92" s="87">
        <f>IF(TrRoad_act!G8=0,0,G24/TrRoad_act!G8*1000)</f>
        <v>40.842617483145844</v>
      </c>
      <c r="H92" s="87">
        <f>IF(TrRoad_act!H8=0,0,H24/TrRoad_act!H8*1000)</f>
        <v>40.068809789447606</v>
      </c>
      <c r="I92" s="87">
        <f>IF(TrRoad_act!I8=0,0,I24/TrRoad_act!I8*1000)</f>
        <v>33.456476391012245</v>
      </c>
      <c r="J92" s="87">
        <f>IF(TrRoad_act!J8=0,0,J24/TrRoad_act!J8*1000)</f>
        <v>34.992247574736837</v>
      </c>
      <c r="K92" s="87">
        <f>IF(TrRoad_act!K8=0,0,K24/TrRoad_act!K8*1000)</f>
        <v>31.672671968744389</v>
      </c>
      <c r="L92" s="87">
        <f>IF(TrRoad_act!L8=0,0,L24/TrRoad_act!L8*1000)</f>
        <v>31.173714440749144</v>
      </c>
      <c r="M92" s="87">
        <f>IF(TrRoad_act!M8=0,0,M24/TrRoad_act!M8*1000)</f>
        <v>29.578673729727313</v>
      </c>
      <c r="N92" s="87">
        <f>IF(TrRoad_act!N8=0,0,N24/TrRoad_act!N8*1000)</f>
        <v>32.9876149516844</v>
      </c>
      <c r="O92" s="87">
        <f>IF(TrRoad_act!O8=0,0,O24/TrRoad_act!O8*1000)</f>
        <v>26.509325860448463</v>
      </c>
      <c r="P92" s="87">
        <f>IF(TrRoad_act!P8=0,0,P24/TrRoad_act!P8*1000)</f>
        <v>30.928941225894615</v>
      </c>
      <c r="Q92" s="87">
        <f>IF(TrRoad_act!Q8=0,0,Q24/TrRoad_act!Q8*1000)</f>
        <v>33.516985794131443</v>
      </c>
      <c r="R92" s="87">
        <f>IF(TrRoad_act!R8=0,0,R24/TrRoad_act!R8*1000)</f>
        <v>36.04254418182375</v>
      </c>
      <c r="S92" s="87">
        <f>IF(TrRoad_act!S8=0,0,S24/TrRoad_act!S8*1000)</f>
        <v>36.971545132096573</v>
      </c>
      <c r="T92" s="87">
        <f>IF(TrRoad_act!T8=0,0,T24/TrRoad_act!T8*1000)</f>
        <v>39.976406207576467</v>
      </c>
      <c r="U92" s="87">
        <f>IF(TrRoad_act!U8=0,0,U24/TrRoad_act!U8*1000)</f>
        <v>43.216168203329715</v>
      </c>
      <c r="V92" s="87">
        <f>IF(TrRoad_act!V8=0,0,V24/TrRoad_act!V8*1000)</f>
        <v>43.586989495759909</v>
      </c>
      <c r="W92" s="87">
        <f>IF(TrRoad_act!W8=0,0,W24/TrRoad_act!W8*1000)</f>
        <v>46.674715578599866</v>
      </c>
      <c r="X92" s="87">
        <f>IF(TrRoad_act!X8=0,0,X24/TrRoad_act!X8*1000)</f>
        <v>43.55918208816135</v>
      </c>
      <c r="Y92" s="87">
        <f>IF(TrRoad_act!Y8=0,0,Y24/TrRoad_act!Y8*1000)</f>
        <v>41.017934279673078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44.460036928401408</v>
      </c>
      <c r="C93" s="87">
        <f>IF(TrRoad_act!C9=0,0,C26/TrRoad_act!C9*1000)</f>
        <v>44.995186165557037</v>
      </c>
      <c r="D93" s="87">
        <f>IF(TrRoad_act!D9=0,0,D26/TrRoad_act!D9*1000)</f>
        <v>45.20706028513488</v>
      </c>
      <c r="E93" s="87">
        <f>IF(TrRoad_act!E9=0,0,E26/TrRoad_act!E9*1000)</f>
        <v>46.839384726186246</v>
      </c>
      <c r="F93" s="87">
        <f>IF(TrRoad_act!F9=0,0,F26/TrRoad_act!F9*1000)</f>
        <v>46.020209694841618</v>
      </c>
      <c r="G93" s="87">
        <f>IF(TrRoad_act!G9=0,0,G26/TrRoad_act!G9*1000)</f>
        <v>45.26353014462601</v>
      </c>
      <c r="H93" s="87">
        <f>IF(TrRoad_act!H9=0,0,H26/TrRoad_act!H9*1000)</f>
        <v>44.231116070668051</v>
      </c>
      <c r="I93" s="87">
        <f>IF(TrRoad_act!I9=0,0,I26/TrRoad_act!I9*1000)</f>
        <v>39.340417179092334</v>
      </c>
      <c r="J93" s="87">
        <f>IF(TrRoad_act!J9=0,0,J26/TrRoad_act!J9*1000)</f>
        <v>38.385791141201068</v>
      </c>
      <c r="K93" s="87">
        <f>IF(TrRoad_act!K9=0,0,K26/TrRoad_act!K9*1000)</f>
        <v>39.590649990089041</v>
      </c>
      <c r="L93" s="87">
        <f>IF(TrRoad_act!L9=0,0,L26/TrRoad_act!L9*1000)</f>
        <v>37.282283133230614</v>
      </c>
      <c r="M93" s="87">
        <f>IF(TrRoad_act!M9=0,0,M26/TrRoad_act!M9*1000)</f>
        <v>38.494686492595164</v>
      </c>
      <c r="N93" s="87">
        <f>IF(TrRoad_act!N9=0,0,N26/TrRoad_act!N9*1000)</f>
        <v>38.786404750789885</v>
      </c>
      <c r="O93" s="87">
        <f>IF(TrRoad_act!O9=0,0,O26/TrRoad_act!O9*1000)</f>
        <v>39.239442565453835</v>
      </c>
      <c r="P93" s="87">
        <f>IF(TrRoad_act!P9=0,0,P26/TrRoad_act!P9*1000)</f>
        <v>38.851215815796614</v>
      </c>
      <c r="Q93" s="87">
        <f>IF(TrRoad_act!Q9=0,0,Q26/TrRoad_act!Q9*1000)</f>
        <v>38.34272520085829</v>
      </c>
      <c r="R93" s="87">
        <f>IF(TrRoad_act!R9=0,0,R26/TrRoad_act!R9*1000)</f>
        <v>39.44539976316414</v>
      </c>
      <c r="S93" s="87">
        <f>IF(TrRoad_act!S9=0,0,S26/TrRoad_act!S9*1000)</f>
        <v>39.046866782093844</v>
      </c>
      <c r="T93" s="87">
        <f>IF(TrRoad_act!T9=0,0,T26/TrRoad_act!T9*1000)</f>
        <v>40.679818325067579</v>
      </c>
      <c r="U93" s="87">
        <f>IF(TrRoad_act!U9=0,0,U26/TrRoad_act!U9*1000)</f>
        <v>40.973265947616056</v>
      </c>
      <c r="V93" s="87">
        <f>IF(TrRoad_act!V9=0,0,V26/TrRoad_act!V9*1000)</f>
        <v>48.164484548085646</v>
      </c>
      <c r="W93" s="87">
        <f>IF(TrRoad_act!W9=0,0,W26/TrRoad_act!W9*1000)</f>
        <v>48.222266467573334</v>
      </c>
      <c r="X93" s="87">
        <f>IF(TrRoad_act!X9=0,0,X26/TrRoad_act!X9*1000)</f>
        <v>51.057509039204056</v>
      </c>
      <c r="Y93" s="87">
        <f>IF(TrRoad_act!Y9=0,0,Y26/TrRoad_act!Y9*1000)</f>
        <v>51.426030215677159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53.64456469939995</v>
      </c>
      <c r="G94" s="87">
        <f>IF(TrRoad_act!G10=0,0,G27/TrRoad_act!G10*1000)</f>
        <v>54.919379037343525</v>
      </c>
      <c r="H94" s="87">
        <f>IF(TrRoad_act!H10=0,0,H27/TrRoad_act!H10*1000)</f>
        <v>56.58305215550984</v>
      </c>
      <c r="I94" s="87">
        <f>IF(TrRoad_act!I10=0,0,I27/TrRoad_act!I10*1000)</f>
        <v>51.522295792186497</v>
      </c>
      <c r="J94" s="87">
        <f>IF(TrRoad_act!J10=0,0,J27/TrRoad_act!J10*1000)</f>
        <v>51.740671285082612</v>
      </c>
      <c r="K94" s="87">
        <f>IF(TrRoad_act!K10=0,0,K27/TrRoad_act!K10*1000)</f>
        <v>48.322760398528956</v>
      </c>
      <c r="L94" s="87">
        <f>IF(TrRoad_act!L10=0,0,L27/TrRoad_act!L10*1000)</f>
        <v>42.030961639650712</v>
      </c>
      <c r="M94" s="87">
        <f>IF(TrRoad_act!M10=0,0,M27/TrRoad_act!M10*1000)</f>
        <v>40.301140793602364</v>
      </c>
      <c r="N94" s="87">
        <f>IF(TrRoad_act!N10=0,0,N27/TrRoad_act!N10*1000)</f>
        <v>41.192513134099137</v>
      </c>
      <c r="O94" s="87">
        <f>IF(TrRoad_act!O10=0,0,O27/TrRoad_act!O10*1000)</f>
        <v>40.521188749301977</v>
      </c>
      <c r="P94" s="87">
        <f>IF(TrRoad_act!P10=0,0,P27/TrRoad_act!P10*1000)</f>
        <v>39.091795365360049</v>
      </c>
      <c r="Q94" s="87">
        <f>IF(TrRoad_act!Q10=0,0,Q27/TrRoad_act!Q10*1000)</f>
        <v>40.898636883928589</v>
      </c>
      <c r="R94" s="87">
        <f>IF(TrRoad_act!R10=0,0,R27/TrRoad_act!R10*1000)</f>
        <v>41.620233448900066</v>
      </c>
      <c r="S94" s="87">
        <f>IF(TrRoad_act!S10=0,0,S27/TrRoad_act!S10*1000)</f>
        <v>40.953168548004726</v>
      </c>
      <c r="T94" s="87">
        <f>IF(TrRoad_act!T10=0,0,T27/TrRoad_act!T10*1000)</f>
        <v>41.314161705895593</v>
      </c>
      <c r="U94" s="87">
        <f>IF(TrRoad_act!U10=0,0,U27/TrRoad_act!U10*1000)</f>
        <v>41.321756029321882</v>
      </c>
      <c r="V94" s="87">
        <f>IF(TrRoad_act!V10=0,0,V27/TrRoad_act!V10*1000)</f>
        <v>46.068188299760621</v>
      </c>
      <c r="W94" s="87">
        <f>IF(TrRoad_act!W10=0,0,W27/TrRoad_act!W10*1000)</f>
        <v>48.9732707396008</v>
      </c>
      <c r="X94" s="87">
        <f>IF(TrRoad_act!X10=0,0,X27/TrRoad_act!X10*1000)</f>
        <v>45.925971235282631</v>
      </c>
      <c r="Y94" s="87">
        <f>IF(TrRoad_act!Y10=0,0,Y27/TrRoad_act!Y10*1000)</f>
        <v>44.296459768539762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15.204246831137366</v>
      </c>
      <c r="O95" s="87">
        <f>IF(TrRoad_act!O11=0,0,O29/TrRoad_act!O11*1000)</f>
        <v>13.572782537162119</v>
      </c>
      <c r="P95" s="87">
        <f>IF(TrRoad_act!P11=0,0,P29/TrRoad_act!P11*1000)</f>
        <v>17.093954993413483</v>
      </c>
      <c r="Q95" s="87">
        <f>IF(TrRoad_act!Q11=0,0,Q29/TrRoad_act!Q11*1000)</f>
        <v>19.961603463354368</v>
      </c>
      <c r="R95" s="87">
        <f>IF(TrRoad_act!R11=0,0,R29/TrRoad_act!R11*1000)</f>
        <v>19.676834245910836</v>
      </c>
      <c r="S95" s="87">
        <f>IF(TrRoad_act!S11=0,0,S29/TrRoad_act!S11*1000)</f>
        <v>19.895482653141247</v>
      </c>
      <c r="T95" s="87">
        <f>IF(TrRoad_act!T11=0,0,T29/TrRoad_act!T11*1000)</f>
        <v>20.15682525123508</v>
      </c>
      <c r="U95" s="87">
        <f>IF(TrRoad_act!U11=0,0,U29/TrRoad_act!U11*1000)</f>
        <v>22.986506440441296</v>
      </c>
      <c r="V95" s="87">
        <f>IF(TrRoad_act!V11=0,0,V29/TrRoad_act!V11*1000)</f>
        <v>25.044424177293102</v>
      </c>
      <c r="W95" s="87">
        <f>IF(TrRoad_act!W11=0,0,W29/TrRoad_act!W11*1000)</f>
        <v>24.665438044312548</v>
      </c>
      <c r="X95" s="87">
        <f>IF(TrRoad_act!X11=0,0,X29/TrRoad_act!X11*1000)</f>
        <v>23.101984295605259</v>
      </c>
      <c r="Y95" s="87">
        <f>IF(TrRoad_act!Y11=0,0,Y29/TrRoad_act!Y11*1000)</f>
        <v>21.212738964846707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0</v>
      </c>
      <c r="P96" s="87">
        <f>IF(TrRoad_act!P12=0,0,P32/TrRoad_act!P12*1000)</f>
        <v>0</v>
      </c>
      <c r="Q96" s="87">
        <f>IF(TrRoad_act!Q12=0,0,Q32/TrRoad_act!Q12*1000)</f>
        <v>0</v>
      </c>
      <c r="R96" s="87">
        <f>IF(TrRoad_act!R12=0,0,R32/TrRoad_act!R12*1000)</f>
        <v>8.2686799970673128</v>
      </c>
      <c r="S96" s="87">
        <f>IF(TrRoad_act!S12=0,0,S32/TrRoad_act!S12*1000)</f>
        <v>7.8344773547615496</v>
      </c>
      <c r="T96" s="87">
        <f>IF(TrRoad_act!T12=0,0,T32/TrRoad_act!T12*1000)</f>
        <v>8.5303816887554369</v>
      </c>
      <c r="U96" s="87">
        <f>IF(TrRoad_act!U12=0,0,U32/TrRoad_act!U12*1000)</f>
        <v>9.6279275976009888</v>
      </c>
      <c r="V96" s="87">
        <f>IF(TrRoad_act!V12=0,0,V32/TrRoad_act!V12*1000)</f>
        <v>11.395063507492877</v>
      </c>
      <c r="W96" s="87">
        <f>IF(TrRoad_act!W12=0,0,W32/TrRoad_act!W12*1000)</f>
        <v>12.948861895983685</v>
      </c>
      <c r="X96" s="87">
        <f>IF(TrRoad_act!X12=0,0,X32/TrRoad_act!X12*1000)</f>
        <v>12.855086189870816</v>
      </c>
      <c r="Y96" s="87">
        <f>IF(TrRoad_act!Y12=0,0,Y32/TrRoad_act!Y12*1000)</f>
        <v>13.119449681000043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18.554991472141801</v>
      </c>
      <c r="C97" s="116">
        <f>IF(TrRoad_act!C13=0,0,C33/TrRoad_act!C13*1000)</f>
        <v>18.631143495407411</v>
      </c>
      <c r="D97" s="116">
        <f>IF(TrRoad_act!D13=0,0,D33/TrRoad_act!D13*1000)</f>
        <v>18.590474993627272</v>
      </c>
      <c r="E97" s="116">
        <f>IF(TrRoad_act!E13=0,0,E33/TrRoad_act!E13*1000)</f>
        <v>18.920175713160241</v>
      </c>
      <c r="F97" s="116">
        <f>IF(TrRoad_act!F13=0,0,F33/TrRoad_act!F13*1000)</f>
        <v>19.214955960179445</v>
      </c>
      <c r="G97" s="116">
        <f>IF(TrRoad_act!G13=0,0,G33/TrRoad_act!G13*1000)</f>
        <v>19.388164730830617</v>
      </c>
      <c r="H97" s="116">
        <f>IF(TrRoad_act!H13=0,0,H33/TrRoad_act!H13*1000)</f>
        <v>19.63276639358774</v>
      </c>
      <c r="I97" s="116">
        <f>IF(TrRoad_act!I13=0,0,I33/TrRoad_act!I13*1000)</f>
        <v>19.931611793547333</v>
      </c>
      <c r="J97" s="116">
        <f>IF(TrRoad_act!J13=0,0,J33/TrRoad_act!J13*1000)</f>
        <v>17.773964117245679</v>
      </c>
      <c r="K97" s="116">
        <f>IF(TrRoad_act!K13=0,0,K33/TrRoad_act!K13*1000)</f>
        <v>24.587532494785826</v>
      </c>
      <c r="L97" s="116">
        <f>IF(TrRoad_act!L13=0,0,L33/TrRoad_act!L13*1000)</f>
        <v>22.467925122651657</v>
      </c>
      <c r="M97" s="116">
        <f>IF(TrRoad_act!M13=0,0,M33/TrRoad_act!M13*1000)</f>
        <v>24.164332141612718</v>
      </c>
      <c r="N97" s="116">
        <f>IF(TrRoad_act!N13=0,0,N33/TrRoad_act!N13*1000)</f>
        <v>23.088737015038902</v>
      </c>
      <c r="O97" s="116">
        <f>IF(TrRoad_act!O13=0,0,O33/TrRoad_act!O13*1000)</f>
        <v>21.686918409014154</v>
      </c>
      <c r="P97" s="116">
        <f>IF(TrRoad_act!P13=0,0,P33/TrRoad_act!P13*1000)</f>
        <v>19.157981406473503</v>
      </c>
      <c r="Q97" s="116">
        <f>IF(TrRoad_act!Q13=0,0,Q33/TrRoad_act!Q13*1000)</f>
        <v>19.334940743632462</v>
      </c>
      <c r="R97" s="116">
        <f>IF(TrRoad_act!R13=0,0,R33/TrRoad_act!R13*1000)</f>
        <v>18.013668251308353</v>
      </c>
      <c r="S97" s="116">
        <f>IF(TrRoad_act!S13=0,0,S33/TrRoad_act!S13*1000)</f>
        <v>19.409720212024979</v>
      </c>
      <c r="T97" s="116">
        <f>IF(TrRoad_act!T13=0,0,T33/TrRoad_act!T13*1000)</f>
        <v>21.049007049039119</v>
      </c>
      <c r="U97" s="116">
        <f>IF(TrRoad_act!U13=0,0,U33/TrRoad_act!U13*1000)</f>
        <v>21.063384353227949</v>
      </c>
      <c r="V97" s="116">
        <f>IF(TrRoad_act!V13=0,0,V33/TrRoad_act!V13*1000)</f>
        <v>44.283389054157077</v>
      </c>
      <c r="W97" s="116">
        <f>IF(TrRoad_act!W13=0,0,W33/TrRoad_act!W13*1000)</f>
        <v>45.631856439673022</v>
      </c>
      <c r="X97" s="116">
        <f>IF(TrRoad_act!X13=0,0,X33/TrRoad_act!X13*1000)</f>
        <v>33.364952576841688</v>
      </c>
      <c r="Y97" s="116">
        <f>IF(TrRoad_act!Y13=0,0,Y33/TrRoad_act!Y13*1000)</f>
        <v>32.043218254760824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13.269492916558377</v>
      </c>
      <c r="S98" s="101">
        <f>IF(TrRoad_act!S14=0,0,S34/TrRoad_act!S14*1000)</f>
        <v>14.410606088747095</v>
      </c>
      <c r="T98" s="101">
        <f>IF(TrRoad_act!T14=0,0,T34/TrRoad_act!T14*1000)</f>
        <v>15.688128171198596</v>
      </c>
      <c r="U98" s="101">
        <f>IF(TrRoad_act!U14=0,0,U34/TrRoad_act!U14*1000)</f>
        <v>15.702514818935423</v>
      </c>
      <c r="V98" s="101">
        <f>IF(TrRoad_act!V14=0,0,V34/TrRoad_act!V14*1000)</f>
        <v>21.742233685231792</v>
      </c>
      <c r="W98" s="101">
        <f>IF(TrRoad_act!W14=0,0,W34/TrRoad_act!W14*1000)</f>
        <v>21.766377780469046</v>
      </c>
      <c r="X98" s="101">
        <f>IF(TrRoad_act!X14=0,0,X34/TrRoad_act!X14*1000)</f>
        <v>21.280905900420088</v>
      </c>
      <c r="Y98" s="101">
        <f>IF(TrRoad_act!Y14=0,0,Y34/TrRoad_act!Y14*1000)</f>
        <v>21.222823495075239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18.554991472141801</v>
      </c>
      <c r="C99" s="101">
        <f>IF(TrRoad_act!C15=0,0,C36/TrRoad_act!C15*1000)</f>
        <v>18.631143495407411</v>
      </c>
      <c r="D99" s="101">
        <f>IF(TrRoad_act!D15=0,0,D36/TrRoad_act!D15*1000)</f>
        <v>18.590474993627272</v>
      </c>
      <c r="E99" s="101">
        <f>IF(TrRoad_act!E15=0,0,E36/TrRoad_act!E15*1000)</f>
        <v>18.920175713160241</v>
      </c>
      <c r="F99" s="101">
        <f>IF(TrRoad_act!F15=0,0,F36/TrRoad_act!F15*1000)</f>
        <v>19.24944478291706</v>
      </c>
      <c r="G99" s="101">
        <f>IF(TrRoad_act!G15=0,0,G36/TrRoad_act!G15*1000)</f>
        <v>19.473709134667356</v>
      </c>
      <c r="H99" s="101">
        <f>IF(TrRoad_act!H15=0,0,H36/TrRoad_act!H15*1000)</f>
        <v>19.806947871450564</v>
      </c>
      <c r="I99" s="101">
        <f>IF(TrRoad_act!I15=0,0,I36/TrRoad_act!I15*1000)</f>
        <v>20.12758730195721</v>
      </c>
      <c r="J99" s="101">
        <f>IF(TrRoad_act!J15=0,0,J36/TrRoad_act!J15*1000)</f>
        <v>17.958832692541652</v>
      </c>
      <c r="K99" s="101">
        <f>IF(TrRoad_act!K15=0,0,K36/TrRoad_act!K15*1000)</f>
        <v>24.911339236608988</v>
      </c>
      <c r="L99" s="101">
        <f>IF(TrRoad_act!L15=0,0,L36/TrRoad_act!L15*1000)</f>
        <v>22.748853959663741</v>
      </c>
      <c r="M99" s="101">
        <f>IF(TrRoad_act!M15=0,0,M36/TrRoad_act!M15*1000)</f>
        <v>24.505805231237179</v>
      </c>
      <c r="N99" s="101">
        <f>IF(TrRoad_act!N15=0,0,N36/TrRoad_act!N15*1000)</f>
        <v>23.242102003813223</v>
      </c>
      <c r="O99" s="101">
        <f>IF(TrRoad_act!O15=0,0,O36/TrRoad_act!O15*1000)</f>
        <v>23.085751826739621</v>
      </c>
      <c r="P99" s="101">
        <f>IF(TrRoad_act!P15=0,0,P36/TrRoad_act!P15*1000)</f>
        <v>21.527234106458614</v>
      </c>
      <c r="Q99" s="101">
        <f>IF(TrRoad_act!Q15=0,0,Q36/TrRoad_act!Q15*1000)</f>
        <v>20.875179688636244</v>
      </c>
      <c r="R99" s="101">
        <f>IF(TrRoad_act!R15=0,0,R36/TrRoad_act!R15*1000)</f>
        <v>19.196164740863651</v>
      </c>
      <c r="S99" s="101">
        <f>IF(TrRoad_act!S15=0,0,S36/TrRoad_act!S15*1000)</f>
        <v>20.842748803914947</v>
      </c>
      <c r="T99" s="101">
        <f>IF(TrRoad_act!T15=0,0,T36/TrRoad_act!T15*1000)</f>
        <v>22.7054934226854</v>
      </c>
      <c r="U99" s="101">
        <f>IF(TrRoad_act!U15=0,0,U36/TrRoad_act!U15*1000)</f>
        <v>22.732233006137925</v>
      </c>
      <c r="V99" s="101">
        <f>IF(TrRoad_act!V15=0,0,V36/TrRoad_act!V15*1000)</f>
        <v>49.069947669539133</v>
      </c>
      <c r="W99" s="101">
        <f>IF(TrRoad_act!W15=0,0,W36/TrRoad_act!W15*1000)</f>
        <v>49.869273793814621</v>
      </c>
      <c r="X99" s="101">
        <f>IF(TrRoad_act!X15=0,0,X36/TrRoad_act!X15*1000)</f>
        <v>35.57042108835109</v>
      </c>
      <c r="Y99" s="101">
        <f>IF(TrRoad_act!Y15=0,0,Y36/TrRoad_act!Y15*1000)</f>
        <v>33.725029336561292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16.484943783437572</v>
      </c>
      <c r="S100" s="101">
        <f>IF(TrRoad_act!S16=0,0,S38/TrRoad_act!S16*1000)</f>
        <v>17.847880886699112</v>
      </c>
      <c r="T100" s="101">
        <f>IF(TrRoad_act!T16=0,0,T38/TrRoad_act!T16*1000)</f>
        <v>19.41750262526541</v>
      </c>
      <c r="U100" s="101">
        <f>IF(TrRoad_act!U16=0,0,U38/TrRoad_act!U16*1000)</f>
        <v>19.44935182939016</v>
      </c>
      <c r="V100" s="101">
        <f>IF(TrRoad_act!V16=0,0,V38/TrRoad_act!V16*1000)</f>
        <v>42.180250017908662</v>
      </c>
      <c r="W100" s="101">
        <f>IF(TrRoad_act!W16=0,0,W38/TrRoad_act!W16*1000)</f>
        <v>42.353658440912177</v>
      </c>
      <c r="X100" s="101">
        <f>IF(TrRoad_act!X16=0,0,X38/TrRoad_act!X16*1000)</f>
        <v>30.995494084455242</v>
      </c>
      <c r="Y100" s="101">
        <f>IF(TrRoad_act!Y16=0,0,Y38/TrRoad_act!Y16*1000)</f>
        <v>30.026544990595799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14.178021794486794</v>
      </c>
      <c r="G101" s="101">
        <f>IF(TrRoad_act!G17=0,0,G39/TrRoad_act!G17*1000)</f>
        <v>13.660819321009956</v>
      </c>
      <c r="H101" s="101">
        <f>IF(TrRoad_act!H17=0,0,H39/TrRoad_act!H17*1000)</f>
        <v>13.522954033811089</v>
      </c>
      <c r="I101" s="101">
        <f>IF(TrRoad_act!I17=0,0,I39/TrRoad_act!I17*1000)</f>
        <v>15.257670237971666</v>
      </c>
      <c r="J101" s="101">
        <f>IF(TrRoad_act!J17=0,0,J39/TrRoad_act!J17*1000)</f>
        <v>13.807242656514083</v>
      </c>
      <c r="K101" s="101">
        <f>IF(TrRoad_act!K17=0,0,K39/TrRoad_act!K17*1000)</f>
        <v>19.880329191848535</v>
      </c>
      <c r="L101" s="101">
        <f>IF(TrRoad_act!L17=0,0,L39/TrRoad_act!L17*1000)</f>
        <v>19.920370771715856</v>
      </c>
      <c r="M101" s="101">
        <f>IF(TrRoad_act!M17=0,0,M39/TrRoad_act!M17*1000)</f>
        <v>20.829837728380777</v>
      </c>
      <c r="N101" s="101">
        <f>IF(TrRoad_act!N17=0,0,N39/TrRoad_act!N17*1000)</f>
        <v>21.888949176002516</v>
      </c>
      <c r="O101" s="101">
        <f>IF(TrRoad_act!O17=0,0,O39/TrRoad_act!O17*1000)</f>
        <v>15.251305364195087</v>
      </c>
      <c r="P101" s="101">
        <f>IF(TrRoad_act!P17=0,0,P39/TrRoad_act!P17*1000)</f>
        <v>7.8278006344775148</v>
      </c>
      <c r="Q101" s="101">
        <f>IF(TrRoad_act!Q17=0,0,Q39/TrRoad_act!Q17*1000)</f>
        <v>12.024283860379954</v>
      </c>
      <c r="R101" s="101">
        <f>IF(TrRoad_act!R17=0,0,R39/TrRoad_act!R17*1000)</f>
        <v>13.724510844321694</v>
      </c>
      <c r="S101" s="101">
        <f>IF(TrRoad_act!S17=0,0,S39/TrRoad_act!S17*1000)</f>
        <v>14.646529497278769</v>
      </c>
      <c r="T101" s="101">
        <f>IF(TrRoad_act!T17=0,0,T39/TrRoad_act!T17*1000)</f>
        <v>15.745330101334202</v>
      </c>
      <c r="U101" s="101">
        <f>IF(TrRoad_act!U17=0,0,U39/TrRoad_act!U17*1000)</f>
        <v>16.295309161585244</v>
      </c>
      <c r="V101" s="101">
        <f>IF(TrRoad_act!V17=0,0,V39/TrRoad_act!V17*1000)</f>
        <v>31.566369049934686</v>
      </c>
      <c r="W101" s="101">
        <f>IF(TrRoad_act!W17=0,0,W39/TrRoad_act!W17*1000)</f>
        <v>37.372813414318856</v>
      </c>
      <c r="X101" s="101">
        <f>IF(TrRoad_act!X17=0,0,X39/TrRoad_act!X17*1000)</f>
        <v>25.92007561987565</v>
      </c>
      <c r="Y101" s="101">
        <f>IF(TrRoad_act!Y17=0,0,Y39/TrRoad_act!Y17*1000)</f>
        <v>25.747260341605067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10.424124792656885</v>
      </c>
      <c r="K102" s="101">
        <f>IF(TrRoad_act!K18=0,0,K41/TrRoad_act!K18*1000)</f>
        <v>14.519652446676403</v>
      </c>
      <c r="L102" s="101">
        <f>IF(TrRoad_act!L18=0,0,L41/TrRoad_act!L18*1000)</f>
        <v>13.318826287028948</v>
      </c>
      <c r="M102" s="101">
        <f>IF(TrRoad_act!M18=0,0,M41/TrRoad_act!M18*1000)</f>
        <v>14.398772206233737</v>
      </c>
      <c r="N102" s="101">
        <f>IF(TrRoad_act!N18=0,0,N41/TrRoad_act!N18*1000)</f>
        <v>13.691040095059815</v>
      </c>
      <c r="O102" s="101">
        <f>IF(TrRoad_act!O18=0,0,O41/TrRoad_act!O18*1000)</f>
        <v>13.820759880168</v>
      </c>
      <c r="P102" s="101">
        <f>IF(TrRoad_act!P18=0,0,P41/TrRoad_act!P18*1000)</f>
        <v>12.901251781108938</v>
      </c>
      <c r="Q102" s="101">
        <f>IF(TrRoad_act!Q18=0,0,Q41/TrRoad_act!Q18*1000)</f>
        <v>12.465032485913296</v>
      </c>
      <c r="R102" s="101">
        <f>IF(TrRoad_act!R18=0,0,R41/TrRoad_act!R18*1000)</f>
        <v>11.436050986397424</v>
      </c>
      <c r="S102" s="101">
        <f>IF(TrRoad_act!S18=0,0,S41/TrRoad_act!S18*1000)</f>
        <v>12.382188131579849</v>
      </c>
      <c r="T102" s="101">
        <f>IF(TrRoad_act!T18=0,0,T41/TrRoad_act!T18*1000)</f>
        <v>13.474314595451196</v>
      </c>
      <c r="U102" s="101">
        <f>IF(TrRoad_act!U18=0,0,U41/TrRoad_act!U18*1000)</f>
        <v>13.470470052954148</v>
      </c>
      <c r="V102" s="101">
        <f>IF(TrRoad_act!V18=0,0,V41/TrRoad_act!V18*1000)</f>
        <v>29.202659693282484</v>
      </c>
      <c r="W102" s="101">
        <f>IF(TrRoad_act!W18=0,0,W41/TrRoad_act!W18*1000)</f>
        <v>29.517461687462774</v>
      </c>
      <c r="X102" s="101">
        <f>IF(TrRoad_act!X18=0,0,X41/TrRoad_act!X18*1000)</f>
        <v>21.605616782146541</v>
      </c>
      <c r="Y102" s="101">
        <f>IF(TrRoad_act!Y18=0,0,Y41/TrRoad_act!Y18*1000)</f>
        <v>20.470152791724171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42.016320456721623</v>
      </c>
      <c r="C103" s="29">
        <f>IF(TrRoad_act!C19=0,0,C42/TrRoad_act!C19*1000)</f>
        <v>43.086629633444787</v>
      </c>
      <c r="D103" s="29">
        <f>IF(TrRoad_act!D19=0,0,D42/TrRoad_act!D19*1000)</f>
        <v>37.195338561959979</v>
      </c>
      <c r="E103" s="29">
        <f>IF(TrRoad_act!E19=0,0,E42/TrRoad_act!E19*1000)</f>
        <v>48.533638296503554</v>
      </c>
      <c r="F103" s="29">
        <f>IF(TrRoad_act!F19=0,0,F42/TrRoad_act!F19*1000)</f>
        <v>49.178924145142979</v>
      </c>
      <c r="G103" s="29">
        <f>IF(TrRoad_act!G19=0,0,G42/TrRoad_act!G19*1000)</f>
        <v>50.220937190277233</v>
      </c>
      <c r="H103" s="29">
        <f>IF(TrRoad_act!H19=0,0,H42/TrRoad_act!H19*1000)</f>
        <v>51.078045420261333</v>
      </c>
      <c r="I103" s="29">
        <f>IF(TrRoad_act!I19=0,0,I42/TrRoad_act!I19*1000)</f>
        <v>48.035865004108757</v>
      </c>
      <c r="J103" s="29">
        <f>IF(TrRoad_act!J19=0,0,J42/TrRoad_act!J19*1000)</f>
        <v>54.096377136763216</v>
      </c>
      <c r="K103" s="29">
        <f>IF(TrRoad_act!K19=0,0,K42/TrRoad_act!K19*1000)</f>
        <v>52.147394402095024</v>
      </c>
      <c r="L103" s="29">
        <f>IF(TrRoad_act!L19=0,0,L42/TrRoad_act!L19*1000)</f>
        <v>50.068020576141876</v>
      </c>
      <c r="M103" s="29">
        <f>IF(TrRoad_act!M19=0,0,M42/TrRoad_act!M19*1000)</f>
        <v>47.664148330762593</v>
      </c>
      <c r="N103" s="29">
        <f>IF(TrRoad_act!N19=0,0,N42/TrRoad_act!N19*1000)</f>
        <v>51.748759654071236</v>
      </c>
      <c r="O103" s="29">
        <f>IF(TrRoad_act!O19=0,0,O42/TrRoad_act!O19*1000)</f>
        <v>41.005893703673472</v>
      </c>
      <c r="P103" s="29">
        <f>IF(TrRoad_act!P19=0,0,P42/TrRoad_act!P19*1000)</f>
        <v>46.800213615363198</v>
      </c>
      <c r="Q103" s="29">
        <f>IF(TrRoad_act!Q19=0,0,Q42/TrRoad_act!Q19*1000)</f>
        <v>48.293463940679928</v>
      </c>
      <c r="R103" s="29">
        <f>IF(TrRoad_act!R19=0,0,R42/TrRoad_act!R19*1000)</f>
        <v>48.660677858977436</v>
      </c>
      <c r="S103" s="29">
        <f>IF(TrRoad_act!S19=0,0,S42/TrRoad_act!S19*1000)</f>
        <v>45.238284158454832</v>
      </c>
      <c r="T103" s="29">
        <f>IF(TrRoad_act!T19=0,0,T42/TrRoad_act!T19*1000)</f>
        <v>46.997276817812697</v>
      </c>
      <c r="U103" s="29">
        <f>IF(TrRoad_act!U19=0,0,U42/TrRoad_act!U19*1000)</f>
        <v>52.620678369601826</v>
      </c>
      <c r="V103" s="29">
        <f>IF(TrRoad_act!V19=0,0,V42/TrRoad_act!V19*1000)</f>
        <v>45.88768031688317</v>
      </c>
      <c r="W103" s="29">
        <f>IF(TrRoad_act!W19=0,0,W42/TrRoad_act!W19*1000)</f>
        <v>44.017299528883797</v>
      </c>
      <c r="X103" s="29">
        <f>IF(TrRoad_act!X19=0,0,X42/TrRoad_act!X19*1000)</f>
        <v>39.285281810218741</v>
      </c>
      <c r="Y103" s="29">
        <f>IF(TrRoad_act!Y19=0,0,Y42/TrRoad_act!Y19*1000)</f>
        <v>37.23374059826309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306.6879076384335</v>
      </c>
      <c r="C104" s="152">
        <f>IF(TrRoad_act!C20=0,0,C43/TrRoad_act!C20*1000)</f>
        <v>310.15224510600734</v>
      </c>
      <c r="D104" s="152">
        <f>IF(TrRoad_act!D20=0,0,D43/TrRoad_act!D20*1000)</f>
        <v>310.6809671338969</v>
      </c>
      <c r="E104" s="152">
        <f>IF(TrRoad_act!E20=0,0,E43/TrRoad_act!E20*1000)</f>
        <v>299.31368806007879</v>
      </c>
      <c r="F104" s="152">
        <f>IF(TrRoad_act!F20=0,0,F43/TrRoad_act!F20*1000)</f>
        <v>282.29023860216824</v>
      </c>
      <c r="G104" s="152">
        <f>IF(TrRoad_act!G20=0,0,G43/TrRoad_act!G20*1000)</f>
        <v>275.23534196374521</v>
      </c>
      <c r="H104" s="152">
        <f>IF(TrRoad_act!H20=0,0,H43/TrRoad_act!H20*1000)</f>
        <v>257.90378008264167</v>
      </c>
      <c r="I104" s="152">
        <f>IF(TrRoad_act!I20=0,0,I43/TrRoad_act!I20*1000)</f>
        <v>245.94261174258986</v>
      </c>
      <c r="J104" s="152">
        <f>IF(TrRoad_act!J20=0,0,J43/TrRoad_act!J20*1000)</f>
        <v>240.05637171909854</v>
      </c>
      <c r="K104" s="152">
        <f>IF(TrRoad_act!K20=0,0,K43/TrRoad_act!K20*1000)</f>
        <v>233.43995480368255</v>
      </c>
      <c r="L104" s="152">
        <f>IF(TrRoad_act!L20=0,0,L43/TrRoad_act!L20*1000)</f>
        <v>229.16800666875997</v>
      </c>
      <c r="M104" s="152">
        <f>IF(TrRoad_act!M20=0,0,M43/TrRoad_act!M20*1000)</f>
        <v>228.23151589922077</v>
      </c>
      <c r="N104" s="152">
        <f>IF(TrRoad_act!N20=0,0,N43/TrRoad_act!N20*1000)</f>
        <v>227.4063253104936</v>
      </c>
      <c r="O104" s="152">
        <f>IF(TrRoad_act!O20=0,0,O43/TrRoad_act!O20*1000)</f>
        <v>225.33609511799079</v>
      </c>
      <c r="P104" s="152">
        <f>IF(TrRoad_act!P20=0,0,P43/TrRoad_act!P20*1000)</f>
        <v>224.72453379318279</v>
      </c>
      <c r="Q104" s="152">
        <f>IF(TrRoad_act!Q20=0,0,Q43/TrRoad_act!Q20*1000)</f>
        <v>225.08934018483615</v>
      </c>
      <c r="R104" s="152">
        <f>IF(TrRoad_act!R20=0,0,R43/TrRoad_act!R20*1000)</f>
        <v>222.98782380101963</v>
      </c>
      <c r="S104" s="152">
        <f>IF(TrRoad_act!S20=0,0,S43/TrRoad_act!S20*1000)</f>
        <v>223.04870635919747</v>
      </c>
      <c r="T104" s="152">
        <f>IF(TrRoad_act!T20=0,0,T43/TrRoad_act!T20*1000)</f>
        <v>222.95574554787032</v>
      </c>
      <c r="U104" s="152">
        <f>IF(TrRoad_act!U20=0,0,U43/TrRoad_act!U20*1000)</f>
        <v>224.26443321030288</v>
      </c>
      <c r="V104" s="152">
        <f>IF(TrRoad_act!V20=0,0,V43/TrRoad_act!V20*1000)</f>
        <v>226.36683524031056</v>
      </c>
      <c r="W104" s="152">
        <f>IF(TrRoad_act!W20=0,0,W43/TrRoad_act!W20*1000)</f>
        <v>230.27216484919552</v>
      </c>
      <c r="X104" s="152">
        <f>IF(TrRoad_act!X20=0,0,X43/TrRoad_act!X20*1000)</f>
        <v>233.65906885034192</v>
      </c>
      <c r="Y104" s="152">
        <f>IF(TrRoad_act!Y20=0,0,Y43/TrRoad_act!Y20*1000)</f>
        <v>238.08733286823048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489.23411183815807</v>
      </c>
      <c r="C105" s="87">
        <f>IF(TrRoad_act!C21=0,0,C44/TrRoad_act!C21*1000)</f>
        <v>486.09664149102593</v>
      </c>
      <c r="D105" s="87">
        <f>IF(TrRoad_act!D21=0,0,D44/TrRoad_act!D21*1000)</f>
        <v>482.58351740075989</v>
      </c>
      <c r="E105" s="87">
        <f>IF(TrRoad_act!E21=0,0,E44/TrRoad_act!E21*1000)</f>
        <v>478.89243642072569</v>
      </c>
      <c r="F105" s="87">
        <f>IF(TrRoad_act!F21=0,0,F44/TrRoad_act!F21*1000)</f>
        <v>475.93749994700477</v>
      </c>
      <c r="G105" s="87">
        <f>IF(TrRoad_act!G21=0,0,G44/TrRoad_act!G21*1000)</f>
        <v>469.35040366398829</v>
      </c>
      <c r="H105" s="87">
        <f>IF(TrRoad_act!H21=0,0,H44/TrRoad_act!H21*1000)</f>
        <v>464.90176613442992</v>
      </c>
      <c r="I105" s="87">
        <f>IF(TrRoad_act!I21=0,0,I44/TrRoad_act!I21*1000)</f>
        <v>461.06058866754762</v>
      </c>
      <c r="J105" s="87">
        <f>IF(TrRoad_act!J21=0,0,J44/TrRoad_act!J21*1000)</f>
        <v>460.46449860163051</v>
      </c>
      <c r="K105" s="87">
        <f>IF(TrRoad_act!K21=0,0,K44/TrRoad_act!K21*1000)</f>
        <v>454.853891523649</v>
      </c>
      <c r="L105" s="87">
        <f>IF(TrRoad_act!L21=0,0,L44/TrRoad_act!L21*1000)</f>
        <v>447.70281899916012</v>
      </c>
      <c r="M105" s="87">
        <f>IF(TrRoad_act!M21=0,0,M44/TrRoad_act!M21*1000)</f>
        <v>444.51248631408475</v>
      </c>
      <c r="N105" s="87">
        <f>IF(TrRoad_act!N21=0,0,N44/TrRoad_act!N21*1000)</f>
        <v>432.26977761066041</v>
      </c>
      <c r="O105" s="87">
        <f>IF(TrRoad_act!O21=0,0,O44/TrRoad_act!O21*1000)</f>
        <v>420.72658816232246</v>
      </c>
      <c r="P105" s="87">
        <f>IF(TrRoad_act!P21=0,0,P44/TrRoad_act!P21*1000)</f>
        <v>398.60385928786047</v>
      </c>
      <c r="Q105" s="87">
        <f>IF(TrRoad_act!Q21=0,0,Q44/TrRoad_act!Q21*1000)</f>
        <v>382.47453679152687</v>
      </c>
      <c r="R105" s="87">
        <f>IF(TrRoad_act!R21=0,0,R44/TrRoad_act!R21*1000)</f>
        <v>362.40616521578676</v>
      </c>
      <c r="S105" s="87">
        <f>IF(TrRoad_act!S21=0,0,S44/TrRoad_act!S21*1000)</f>
        <v>347.57190450668691</v>
      </c>
      <c r="T105" s="87">
        <f>IF(TrRoad_act!T21=0,0,T44/TrRoad_act!T21*1000)</f>
        <v>332.86286359172942</v>
      </c>
      <c r="U105" s="87">
        <f>IF(TrRoad_act!U21=0,0,U44/TrRoad_act!U21*1000)</f>
        <v>326.98723184475847</v>
      </c>
      <c r="V105" s="87">
        <f>IF(TrRoad_act!V21=0,0,V44/TrRoad_act!V21*1000)</f>
        <v>326.33240093082992</v>
      </c>
      <c r="W105" s="87">
        <f>IF(TrRoad_act!W21=0,0,W44/TrRoad_act!W21*1000)</f>
        <v>326.55020827164157</v>
      </c>
      <c r="X105" s="87">
        <f>IF(TrRoad_act!X21=0,0,X44/TrRoad_act!X21*1000)</f>
        <v>326.46828938010162</v>
      </c>
      <c r="Y105" s="87">
        <f>IF(TrRoad_act!Y21=0,0,Y44/TrRoad_act!Y21*1000)</f>
        <v>325.83738642592755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275.28251038039065</v>
      </c>
      <c r="C106" s="87">
        <f>IF(TrRoad_act!C22=0,0,C46/TrRoad_act!C22*1000)</f>
        <v>277.42611409895903</v>
      </c>
      <c r="D106" s="87">
        <f>IF(TrRoad_act!D22=0,0,D46/TrRoad_act!D22*1000)</f>
        <v>278.33056010903709</v>
      </c>
      <c r="E106" s="87">
        <f>IF(TrRoad_act!E22=0,0,E46/TrRoad_act!E22*1000)</f>
        <v>268.11521492106613</v>
      </c>
      <c r="F106" s="87">
        <f>IF(TrRoad_act!F22=0,0,F46/TrRoad_act!F22*1000)</f>
        <v>253.81779780495222</v>
      </c>
      <c r="G106" s="87">
        <f>IF(TrRoad_act!G22=0,0,G46/TrRoad_act!G22*1000)</f>
        <v>247.60468923993824</v>
      </c>
      <c r="H106" s="87">
        <f>IF(TrRoad_act!H22=0,0,H46/TrRoad_act!H22*1000)</f>
        <v>235.71112684751051</v>
      </c>
      <c r="I106" s="87">
        <f>IF(TrRoad_act!I22=0,0,I46/TrRoad_act!I22*1000)</f>
        <v>228.38856800384184</v>
      </c>
      <c r="J106" s="87">
        <f>IF(TrRoad_act!J22=0,0,J46/TrRoad_act!J22*1000)</f>
        <v>225.79108680607231</v>
      </c>
      <c r="K106" s="87">
        <f>IF(TrRoad_act!K22=0,0,K46/TrRoad_act!K22*1000)</f>
        <v>221.57659346102832</v>
      </c>
      <c r="L106" s="87">
        <f>IF(TrRoad_act!L22=0,0,L46/TrRoad_act!L22*1000)</f>
        <v>220.13778051040299</v>
      </c>
      <c r="M106" s="87">
        <f>IF(TrRoad_act!M22=0,0,M46/TrRoad_act!M22*1000)</f>
        <v>219.4456209087657</v>
      </c>
      <c r="N106" s="87">
        <f>IF(TrRoad_act!N22=0,0,N46/TrRoad_act!N22*1000)</f>
        <v>219.80542705249442</v>
      </c>
      <c r="O106" s="87">
        <f>IF(TrRoad_act!O22=0,0,O46/TrRoad_act!O22*1000)</f>
        <v>218.51051433888856</v>
      </c>
      <c r="P106" s="87">
        <f>IF(TrRoad_act!P22=0,0,P46/TrRoad_act!P22*1000)</f>
        <v>219.15968992806373</v>
      </c>
      <c r="Q106" s="87">
        <f>IF(TrRoad_act!Q22=0,0,Q46/TrRoad_act!Q22*1000)</f>
        <v>219.45463543967284</v>
      </c>
      <c r="R106" s="87">
        <f>IF(TrRoad_act!R22=0,0,R46/TrRoad_act!R22*1000)</f>
        <v>217.56196080740904</v>
      </c>
      <c r="S106" s="87">
        <f>IF(TrRoad_act!S22=0,0,S46/TrRoad_act!S22*1000)</f>
        <v>216.65102123534734</v>
      </c>
      <c r="T106" s="87">
        <f>IF(TrRoad_act!T22=0,0,T46/TrRoad_act!T22*1000)</f>
        <v>216.15173993568254</v>
      </c>
      <c r="U106" s="87">
        <f>IF(TrRoad_act!U22=0,0,U46/TrRoad_act!U22*1000)</f>
        <v>216.56114505431643</v>
      </c>
      <c r="V106" s="87">
        <f>IF(TrRoad_act!V22=0,0,V46/TrRoad_act!V22*1000)</f>
        <v>217.83274722711934</v>
      </c>
      <c r="W106" s="87">
        <f>IF(TrRoad_act!W22=0,0,W46/TrRoad_act!W22*1000)</f>
        <v>220.54787621748699</v>
      </c>
      <c r="X106" s="87">
        <f>IF(TrRoad_act!X22=0,0,X46/TrRoad_act!X22*1000)</f>
        <v>223.50013985512385</v>
      </c>
      <c r="Y106" s="87">
        <f>IF(TrRoad_act!Y22=0,0,Y46/TrRoad_act!Y22*1000)</f>
        <v>227.4722363746863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51.302987539033936</v>
      </c>
      <c r="O109" s="87">
        <f>IF(TrRoad_act!O25=0,0,O51/TrRoad_act!O25*1000)</f>
        <v>51.340805630873987</v>
      </c>
      <c r="P109" s="87">
        <f>IF(TrRoad_act!P25=0,0,P51/TrRoad_act!P25*1000)</f>
        <v>51.423641723203005</v>
      </c>
      <c r="Q109" s="87">
        <f>IF(TrRoad_act!Q25=0,0,Q51/TrRoad_act!Q25*1000)</f>
        <v>52.80964762696243</v>
      </c>
      <c r="R109" s="87">
        <f>IF(TrRoad_act!R25=0,0,R51/TrRoad_act!R25*1000)</f>
        <v>54.481661816425785</v>
      </c>
      <c r="S109" s="87">
        <f>IF(TrRoad_act!S25=0,0,S51/TrRoad_act!S25*1000)</f>
        <v>55.171998731590655</v>
      </c>
      <c r="T109" s="87">
        <f>IF(TrRoad_act!T25=0,0,T51/TrRoad_act!T25*1000)</f>
        <v>55.217858164388943</v>
      </c>
      <c r="U109" s="87">
        <f>IF(TrRoad_act!U25=0,0,U51/TrRoad_act!U25*1000)</f>
        <v>58.416661695745439</v>
      </c>
      <c r="V109" s="87">
        <f>IF(TrRoad_act!V25=0,0,V51/TrRoad_act!V25*1000)</f>
        <v>61.056378585135299</v>
      </c>
      <c r="W109" s="87">
        <f>IF(TrRoad_act!W25=0,0,W51/TrRoad_act!W25*1000)</f>
        <v>72.011260676070492</v>
      </c>
      <c r="X109" s="87">
        <f>IF(TrRoad_act!X25=0,0,X51/TrRoad_act!X25*1000)</f>
        <v>89.937025126797067</v>
      </c>
      <c r="Y109" s="87">
        <f>IF(TrRoad_act!Y25=0,0,Y51/TrRoad_act!Y25*1000)</f>
        <v>87.847934758609483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27.056999588134168</v>
      </c>
      <c r="C110" s="116">
        <f>IF(TrRoad_act!C26=0,0,C52/TrRoad_act!C26*1000)</f>
        <v>29.64411147518479</v>
      </c>
      <c r="D110" s="116">
        <f>IF(TrRoad_act!D26=0,0,D52/TrRoad_act!D26*1000)</f>
        <v>24.636306914213147</v>
      </c>
      <c r="E110" s="116">
        <f>IF(TrRoad_act!E26=0,0,E52/TrRoad_act!E26*1000)</f>
        <v>36.844476189494863</v>
      </c>
      <c r="F110" s="116">
        <f>IF(TrRoad_act!F26=0,0,F52/TrRoad_act!F26*1000)</f>
        <v>37.331876471352238</v>
      </c>
      <c r="G110" s="116">
        <f>IF(TrRoad_act!G26=0,0,G52/TrRoad_act!G26*1000)</f>
        <v>39.992595057185049</v>
      </c>
      <c r="H110" s="116">
        <f>IF(TrRoad_act!H26=0,0,H52/TrRoad_act!H26*1000)</f>
        <v>40.330516791373761</v>
      </c>
      <c r="I110" s="116">
        <f>IF(TrRoad_act!I26=0,0,I52/TrRoad_act!I26*1000)</f>
        <v>35.873410040633772</v>
      </c>
      <c r="J110" s="116">
        <f>IF(TrRoad_act!J26=0,0,J52/TrRoad_act!J26*1000)</f>
        <v>40.847259964540108</v>
      </c>
      <c r="K110" s="116">
        <f>IF(TrRoad_act!K26=0,0,K52/TrRoad_act!K26*1000)</f>
        <v>37.517706926180018</v>
      </c>
      <c r="L110" s="116">
        <f>IF(TrRoad_act!L26=0,0,L52/TrRoad_act!L26*1000)</f>
        <v>35.933909455780906</v>
      </c>
      <c r="M110" s="116">
        <f>IF(TrRoad_act!M26=0,0,M52/TrRoad_act!M26*1000)</f>
        <v>33.188996227451334</v>
      </c>
      <c r="N110" s="116">
        <f>IF(TrRoad_act!N26=0,0,N52/TrRoad_act!N26*1000)</f>
        <v>36.175426137370643</v>
      </c>
      <c r="O110" s="116">
        <f>IF(TrRoad_act!O26=0,0,O52/TrRoad_act!O26*1000)</f>
        <v>27.132710235141143</v>
      </c>
      <c r="P110" s="116">
        <f>IF(TrRoad_act!P26=0,0,P52/TrRoad_act!P26*1000)</f>
        <v>32.000365405924491</v>
      </c>
      <c r="Q110" s="116">
        <f>IF(TrRoad_act!Q26=0,0,Q52/TrRoad_act!Q26*1000)</f>
        <v>33.168937563734758</v>
      </c>
      <c r="R110" s="116">
        <f>IF(TrRoad_act!R26=0,0,R52/TrRoad_act!R26*1000)</f>
        <v>33.90857589305746</v>
      </c>
      <c r="S110" s="116">
        <f>IF(TrRoad_act!S26=0,0,S52/TrRoad_act!S26*1000)</f>
        <v>33.365378942220886</v>
      </c>
      <c r="T110" s="116">
        <f>IF(TrRoad_act!T26=0,0,T52/TrRoad_act!T26*1000)</f>
        <v>34.374889670440112</v>
      </c>
      <c r="U110" s="116">
        <f>IF(TrRoad_act!U26=0,0,U52/TrRoad_act!U26*1000)</f>
        <v>37.327900349812786</v>
      </c>
      <c r="V110" s="116">
        <f>IF(TrRoad_act!V26=0,0,V52/TrRoad_act!V26*1000)</f>
        <v>33.771067918154912</v>
      </c>
      <c r="W110" s="116">
        <f>IF(TrRoad_act!W26=0,0,W52/TrRoad_act!W26*1000)</f>
        <v>34.193618058483899</v>
      </c>
      <c r="X110" s="116">
        <f>IF(TrRoad_act!X26=0,0,X52/TrRoad_act!X26*1000)</f>
        <v>30.217721805432568</v>
      </c>
      <c r="Y110" s="116">
        <f>IF(TrRoad_act!Y26=0,0,Y52/TrRoad_act!Y26*1000)</f>
        <v>29.383111325238595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24.359984638610356</v>
      </c>
      <c r="C111" s="101">
        <f>IF(TrRoad_act!C27=0,0,C53/TrRoad_act!C27*1000)</f>
        <v>31.531881549173349</v>
      </c>
      <c r="D111" s="101">
        <f>IF(TrRoad_act!D27=0,0,D53/TrRoad_act!D27*1000)</f>
        <v>19.996456315745135</v>
      </c>
      <c r="E111" s="101">
        <f>IF(TrRoad_act!E27=0,0,E53/TrRoad_act!E27*1000)</f>
        <v>47.272898430059307</v>
      </c>
      <c r="F111" s="101">
        <f>IF(TrRoad_act!F27=0,0,F53/TrRoad_act!F27*1000)</f>
        <v>49.514751381242839</v>
      </c>
      <c r="G111" s="101">
        <f>IF(TrRoad_act!G27=0,0,G53/TrRoad_act!G27*1000)</f>
        <v>55.340420152991115</v>
      </c>
      <c r="H111" s="101">
        <f>IF(TrRoad_act!H27=0,0,H53/TrRoad_act!H27*1000)</f>
        <v>52.189920508810644</v>
      </c>
      <c r="I111" s="101">
        <f>IF(TrRoad_act!I27=0,0,I53/TrRoad_act!I27*1000)</f>
        <v>42.459596756624144</v>
      </c>
      <c r="J111" s="101">
        <f>IF(TrRoad_act!J27=0,0,J53/TrRoad_act!J27*1000)</f>
        <v>46.026231397772186</v>
      </c>
      <c r="K111" s="101">
        <f>IF(TrRoad_act!K27=0,0,K53/TrRoad_act!K27*1000)</f>
        <v>41.388725043092087</v>
      </c>
      <c r="L111" s="101">
        <f>IF(TrRoad_act!L27=0,0,L53/TrRoad_act!L27*1000)</f>
        <v>40.22242939360445</v>
      </c>
      <c r="M111" s="101">
        <f>IF(TrRoad_act!M27=0,0,M53/TrRoad_act!M27*1000)</f>
        <v>36.446196623514737</v>
      </c>
      <c r="N111" s="101">
        <f>IF(TrRoad_act!N27=0,0,N53/TrRoad_act!N27*1000)</f>
        <v>40.86881240068503</v>
      </c>
      <c r="O111" s="101">
        <f>IF(TrRoad_act!O27=0,0,O53/TrRoad_act!O27*1000)</f>
        <v>27.138920616963162</v>
      </c>
      <c r="P111" s="101">
        <f>IF(TrRoad_act!P27=0,0,P53/TrRoad_act!P27*1000)</f>
        <v>34.931782710833929</v>
      </c>
      <c r="Q111" s="101">
        <f>IF(TrRoad_act!Q27=0,0,Q53/TrRoad_act!Q27*1000)</f>
        <v>36.974680072137055</v>
      </c>
      <c r="R111" s="101">
        <f>IF(TrRoad_act!R27=0,0,R53/TrRoad_act!R27*1000)</f>
        <v>37.942625928168511</v>
      </c>
      <c r="S111" s="101">
        <f>IF(TrRoad_act!S27=0,0,S53/TrRoad_act!S27*1000)</f>
        <v>36.711354062376301</v>
      </c>
      <c r="T111" s="101">
        <f>IF(TrRoad_act!T27=0,0,T53/TrRoad_act!T27*1000)</f>
        <v>38.400090854654358</v>
      </c>
      <c r="U111" s="101">
        <f>IF(TrRoad_act!U27=0,0,U53/TrRoad_act!U27*1000)</f>
        <v>43.776926993237588</v>
      </c>
      <c r="V111" s="101">
        <f>IF(TrRoad_act!V27=0,0,V53/TrRoad_act!V27*1000)</f>
        <v>37.656282815993421</v>
      </c>
      <c r="W111" s="101">
        <f>IF(TrRoad_act!W27=0,0,W53/TrRoad_act!W27*1000)</f>
        <v>38.370232362288348</v>
      </c>
      <c r="X111" s="101">
        <f>IF(TrRoad_act!X27=0,0,X53/TrRoad_act!X27*1000)</f>
        <v>32.816894143203307</v>
      </c>
      <c r="Y111" s="101">
        <f>IF(TrRoad_act!Y27=0,0,Y53/TrRoad_act!Y27*1000)</f>
        <v>31.101322840095641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28.975819105144037</v>
      </c>
      <c r="C112" s="88">
        <f>IF(TrRoad_act!C28=0,0,C55/TrRoad_act!C28*1000)</f>
        <v>28.28833244194108</v>
      </c>
      <c r="D112" s="88">
        <f>IF(TrRoad_act!D28=0,0,D55/TrRoad_act!D28*1000)</f>
        <v>28.373380546320423</v>
      </c>
      <c r="E112" s="88">
        <f>IF(TrRoad_act!E28=0,0,E55/TrRoad_act!E28*1000)</f>
        <v>27.200992675088827</v>
      </c>
      <c r="F112" s="88">
        <f>IF(TrRoad_act!F28=0,0,F55/TrRoad_act!F28*1000)</f>
        <v>27.5708515840501</v>
      </c>
      <c r="G112" s="88">
        <f>IF(TrRoad_act!G28=0,0,G55/TrRoad_act!G28*1000)</f>
        <v>27.005457765654391</v>
      </c>
      <c r="H112" s="88">
        <f>IF(TrRoad_act!H28=0,0,H55/TrRoad_act!H28*1000)</f>
        <v>27.004138606704672</v>
      </c>
      <c r="I112" s="88">
        <f>IF(TrRoad_act!I28=0,0,I55/TrRoad_act!I28*1000)</f>
        <v>27.347157422493982</v>
      </c>
      <c r="J112" s="88">
        <f>IF(TrRoad_act!J28=0,0,J55/TrRoad_act!J28*1000)</f>
        <v>26.912652792679989</v>
      </c>
      <c r="K112" s="88">
        <f>IF(TrRoad_act!K28=0,0,K55/TrRoad_act!K28*1000)</f>
        <v>27.515539788995337</v>
      </c>
      <c r="L112" s="88">
        <f>IF(TrRoad_act!L28=0,0,L55/TrRoad_act!L28*1000)</f>
        <v>26.47307758146264</v>
      </c>
      <c r="M112" s="88">
        <f>IF(TrRoad_act!M28=0,0,M55/TrRoad_act!M28*1000)</f>
        <v>26.577583878223361</v>
      </c>
      <c r="N112" s="88">
        <f>IF(TrRoad_act!N28=0,0,N55/TrRoad_act!N28*1000)</f>
        <v>26.279425903720206</v>
      </c>
      <c r="O112" s="88">
        <f>IF(TrRoad_act!O28=0,0,O55/TrRoad_act!O28*1000)</f>
        <v>27.120840879050213</v>
      </c>
      <c r="P112" s="88">
        <f>IF(TrRoad_act!P28=0,0,P55/TrRoad_act!P28*1000)</f>
        <v>26.31086816838544</v>
      </c>
      <c r="Q112" s="88">
        <f>IF(TrRoad_act!Q28=0,0,Q55/TrRoad_act!Q28*1000)</f>
        <v>26.356845677378722</v>
      </c>
      <c r="R112" s="88">
        <f>IF(TrRoad_act!R28=0,0,R55/TrRoad_act!R28*1000)</f>
        <v>26.235247803171806</v>
      </c>
      <c r="S112" s="88">
        <f>IF(TrRoad_act!S28=0,0,S55/TrRoad_act!S28*1000)</f>
        <v>25.850161828696148</v>
      </c>
      <c r="T112" s="88">
        <f>IF(TrRoad_act!T28=0,0,T55/TrRoad_act!T28*1000)</f>
        <v>25.242913736526045</v>
      </c>
      <c r="U112" s="88">
        <f>IF(TrRoad_act!U28=0,0,U55/TrRoad_act!U28*1000)</f>
        <v>24.980400057296382</v>
      </c>
      <c r="V112" s="88">
        <f>IF(TrRoad_act!V28=0,0,V55/TrRoad_act!V28*1000)</f>
        <v>25.762878100913376</v>
      </c>
      <c r="W112" s="88">
        <f>IF(TrRoad_act!W28=0,0,W55/TrRoad_act!W28*1000)</f>
        <v>25.312164796814006</v>
      </c>
      <c r="X112" s="88">
        <f>IF(TrRoad_act!X28=0,0,X55/TrRoad_act!X28*1000)</f>
        <v>25.641662999097761</v>
      </c>
      <c r="Y112" s="88">
        <f>IF(TrRoad_act!Y28=0,0,Y55/TrRoad_act!Y28*1000)</f>
        <v>26.028669207708152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176.57552527058724</v>
      </c>
      <c r="C116" s="152">
        <f>IF(C19=0,0,1000000*C19/TrRoad_act!C59)</f>
        <v>178.00297224095962</v>
      </c>
      <c r="D116" s="152">
        <f>IF(D19=0,0,1000000*D19/TrRoad_act!D59)</f>
        <v>177.73391332118641</v>
      </c>
      <c r="E116" s="152">
        <f>IF(E19=0,0,1000000*E19/TrRoad_act!E59)</f>
        <v>172.82091099217124</v>
      </c>
      <c r="F116" s="152">
        <f>IF(F19=0,0,1000000*F19/TrRoad_act!F59)</f>
        <v>175.22990932494054</v>
      </c>
      <c r="G116" s="152">
        <f>IF(G19=0,0,1000000*G19/TrRoad_act!G59)</f>
        <v>187.01316689257291</v>
      </c>
      <c r="H116" s="152">
        <f>IF(H19=0,0,1000000*H19/TrRoad_act!H59)</f>
        <v>191.14312579201294</v>
      </c>
      <c r="I116" s="152">
        <f>IF(I19=0,0,1000000*I19/TrRoad_act!I59)</f>
        <v>168.1083480598347</v>
      </c>
      <c r="J116" s="152">
        <f>IF(J19=0,0,1000000*J19/TrRoad_act!J59)</f>
        <v>158.36123658052151</v>
      </c>
      <c r="K116" s="152">
        <f>IF(K19=0,0,1000000*K19/TrRoad_act!K59)</f>
        <v>151.34375672763497</v>
      </c>
      <c r="L116" s="152">
        <f>IF(L19=0,0,1000000*L19/TrRoad_act!L59)</f>
        <v>153.0558852552648</v>
      </c>
      <c r="M116" s="152">
        <f>IF(M19=0,0,1000000*M19/TrRoad_act!M59)</f>
        <v>152.42883873081433</v>
      </c>
      <c r="N116" s="152">
        <f>IF(N19=0,0,1000000*N19/TrRoad_act!N59)</f>
        <v>154.46957849379382</v>
      </c>
      <c r="O116" s="152">
        <f>IF(O19=0,0,1000000*O19/TrRoad_act!O59)</f>
        <v>153.34597891009943</v>
      </c>
      <c r="P116" s="152">
        <f>IF(P19=0,0,1000000*P19/TrRoad_act!P59)</f>
        <v>153.31798022301879</v>
      </c>
      <c r="Q116" s="152">
        <f>IF(Q19=0,0,1000000*Q19/TrRoad_act!Q59)</f>
        <v>155.27902605612448</v>
      </c>
      <c r="R116" s="152">
        <f>IF(R19=0,0,1000000*R19/TrRoad_act!R59)</f>
        <v>156.48708164112634</v>
      </c>
      <c r="S116" s="152">
        <f>IF(S19=0,0,1000000*S19/TrRoad_act!S59)</f>
        <v>140.5207436718637</v>
      </c>
      <c r="T116" s="152">
        <f>IF(T19=0,0,1000000*T19/TrRoad_act!T59)</f>
        <v>127.29417038836839</v>
      </c>
      <c r="U116" s="152">
        <f>IF(U19=0,0,1000000*U19/TrRoad_act!U59)</f>
        <v>128.80562195589226</v>
      </c>
      <c r="V116" s="152">
        <f>IF(V19=0,0,1000000*V19/TrRoad_act!V59)</f>
        <v>111.49548208317074</v>
      </c>
      <c r="W116" s="152">
        <f>IF(W19=0,0,1000000*W19/TrRoad_act!W59)</f>
        <v>112.22042633338006</v>
      </c>
      <c r="X116" s="152">
        <f>IF(X19=0,0,1000000*X19/TrRoad_act!X59)</f>
        <v>109.01596503413617</v>
      </c>
      <c r="Y116" s="152">
        <f>IF(Y19=0,0,1000000*Y19/TrRoad_act!Y59)</f>
        <v>110.53980041549039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526.35291721624799</v>
      </c>
      <c r="C117" s="116">
        <f>IF(C21=0,0,1000000*C21/TrRoad_act!C60)</f>
        <v>513.16634849966385</v>
      </c>
      <c r="D117" s="116">
        <f>IF(D21=0,0,1000000*D21/TrRoad_act!D60)</f>
        <v>529.25581518376714</v>
      </c>
      <c r="E117" s="116">
        <f>IF(E21=0,0,1000000*E21/TrRoad_act!E60)</f>
        <v>558.84701154111508</v>
      </c>
      <c r="F117" s="116">
        <f>IF(F21=0,0,1000000*F21/TrRoad_act!F60)</f>
        <v>568.03433657199309</v>
      </c>
      <c r="G117" s="116">
        <f>IF(G21=0,0,1000000*G21/TrRoad_act!G60)</f>
        <v>609.30188963070748</v>
      </c>
      <c r="H117" s="116">
        <f>IF(H21=0,0,1000000*H21/TrRoad_act!H60)</f>
        <v>640.54405483613857</v>
      </c>
      <c r="I117" s="116">
        <f>IF(I21=0,0,1000000*I21/TrRoad_act!I60)</f>
        <v>574.28542137395038</v>
      </c>
      <c r="J117" s="116">
        <f>IF(J21=0,0,1000000*J21/TrRoad_act!J60)</f>
        <v>603.29222580425119</v>
      </c>
      <c r="K117" s="116">
        <f>IF(K21=0,0,1000000*K21/TrRoad_act!K60)</f>
        <v>614.48125947975723</v>
      </c>
      <c r="L117" s="116">
        <f>IF(L21=0,0,1000000*L21/TrRoad_act!L60)</f>
        <v>591.69552359331669</v>
      </c>
      <c r="M117" s="116">
        <f>IF(M21=0,0,1000000*M21/TrRoad_act!M60)</f>
        <v>567.18336942085296</v>
      </c>
      <c r="N117" s="116">
        <f>IF(N21=0,0,1000000*N21/TrRoad_act!N60)</f>
        <v>608.77562280482891</v>
      </c>
      <c r="O117" s="116">
        <f>IF(O21=0,0,1000000*O21/TrRoad_act!O60)</f>
        <v>529.36027754916256</v>
      </c>
      <c r="P117" s="116">
        <f>IF(P21=0,0,1000000*P21/TrRoad_act!P60)</f>
        <v>606.92705718294928</v>
      </c>
      <c r="Q117" s="116">
        <f>IF(Q21=0,0,1000000*Q21/TrRoad_act!Q60)</f>
        <v>659.70963703302596</v>
      </c>
      <c r="R117" s="116">
        <f>IF(R21=0,0,1000000*R21/TrRoad_act!R60)</f>
        <v>674.28845654518341</v>
      </c>
      <c r="S117" s="116">
        <f>IF(S21=0,0,1000000*S21/TrRoad_act!S60)</f>
        <v>698.9656156948821</v>
      </c>
      <c r="T117" s="116">
        <f>IF(T21=0,0,1000000*T21/TrRoad_act!T60)</f>
        <v>721.76253910321941</v>
      </c>
      <c r="U117" s="116">
        <f>IF(U21=0,0,1000000*U21/TrRoad_act!U60)</f>
        <v>768.31881510625396</v>
      </c>
      <c r="V117" s="116">
        <f>IF(V21=0,0,1000000*V21/TrRoad_act!V60)</f>
        <v>699.29777538385156</v>
      </c>
      <c r="W117" s="116">
        <f>IF(W21=0,0,1000000*W21/TrRoad_act!W60)</f>
        <v>762.38863348879318</v>
      </c>
      <c r="X117" s="116">
        <f>IF(X21=0,0,1000000*X21/TrRoad_act!X60)</f>
        <v>780.39126306331571</v>
      </c>
      <c r="Y117" s="116">
        <f>IF(Y21=0,0,1000000*Y21/TrRoad_act!Y60)</f>
        <v>791.14270017543913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423.04079680388725</v>
      </c>
      <c r="C118" s="87">
        <f>IF(C22=0,0,1000000*C22/TrRoad_act!C61)</f>
        <v>359.64444456360155</v>
      </c>
      <c r="D118" s="87">
        <f>IF(D22=0,0,1000000*D22/TrRoad_act!D61)</f>
        <v>388.47468922241006</v>
      </c>
      <c r="E118" s="87">
        <f>IF(E22=0,0,1000000*E22/TrRoad_act!E61)</f>
        <v>371.61804914050833</v>
      </c>
      <c r="F118" s="87">
        <f>IF(F22=0,0,1000000*F22/TrRoad_act!F61)</f>
        <v>349.25543615243981</v>
      </c>
      <c r="G118" s="87">
        <f>IF(G22=0,0,1000000*G22/TrRoad_act!G61)</f>
        <v>339.39652913210062</v>
      </c>
      <c r="H118" s="87">
        <f>IF(H22=0,0,1000000*H22/TrRoad_act!H61)</f>
        <v>398.27731471129295</v>
      </c>
      <c r="I118" s="87">
        <f>IF(I22=0,0,1000000*I22/TrRoad_act!I61)</f>
        <v>383.75430993414187</v>
      </c>
      <c r="J118" s="87">
        <f>IF(J22=0,0,1000000*J22/TrRoad_act!J61)</f>
        <v>383.16921004313184</v>
      </c>
      <c r="K118" s="87">
        <f>IF(K22=0,0,1000000*K22/TrRoad_act!K61)</f>
        <v>409.21014667703076</v>
      </c>
      <c r="L118" s="87">
        <f>IF(L22=0,0,1000000*L22/TrRoad_act!L61)</f>
        <v>380.98393370043902</v>
      </c>
      <c r="M118" s="87">
        <f>IF(M22=0,0,1000000*M22/TrRoad_act!M61)</f>
        <v>368.55355554756994</v>
      </c>
      <c r="N118" s="87">
        <f>IF(N22=0,0,1000000*N22/TrRoad_act!N61)</f>
        <v>354.34190152649131</v>
      </c>
      <c r="O118" s="87">
        <f>IF(O22=0,0,1000000*O22/TrRoad_act!O61)</f>
        <v>292.24878924316056</v>
      </c>
      <c r="P118" s="87">
        <f>IF(P22=0,0,1000000*P22/TrRoad_act!P61)</f>
        <v>345.70854176275031</v>
      </c>
      <c r="Q118" s="87">
        <f>IF(Q22=0,0,1000000*Q22/TrRoad_act!Q61)</f>
        <v>366.81901279249468</v>
      </c>
      <c r="R118" s="87">
        <f>IF(R22=0,0,1000000*R22/TrRoad_act!R61)</f>
        <v>347.70974862048604</v>
      </c>
      <c r="S118" s="87">
        <f>IF(S22=0,0,1000000*S22/TrRoad_act!S61)</f>
        <v>360.34925967375045</v>
      </c>
      <c r="T118" s="87">
        <f>IF(T22=0,0,1000000*T22/TrRoad_act!T61)</f>
        <v>345.82164662227137</v>
      </c>
      <c r="U118" s="87">
        <f>IF(U22=0,0,1000000*U22/TrRoad_act!U61)</f>
        <v>348.71747326813971</v>
      </c>
      <c r="V118" s="87">
        <f>IF(V22=0,0,1000000*V22/TrRoad_act!V61)</f>
        <v>340.29718408996399</v>
      </c>
      <c r="W118" s="87">
        <f>IF(W22=0,0,1000000*W22/TrRoad_act!W61)</f>
        <v>371.50442278914846</v>
      </c>
      <c r="X118" s="87">
        <f>IF(X22=0,0,1000000*X22/TrRoad_act!X61)</f>
        <v>393.32740290490682</v>
      </c>
      <c r="Y118" s="87">
        <f>IF(Y22=0,0,1000000*Y22/TrRoad_act!Y61)</f>
        <v>392.23466476371794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881.08029122465814</v>
      </c>
      <c r="C119" s="87">
        <f>IF(C24=0,0,1000000*C24/TrRoad_act!C62)</f>
        <v>1110.5077420925002</v>
      </c>
      <c r="D119" s="87">
        <f>IF(D24=0,0,1000000*D24/TrRoad_act!D62)</f>
        <v>919.90203013636562</v>
      </c>
      <c r="E119" s="87">
        <f>IF(E24=0,0,1000000*E24/TrRoad_act!E62)</f>
        <v>1058.6337975878819</v>
      </c>
      <c r="F119" s="87">
        <f>IF(F24=0,0,1000000*F24/TrRoad_act!F62)</f>
        <v>1089.6158073047138</v>
      </c>
      <c r="G119" s="87">
        <f>IF(G24=0,0,1000000*G24/TrRoad_act!G62)</f>
        <v>1337.5561090977633</v>
      </c>
      <c r="H119" s="87">
        <f>IF(H24=0,0,1000000*H24/TrRoad_act!H62)</f>
        <v>1155.1352268980195</v>
      </c>
      <c r="I119" s="87">
        <f>IF(I24=0,0,1000000*I24/TrRoad_act!I62)</f>
        <v>917.30367608166728</v>
      </c>
      <c r="J119" s="87">
        <f>IF(J24=0,0,1000000*J24/TrRoad_act!J62)</f>
        <v>995.57166642232244</v>
      </c>
      <c r="K119" s="87">
        <f>IF(K24=0,0,1000000*K24/TrRoad_act!K62)</f>
        <v>880.56845981660626</v>
      </c>
      <c r="L119" s="87">
        <f>IF(L24=0,0,1000000*L24/TrRoad_act!L62)</f>
        <v>908.87461162763839</v>
      </c>
      <c r="M119" s="87">
        <f>IF(M24=0,0,1000000*M24/TrRoad_act!M62)</f>
        <v>775.3030777540564</v>
      </c>
      <c r="N119" s="87">
        <f>IF(N24=0,0,1000000*N24/TrRoad_act!N62)</f>
        <v>909.22180629416187</v>
      </c>
      <c r="O119" s="87">
        <f>IF(O24=0,0,1000000*O24/TrRoad_act!O62)</f>
        <v>747.21564945851492</v>
      </c>
      <c r="P119" s="87">
        <f>IF(P24=0,0,1000000*P24/TrRoad_act!P62)</f>
        <v>899.80453777065168</v>
      </c>
      <c r="Q119" s="87">
        <f>IF(Q24=0,0,1000000*Q24/TrRoad_act!Q62)</f>
        <v>1021.1377616483535</v>
      </c>
      <c r="R119" s="87">
        <f>IF(R24=0,0,1000000*R24/TrRoad_act!R62)</f>
        <v>1078.1396487303596</v>
      </c>
      <c r="S119" s="87">
        <f>IF(S24=0,0,1000000*S24/TrRoad_act!S62)</f>
        <v>1125.5189291356066</v>
      </c>
      <c r="T119" s="87">
        <f>IF(T24=0,0,1000000*T24/TrRoad_act!T62)</f>
        <v>1175.7015684241767</v>
      </c>
      <c r="U119" s="87">
        <f>IF(U24=0,0,1000000*U24/TrRoad_act!U62)</f>
        <v>1275.7578140536812</v>
      </c>
      <c r="V119" s="87">
        <f>IF(V24=0,0,1000000*V24/TrRoad_act!V62)</f>
        <v>1081.4063502414558</v>
      </c>
      <c r="W119" s="87">
        <f>IF(W24=0,0,1000000*W24/TrRoad_act!W62)</f>
        <v>1186.4075746625231</v>
      </c>
      <c r="X119" s="87">
        <f>IF(X24=0,0,1000000*X24/TrRoad_act!X62)</f>
        <v>1144.2550055775059</v>
      </c>
      <c r="Y119" s="87">
        <f>IF(Y24=0,0,1000000*Y24/TrRoad_act!Y62)</f>
        <v>1122.8073433068566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890.23594153052443</v>
      </c>
      <c r="C120" s="87">
        <f>IF(C26=0,0,1000000*C26/TrRoad_act!C63)</f>
        <v>865.75282165551175</v>
      </c>
      <c r="D120" s="87">
        <f>IF(D26=0,0,1000000*D26/TrRoad_act!D63)</f>
        <v>853.33239636939675</v>
      </c>
      <c r="E120" s="87">
        <f>IF(E26=0,0,1000000*E26/TrRoad_act!E63)</f>
        <v>847.74676006106176</v>
      </c>
      <c r="F120" s="87">
        <f>IF(F26=0,0,1000000*F26/TrRoad_act!F63)</f>
        <v>820.11664137482933</v>
      </c>
      <c r="G120" s="87">
        <f>IF(G26=0,0,1000000*G26/TrRoad_act!G63)</f>
        <v>807.52511151985141</v>
      </c>
      <c r="H120" s="87">
        <f>IF(H26=0,0,1000000*H26/TrRoad_act!H63)</f>
        <v>803.8453557912228</v>
      </c>
      <c r="I120" s="87">
        <f>IF(I26=0,0,1000000*I26/TrRoad_act!I63)</f>
        <v>706.12843647210184</v>
      </c>
      <c r="J120" s="87">
        <f>IF(J26=0,0,1000000*J26/TrRoad_act!J63)</f>
        <v>713.60045195425334</v>
      </c>
      <c r="K120" s="87">
        <f>IF(K26=0,0,1000000*K26/TrRoad_act!K63)</f>
        <v>816.7813484607799</v>
      </c>
      <c r="L120" s="87">
        <f>IF(L26=0,0,1000000*L26/TrRoad_act!L63)</f>
        <v>738.72535543592267</v>
      </c>
      <c r="M120" s="87">
        <f>IF(M26=0,0,1000000*M26/TrRoad_act!M63)</f>
        <v>743.68772373971308</v>
      </c>
      <c r="N120" s="87">
        <f>IF(N26=0,0,1000000*N26/TrRoad_act!N63)</f>
        <v>739.3791548976742</v>
      </c>
      <c r="O120" s="87">
        <f>IF(O26=0,0,1000000*O26/TrRoad_act!O63)</f>
        <v>734.11155707299395</v>
      </c>
      <c r="P120" s="87">
        <f>IF(P26=0,0,1000000*P26/TrRoad_act!P63)</f>
        <v>727.73565569121399</v>
      </c>
      <c r="Q120" s="87">
        <f>IF(Q26=0,0,1000000*Q26/TrRoad_act!Q63)</f>
        <v>723.09763395192454</v>
      </c>
      <c r="R120" s="87">
        <f>IF(R26=0,0,1000000*R26/TrRoad_act!R63)</f>
        <v>723.00745667156093</v>
      </c>
      <c r="S120" s="87">
        <f>IF(S26=0,0,1000000*S26/TrRoad_act!S63)</f>
        <v>721.2181781011227</v>
      </c>
      <c r="T120" s="87">
        <f>IF(T26=0,0,1000000*T26/TrRoad_act!T63)</f>
        <v>719.73322745988378</v>
      </c>
      <c r="U120" s="87">
        <f>IF(U26=0,0,1000000*U26/TrRoad_act!U63)</f>
        <v>721.00279765623395</v>
      </c>
      <c r="V120" s="87">
        <f>IF(V26=0,0,1000000*V26/TrRoad_act!V63)</f>
        <v>719.30953197078759</v>
      </c>
      <c r="W120" s="87">
        <f>IF(W26=0,0,1000000*W26/TrRoad_act!W63)</f>
        <v>730.95997993717276</v>
      </c>
      <c r="X120" s="87">
        <f>IF(X26=0,0,1000000*X26/TrRoad_act!X63)</f>
        <v>840.93435593959327</v>
      </c>
      <c r="Y120" s="87">
        <f>IF(Y26=0,0,1000000*Y26/TrRoad_act!Y63)</f>
        <v>928.17201021372114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797.84344701919474</v>
      </c>
      <c r="G121" s="87">
        <f>IF(G27=0,0,1000000*G27/TrRoad_act!G64)</f>
        <v>791.89374300426289</v>
      </c>
      <c r="H121" s="87">
        <f>IF(H27=0,0,1000000*H27/TrRoad_act!H64)</f>
        <v>789.09474472375871</v>
      </c>
      <c r="I121" s="87">
        <f>IF(I27=0,0,1000000*I27/TrRoad_act!I64)</f>
        <v>781.79825400011737</v>
      </c>
      <c r="J121" s="87">
        <f>IF(J27=0,0,1000000*J27/TrRoad_act!J64)</f>
        <v>781.42176995258137</v>
      </c>
      <c r="K121" s="87">
        <f>IF(K27=0,0,1000000*K27/TrRoad_act!K64)</f>
        <v>754.06098787761573</v>
      </c>
      <c r="L121" s="87">
        <f>IF(L27=0,0,1000000*L27/TrRoad_act!L64)</f>
        <v>665.86836792363658</v>
      </c>
      <c r="M121" s="87">
        <f>IF(M27=0,0,1000000*M27/TrRoad_act!M64)</f>
        <v>652.53871298065565</v>
      </c>
      <c r="N121" s="87">
        <f>IF(N27=0,0,1000000*N27/TrRoad_act!N64)</f>
        <v>645.34983410066741</v>
      </c>
      <c r="O121" s="87">
        <f>IF(O27=0,0,1000000*O27/TrRoad_act!O64)</f>
        <v>642.45954100420465</v>
      </c>
      <c r="P121" s="87">
        <f>IF(P27=0,0,1000000*P27/TrRoad_act!P64)</f>
        <v>624.34589508318845</v>
      </c>
      <c r="Q121" s="87">
        <f>IF(Q27=0,0,1000000*Q27/TrRoad_act!Q64)</f>
        <v>611.7884821801016</v>
      </c>
      <c r="R121" s="87">
        <f>IF(R27=0,0,1000000*R27/TrRoad_act!R64)</f>
        <v>604.97561058519602</v>
      </c>
      <c r="S121" s="87">
        <f>IF(S27=0,0,1000000*S27/TrRoad_act!S64)</f>
        <v>602.97019322997335</v>
      </c>
      <c r="T121" s="87">
        <f>IF(T27=0,0,1000000*T27/TrRoad_act!T64)</f>
        <v>596.5719496709022</v>
      </c>
      <c r="U121" s="87">
        <f>IF(U27=0,0,1000000*U27/TrRoad_act!U64)</f>
        <v>585.76396241985458</v>
      </c>
      <c r="V121" s="87">
        <f>IF(V27=0,0,1000000*V27/TrRoad_act!V64)</f>
        <v>580.59503530688016</v>
      </c>
      <c r="W121" s="87">
        <f>IF(W27=0,0,1000000*W27/TrRoad_act!W64)</f>
        <v>580.04556581557949</v>
      </c>
      <c r="X121" s="87">
        <f>IF(X27=0,0,1000000*X27/TrRoad_act!X64)</f>
        <v>555.38266757958547</v>
      </c>
      <c r="Y121" s="87">
        <f>IF(Y27=0,0,1000000*Y27/TrRoad_act!Y64)</f>
        <v>554.66903354192061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263.42976682384381</v>
      </c>
      <c r="O122" s="87">
        <f>IF(O29=0,0,1000000*O29/TrRoad_act!O65)</f>
        <v>212.80423393732804</v>
      </c>
      <c r="P122" s="87">
        <f>IF(P29=0,0,1000000*P29/TrRoad_act!P65)</f>
        <v>305.48521928739279</v>
      </c>
      <c r="Q122" s="87">
        <f>IF(Q29=0,0,1000000*Q29/TrRoad_act!Q65)</f>
        <v>373.81947386500292</v>
      </c>
      <c r="R122" s="87">
        <f>IF(R29=0,0,1000000*R29/TrRoad_act!R65)</f>
        <v>364.72894412647645</v>
      </c>
      <c r="S122" s="87">
        <f>IF(S29=0,0,1000000*S29/TrRoad_act!S65)</f>
        <v>383.18867601275042</v>
      </c>
      <c r="T122" s="87">
        <f>IF(T29=0,0,1000000*T29/TrRoad_act!T65)</f>
        <v>383.50201153176448</v>
      </c>
      <c r="U122" s="87">
        <f>IF(U29=0,0,1000000*U29/TrRoad_act!U65)</f>
        <v>448.68275321578466</v>
      </c>
      <c r="V122" s="87">
        <f>IF(V29=0,0,1000000*V29/TrRoad_act!V65)</f>
        <v>419.95964061467117</v>
      </c>
      <c r="W122" s="87">
        <f>IF(W29=0,0,1000000*W29/TrRoad_act!W65)</f>
        <v>433.07697485504389</v>
      </c>
      <c r="X122" s="87">
        <f>IF(X29=0,0,1000000*X29/TrRoad_act!X65)</f>
        <v>427.90248907012455</v>
      </c>
      <c r="Y122" s="87">
        <f>IF(Y29=0,0,1000000*Y29/TrRoad_act!Y65)</f>
        <v>418.02094797490548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0</v>
      </c>
      <c r="P123" s="87">
        <f>IF(P32=0,0,1000000*P32/TrRoad_act!P66)</f>
        <v>0</v>
      </c>
      <c r="Q123" s="87">
        <f>IF(Q32=0,0,1000000*Q32/TrRoad_act!Q66)</f>
        <v>0</v>
      </c>
      <c r="R123" s="87">
        <f>IF(R32=0,0,1000000*R32/TrRoad_act!R66)</f>
        <v>122.56527765591062</v>
      </c>
      <c r="S123" s="87">
        <f>IF(S32=0,0,1000000*S32/TrRoad_act!S66)</f>
        <v>117.32815747855517</v>
      </c>
      <c r="T123" s="87">
        <f>IF(T32=0,0,1000000*T32/TrRoad_act!T66)</f>
        <v>125.1273667807817</v>
      </c>
      <c r="U123" s="87">
        <f>IF(U32=0,0,1000000*U32/TrRoad_act!U66)</f>
        <v>138.41646662709175</v>
      </c>
      <c r="V123" s="87">
        <f>IF(V32=0,0,1000000*V32/TrRoad_act!V66)</f>
        <v>144.59495801889904</v>
      </c>
      <c r="W123" s="87">
        <f>IF(W32=0,0,1000000*W32/TrRoad_act!W66)</f>
        <v>154.70905224143004</v>
      </c>
      <c r="X123" s="87">
        <f>IF(X32=0,0,1000000*X32/TrRoad_act!X66)</f>
        <v>156.22760995841509</v>
      </c>
      <c r="Y123" s="87">
        <f>IF(Y32=0,0,1000000*Y32/TrRoad_act!Y66)</f>
        <v>164.92483059444859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22545.744323542898</v>
      </c>
      <c r="C124" s="116">
        <f>IF(C33=0,0,1000000*C33/TrRoad_act!C67)</f>
        <v>22185.086751693547</v>
      </c>
      <c r="D124" s="116">
        <f>IF(D33=0,0,1000000*D33/TrRoad_act!D67)</f>
        <v>21538.827951347834</v>
      </c>
      <c r="E124" s="116">
        <f>IF(E33=0,0,1000000*E33/TrRoad_act!E67)</f>
        <v>19674.359493754149</v>
      </c>
      <c r="F124" s="116">
        <f>IF(F33=0,0,1000000*F33/TrRoad_act!F67)</f>
        <v>19067.148606639603</v>
      </c>
      <c r="G124" s="116">
        <f>IF(G33=0,0,1000000*G33/TrRoad_act!G67)</f>
        <v>18589.604849790525</v>
      </c>
      <c r="H124" s="116">
        <f>IF(H33=0,0,1000000*H33/TrRoad_act!H67)</f>
        <v>18472.356427903494</v>
      </c>
      <c r="I124" s="116">
        <f>IF(I33=0,0,1000000*I33/TrRoad_act!I67)</f>
        <v>18806.361930767634</v>
      </c>
      <c r="J124" s="116">
        <f>IF(J33=0,0,1000000*J33/TrRoad_act!J67)</f>
        <v>18565.468293347643</v>
      </c>
      <c r="K124" s="116">
        <f>IF(K33=0,0,1000000*K33/TrRoad_act!K67)</f>
        <v>18236.058626286755</v>
      </c>
      <c r="L124" s="116">
        <f>IF(L33=0,0,1000000*L33/TrRoad_act!L67)</f>
        <v>16493.884576793389</v>
      </c>
      <c r="M124" s="116">
        <f>IF(M33=0,0,1000000*M33/TrRoad_act!M67)</f>
        <v>17883.683940448209</v>
      </c>
      <c r="N124" s="116">
        <f>IF(N33=0,0,1000000*N33/TrRoad_act!N67)</f>
        <v>16364.6048679179</v>
      </c>
      <c r="O124" s="116">
        <f>IF(O33=0,0,1000000*O33/TrRoad_act!O67)</f>
        <v>14663.079967612495</v>
      </c>
      <c r="P124" s="116">
        <f>IF(P33=0,0,1000000*P33/TrRoad_act!P67)</f>
        <v>14274.891423884725</v>
      </c>
      <c r="Q124" s="116">
        <f>IF(Q33=0,0,1000000*Q33/TrRoad_act!Q67)</f>
        <v>15296.738698377912</v>
      </c>
      <c r="R124" s="116">
        <f>IF(R33=0,0,1000000*R33/TrRoad_act!R67)</f>
        <v>14314.79917660104</v>
      </c>
      <c r="S124" s="116">
        <f>IF(S33=0,0,1000000*S33/TrRoad_act!S67)</f>
        <v>14611.982978848597</v>
      </c>
      <c r="T124" s="116">
        <f>IF(T33=0,0,1000000*T33/TrRoad_act!T67)</f>
        <v>15280.546606462089</v>
      </c>
      <c r="U124" s="116">
        <f>IF(U33=0,0,1000000*U33/TrRoad_act!U67)</f>
        <v>16921.611141634523</v>
      </c>
      <c r="V124" s="116">
        <f>IF(V33=0,0,1000000*V33/TrRoad_act!V67)</f>
        <v>15653.012678300993</v>
      </c>
      <c r="W124" s="116">
        <f>IF(W33=0,0,1000000*W33/TrRoad_act!W67)</f>
        <v>15544.538529790207</v>
      </c>
      <c r="X124" s="116">
        <f>IF(X33=0,0,1000000*X33/TrRoad_act!X67)</f>
        <v>15029.057031872819</v>
      </c>
      <c r="Y124" s="116">
        <f>IF(Y33=0,0,1000000*Y33/TrRoad_act!Y67)</f>
        <v>14489.397027880412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2550.059484319157</v>
      </c>
      <c r="S125" s="101">
        <f>IF(S34=0,0,1000000*S34/TrRoad_act!S68)</f>
        <v>2574.7070678515547</v>
      </c>
      <c r="T125" s="101">
        <f>IF(T34=0,0,1000000*T34/TrRoad_act!T68)</f>
        <v>2655.3115852760579</v>
      </c>
      <c r="U125" s="101">
        <f>IF(U34=0,0,1000000*U34/TrRoad_act!U68)</f>
        <v>2897.1177651389748</v>
      </c>
      <c r="V125" s="101">
        <f>IF(V34=0,0,1000000*V34/TrRoad_act!V68)</f>
        <v>2658.3052232191371</v>
      </c>
      <c r="W125" s="101">
        <f>IF(W34=0,0,1000000*W34/TrRoad_act!W68)</f>
        <v>2551.8009751302916</v>
      </c>
      <c r="X125" s="101">
        <f>IF(X34=0,0,1000000*X34/TrRoad_act!X68)</f>
        <v>2432.8824034770078</v>
      </c>
      <c r="Y125" s="101">
        <f>IF(Y34=0,0,1000000*Y34/TrRoad_act!Y68)</f>
        <v>2315.2796967421586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22545.744323542898</v>
      </c>
      <c r="C126" s="101">
        <f>IF(C36=0,0,1000000*C36/TrRoad_act!C69)</f>
        <v>22185.086751693547</v>
      </c>
      <c r="D126" s="101">
        <f>IF(D36=0,0,1000000*D36/TrRoad_act!D69)</f>
        <v>21538.827951347834</v>
      </c>
      <c r="E126" s="101">
        <f>IF(E36=0,0,1000000*E36/TrRoad_act!E69)</f>
        <v>19674.359493754149</v>
      </c>
      <c r="F126" s="101">
        <f>IF(F36=0,0,1000000*F36/TrRoad_act!F69)</f>
        <v>19117.069344983825</v>
      </c>
      <c r="G126" s="101">
        <f>IF(G36=0,0,1000000*G36/TrRoad_act!G69)</f>
        <v>18736.776963352928</v>
      </c>
      <c r="H126" s="101">
        <f>IF(H36=0,0,1000000*H36/TrRoad_act!H69)</f>
        <v>18760.720683122225</v>
      </c>
      <c r="I126" s="101">
        <f>IF(I36=0,0,1000000*I36/TrRoad_act!I69)</f>
        <v>19159.490460058092</v>
      </c>
      <c r="J126" s="101">
        <f>IF(J36=0,0,1000000*J36/TrRoad_act!J69)</f>
        <v>18946.578024639264</v>
      </c>
      <c r="K126" s="101">
        <f>IF(K36=0,0,1000000*K36/TrRoad_act!K69)</f>
        <v>18595.274060019688</v>
      </c>
      <c r="L126" s="101">
        <f>IF(L36=0,0,1000000*L36/TrRoad_act!L69)</f>
        <v>16720.653986198555</v>
      </c>
      <c r="M126" s="101">
        <f>IF(M36=0,0,1000000*M36/TrRoad_act!M69)</f>
        <v>18156.09133096231</v>
      </c>
      <c r="N126" s="101">
        <f>IF(N36=0,0,1000000*N36/TrRoad_act!N69)</f>
        <v>16491.812927101997</v>
      </c>
      <c r="O126" s="101">
        <f>IF(O36=0,0,1000000*O36/TrRoad_act!O69)</f>
        <v>15596.572429053836</v>
      </c>
      <c r="P126" s="101">
        <f>IF(P36=0,0,1000000*P36/TrRoad_act!P69)</f>
        <v>16029.27577334375</v>
      </c>
      <c r="Q126" s="101">
        <f>IF(Q36=0,0,1000000*Q36/TrRoad_act!Q69)</f>
        <v>16789.254417958731</v>
      </c>
      <c r="R126" s="101">
        <f>IF(R36=0,0,1000000*R36/TrRoad_act!R69)</f>
        <v>17224.738468041523</v>
      </c>
      <c r="S126" s="101">
        <f>IF(S36=0,0,1000000*S36/TrRoad_act!S69)</f>
        <v>18037.57088242493</v>
      </c>
      <c r="T126" s="101">
        <f>IF(T36=0,0,1000000*T36/TrRoad_act!T69)</f>
        <v>19163.470782771543</v>
      </c>
      <c r="U126" s="101">
        <f>IF(U36=0,0,1000000*U36/TrRoad_act!U69)</f>
        <v>21565.217029027335</v>
      </c>
      <c r="V126" s="101">
        <f>IF(V36=0,0,1000000*V36/TrRoad_act!V69)</f>
        <v>20129.023248378908</v>
      </c>
      <c r="W126" s="101">
        <f>IF(W36=0,0,1000000*W36/TrRoad_act!W69)</f>
        <v>19748.682402378916</v>
      </c>
      <c r="X126" s="101">
        <f>IF(X36=0,0,1000000*X36/TrRoad_act!X69)</f>
        <v>18126.441522829366</v>
      </c>
      <c r="Y126" s="101">
        <f>IF(Y36=0,0,1000000*Y36/TrRoad_act!Y69)</f>
        <v>16881.309642065404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14714.707413022988</v>
      </c>
      <c r="S127" s="101">
        <f>IF(S38=0,0,1000000*S38/TrRoad_act!S70)</f>
        <v>14856.932322813318</v>
      </c>
      <c r="T127" s="101">
        <f>IF(T38=0,0,1000000*T38/TrRoad_act!T70)</f>
        <v>15315.198124764443</v>
      </c>
      <c r="U127" s="101">
        <f>IF(U38=0,0,1000000*U38/TrRoad_act!U70)</f>
        <v>16709.877970598049</v>
      </c>
      <c r="V127" s="101">
        <f>IF(V38=0,0,1000000*V38/TrRoad_act!V70)</f>
        <v>15318.419128786929</v>
      </c>
      <c r="W127" s="101">
        <f>IF(W38=0,0,1000000*W38/TrRoad_act!W70)</f>
        <v>14481.466204519949</v>
      </c>
      <c r="X127" s="101">
        <f>IF(X38=0,0,1000000*X38/TrRoad_act!X70)</f>
        <v>13799.588512645227</v>
      </c>
      <c r="Y127" s="101">
        <f>IF(Y38=0,0,1000000*Y38/TrRoad_act!Y70)</f>
        <v>13109.840171522221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12562.476400387404</v>
      </c>
      <c r="G128" s="101">
        <f>IF(G39=0,0,1000000*G39/TrRoad_act!G71)</f>
        <v>10624.695522361098</v>
      </c>
      <c r="H128" s="101">
        <f>IF(H39=0,0,1000000*H39/TrRoad_act!H71)</f>
        <v>10321.464660710182</v>
      </c>
      <c r="I128" s="101">
        <f>IF(I39=0,0,1000000*I39/TrRoad_act!I71)</f>
        <v>11903.708121794283</v>
      </c>
      <c r="J128" s="101">
        <f>IF(J39=0,0,1000000*J39/TrRoad_act!J71)</f>
        <v>11849.824138168147</v>
      </c>
      <c r="K128" s="101">
        <f>IF(K39=0,0,1000000*K39/TrRoad_act!K71)</f>
        <v>13452.623100623534</v>
      </c>
      <c r="L128" s="101">
        <f>IF(L39=0,0,1000000*L39/TrRoad_act!L71)</f>
        <v>14428.362034462018</v>
      </c>
      <c r="M128" s="101">
        <f>IF(M39=0,0,1000000*M39/TrRoad_act!M71)</f>
        <v>15275.080534235463</v>
      </c>
      <c r="N128" s="101">
        <f>IF(N39=0,0,1000000*N39/TrRoad_act!N71)</f>
        <v>15299.913973139024</v>
      </c>
      <c r="O128" s="101">
        <f>IF(O39=0,0,1000000*O39/TrRoad_act!O71)</f>
        <v>10143.062969830486</v>
      </c>
      <c r="P128" s="101">
        <f>IF(P39=0,0,1000000*P39/TrRoad_act!P71)</f>
        <v>5744.663911950156</v>
      </c>
      <c r="Q128" s="101">
        <f>IF(Q39=0,0,1000000*Q39/TrRoad_act!Q71)</f>
        <v>8528.1459256715498</v>
      </c>
      <c r="R128" s="101">
        <f>IF(R39=0,0,1000000*R39/TrRoad_act!R71)</f>
        <v>9136.4630369067163</v>
      </c>
      <c r="S128" s="101">
        <f>IF(S39=0,0,1000000*S39/TrRoad_act!S71)</f>
        <v>9278.2956557494217</v>
      </c>
      <c r="T128" s="101">
        <f>IF(T39=0,0,1000000*T39/TrRoad_act!T71)</f>
        <v>9643.7497434630222</v>
      </c>
      <c r="U128" s="101">
        <f>IF(U39=0,0,1000000*U39/TrRoad_act!U71)</f>
        <v>11093.52558889857</v>
      </c>
      <c r="V128" s="101">
        <f>IF(V39=0,0,1000000*V39/TrRoad_act!V71)</f>
        <v>9269.1986918201055</v>
      </c>
      <c r="W128" s="101">
        <f>IF(W39=0,0,1000000*W39/TrRoad_act!W71)</f>
        <v>10542.997064923342</v>
      </c>
      <c r="X128" s="101">
        <f>IF(X39=0,0,1000000*X39/TrRoad_act!X71)</f>
        <v>9715.484185611158</v>
      </c>
      <c r="Y128" s="101">
        <f>IF(Y39=0,0,1000000*Y39/TrRoad_act!Y71)</f>
        <v>9657.3416306424915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9880.454763208214</v>
      </c>
      <c r="K129" s="101">
        <f>IF(K41=0,0,1000000*K41/TrRoad_act!K72)</f>
        <v>9902.175140838066</v>
      </c>
      <c r="L129" s="101">
        <f>IF(L41=0,0,1000000*L41/TrRoad_act!L72)</f>
        <v>9972.7584323474803</v>
      </c>
      <c r="M129" s="101">
        <f>IF(M41=0,0,1000000*M41/TrRoad_act!M72)</f>
        <v>10021.593177361103</v>
      </c>
      <c r="N129" s="101">
        <f>IF(N41=0,0,1000000*N41/TrRoad_act!N72)</f>
        <v>10080.02637919844</v>
      </c>
      <c r="O129" s="101">
        <f>IF(O41=0,0,1000000*O41/TrRoad_act!O72)</f>
        <v>10249.030471952481</v>
      </c>
      <c r="P129" s="101">
        <f>IF(P41=0,0,1000000*P41/TrRoad_act!P72)</f>
        <v>10285.001556604851</v>
      </c>
      <c r="Q129" s="101">
        <f>IF(Q41=0,0,1000000*Q41/TrRoad_act!Q72)</f>
        <v>10309.165306652172</v>
      </c>
      <c r="R129" s="101">
        <f>IF(R41=0,0,1000000*R41/TrRoad_act!R72)</f>
        <v>10288.231887426573</v>
      </c>
      <c r="S129" s="101">
        <f>IF(S41=0,0,1000000*S41/TrRoad_act!S72)</f>
        <v>10274.155536186268</v>
      </c>
      <c r="T129" s="101">
        <f>IF(T41=0,0,1000000*T41/TrRoad_act!T72)</f>
        <v>10247.058192277696</v>
      </c>
      <c r="U129" s="101">
        <f>IF(U41=0,0,1000000*U41/TrRoad_act!U72)</f>
        <v>10175.207912555243</v>
      </c>
      <c r="V129" s="101">
        <f>IF(V41=0,0,1000000*V41/TrRoad_act!V72)</f>
        <v>9695.302163387867</v>
      </c>
      <c r="W129" s="101">
        <f>IF(W41=0,0,1000000*W41/TrRoad_act!W72)</f>
        <v>10032.82506787206</v>
      </c>
      <c r="X129" s="101">
        <f>IF(X41=0,0,1000000*X41/TrRoad_act!X72)</f>
        <v>10016.440572201305</v>
      </c>
      <c r="Y129" s="101">
        <f>IF(Y41=0,0,1000000*Y41/TrRoad_act!Y72)</f>
        <v>9765.6938483946597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906.26377371078968</v>
      </c>
      <c r="C131" s="152">
        <f>IF(C43=0,0,1000000*C43/TrRoad_act!C74)</f>
        <v>933.78144682946072</v>
      </c>
      <c r="D131" s="152">
        <f>IF(D43=0,0,1000000*D43/TrRoad_act!D74)</f>
        <v>963.01272844311313</v>
      </c>
      <c r="E131" s="152">
        <f>IF(E43=0,0,1000000*E43/TrRoad_act!E74)</f>
        <v>969.62169758326809</v>
      </c>
      <c r="F131" s="152">
        <f>IF(F43=0,0,1000000*F43/TrRoad_act!F74)</f>
        <v>957.15561500996455</v>
      </c>
      <c r="G131" s="152">
        <f>IF(G43=0,0,1000000*G43/TrRoad_act!G74)</f>
        <v>907.35627460998978</v>
      </c>
      <c r="H131" s="152">
        <f>IF(H43=0,0,1000000*H43/TrRoad_act!H74)</f>
        <v>853.0857406593276</v>
      </c>
      <c r="I131" s="152">
        <f>IF(I43=0,0,1000000*I43/TrRoad_act!I74)</f>
        <v>817.65348548158511</v>
      </c>
      <c r="J131" s="152">
        <f>IF(J43=0,0,1000000*J43/TrRoad_act!J74)</f>
        <v>824.89713762028782</v>
      </c>
      <c r="K131" s="152">
        <f>IF(K43=0,0,1000000*K43/TrRoad_act!K74)</f>
        <v>786.3688585510082</v>
      </c>
      <c r="L131" s="152">
        <f>IF(L43=0,0,1000000*L43/TrRoad_act!L74)</f>
        <v>783.06351643628147</v>
      </c>
      <c r="M131" s="152">
        <f>IF(M43=0,0,1000000*M43/TrRoad_act!M74)</f>
        <v>789.92147705738103</v>
      </c>
      <c r="N131" s="152">
        <f>IF(N43=0,0,1000000*N43/TrRoad_act!N74)</f>
        <v>816.70310596374327</v>
      </c>
      <c r="O131" s="152">
        <f>IF(O43=0,0,1000000*O43/TrRoad_act!O74)</f>
        <v>812.28701581835685</v>
      </c>
      <c r="P131" s="152">
        <f>IF(P43=0,0,1000000*P43/TrRoad_act!P74)</f>
        <v>839.99557256739604</v>
      </c>
      <c r="Q131" s="152">
        <f>IF(Q43=0,0,1000000*Q43/TrRoad_act!Q74)</f>
        <v>868.98346495588521</v>
      </c>
      <c r="R131" s="152">
        <f>IF(R43=0,0,1000000*R43/TrRoad_act!R74)</f>
        <v>872.76138017436904</v>
      </c>
      <c r="S131" s="152">
        <f>IF(S43=0,0,1000000*S43/TrRoad_act!S74)</f>
        <v>885.47348746059004</v>
      </c>
      <c r="T131" s="152">
        <f>IF(T43=0,0,1000000*T43/TrRoad_act!T74)</f>
        <v>906.80147652220069</v>
      </c>
      <c r="U131" s="152">
        <f>IF(U43=0,0,1000000*U43/TrRoad_act!U74)</f>
        <v>933.05090384906123</v>
      </c>
      <c r="V131" s="152">
        <f>IF(V43=0,0,1000000*V43/TrRoad_act!V74)</f>
        <v>963.46249041171302</v>
      </c>
      <c r="W131" s="152">
        <f>IF(W43=0,0,1000000*W43/TrRoad_act!W74)</f>
        <v>999.99875508864261</v>
      </c>
      <c r="X131" s="152">
        <f>IF(X43=0,0,1000000*X43/TrRoad_act!X74)</f>
        <v>1037.7340183917167</v>
      </c>
      <c r="Y131" s="152">
        <f>IF(Y43=0,0,1000000*Y43/TrRoad_act!Y74)</f>
        <v>1077.9815173004918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779.00983715871075</v>
      </c>
      <c r="C132" s="87">
        <f>IF(C44=0,0,1000000*C44/TrRoad_act!C75)</f>
        <v>792.0121831172271</v>
      </c>
      <c r="D132" s="87">
        <f>IF(D44=0,0,1000000*D44/TrRoad_act!D75)</f>
        <v>806.1903952128132</v>
      </c>
      <c r="E132" s="87">
        <f>IF(E44=0,0,1000000*E44/TrRoad_act!E75)</f>
        <v>822.50901669356767</v>
      </c>
      <c r="F132" s="87">
        <f>IF(F44=0,0,1000000*F44/TrRoad_act!F75)</f>
        <v>842.98192614570246</v>
      </c>
      <c r="G132" s="87">
        <f>IF(G44=0,0,1000000*G44/TrRoad_act!G75)</f>
        <v>810.12245108128911</v>
      </c>
      <c r="H132" s="87">
        <f>IF(H44=0,0,1000000*H44/TrRoad_act!H75)</f>
        <v>786.96225825037197</v>
      </c>
      <c r="I132" s="87">
        <f>IF(I44=0,0,1000000*I44/TrRoad_act!I75)</f>
        <v>771.90738252877156</v>
      </c>
      <c r="J132" s="87">
        <f>IF(J44=0,0,1000000*J44/TrRoad_act!J75)</f>
        <v>789.85661046378812</v>
      </c>
      <c r="K132" s="87">
        <f>IF(K44=0,0,1000000*K44/TrRoad_act!K75)</f>
        <v>762.18178655663201</v>
      </c>
      <c r="L132" s="87">
        <f>IF(L44=0,0,1000000*L44/TrRoad_act!L75)</f>
        <v>757.4451834366165</v>
      </c>
      <c r="M132" s="87">
        <f>IF(M44=0,0,1000000*M44/TrRoad_act!M75)</f>
        <v>766.82876466693085</v>
      </c>
      <c r="N132" s="87">
        <f>IF(N44=0,0,1000000*N44/TrRoad_act!N75)</f>
        <v>765.51502714739286</v>
      </c>
      <c r="O132" s="87">
        <f>IF(O44=0,0,1000000*O44/TrRoad_act!O75)</f>
        <v>751.79997197445027</v>
      </c>
      <c r="P132" s="87">
        <f>IF(P44=0,0,1000000*P44/TrRoad_act!P75)</f>
        <v>730.92026505988747</v>
      </c>
      <c r="Q132" s="87">
        <f>IF(Q44=0,0,1000000*Q44/TrRoad_act!Q75)</f>
        <v>721.74273805447149</v>
      </c>
      <c r="R132" s="87">
        <f>IF(R44=0,0,1000000*R44/TrRoad_act!R75)</f>
        <v>700.33049651080262</v>
      </c>
      <c r="S132" s="87">
        <f>IF(S44=0,0,1000000*S44/TrRoad_act!S75)</f>
        <v>683.45491817850473</v>
      </c>
      <c r="T132" s="87">
        <f>IF(T44=0,0,1000000*T44/TrRoad_act!T75)</f>
        <v>670.15254804174697</v>
      </c>
      <c r="U132" s="87">
        <f>IF(U44=0,0,1000000*U44/TrRoad_act!U75)</f>
        <v>673.38007880429416</v>
      </c>
      <c r="V132" s="87">
        <f>IF(V44=0,0,1000000*V44/TrRoad_act!V75)</f>
        <v>686.86362627648327</v>
      </c>
      <c r="W132" s="87">
        <f>IF(W44=0,0,1000000*W44/TrRoad_act!W75)</f>
        <v>702.41897708184365</v>
      </c>
      <c r="X132" s="87">
        <f>IF(X44=0,0,1000000*X44/TrRoad_act!X75)</f>
        <v>716.74147908963153</v>
      </c>
      <c r="Y132" s="87">
        <f>IF(Y44=0,0,1000000*Y44/TrRoad_act!Y75)</f>
        <v>729.76594299738872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953.90731772934134</v>
      </c>
      <c r="C133" s="87">
        <f>IF(C46=0,0,1000000*C46/TrRoad_act!C76)</f>
        <v>991.63026649681399</v>
      </c>
      <c r="D133" s="87">
        <f>IF(D46=0,0,1000000*D46/TrRoad_act!D76)</f>
        <v>1028.2792366394576</v>
      </c>
      <c r="E133" s="87">
        <f>IF(E46=0,0,1000000*E46/TrRoad_act!E76)</f>
        <v>1026.5994602208075</v>
      </c>
      <c r="F133" s="87">
        <f>IF(F46=0,0,1000000*F46/TrRoad_act!F76)</f>
        <v>994.28340981719418</v>
      </c>
      <c r="G133" s="87">
        <f>IF(G46=0,0,1000000*G46/TrRoad_act!G76)</f>
        <v>937.72397863462118</v>
      </c>
      <c r="H133" s="87">
        <f>IF(H46=0,0,1000000*H46/TrRoad_act!H76)</f>
        <v>868.51710800523153</v>
      </c>
      <c r="I133" s="87">
        <f>IF(I46=0,0,1000000*I46/TrRoad_act!I76)</f>
        <v>825.71474792183471</v>
      </c>
      <c r="J133" s="87">
        <f>IF(J46=0,0,1000000*J46/TrRoad_act!J76)</f>
        <v>829.75577921995432</v>
      </c>
      <c r="K133" s="87">
        <f>IF(K46=0,0,1000000*K46/TrRoad_act!K76)</f>
        <v>789.12321656825122</v>
      </c>
      <c r="L133" s="87">
        <f>IF(L46=0,0,1000000*L46/TrRoad_act!L76)</f>
        <v>785.29557740474183</v>
      </c>
      <c r="M133" s="87">
        <f>IF(M46=0,0,1000000*M46/TrRoad_act!M76)</f>
        <v>791.8837649993884</v>
      </c>
      <c r="N133" s="87">
        <f>IF(N46=0,0,1000000*N46/TrRoad_act!N76)</f>
        <v>820.82238715720416</v>
      </c>
      <c r="O133" s="87">
        <f>IF(O46=0,0,1000000*O46/TrRoad_act!O76)</f>
        <v>816.8259397588514</v>
      </c>
      <c r="P133" s="87">
        <f>IF(P46=0,0,1000000*P46/TrRoad_act!P76)</f>
        <v>847.49249413728535</v>
      </c>
      <c r="Q133" s="87">
        <f>IF(Q46=0,0,1000000*Q46/TrRoad_act!Q76)</f>
        <v>880.36583033652573</v>
      </c>
      <c r="R133" s="87">
        <f>IF(R46=0,0,1000000*R46/TrRoad_act!R76)</f>
        <v>886.61914514844614</v>
      </c>
      <c r="S133" s="87">
        <f>IF(S46=0,0,1000000*S46/TrRoad_act!S76)</f>
        <v>905.58605953142376</v>
      </c>
      <c r="T133" s="87">
        <f>IF(T46=0,0,1000000*T46/TrRoad_act!T76)</f>
        <v>932.45512736245882</v>
      </c>
      <c r="U133" s="87">
        <f>IF(U46=0,0,1000000*U46/TrRoad_act!U76)</f>
        <v>963.22553015135884</v>
      </c>
      <c r="V133" s="87">
        <f>IF(V46=0,0,1000000*V46/TrRoad_act!V76)</f>
        <v>998.17931615719385</v>
      </c>
      <c r="W133" s="87">
        <f>IF(W46=0,0,1000000*W46/TrRoad_act!W76)</f>
        <v>1041.0733416297742</v>
      </c>
      <c r="X133" s="87">
        <f>IF(X46=0,0,1000000*X46/TrRoad_act!X76)</f>
        <v>1085.396977204075</v>
      </c>
      <c r="Y133" s="87">
        <f>IF(Y46=0,0,1000000*Y46/TrRoad_act!Y76)</f>
        <v>1135.9453760816389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896.25986949777359</v>
      </c>
      <c r="S134" s="87">
        <f>IF(S48=0,0,1000000*S48/TrRoad_act!S77)</f>
        <v>811.73676957284908</v>
      </c>
      <c r="T134" s="87">
        <f>IF(T48=0,0,1000000*T48/TrRoad_act!T77)</f>
        <v>806.13636354452558</v>
      </c>
      <c r="U134" s="87">
        <f>IF(U48=0,0,1000000*U48/TrRoad_act!U77)</f>
        <v>820.76468230676323</v>
      </c>
      <c r="V134" s="87">
        <f>IF(V48=0,0,1000000*V48/TrRoad_act!V77)</f>
        <v>810.21922078936984</v>
      </c>
      <c r="W134" s="87">
        <f>IF(W48=0,0,1000000*W48/TrRoad_act!W77)</f>
        <v>799.0378566467856</v>
      </c>
      <c r="X134" s="87">
        <f>IF(X48=0,0,1000000*X48/TrRoad_act!X77)</f>
        <v>803.39004258212742</v>
      </c>
      <c r="Y134" s="87">
        <f>IF(Y48=0,0,1000000*Y48/TrRoad_act!Y77)</f>
        <v>803.44569288602736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515.40850139610916</v>
      </c>
      <c r="S135" s="87">
        <f>IF(S49=0,0,1000000*S49/TrRoad_act!S78)</f>
        <v>542.80474477793962</v>
      </c>
      <c r="T135" s="87">
        <f>IF(T49=0,0,1000000*T49/TrRoad_act!T78)</f>
        <v>582.69421499788905</v>
      </c>
      <c r="U135" s="87">
        <f>IF(U49=0,0,1000000*U49/TrRoad_act!U78)</f>
        <v>598.28375733885605</v>
      </c>
      <c r="V135" s="87">
        <f>IF(V49=0,0,1000000*V49/TrRoad_act!V78)</f>
        <v>674.94636888746152</v>
      </c>
      <c r="W135" s="87">
        <f>IF(W49=0,0,1000000*W49/TrRoad_act!W78)</f>
        <v>723.43468129017606</v>
      </c>
      <c r="X135" s="87">
        <f>IF(X49=0,0,1000000*X49/TrRoad_act!X78)</f>
        <v>732.22758098292968</v>
      </c>
      <c r="Y135" s="87">
        <f>IF(Y49=0,0,1000000*Y49/TrRoad_act!Y78)</f>
        <v>745.45216093566955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112.25279751632654</v>
      </c>
      <c r="O136" s="87">
        <f>IF(O51=0,0,1000000*O51/TrRoad_act!O79)</f>
        <v>112.44375689145019</v>
      </c>
      <c r="P136" s="87">
        <f>IF(P51=0,0,1000000*P51/TrRoad_act!P79)</f>
        <v>112.76389784080384</v>
      </c>
      <c r="Q136" s="87">
        <f>IF(Q51=0,0,1000000*Q51/TrRoad_act!Q79)</f>
        <v>115.96140420866189</v>
      </c>
      <c r="R136" s="87">
        <f>IF(R51=0,0,1000000*R51/TrRoad_act!R79)</f>
        <v>119.49748177354061</v>
      </c>
      <c r="S136" s="87">
        <f>IF(S51=0,0,1000000*S51/TrRoad_act!S79)</f>
        <v>120.91139504543351</v>
      </c>
      <c r="T136" s="87">
        <f>IF(T51=0,0,1000000*T51/TrRoad_act!T79)</f>
        <v>120.87606227063154</v>
      </c>
      <c r="U136" s="87">
        <f>IF(U51=0,0,1000000*U51/TrRoad_act!U79)</f>
        <v>127.74085199156136</v>
      </c>
      <c r="V136" s="87">
        <f>IF(V51=0,0,1000000*V51/TrRoad_act!V79)</f>
        <v>131.44742333252603</v>
      </c>
      <c r="W136" s="87">
        <f>IF(W51=0,0,1000000*W51/TrRoad_act!W79)</f>
        <v>157.14214877238675</v>
      </c>
      <c r="X136" s="87">
        <f>IF(X51=0,0,1000000*X51/TrRoad_act!X79)</f>
        <v>196.06865062640006</v>
      </c>
      <c r="Y136" s="87">
        <f>IF(Y51=0,0,1000000*Y51/TrRoad_act!Y79)</f>
        <v>191.33250715948034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10409.194647351162</v>
      </c>
      <c r="C137" s="116">
        <f>IF(C52=0,0,1000000*C52/TrRoad_act!C80)</f>
        <v>11398.751536371026</v>
      </c>
      <c r="D137" s="116">
        <f>IF(D52=0,0,1000000*D52/TrRoad_act!D80)</f>
        <v>9543.0755581034318</v>
      </c>
      <c r="E137" s="116">
        <f>IF(E52=0,0,1000000*E52/TrRoad_act!E80)</f>
        <v>11004.095052283928</v>
      </c>
      <c r="F137" s="116">
        <f>IF(F52=0,0,1000000*F52/TrRoad_act!F80)</f>
        <v>9968.2775016849591</v>
      </c>
      <c r="G137" s="116">
        <f>IF(G52=0,0,1000000*G52/TrRoad_act!G80)</f>
        <v>10610.295168491053</v>
      </c>
      <c r="H137" s="116">
        <f>IF(H52=0,0,1000000*H52/TrRoad_act!H80)</f>
        <v>9665.8575416536551</v>
      </c>
      <c r="I137" s="116">
        <f>IF(I52=0,0,1000000*I52/TrRoad_act!I80)</f>
        <v>8492.8858395958887</v>
      </c>
      <c r="J137" s="116">
        <f>IF(J52=0,0,1000000*J52/TrRoad_act!J80)</f>
        <v>8254.7804977766427</v>
      </c>
      <c r="K137" s="116">
        <f>IF(K52=0,0,1000000*K52/TrRoad_act!K80)</f>
        <v>7174.5581686434207</v>
      </c>
      <c r="L137" s="116">
        <f>IF(L52=0,0,1000000*L52/TrRoad_act!L80)</f>
        <v>7154.2427613437912</v>
      </c>
      <c r="M137" s="116">
        <f>IF(M52=0,0,1000000*M52/TrRoad_act!M80)</f>
        <v>7194.6191846781658</v>
      </c>
      <c r="N137" s="116">
        <f>IF(N52=0,0,1000000*N52/TrRoad_act!N80)</f>
        <v>7737.4298119220639</v>
      </c>
      <c r="O137" s="116">
        <f>IF(O52=0,0,1000000*O52/TrRoad_act!O80)</f>
        <v>6855.1751152644065</v>
      </c>
      <c r="P137" s="116">
        <f>IF(P52=0,0,1000000*P52/TrRoad_act!P80)</f>
        <v>7962.3550834136777</v>
      </c>
      <c r="Q137" s="116">
        <f>IF(Q52=0,0,1000000*Q52/TrRoad_act!Q80)</f>
        <v>8683.3887786963605</v>
      </c>
      <c r="R137" s="116">
        <f>IF(R52=0,0,1000000*R52/TrRoad_act!R80)</f>
        <v>7707.0212019032551</v>
      </c>
      <c r="S137" s="116">
        <f>IF(S52=0,0,1000000*S52/TrRoad_act!S80)</f>
        <v>7826.0990544951637</v>
      </c>
      <c r="T137" s="116">
        <f>IF(T52=0,0,1000000*T52/TrRoad_act!T80)</f>
        <v>6054.7143764556549</v>
      </c>
      <c r="U137" s="116">
        <f>IF(U52=0,0,1000000*U52/TrRoad_act!U80)</f>
        <v>4485.7164609365482</v>
      </c>
      <c r="V137" s="116">
        <f>IF(V52=0,0,1000000*V52/TrRoad_act!V80)</f>
        <v>5292.3587724893896</v>
      </c>
      <c r="W137" s="116">
        <f>IF(W52=0,0,1000000*W52/TrRoad_act!W80)</f>
        <v>6145.3519945626258</v>
      </c>
      <c r="X137" s="116">
        <f>IF(X52=0,0,1000000*X52/TrRoad_act!X80)</f>
        <v>5287.4320207581986</v>
      </c>
      <c r="Y137" s="116">
        <f>IF(Y52=0,0,1000000*Y52/TrRoad_act!Y80)</f>
        <v>5263.580679317176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4782.932198767563</v>
      </c>
      <c r="C138" s="101">
        <f>IF(C53=0,0,1000000*C53/TrRoad_act!C81)</f>
        <v>6216.9721186421129</v>
      </c>
      <c r="D138" s="101">
        <f>IF(D53=0,0,1000000*D53/TrRoad_act!D81)</f>
        <v>4193.8894401746848</v>
      </c>
      <c r="E138" s="101">
        <f>IF(E53=0,0,1000000*E53/TrRoad_act!E81)</f>
        <v>7779.5784332813719</v>
      </c>
      <c r="F138" s="101">
        <f>IF(F53=0,0,1000000*F53/TrRoad_act!F81)</f>
        <v>6718.5064245452186</v>
      </c>
      <c r="G138" s="101">
        <f>IF(G53=0,0,1000000*G53/TrRoad_act!G81)</f>
        <v>7653.7205897209333</v>
      </c>
      <c r="H138" s="101">
        <f>IF(H53=0,0,1000000*H53/TrRoad_act!H81)</f>
        <v>7307.0167709410543</v>
      </c>
      <c r="I138" s="101">
        <f>IF(I53=0,0,1000000*I53/TrRoad_act!I81)</f>
        <v>6204.8635379361431</v>
      </c>
      <c r="J138" s="101">
        <f>IF(J53=0,0,1000000*J53/TrRoad_act!J81)</f>
        <v>7110.294998371729</v>
      </c>
      <c r="K138" s="101">
        <f>IF(K53=0,0,1000000*K53/TrRoad_act!K81)</f>
        <v>5979.7305684637822</v>
      </c>
      <c r="L138" s="101">
        <f>IF(L53=0,0,1000000*L53/TrRoad_act!L81)</f>
        <v>5809.6638712529621</v>
      </c>
      <c r="M138" s="101">
        <f>IF(M53=0,0,1000000*M53/TrRoad_act!M81)</f>
        <v>5628.2294728977695</v>
      </c>
      <c r="N138" s="101">
        <f>IF(N53=0,0,1000000*N53/TrRoad_act!N81)</f>
        <v>6290.7428069618027</v>
      </c>
      <c r="O138" s="101">
        <f>IF(O53=0,0,1000000*O53/TrRoad_act!O81)</f>
        <v>4852.7663926108025</v>
      </c>
      <c r="P138" s="101">
        <f>IF(P53=0,0,1000000*P53/TrRoad_act!P81)</f>
        <v>6170.7603008243159</v>
      </c>
      <c r="Q138" s="101">
        <f>IF(Q53=0,0,1000000*Q53/TrRoad_act!Q81)</f>
        <v>6741.6399002762664</v>
      </c>
      <c r="R138" s="101">
        <f>IF(R53=0,0,1000000*R53/TrRoad_act!R81)</f>
        <v>6052.5731774858132</v>
      </c>
      <c r="S138" s="101">
        <f>IF(S53=0,0,1000000*S53/TrRoad_act!S81)</f>
        <v>6342.990801482777</v>
      </c>
      <c r="T138" s="101">
        <f>IF(T53=0,0,1000000*T53/TrRoad_act!T81)</f>
        <v>4914.7134220873904</v>
      </c>
      <c r="U138" s="101">
        <f>IF(U53=0,0,1000000*U53/TrRoad_act!U81)</f>
        <v>3579.2337947378878</v>
      </c>
      <c r="V138" s="101">
        <f>IF(V53=0,0,1000000*V53/TrRoad_act!V81)</f>
        <v>4153.9466104909898</v>
      </c>
      <c r="W138" s="101">
        <f>IF(W53=0,0,1000000*W53/TrRoad_act!W81)</f>
        <v>4927.5306935071612</v>
      </c>
      <c r="X138" s="101">
        <f>IF(X53=0,0,1000000*X53/TrRoad_act!X81)</f>
        <v>3868.2694607035241</v>
      </c>
      <c r="Y138" s="101">
        <f>IF(Y53=0,0,1000000*Y53/TrRoad_act!Y81)</f>
        <v>3884.6249749315953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35117.203541271811</v>
      </c>
      <c r="C139" s="88">
        <f>IF(C55=0,0,1000000*C55/TrRoad_act!C82)</f>
        <v>34255.218395234137</v>
      </c>
      <c r="D139" s="88">
        <f>IF(D55=0,0,1000000*D55/TrRoad_act!D82)</f>
        <v>34576.732339211667</v>
      </c>
      <c r="E139" s="88">
        <f>IF(E55=0,0,1000000*E55/TrRoad_act!E82)</f>
        <v>32958.066374478942</v>
      </c>
      <c r="F139" s="88">
        <f>IF(F55=0,0,1000000*F55/TrRoad_act!F82)</f>
        <v>32790.533475234508</v>
      </c>
      <c r="G139" s="88">
        <f>IF(G55=0,0,1000000*G55/TrRoad_act!G82)</f>
        <v>32137.226802099136</v>
      </c>
      <c r="H139" s="88">
        <f>IF(H55=0,0,1000000*H55/TrRoad_act!H82)</f>
        <v>32335.328670432511</v>
      </c>
      <c r="I139" s="88">
        <f>IF(I55=0,0,1000000*I55/TrRoad_act!I82)</f>
        <v>32812.173515860683</v>
      </c>
      <c r="J139" s="88">
        <f>IF(J55=0,0,1000000*J55/TrRoad_act!J82)</f>
        <v>31830.772675419736</v>
      </c>
      <c r="K139" s="88">
        <f>IF(K55=0,0,1000000*K55/TrRoad_act!K82)</f>
        <v>32115.084359480676</v>
      </c>
      <c r="L139" s="88">
        <f>IF(L55=0,0,1000000*L55/TrRoad_act!L82)</f>
        <v>31902.788439900927</v>
      </c>
      <c r="M139" s="88">
        <f>IF(M55=0,0,1000000*M55/TrRoad_act!M82)</f>
        <v>31928.692119518037</v>
      </c>
      <c r="N139" s="88">
        <f>IF(N55=0,0,1000000*N55/TrRoad_act!N82)</f>
        <v>31464.25869086471</v>
      </c>
      <c r="O139" s="88">
        <f>IF(O55=0,0,1000000*O55/TrRoad_act!O82)</f>
        <v>32512.671526175731</v>
      </c>
      <c r="P139" s="88">
        <f>IF(P55=0,0,1000000*P55/TrRoad_act!P82)</f>
        <v>31614.221839148398</v>
      </c>
      <c r="Q139" s="88">
        <f>IF(Q55=0,0,1000000*Q55/TrRoad_act!Q82)</f>
        <v>31374.622329692906</v>
      </c>
      <c r="R139" s="88">
        <f>IF(R55=0,0,1000000*R55/TrRoad_act!R82)</f>
        <v>31072.346377257909</v>
      </c>
      <c r="S139" s="88">
        <f>IF(S55=0,0,1000000*S55/TrRoad_act!S82)</f>
        <v>30789.741134545617</v>
      </c>
      <c r="T139" s="88">
        <f>IF(T55=0,0,1000000*T55/TrRoad_act!T82)</f>
        <v>30353.824665896751</v>
      </c>
      <c r="U139" s="88">
        <f>IF(U55=0,0,1000000*U55/TrRoad_act!U82)</f>
        <v>29858.525398617163</v>
      </c>
      <c r="V139" s="88">
        <f>IF(V55=0,0,1000000*V55/TrRoad_act!V82)</f>
        <v>30356.455841620318</v>
      </c>
      <c r="W139" s="88">
        <f>IF(W55=0,0,1000000*W55/TrRoad_act!W82)</f>
        <v>30223.692836690741</v>
      </c>
      <c r="X139" s="88">
        <f>IF(X55=0,0,1000000*X55/TrRoad_act!X82)</f>
        <v>30502.006721967122</v>
      </c>
      <c r="Y139" s="88">
        <f>IF(Y55=0,0,1000000*Y55/TrRoad_act!Y82)</f>
        <v>30616.282518899752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0.80295012496201046</v>
      </c>
      <c r="C142" s="46">
        <f t="shared" si="42"/>
        <v>0.79166949600579017</v>
      </c>
      <c r="D142" s="46">
        <f t="shared" si="42"/>
        <v>0.81188167296961233</v>
      </c>
      <c r="E142" s="46">
        <f t="shared" si="42"/>
        <v>0.76474553703297365</v>
      </c>
      <c r="F142" s="46">
        <f t="shared" si="42"/>
        <v>0.754722363282468</v>
      </c>
      <c r="G142" s="46">
        <f t="shared" si="42"/>
        <v>0.75960006344986242</v>
      </c>
      <c r="H142" s="46">
        <f t="shared" si="42"/>
        <v>0.76645904525510256</v>
      </c>
      <c r="I142" s="46">
        <f t="shared" si="42"/>
        <v>0.77735830415050255</v>
      </c>
      <c r="J142" s="46">
        <f t="shared" si="42"/>
        <v>0.77509816943984444</v>
      </c>
      <c r="K142" s="46">
        <f t="shared" si="42"/>
        <v>0.80148402729236035</v>
      </c>
      <c r="L142" s="46">
        <f t="shared" ref="L142" si="43">IF(L18=0,0,L18/L$17)</f>
        <v>0.80206215625124166</v>
      </c>
      <c r="M142" s="46">
        <f t="shared" ref="M142:V142" si="44">IF(M18=0,0,M18/M$17)</f>
        <v>0.79481588138193748</v>
      </c>
      <c r="N142" s="46">
        <f t="shared" si="44"/>
        <v>0.79925881824084422</v>
      </c>
      <c r="O142" s="46">
        <f t="shared" si="44"/>
        <v>0.79369164260378988</v>
      </c>
      <c r="P142" s="46">
        <f t="shared" si="44"/>
        <v>0.80247335017550681</v>
      </c>
      <c r="Q142" s="46">
        <f t="shared" si="44"/>
        <v>0.80111844609908711</v>
      </c>
      <c r="R142" s="46">
        <f t="shared" si="44"/>
        <v>0.80379361372778413</v>
      </c>
      <c r="S142" s="46">
        <f t="shared" si="44"/>
        <v>0.80850489681174387</v>
      </c>
      <c r="T142" s="46">
        <f t="shared" si="44"/>
        <v>0.81991338305089279</v>
      </c>
      <c r="U142" s="46">
        <f t="shared" si="44"/>
        <v>0.84549737477774201</v>
      </c>
      <c r="V142" s="46">
        <f t="shared" si="44"/>
        <v>0.82297025248104605</v>
      </c>
      <c r="W142" s="46">
        <f t="shared" ref="W142:Y142" si="45">IF(W18=0,0,W18/W$17)</f>
        <v>0.81541777724405107</v>
      </c>
      <c r="X142" s="46">
        <f t="shared" si="45"/>
        <v>0.82955458168362928</v>
      </c>
      <c r="Y142" s="46">
        <f t="shared" si="45"/>
        <v>0.82912517776227734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7.4897884305248231E-3</v>
      </c>
      <c r="C143" s="154">
        <f t="shared" si="46"/>
        <v>7.4026522677256915E-3</v>
      </c>
      <c r="D143" s="154">
        <f t="shared" si="46"/>
        <v>7.1632150901610701E-3</v>
      </c>
      <c r="E143" s="154">
        <f t="shared" si="46"/>
        <v>6.3796834831664944E-3</v>
      </c>
      <c r="F143" s="154">
        <f t="shared" si="46"/>
        <v>6.0726062613642761E-3</v>
      </c>
      <c r="G143" s="154">
        <f t="shared" si="46"/>
        <v>5.9055666443220056E-3</v>
      </c>
      <c r="H143" s="154">
        <f t="shared" si="46"/>
        <v>5.7733622658584964E-3</v>
      </c>
      <c r="I143" s="154">
        <f t="shared" si="46"/>
        <v>6.3505453770012288E-3</v>
      </c>
      <c r="J143" s="154">
        <f t="shared" si="46"/>
        <v>6.7260046767221877E-3</v>
      </c>
      <c r="K143" s="154">
        <f t="shared" si="46"/>
        <v>7.167643428813748E-3</v>
      </c>
      <c r="L143" s="154">
        <f t="shared" ref="L143" si="47">IF(L19=0,0,L19/L$17)</f>
        <v>7.9072132359707965E-3</v>
      </c>
      <c r="M143" s="154">
        <f t="shared" ref="M143:V143" si="48">IF(M19=0,0,M19/M$17)</f>
        <v>8.2294006432458693E-3</v>
      </c>
      <c r="N143" s="154">
        <f t="shared" si="48"/>
        <v>8.3031665211328355E-3</v>
      </c>
      <c r="O143" s="154">
        <f t="shared" si="48"/>
        <v>9.6868346482646538E-3</v>
      </c>
      <c r="P143" s="154">
        <f t="shared" si="48"/>
        <v>8.9411897150051805E-3</v>
      </c>
      <c r="Q143" s="154">
        <f t="shared" si="48"/>
        <v>8.6051884277037211E-3</v>
      </c>
      <c r="R143" s="154">
        <f t="shared" si="48"/>
        <v>8.9388306952499445E-3</v>
      </c>
      <c r="S143" s="154">
        <f t="shared" si="48"/>
        <v>8.3807314357500114E-3</v>
      </c>
      <c r="T143" s="154">
        <f t="shared" si="48"/>
        <v>7.760349883731343E-3</v>
      </c>
      <c r="U143" s="154">
        <f t="shared" si="48"/>
        <v>7.9414656134279196E-3</v>
      </c>
      <c r="V143" s="154">
        <f t="shared" si="48"/>
        <v>7.5560862568407293E-3</v>
      </c>
      <c r="W143" s="154">
        <f t="shared" ref="W143:Y143" si="49">IF(W19=0,0,W19/W$17)</f>
        <v>7.1689750528007136E-3</v>
      </c>
      <c r="X143" s="154">
        <f t="shared" si="49"/>
        <v>7.2729216857640149E-3</v>
      </c>
      <c r="Y143" s="154">
        <f t="shared" si="49"/>
        <v>7.7848198076748048E-3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0.63229510945663669</v>
      </c>
      <c r="C144" s="156">
        <f t="shared" si="50"/>
        <v>0.6222047342712399</v>
      </c>
      <c r="D144" s="156">
        <f t="shared" si="50"/>
        <v>0.63144050138038732</v>
      </c>
      <c r="E144" s="156">
        <f t="shared" si="50"/>
        <v>0.62617281680509163</v>
      </c>
      <c r="F144" s="156">
        <f t="shared" si="50"/>
        <v>0.63404759773119068</v>
      </c>
      <c r="G144" s="156">
        <f t="shared" si="50"/>
        <v>0.64329936224195527</v>
      </c>
      <c r="H144" s="156">
        <f t="shared" si="50"/>
        <v>0.66004110341662336</v>
      </c>
      <c r="I144" s="156">
        <f t="shared" si="50"/>
        <v>0.65787152914060454</v>
      </c>
      <c r="J144" s="156">
        <f t="shared" si="50"/>
        <v>0.67065409105585516</v>
      </c>
      <c r="K144" s="156">
        <f t="shared" si="50"/>
        <v>0.69082699546821924</v>
      </c>
      <c r="L144" s="156">
        <f t="shared" ref="L144" si="51">IF(L21=0,0,L21/L$17)</f>
        <v>0.69591750840885314</v>
      </c>
      <c r="M144" s="156">
        <f t="shared" ref="M144:V144" si="52">IF(M21=0,0,M21/M$17)</f>
        <v>0.679259253603679</v>
      </c>
      <c r="N144" s="156">
        <f t="shared" si="52"/>
        <v>0.69790103012671845</v>
      </c>
      <c r="O144" s="156">
        <f t="shared" si="52"/>
        <v>0.68844118714890667</v>
      </c>
      <c r="P144" s="156">
        <f t="shared" si="52"/>
        <v>0.71069801557754442</v>
      </c>
      <c r="Q144" s="156">
        <f t="shared" si="52"/>
        <v>0.71044180522289146</v>
      </c>
      <c r="R144" s="156">
        <f t="shared" si="52"/>
        <v>0.72168197031596137</v>
      </c>
      <c r="S144" s="156">
        <f t="shared" si="52"/>
        <v>0.73259395065397437</v>
      </c>
      <c r="T144" s="156">
        <f t="shared" si="52"/>
        <v>0.74538456599931502</v>
      </c>
      <c r="U144" s="156">
        <f t="shared" si="52"/>
        <v>0.76688321479226307</v>
      </c>
      <c r="V144" s="156">
        <f t="shared" si="52"/>
        <v>0.74213960766873033</v>
      </c>
      <c r="W144" s="156">
        <f t="shared" ref="W144:Y144" si="53">IF(W21=0,0,W21/W$17)</f>
        <v>0.74047172603414768</v>
      </c>
      <c r="X144" s="156">
        <f t="shared" si="53"/>
        <v>0.75485382728679196</v>
      </c>
      <c r="Y144" s="156">
        <f t="shared" si="53"/>
        <v>0.75555983596546217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0.39483972587301097</v>
      </c>
      <c r="C145" s="103">
        <f t="shared" si="54"/>
        <v>0.32369379892008149</v>
      </c>
      <c r="D145" s="103">
        <f t="shared" si="54"/>
        <v>0.33005607487081973</v>
      </c>
      <c r="E145" s="103">
        <f t="shared" si="54"/>
        <v>0.27916144876832011</v>
      </c>
      <c r="F145" s="103">
        <f t="shared" si="54"/>
        <v>0.24789412331050784</v>
      </c>
      <c r="G145" s="103">
        <f t="shared" si="54"/>
        <v>0.21952822087506974</v>
      </c>
      <c r="H145" s="103">
        <f t="shared" si="54"/>
        <v>0.23568110618207061</v>
      </c>
      <c r="I145" s="103">
        <f t="shared" si="54"/>
        <v>0.24673212827356927</v>
      </c>
      <c r="J145" s="103">
        <f t="shared" si="54"/>
        <v>0.23519938231874379</v>
      </c>
      <c r="K145" s="103">
        <f t="shared" si="54"/>
        <v>0.24697688399697029</v>
      </c>
      <c r="L145" s="103">
        <f t="shared" ref="L145" si="55">IF(L22=0,0,L22/L$17)</f>
        <v>0.23850439914396845</v>
      </c>
      <c r="M145" s="103">
        <f t="shared" ref="M145:V145" si="56">IF(M22=0,0,M22/M$17)</f>
        <v>0.21739626074705456</v>
      </c>
      <c r="N145" s="103">
        <f t="shared" si="56"/>
        <v>0.19449755561631979</v>
      </c>
      <c r="O145" s="103">
        <f t="shared" si="56"/>
        <v>0.17785231805252488</v>
      </c>
      <c r="P145" s="103">
        <f t="shared" si="56"/>
        <v>0.18306420414434446</v>
      </c>
      <c r="Q145" s="103">
        <f t="shared" si="56"/>
        <v>0.17456976953329173</v>
      </c>
      <c r="R145" s="103">
        <f t="shared" si="56"/>
        <v>0.1605978117821813</v>
      </c>
      <c r="S145" s="103">
        <f t="shared" si="56"/>
        <v>0.16163805346387733</v>
      </c>
      <c r="T145" s="103">
        <f t="shared" si="56"/>
        <v>0.14945959553247179</v>
      </c>
      <c r="U145" s="103">
        <f t="shared" si="56"/>
        <v>0.14327059314443474</v>
      </c>
      <c r="V145" s="103">
        <f t="shared" si="56"/>
        <v>0.1468327356774542</v>
      </c>
      <c r="W145" s="103">
        <f t="shared" ref="W145:Y145" si="57">IF(W22=0,0,W22/W$17)</f>
        <v>0.14487648079412552</v>
      </c>
      <c r="X145" s="103">
        <f t="shared" si="57"/>
        <v>0.15174081364801392</v>
      </c>
      <c r="Y145" s="103">
        <f t="shared" si="57"/>
        <v>0.14736455207711077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0.1032882935478583</v>
      </c>
      <c r="C146" s="103">
        <f t="shared" si="58"/>
        <v>0.12709833887178404</v>
      </c>
      <c r="D146" s="103">
        <f t="shared" si="58"/>
        <v>0.11477535598045221</v>
      </c>
      <c r="E146" s="103">
        <f t="shared" si="58"/>
        <v>0.1705069031082237</v>
      </c>
      <c r="F146" s="103">
        <f t="shared" si="58"/>
        <v>0.21383127605448796</v>
      </c>
      <c r="G146" s="103">
        <f t="shared" si="58"/>
        <v>0.23631763816041393</v>
      </c>
      <c r="H146" s="103">
        <f t="shared" si="58"/>
        <v>0.2363429218996049</v>
      </c>
      <c r="I146" s="103">
        <f t="shared" si="58"/>
        <v>0.23924007946332423</v>
      </c>
      <c r="J146" s="103">
        <f t="shared" si="58"/>
        <v>0.2799196497794566</v>
      </c>
      <c r="K146" s="103">
        <f t="shared" si="58"/>
        <v>0.27297464387937637</v>
      </c>
      <c r="L146" s="103">
        <f t="shared" ref="L146" si="59">IF(L24=0,0,L24/L$17)</f>
        <v>0.28398085154419211</v>
      </c>
      <c r="M146" s="103">
        <f t="shared" ref="M146:V146" si="60">IF(M24=0,0,M24/M$17)</f>
        <v>0.30155929144833221</v>
      </c>
      <c r="N146" s="103">
        <f t="shared" si="60"/>
        <v>0.34353792748610562</v>
      </c>
      <c r="O146" s="103">
        <f t="shared" si="60"/>
        <v>0.31977570517794729</v>
      </c>
      <c r="P146" s="103">
        <f t="shared" si="60"/>
        <v>0.33947368297860503</v>
      </c>
      <c r="Q146" s="103">
        <f t="shared" si="60"/>
        <v>0.35927977311648512</v>
      </c>
      <c r="R146" s="103">
        <f t="shared" si="60"/>
        <v>0.37856682222539101</v>
      </c>
      <c r="S146" s="103">
        <f t="shared" si="60"/>
        <v>0.39556013646180599</v>
      </c>
      <c r="T146" s="103">
        <f t="shared" si="60"/>
        <v>0.43189459594743745</v>
      </c>
      <c r="U146" s="103">
        <f t="shared" si="60"/>
        <v>0.47038977910311647</v>
      </c>
      <c r="V146" s="103">
        <f t="shared" si="60"/>
        <v>0.43990551471874967</v>
      </c>
      <c r="W146" s="103">
        <f t="shared" ref="W146:Y146" si="61">IF(W24=0,0,W24/W$17)</f>
        <v>0.45822057887728385</v>
      </c>
      <c r="X146" s="103">
        <f t="shared" si="61"/>
        <v>0.45927844141308283</v>
      </c>
      <c r="Y146" s="103">
        <f t="shared" si="61"/>
        <v>0.46105748641477373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0.13416709003576743</v>
      </c>
      <c r="C147" s="103">
        <f t="shared" si="62"/>
        <v>0.17141259647937432</v>
      </c>
      <c r="D147" s="103">
        <f t="shared" si="62"/>
        <v>0.18660907052911538</v>
      </c>
      <c r="E147" s="103">
        <f t="shared" si="62"/>
        <v>0.17650446492854782</v>
      </c>
      <c r="F147" s="103">
        <f t="shared" si="62"/>
        <v>0.17024041822632202</v>
      </c>
      <c r="G147" s="103">
        <f t="shared" si="62"/>
        <v>0.18065772220370949</v>
      </c>
      <c r="H147" s="103">
        <f t="shared" si="62"/>
        <v>0.17993390071693319</v>
      </c>
      <c r="I147" s="103">
        <f t="shared" si="62"/>
        <v>0.15991983157586018</v>
      </c>
      <c r="J147" s="103">
        <f t="shared" si="62"/>
        <v>0.14491040358555668</v>
      </c>
      <c r="K147" s="103">
        <f t="shared" si="62"/>
        <v>0.15619725238833659</v>
      </c>
      <c r="L147" s="103">
        <f t="shared" ref="L147" si="63">IF(L26=0,0,L26/L$17)</f>
        <v>0.15389707633736688</v>
      </c>
      <c r="M147" s="103">
        <f t="shared" ref="M147:V147" si="64">IF(M26=0,0,M26/M$17)</f>
        <v>0.14311605470449409</v>
      </c>
      <c r="N147" s="103">
        <f t="shared" si="64"/>
        <v>0.14236365217960389</v>
      </c>
      <c r="O147" s="103">
        <f t="shared" si="64"/>
        <v>0.16987346628791905</v>
      </c>
      <c r="P147" s="103">
        <f t="shared" si="64"/>
        <v>0.1634948047243841</v>
      </c>
      <c r="Q147" s="103">
        <f t="shared" si="64"/>
        <v>0.15697087440485577</v>
      </c>
      <c r="R147" s="103">
        <f t="shared" si="64"/>
        <v>0.16463378669120071</v>
      </c>
      <c r="S147" s="103">
        <f t="shared" si="64"/>
        <v>0.15753929425977106</v>
      </c>
      <c r="T147" s="103">
        <f t="shared" si="64"/>
        <v>0.14612121812533146</v>
      </c>
      <c r="U147" s="103">
        <f t="shared" si="64"/>
        <v>0.13505549009618645</v>
      </c>
      <c r="V147" s="103">
        <f t="shared" si="64"/>
        <v>0.13578768729001911</v>
      </c>
      <c r="W147" s="103">
        <f t="shared" ref="W147:Y147" si="65">IF(W26=0,0,W26/W$17)</f>
        <v>0.11973758855103256</v>
      </c>
      <c r="X147" s="103">
        <f t="shared" si="65"/>
        <v>0.13076810297875613</v>
      </c>
      <c r="Y147" s="103">
        <f t="shared" si="65"/>
        <v>0.13488232543177273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2.0817801398729067E-3</v>
      </c>
      <c r="G148" s="103">
        <f t="shared" si="66"/>
        <v>6.7957810027622313E-3</v>
      </c>
      <c r="H148" s="103">
        <f t="shared" si="66"/>
        <v>8.0831746180145634E-3</v>
      </c>
      <c r="I148" s="103">
        <f t="shared" si="66"/>
        <v>1.1979489827850902E-2</v>
      </c>
      <c r="J148" s="103">
        <f t="shared" si="66"/>
        <v>1.062465537209809E-2</v>
      </c>
      <c r="K148" s="103">
        <f t="shared" si="66"/>
        <v>1.4678215203535881E-2</v>
      </c>
      <c r="L148" s="103">
        <f t="shared" ref="L148" si="67">IF(L27=0,0,L27/L$17)</f>
        <v>1.9535181383325623E-2</v>
      </c>
      <c r="M148" s="103">
        <f t="shared" ref="M148:V148" si="68">IF(M27=0,0,M27/M$17)</f>
        <v>1.7187646703798166E-2</v>
      </c>
      <c r="N148" s="103">
        <f t="shared" si="68"/>
        <v>1.7501489692253788E-2</v>
      </c>
      <c r="O148" s="103">
        <f t="shared" si="68"/>
        <v>2.0939334065926959E-2</v>
      </c>
      <c r="P148" s="103">
        <f t="shared" si="68"/>
        <v>2.4664633215847633E-2</v>
      </c>
      <c r="Q148" s="103">
        <f t="shared" si="68"/>
        <v>1.9618343537959979E-2</v>
      </c>
      <c r="R148" s="103">
        <f t="shared" si="68"/>
        <v>1.7877024241887723E-2</v>
      </c>
      <c r="S148" s="103">
        <f t="shared" si="68"/>
        <v>1.7833823295410958E-2</v>
      </c>
      <c r="T148" s="103">
        <f t="shared" si="68"/>
        <v>1.7859076789072333E-2</v>
      </c>
      <c r="U148" s="103">
        <f t="shared" si="68"/>
        <v>1.8041210964200131E-2</v>
      </c>
      <c r="V148" s="103">
        <f t="shared" si="68"/>
        <v>1.941550569085335E-2</v>
      </c>
      <c r="W148" s="103">
        <f t="shared" ref="W148:Y148" si="69">IF(W27=0,0,W27/W$17)</f>
        <v>1.7312656905888374E-2</v>
      </c>
      <c r="X148" s="103">
        <f t="shared" si="69"/>
        <v>1.261748130185093E-2</v>
      </c>
      <c r="Y148" s="103">
        <f t="shared" si="69"/>
        <v>1.1719391725129527E-2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4.0515243532380533E-7</v>
      </c>
      <c r="O149" s="103">
        <f t="shared" si="72"/>
        <v>3.6356458852347126E-7</v>
      </c>
      <c r="P149" s="103">
        <f t="shared" si="72"/>
        <v>6.9051436314278795E-7</v>
      </c>
      <c r="Q149" s="103">
        <f t="shared" si="72"/>
        <v>3.0446302989086682E-6</v>
      </c>
      <c r="R149" s="103">
        <f t="shared" si="72"/>
        <v>4.8535794800164194E-6</v>
      </c>
      <c r="S149" s="103">
        <f t="shared" si="72"/>
        <v>1.6802241579916647E-5</v>
      </c>
      <c r="T149" s="103">
        <f t="shared" si="72"/>
        <v>3.100897232323187E-5</v>
      </c>
      <c r="U149" s="103">
        <f t="shared" si="72"/>
        <v>9.1979691005288533E-5</v>
      </c>
      <c r="V149" s="103">
        <f t="shared" si="72"/>
        <v>1.3147429944922423E-4</v>
      </c>
      <c r="W149" s="103">
        <f t="shared" ref="W149:Y149" si="73">IF(W29=0,0,W29/W$17)</f>
        <v>1.6802469383171996E-4</v>
      </c>
      <c r="X149" s="103">
        <f t="shared" si="73"/>
        <v>2.4236257769934887E-4</v>
      </c>
      <c r="Y149" s="103">
        <f t="shared" si="73"/>
        <v>2.7519730971329421E-4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0</v>
      </c>
      <c r="N150" s="103">
        <f t="shared" si="76"/>
        <v>0</v>
      </c>
      <c r="O150" s="103">
        <f t="shared" si="76"/>
        <v>0</v>
      </c>
      <c r="P150" s="103">
        <f t="shared" si="76"/>
        <v>0</v>
      </c>
      <c r="Q150" s="103">
        <f t="shared" si="76"/>
        <v>0</v>
      </c>
      <c r="R150" s="103">
        <f t="shared" si="76"/>
        <v>1.6717958207798038E-6</v>
      </c>
      <c r="S150" s="103">
        <f t="shared" si="76"/>
        <v>5.8409315288862E-6</v>
      </c>
      <c r="T150" s="103">
        <f t="shared" si="76"/>
        <v>1.9070632678744754E-5</v>
      </c>
      <c r="U150" s="103">
        <f t="shared" si="76"/>
        <v>3.4161793320028519E-5</v>
      </c>
      <c r="V150" s="103">
        <f t="shared" si="76"/>
        <v>6.6689992204746747E-5</v>
      </c>
      <c r="W150" s="103">
        <f t="shared" ref="W150:Y150" si="77">IF(W32=0,0,W32/W$17)</f>
        <v>1.5639621198579971E-4</v>
      </c>
      <c r="X150" s="103">
        <f t="shared" si="77"/>
        <v>2.0662536738864752E-4</v>
      </c>
      <c r="Y150" s="103">
        <f t="shared" si="77"/>
        <v>2.6088300696210705E-4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0.16316522707484882</v>
      </c>
      <c r="C151" s="156">
        <f t="shared" si="78"/>
        <v>0.16206210946682453</v>
      </c>
      <c r="D151" s="156">
        <f t="shared" si="78"/>
        <v>0.17327795649906397</v>
      </c>
      <c r="E151" s="156">
        <f t="shared" si="78"/>
        <v>0.13219303674471561</v>
      </c>
      <c r="F151" s="156">
        <f t="shared" si="78"/>
        <v>0.11460215928991299</v>
      </c>
      <c r="G151" s="156">
        <f t="shared" si="78"/>
        <v>0.110395134563585</v>
      </c>
      <c r="H151" s="156">
        <f t="shared" si="78"/>
        <v>0.10064457957262071</v>
      </c>
      <c r="I151" s="156">
        <f t="shared" si="78"/>
        <v>0.11313622963289685</v>
      </c>
      <c r="J151" s="156">
        <f t="shared" si="78"/>
        <v>9.7718073707267081E-2</v>
      </c>
      <c r="K151" s="156">
        <f t="shared" si="78"/>
        <v>0.10348938839532736</v>
      </c>
      <c r="L151" s="156">
        <f t="shared" ref="L151" si="79">IF(L33=0,0,L33/L$17)</f>
        <v>9.8237434606417776E-2</v>
      </c>
      <c r="M151" s="156">
        <f t="shared" ref="M151:V151" si="80">IF(M33=0,0,M33/M$17)</f>
        <v>0.10732722713501269</v>
      </c>
      <c r="N151" s="156">
        <f t="shared" si="80"/>
        <v>9.3054621592992812E-2</v>
      </c>
      <c r="O151" s="156">
        <f t="shared" si="80"/>
        <v>9.556362080661851E-2</v>
      </c>
      <c r="P151" s="156">
        <f t="shared" si="80"/>
        <v>8.2834144882957192E-2</v>
      </c>
      <c r="Q151" s="156">
        <f t="shared" si="80"/>
        <v>8.2071452448491858E-2</v>
      </c>
      <c r="R151" s="156">
        <f t="shared" si="80"/>
        <v>7.3172812716572791E-2</v>
      </c>
      <c r="S151" s="156">
        <f t="shared" si="80"/>
        <v>6.7530214722019408E-2</v>
      </c>
      <c r="T151" s="156">
        <f t="shared" si="80"/>
        <v>6.676846716784636E-2</v>
      </c>
      <c r="U151" s="156">
        <f t="shared" si="80"/>
        <v>7.067269437205094E-2</v>
      </c>
      <c r="V151" s="156">
        <f t="shared" si="80"/>
        <v>7.3274558555475017E-2</v>
      </c>
      <c r="W151" s="156">
        <f t="shared" ref="W151:Y151" si="81">IF(W33=0,0,W33/W$17)</f>
        <v>6.7777076157102628E-2</v>
      </c>
      <c r="X151" s="156">
        <f t="shared" si="81"/>
        <v>6.7427832711073277E-2</v>
      </c>
      <c r="Y151" s="156">
        <f t="shared" si="81"/>
        <v>6.5780521989140445E-2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1.2793329272685961E-3</v>
      </c>
      <c r="S152" s="103">
        <f t="shared" si="84"/>
        <v>1.2775186309299268E-3</v>
      </c>
      <c r="T152" s="103">
        <f t="shared" si="84"/>
        <v>1.2737255759363809E-3</v>
      </c>
      <c r="U152" s="103">
        <f t="shared" si="84"/>
        <v>1.3268716160789466E-3</v>
      </c>
      <c r="V152" s="103">
        <f t="shared" si="84"/>
        <v>1.2714714971192565E-3</v>
      </c>
      <c r="W152" s="103">
        <f t="shared" ref="W152:Y152" si="85">IF(W34=0,0,W34/W$17)</f>
        <v>1.0918822799919766E-3</v>
      </c>
      <c r="X152" s="103">
        <f t="shared" si="85"/>
        <v>1.0132396009669752E-3</v>
      </c>
      <c r="Y152" s="103">
        <f t="shared" si="85"/>
        <v>9.1849690158107573E-4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0.16316522707484882</v>
      </c>
      <c r="C153" s="103">
        <f t="shared" si="86"/>
        <v>0.16206210946682453</v>
      </c>
      <c r="D153" s="103">
        <f t="shared" si="86"/>
        <v>0.17327795649906397</v>
      </c>
      <c r="E153" s="103">
        <f t="shared" si="86"/>
        <v>0.13219303674471561</v>
      </c>
      <c r="F153" s="103">
        <f t="shared" si="86"/>
        <v>0.11402709343471458</v>
      </c>
      <c r="G153" s="103">
        <f t="shared" si="86"/>
        <v>0.1092504403359796</v>
      </c>
      <c r="H153" s="103">
        <f t="shared" si="86"/>
        <v>9.8723051722651126E-2</v>
      </c>
      <c r="I153" s="103">
        <f t="shared" si="86"/>
        <v>0.10965102935087943</v>
      </c>
      <c r="J153" s="103">
        <f t="shared" si="86"/>
        <v>9.4387440179521373E-2</v>
      </c>
      <c r="K153" s="103">
        <f t="shared" si="86"/>
        <v>9.828603851156674E-2</v>
      </c>
      <c r="L153" s="103">
        <f t="shared" ref="L153" si="87">IF(L36=0,0,L36/L$17)</f>
        <v>9.0405606085817644E-2</v>
      </c>
      <c r="M153" s="103">
        <f t="shared" ref="M153:V153" si="88">IF(M36=0,0,M36/M$17)</f>
        <v>9.9405284004469727E-2</v>
      </c>
      <c r="N153" s="103">
        <f t="shared" si="88"/>
        <v>8.5407767069296647E-2</v>
      </c>
      <c r="O153" s="103">
        <f t="shared" si="88"/>
        <v>8.4187737388726661E-2</v>
      </c>
      <c r="P153" s="103">
        <f t="shared" si="88"/>
        <v>7.5508202168142788E-2</v>
      </c>
      <c r="Q153" s="103">
        <f t="shared" si="88"/>
        <v>7.299779496757336E-2</v>
      </c>
      <c r="R153" s="103">
        <f t="shared" si="88"/>
        <v>6.2753555994814358E-2</v>
      </c>
      <c r="S153" s="103">
        <f t="shared" si="88"/>
        <v>5.7059235320782359E-2</v>
      </c>
      <c r="T153" s="103">
        <f t="shared" si="88"/>
        <v>5.5954464993873666E-2</v>
      </c>
      <c r="U153" s="103">
        <f t="shared" si="88"/>
        <v>5.8125579565539515E-2</v>
      </c>
      <c r="V153" s="103">
        <f t="shared" si="88"/>
        <v>6.1039625693352494E-2</v>
      </c>
      <c r="W153" s="103">
        <f t="shared" ref="W153:Y153" si="89">IF(W36=0,0,W36/W$17)</f>
        <v>5.4274480843069337E-2</v>
      </c>
      <c r="X153" s="103">
        <f t="shared" si="89"/>
        <v>5.7703633908642415E-2</v>
      </c>
      <c r="Y153" s="103">
        <f t="shared" si="89"/>
        <v>5.7947731170775812E-2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1.5175578304359695E-4</v>
      </c>
      <c r="S154" s="103">
        <f t="shared" si="92"/>
        <v>1.518426435770222E-4</v>
      </c>
      <c r="T154" s="103">
        <f t="shared" si="92"/>
        <v>1.6707855972813431E-4</v>
      </c>
      <c r="U154" s="103">
        <f t="shared" si="92"/>
        <v>1.7593278438461096E-4</v>
      </c>
      <c r="V154" s="103">
        <f t="shared" si="92"/>
        <v>5.5353749320838075E-5</v>
      </c>
      <c r="W154" s="103">
        <f t="shared" ref="W154:Y154" si="93">IF(W38=0,0,W38/W$17)</f>
        <v>1.3035967923880577E-4</v>
      </c>
      <c r="X154" s="103">
        <f t="shared" si="93"/>
        <v>1.1999217529254856E-4</v>
      </c>
      <c r="Y154" s="103">
        <f t="shared" si="93"/>
        <v>1.0053625252350685E-4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5.7506585519840486E-4</v>
      </c>
      <c r="G155" s="103">
        <f t="shared" si="94"/>
        <v>1.1446942276054119E-3</v>
      </c>
      <c r="H155" s="103">
        <f t="shared" si="94"/>
        <v>1.9215278499695775E-3</v>
      </c>
      <c r="I155" s="103">
        <f t="shared" si="94"/>
        <v>3.4852002820174002E-3</v>
      </c>
      <c r="J155" s="103">
        <f t="shared" si="94"/>
        <v>3.2953066437343441E-3</v>
      </c>
      <c r="K155" s="103">
        <f t="shared" si="94"/>
        <v>5.1036502328050291E-3</v>
      </c>
      <c r="L155" s="103">
        <f t="shared" ref="L155" si="95">IF(L39=0,0,L39/L$17)</f>
        <v>7.6263997891703487E-3</v>
      </c>
      <c r="M155" s="103">
        <f t="shared" ref="M155:V155" si="96">IF(M39=0,0,M39/M$17)</f>
        <v>7.6961633153697527E-3</v>
      </c>
      <c r="N155" s="103">
        <f t="shared" si="96"/>
        <v>7.4181855222682676E-3</v>
      </c>
      <c r="O155" s="103">
        <f t="shared" si="96"/>
        <v>9.3316005681970647E-3</v>
      </c>
      <c r="P155" s="103">
        <f t="shared" si="96"/>
        <v>4.9430156948894952E-3</v>
      </c>
      <c r="Q155" s="103">
        <f t="shared" si="96"/>
        <v>6.7751269620692604E-3</v>
      </c>
      <c r="R155" s="103">
        <f t="shared" si="96"/>
        <v>6.7599706378849381E-3</v>
      </c>
      <c r="S155" s="103">
        <f t="shared" si="96"/>
        <v>6.8703818680702381E-3</v>
      </c>
      <c r="T155" s="103">
        <f t="shared" si="96"/>
        <v>7.2623672651717592E-3</v>
      </c>
      <c r="U155" s="103">
        <f t="shared" si="96"/>
        <v>8.9489462134230389E-3</v>
      </c>
      <c r="V155" s="103">
        <f t="shared" si="96"/>
        <v>8.8060447812738103E-3</v>
      </c>
      <c r="W155" s="103">
        <f t="shared" ref="W155:Y155" si="97">IF(W39=0,0,W39/W$17)</f>
        <v>1.0154969220119534E-2</v>
      </c>
      <c r="X155" s="103">
        <f t="shared" si="97"/>
        <v>6.5457032677957014E-3</v>
      </c>
      <c r="Y155" s="103">
        <f t="shared" si="97"/>
        <v>4.4806215722662367E-3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3.5326884011359279E-5</v>
      </c>
      <c r="K156" s="103">
        <f t="shared" si="98"/>
        <v>9.969965095559819E-5</v>
      </c>
      <c r="L156" s="103">
        <f t="shared" ref="L156" si="99">IF(L41=0,0,L41/L$17)</f>
        <v>2.0542873142978787E-4</v>
      </c>
      <c r="M156" s="103">
        <f t="shared" ref="M156:V156" si="100">IF(M41=0,0,M41/M$17)</f>
        <v>2.2577981517321971E-4</v>
      </c>
      <c r="N156" s="103">
        <f t="shared" si="100"/>
        <v>2.2866900142789505E-4</v>
      </c>
      <c r="O156" s="103">
        <f t="shared" si="100"/>
        <v>2.0442828496947817E-3</v>
      </c>
      <c r="P156" s="103">
        <f t="shared" si="100"/>
        <v>2.3829270199249024E-3</v>
      </c>
      <c r="Q156" s="103">
        <f t="shared" si="100"/>
        <v>2.2985305188492362E-3</v>
      </c>
      <c r="R156" s="103">
        <f t="shared" si="100"/>
        <v>2.2281973735613111E-3</v>
      </c>
      <c r="S156" s="103">
        <f t="shared" si="100"/>
        <v>2.1712362586598678E-3</v>
      </c>
      <c r="T156" s="103">
        <f t="shared" si="100"/>
        <v>2.1108307731364292E-3</v>
      </c>
      <c r="U156" s="103">
        <f t="shared" si="100"/>
        <v>2.0953641926248255E-3</v>
      </c>
      <c r="V156" s="103">
        <f t="shared" si="100"/>
        <v>2.1020628344086195E-3</v>
      </c>
      <c r="W156" s="103">
        <f t="shared" ref="W156:Y156" si="101">IF(W41=0,0,W41/W$17)</f>
        <v>2.1253841346829888E-3</v>
      </c>
      <c r="X156" s="103">
        <f t="shared" si="101"/>
        <v>2.0452637583756325E-3</v>
      </c>
      <c r="Y156" s="103">
        <f t="shared" si="101"/>
        <v>2.333136091993798E-3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0.19704987503798954</v>
      </c>
      <c r="C157" s="46">
        <f t="shared" si="102"/>
        <v>0.20833050399420977</v>
      </c>
      <c r="D157" s="46">
        <f t="shared" si="102"/>
        <v>0.18811832703038764</v>
      </c>
      <c r="E157" s="46">
        <f t="shared" si="102"/>
        <v>0.23525446296702637</v>
      </c>
      <c r="F157" s="46">
        <f t="shared" si="102"/>
        <v>0.24527763671753186</v>
      </c>
      <c r="G157" s="46">
        <f t="shared" si="102"/>
        <v>0.24039993655013753</v>
      </c>
      <c r="H157" s="46">
        <f t="shared" si="102"/>
        <v>0.23354095474489736</v>
      </c>
      <c r="I157" s="46">
        <f t="shared" si="102"/>
        <v>0.22264169584949739</v>
      </c>
      <c r="J157" s="46">
        <f t="shared" si="102"/>
        <v>0.22490183056015556</v>
      </c>
      <c r="K157" s="46">
        <f t="shared" si="102"/>
        <v>0.1985159727076396</v>
      </c>
      <c r="L157" s="46">
        <f t="shared" ref="L157" si="103">IF(L42=0,0,L42/L$17)</f>
        <v>0.19793784374875831</v>
      </c>
      <c r="M157" s="46">
        <f t="shared" ref="M157:V157" si="104">IF(M42=0,0,M42/M$17)</f>
        <v>0.20518411861806238</v>
      </c>
      <c r="N157" s="46">
        <f t="shared" si="104"/>
        <v>0.2007411817591559</v>
      </c>
      <c r="O157" s="46">
        <f t="shared" si="104"/>
        <v>0.20630835739621017</v>
      </c>
      <c r="P157" s="46">
        <f t="shared" si="104"/>
        <v>0.19752664982449331</v>
      </c>
      <c r="Q157" s="46">
        <f t="shared" si="104"/>
        <v>0.19888155390091292</v>
      </c>
      <c r="R157" s="46">
        <f t="shared" si="104"/>
        <v>0.1962063862722159</v>
      </c>
      <c r="S157" s="46">
        <f t="shared" si="104"/>
        <v>0.19149510318825616</v>
      </c>
      <c r="T157" s="46">
        <f t="shared" si="104"/>
        <v>0.18008661694910724</v>
      </c>
      <c r="U157" s="46">
        <f t="shared" si="104"/>
        <v>0.15450262522225797</v>
      </c>
      <c r="V157" s="46">
        <f t="shared" si="104"/>
        <v>0.17702974751895406</v>
      </c>
      <c r="W157" s="46">
        <f t="shared" ref="W157:Y157" si="105">IF(W42=0,0,W42/W$17)</f>
        <v>0.18458222275594902</v>
      </c>
      <c r="X157" s="46">
        <f t="shared" si="105"/>
        <v>0.17044541831637081</v>
      </c>
      <c r="Y157" s="46">
        <f t="shared" si="105"/>
        <v>0.17087482223772266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7.6945194935426175E-2</v>
      </c>
      <c r="C158" s="154">
        <f t="shared" si="106"/>
        <v>7.1865498652755364E-2</v>
      </c>
      <c r="D158" s="154">
        <f t="shared" si="106"/>
        <v>6.8988952370527643E-2</v>
      </c>
      <c r="E158" s="154">
        <f t="shared" si="106"/>
        <v>6.4613998089998001E-2</v>
      </c>
      <c r="F158" s="154">
        <f t="shared" si="106"/>
        <v>6.8091461628078956E-2</v>
      </c>
      <c r="G158" s="154">
        <f t="shared" si="106"/>
        <v>5.7285240352358595E-2</v>
      </c>
      <c r="H158" s="154">
        <f t="shared" si="106"/>
        <v>5.8249147549267334E-2</v>
      </c>
      <c r="I158" s="154">
        <f t="shared" si="106"/>
        <v>6.5998418134395859E-2</v>
      </c>
      <c r="J158" s="154">
        <f t="shared" si="106"/>
        <v>6.6376720132430123E-2</v>
      </c>
      <c r="K158" s="154">
        <f t="shared" si="106"/>
        <v>6.6357394758604971E-2</v>
      </c>
      <c r="L158" s="154">
        <f t="shared" ref="L158" si="107">IF(L43=0,0,L43/L$17)</f>
        <v>6.6268499789994509E-2</v>
      </c>
      <c r="M158" s="154">
        <f t="shared" ref="M158:V158" si="108">IF(M43=0,0,M43/M$17)</f>
        <v>7.2915751750123145E-2</v>
      </c>
      <c r="N158" s="154">
        <f t="shared" si="108"/>
        <v>7.1839382307830671E-2</v>
      </c>
      <c r="O158" s="154">
        <f t="shared" si="108"/>
        <v>7.9353551125004126E-2</v>
      </c>
      <c r="P158" s="154">
        <f t="shared" si="108"/>
        <v>7.2836560870045322E-2</v>
      </c>
      <c r="Q158" s="154">
        <f t="shared" si="108"/>
        <v>7.3050251104765068E-2</v>
      </c>
      <c r="R158" s="154">
        <f t="shared" si="108"/>
        <v>7.0149757336415888E-2</v>
      </c>
      <c r="S158" s="154">
        <f t="shared" si="108"/>
        <v>5.9098859350977057E-2</v>
      </c>
      <c r="T158" s="154">
        <f t="shared" si="108"/>
        <v>5.7183575657460115E-2</v>
      </c>
      <c r="U158" s="154">
        <f t="shared" si="108"/>
        <v>5.3868145513175827E-2</v>
      </c>
      <c r="V158" s="154">
        <f t="shared" si="108"/>
        <v>5.494110906110352E-2</v>
      </c>
      <c r="W158" s="154">
        <f t="shared" ref="W158:Y158" si="109">IF(W43=0,0,W43/W$17)</f>
        <v>4.8378468178828321E-2</v>
      </c>
      <c r="X158" s="154">
        <f t="shared" si="109"/>
        <v>4.5184482832023753E-2</v>
      </c>
      <c r="Y158" s="154">
        <f t="shared" si="109"/>
        <v>4.1100862203277237E-2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1.8017325808620484E-2</v>
      </c>
      <c r="C159" s="103">
        <f t="shared" si="110"/>
        <v>1.7664513683728768E-2</v>
      </c>
      <c r="D159" s="103">
        <f t="shared" si="110"/>
        <v>1.6972615867010699E-2</v>
      </c>
      <c r="E159" s="103">
        <f t="shared" si="110"/>
        <v>1.5301981725228059E-2</v>
      </c>
      <c r="F159" s="103">
        <f t="shared" si="110"/>
        <v>1.4715815595416088E-2</v>
      </c>
      <c r="G159" s="103">
        <f t="shared" si="110"/>
        <v>1.2172271910479171E-2</v>
      </c>
      <c r="H159" s="103">
        <f t="shared" si="110"/>
        <v>1.0167294745121253E-2</v>
      </c>
      <c r="I159" s="103">
        <f t="shared" si="110"/>
        <v>9.3344935681883776E-3</v>
      </c>
      <c r="J159" s="103">
        <f t="shared" si="110"/>
        <v>7.7395420799185157E-3</v>
      </c>
      <c r="K159" s="103">
        <f t="shared" si="110"/>
        <v>6.575387222603259E-3</v>
      </c>
      <c r="L159" s="103">
        <f t="shared" ref="L159" si="111">IF(L44=0,0,L44/L$17)</f>
        <v>5.1373134773431859E-3</v>
      </c>
      <c r="M159" s="103">
        <f t="shared" ref="M159:V159" si="112">IF(M44=0,0,M44/M$17)</f>
        <v>5.5437565904092627E-3</v>
      </c>
      <c r="N159" s="103">
        <f t="shared" si="112"/>
        <v>4.8945578807958676E-3</v>
      </c>
      <c r="O159" s="103">
        <f t="shared" si="112"/>
        <v>5.0117671113354403E-3</v>
      </c>
      <c r="P159" s="103">
        <f t="shared" si="112"/>
        <v>4.016955511728976E-3</v>
      </c>
      <c r="Q159" s="103">
        <f t="shared" si="112"/>
        <v>4.3029484875231035E-3</v>
      </c>
      <c r="R159" s="103">
        <f t="shared" si="112"/>
        <v>4.0966413067822088E-3</v>
      </c>
      <c r="S159" s="103">
        <f t="shared" si="112"/>
        <v>3.9576393805494893E-3</v>
      </c>
      <c r="T159" s="103">
        <f t="shared" si="112"/>
        <v>3.8767205670613811E-3</v>
      </c>
      <c r="U159" s="103">
        <f t="shared" si="112"/>
        <v>3.6712633801802004E-3</v>
      </c>
      <c r="V159" s="103">
        <f t="shared" si="112"/>
        <v>3.8288396386784913E-3</v>
      </c>
      <c r="W159" s="103">
        <f t="shared" ref="W159:Y159" si="113">IF(W44=0,0,W44/W$17)</f>
        <v>3.4311006082902726E-3</v>
      </c>
      <c r="X159" s="103">
        <f t="shared" si="113"/>
        <v>3.3029115324667833E-3</v>
      </c>
      <c r="Y159" s="103">
        <f t="shared" si="113"/>
        <v>3.1382899322314663E-3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5.8927869126805692E-2</v>
      </c>
      <c r="C160" s="103">
        <f t="shared" si="114"/>
        <v>5.4200984969026596E-2</v>
      </c>
      <c r="D160" s="103">
        <f t="shared" si="114"/>
        <v>5.201633650351694E-2</v>
      </c>
      <c r="E160" s="103">
        <f t="shared" si="114"/>
        <v>4.9312016364769937E-2</v>
      </c>
      <c r="F160" s="103">
        <f t="shared" si="114"/>
        <v>5.3375646032662878E-2</v>
      </c>
      <c r="G160" s="103">
        <f t="shared" si="114"/>
        <v>4.5112968441879411E-2</v>
      </c>
      <c r="H160" s="103">
        <f t="shared" si="114"/>
        <v>4.8081852804146084E-2</v>
      </c>
      <c r="I160" s="103">
        <f t="shared" si="114"/>
        <v>5.6663924566207474E-2</v>
      </c>
      <c r="J160" s="103">
        <f t="shared" si="114"/>
        <v>5.8637178052511611E-2</v>
      </c>
      <c r="K160" s="103">
        <f t="shared" si="114"/>
        <v>5.9782007536001706E-2</v>
      </c>
      <c r="L160" s="103">
        <f t="shared" ref="L160" si="115">IF(L46=0,0,L46/L$17)</f>
        <v>6.1131186312651326E-2</v>
      </c>
      <c r="M160" s="103">
        <f t="shared" ref="M160:V160" si="116">IF(M46=0,0,M46/M$17)</f>
        <v>6.7371995159713885E-2</v>
      </c>
      <c r="N160" s="103">
        <f t="shared" si="116"/>
        <v>6.6943443277293568E-2</v>
      </c>
      <c r="O160" s="103">
        <f t="shared" si="116"/>
        <v>7.4340199154751818E-2</v>
      </c>
      <c r="P160" s="103">
        <f t="shared" si="116"/>
        <v>6.8818160982325655E-2</v>
      </c>
      <c r="Q160" s="103">
        <f t="shared" si="116"/>
        <v>6.8745610449847228E-2</v>
      </c>
      <c r="R160" s="103">
        <f t="shared" si="116"/>
        <v>6.5974305345521594E-2</v>
      </c>
      <c r="S160" s="103">
        <f t="shared" si="116"/>
        <v>5.4926809790265735E-2</v>
      </c>
      <c r="T160" s="103">
        <f t="shared" si="116"/>
        <v>5.2909364559857001E-2</v>
      </c>
      <c r="U160" s="103">
        <f t="shared" si="116"/>
        <v>4.9570974141938139E-2</v>
      </c>
      <c r="V160" s="103">
        <f t="shared" si="116"/>
        <v>5.0295816908057789E-2</v>
      </c>
      <c r="W160" s="103">
        <f t="shared" ref="W160:Y160" si="117">IF(W46=0,0,W46/W$17)</f>
        <v>4.3999805212904308E-2</v>
      </c>
      <c r="X160" s="103">
        <f t="shared" si="117"/>
        <v>4.0939660022881519E-2</v>
      </c>
      <c r="Y160" s="103">
        <f t="shared" si="117"/>
        <v>3.7037747902229114E-2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6.2615978392717425E-5</v>
      </c>
      <c r="S161" s="103">
        <f t="shared" si="120"/>
        <v>1.846576170827959E-4</v>
      </c>
      <c r="T161" s="103">
        <f t="shared" si="120"/>
        <v>3.5281096057177257E-4</v>
      </c>
      <c r="U161" s="103">
        <f t="shared" si="120"/>
        <v>5.6043059324791976E-4</v>
      </c>
      <c r="V161" s="103">
        <f t="shared" si="120"/>
        <v>7.2022923066008149E-4</v>
      </c>
      <c r="W161" s="103">
        <f t="shared" ref="W161:Y161" si="121">IF(W48=0,0,W48/W$17)</f>
        <v>8.3868071008669546E-4</v>
      </c>
      <c r="X161" s="103">
        <f t="shared" si="121"/>
        <v>8.305819598426221E-4</v>
      </c>
      <c r="Y161" s="103">
        <f t="shared" si="121"/>
        <v>8.0833278619853275E-4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1.3888921450124265E-5</v>
      </c>
      <c r="S162" s="103">
        <f t="shared" si="124"/>
        <v>2.7201330082193813E-5</v>
      </c>
      <c r="T162" s="103">
        <f t="shared" si="124"/>
        <v>4.1693154577904346E-5</v>
      </c>
      <c r="U162" s="103">
        <f t="shared" si="124"/>
        <v>6.1323902845721249E-5</v>
      </c>
      <c r="V162" s="103">
        <f t="shared" si="124"/>
        <v>9.1127928158418636E-5</v>
      </c>
      <c r="W162" s="103">
        <f t="shared" ref="W162:Y162" si="125">IF(W49=0,0,W49/W$17)</f>
        <v>1.0289331511098823E-4</v>
      </c>
      <c r="X162" s="103">
        <f t="shared" si="125"/>
        <v>1.0362794224058174E-4</v>
      </c>
      <c r="Y162" s="103">
        <f t="shared" si="125"/>
        <v>1.0114153898352371E-4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1.3811497412458163E-6</v>
      </c>
      <c r="O163" s="103">
        <f t="shared" si="128"/>
        <v>1.5848589168629096E-6</v>
      </c>
      <c r="P163" s="103">
        <f t="shared" si="128"/>
        <v>1.4443759906938829E-6</v>
      </c>
      <c r="Q163" s="103">
        <f t="shared" si="128"/>
        <v>1.6921673947336779E-6</v>
      </c>
      <c r="R163" s="103">
        <f t="shared" si="128"/>
        <v>2.3057842692364641E-6</v>
      </c>
      <c r="S163" s="103">
        <f t="shared" si="128"/>
        <v>2.5512329968378546E-6</v>
      </c>
      <c r="T163" s="103">
        <f t="shared" si="128"/>
        <v>2.9864153920545187E-6</v>
      </c>
      <c r="U163" s="103">
        <f t="shared" si="128"/>
        <v>4.153494963839362E-6</v>
      </c>
      <c r="V163" s="103">
        <f t="shared" si="128"/>
        <v>5.0953555487312533E-6</v>
      </c>
      <c r="W163" s="103">
        <f t="shared" ref="W163:Y163" si="129">IF(W51=0,0,W51/W$17)</f>
        <v>5.988332436057363E-6</v>
      </c>
      <c r="X163" s="103">
        <f t="shared" si="129"/>
        <v>7.7013745922503472E-6</v>
      </c>
      <c r="Y163" s="103">
        <f t="shared" si="129"/>
        <v>1.5350043634596059E-5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0.12010468010256334</v>
      </c>
      <c r="C164" s="156">
        <f t="shared" si="130"/>
        <v>0.13646500534145442</v>
      </c>
      <c r="D164" s="156">
        <f t="shared" si="130"/>
        <v>0.11912937465986002</v>
      </c>
      <c r="E164" s="156">
        <f t="shared" si="130"/>
        <v>0.17064046487702836</v>
      </c>
      <c r="F164" s="156">
        <f t="shared" si="130"/>
        <v>0.17718617508945289</v>
      </c>
      <c r="G164" s="156">
        <f t="shared" si="130"/>
        <v>0.18311469619777895</v>
      </c>
      <c r="H164" s="156">
        <f t="shared" si="130"/>
        <v>0.17529180719563001</v>
      </c>
      <c r="I164" s="156">
        <f t="shared" si="130"/>
        <v>0.1566432777151015</v>
      </c>
      <c r="J164" s="156">
        <f t="shared" si="130"/>
        <v>0.15852511042772544</v>
      </c>
      <c r="K164" s="156">
        <f t="shared" si="130"/>
        <v>0.13215857794903463</v>
      </c>
      <c r="L164" s="156">
        <f t="shared" ref="L164" si="131">IF(L52=0,0,L52/L$17)</f>
        <v>0.13166934395876378</v>
      </c>
      <c r="M164" s="156">
        <f t="shared" ref="M164:V164" si="132">IF(M52=0,0,M52/M$17)</f>
        <v>0.13226836686793922</v>
      </c>
      <c r="N164" s="156">
        <f t="shared" si="132"/>
        <v>0.12890179945132521</v>
      </c>
      <c r="O164" s="156">
        <f t="shared" si="132"/>
        <v>0.12695480627120603</v>
      </c>
      <c r="P164" s="156">
        <f t="shared" si="132"/>
        <v>0.12469008895444801</v>
      </c>
      <c r="Q164" s="156">
        <f t="shared" si="132"/>
        <v>0.12583130279614782</v>
      </c>
      <c r="R164" s="156">
        <f t="shared" si="132"/>
        <v>0.1260566289358</v>
      </c>
      <c r="S164" s="156">
        <f t="shared" si="132"/>
        <v>0.1323962438372791</v>
      </c>
      <c r="T164" s="156">
        <f t="shared" si="132"/>
        <v>0.12290304129164711</v>
      </c>
      <c r="U164" s="156">
        <f t="shared" si="132"/>
        <v>0.10063447970908214</v>
      </c>
      <c r="V164" s="156">
        <f t="shared" si="132"/>
        <v>0.12208863845785053</v>
      </c>
      <c r="W164" s="156">
        <f t="shared" ref="W164:Y164" si="133">IF(W52=0,0,W52/W$17)</f>
        <v>0.13620375457712069</v>
      </c>
      <c r="X164" s="156">
        <f t="shared" si="133"/>
        <v>0.12526093548434705</v>
      </c>
      <c r="Y164" s="156">
        <f t="shared" si="133"/>
        <v>0.12977396003444541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4.4951191447176561E-2</v>
      </c>
      <c r="C165" s="104">
        <f t="shared" si="134"/>
        <v>6.0673797966518853E-2</v>
      </c>
      <c r="D165" s="104">
        <f t="shared" si="134"/>
        <v>4.3136346852354387E-2</v>
      </c>
      <c r="E165" s="104">
        <f t="shared" si="134"/>
        <v>0.10518824351692341</v>
      </c>
      <c r="F165" s="104">
        <f t="shared" si="134"/>
        <v>0.1045360833560522</v>
      </c>
      <c r="G165" s="104">
        <f t="shared" si="134"/>
        <v>0.11613867266914832</v>
      </c>
      <c r="H165" s="104">
        <f t="shared" si="134"/>
        <v>0.12002484736700449</v>
      </c>
      <c r="I165" s="104">
        <f t="shared" si="134"/>
        <v>0.10460166346970104</v>
      </c>
      <c r="J165" s="104">
        <f t="shared" si="134"/>
        <v>0.13022467275324182</v>
      </c>
      <c r="K165" s="104">
        <f t="shared" si="134"/>
        <v>0.10511363150980806</v>
      </c>
      <c r="L165" s="104">
        <f t="shared" ref="L165" si="135">IF(L53=0,0,L53/L$17)</f>
        <v>0.10141346014264827</v>
      </c>
      <c r="M165" s="104">
        <f t="shared" ref="M165:V165" si="136">IF(M53=0,0,M53/M$17)</f>
        <v>9.7308824189918527E-2</v>
      </c>
      <c r="N165" s="104">
        <f t="shared" si="136"/>
        <v>9.8777950163121478E-2</v>
      </c>
      <c r="O165" s="104">
        <f t="shared" si="136"/>
        <v>8.3364964519219792E-2</v>
      </c>
      <c r="P165" s="104">
        <f t="shared" si="136"/>
        <v>8.9829358481873581E-2</v>
      </c>
      <c r="Q165" s="104">
        <f t="shared" si="136"/>
        <v>8.9992456575604174E-2</v>
      </c>
      <c r="R165" s="104">
        <f t="shared" si="136"/>
        <v>9.2450155278490292E-2</v>
      </c>
      <c r="S165" s="104">
        <f t="shared" si="136"/>
        <v>0.10079617158647397</v>
      </c>
      <c r="T165" s="104">
        <f t="shared" si="136"/>
        <v>9.529181655880245E-2</v>
      </c>
      <c r="U165" s="104">
        <f t="shared" si="136"/>
        <v>7.7528244359088963E-2</v>
      </c>
      <c r="V165" s="104">
        <f t="shared" si="136"/>
        <v>9.1663421577857965E-2</v>
      </c>
      <c r="W165" s="104">
        <f t="shared" ref="W165:Y165" si="137">IF(W53=0,0,W53/W$17)</f>
        <v>0.10395456743141573</v>
      </c>
      <c r="X165" s="104">
        <f t="shared" si="137"/>
        <v>8.6757516032302071E-2</v>
      </c>
      <c r="Y165" s="104">
        <f t="shared" si="137"/>
        <v>9.0835106829299087E-2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7.5153488655386777E-2</v>
      </c>
      <c r="C166" s="105">
        <f t="shared" si="138"/>
        <v>7.5791207374935568E-2</v>
      </c>
      <c r="D166" s="105">
        <f t="shared" si="138"/>
        <v>7.5993027807505636E-2</v>
      </c>
      <c r="E166" s="105">
        <f t="shared" si="138"/>
        <v>6.5452221360104951E-2</v>
      </c>
      <c r="F166" s="105">
        <f t="shared" si="138"/>
        <v>7.2650091733400701E-2</v>
      </c>
      <c r="G166" s="105">
        <f t="shared" si="138"/>
        <v>6.6976023528630649E-2</v>
      </c>
      <c r="H166" s="105">
        <f t="shared" si="138"/>
        <v>5.5266959828625513E-2</v>
      </c>
      <c r="I166" s="105">
        <f t="shared" si="138"/>
        <v>5.2041614245400471E-2</v>
      </c>
      <c r="J166" s="105">
        <f t="shared" si="138"/>
        <v>2.830043767448363E-2</v>
      </c>
      <c r="K166" s="105">
        <f t="shared" si="138"/>
        <v>2.7044946439226582E-2</v>
      </c>
      <c r="L166" s="105">
        <f t="shared" ref="L166" si="139">IF(L55=0,0,L55/L$17)</f>
        <v>3.025588381611552E-2</v>
      </c>
      <c r="M166" s="105">
        <f t="shared" ref="M166:V166" si="140">IF(M55=0,0,M55/M$17)</f>
        <v>3.4959542678020705E-2</v>
      </c>
      <c r="N166" s="105">
        <f t="shared" si="140"/>
        <v>3.0123849288203733E-2</v>
      </c>
      <c r="O166" s="105">
        <f t="shared" si="140"/>
        <v>4.3589841751986255E-2</v>
      </c>
      <c r="P166" s="105">
        <f t="shared" si="140"/>
        <v>3.4860730472574437E-2</v>
      </c>
      <c r="Q166" s="105">
        <f t="shared" si="140"/>
        <v>3.583884622054366E-2</v>
      </c>
      <c r="R166" s="105">
        <f t="shared" si="140"/>
        <v>3.3606473657309711E-2</v>
      </c>
      <c r="S166" s="105">
        <f t="shared" si="140"/>
        <v>3.1600072250805127E-2</v>
      </c>
      <c r="T166" s="105">
        <f t="shared" si="140"/>
        <v>2.761122473284466E-2</v>
      </c>
      <c r="U166" s="105">
        <f t="shared" si="140"/>
        <v>2.3106235349993169E-2</v>
      </c>
      <c r="V166" s="105">
        <f t="shared" si="140"/>
        <v>3.0425216879992559E-2</v>
      </c>
      <c r="W166" s="105">
        <f t="shared" ref="W166:Y166" si="141">IF(W55=0,0,W55/W$17)</f>
        <v>3.2249187145704968E-2</v>
      </c>
      <c r="X166" s="105">
        <f t="shared" si="141"/>
        <v>3.8503419452044968E-2</v>
      </c>
      <c r="Y166" s="105">
        <f t="shared" si="141"/>
        <v>3.8938853205146333E-2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4903.7239529279996</v>
      </c>
      <c r="C4" s="146">
        <f t="shared" si="0"/>
        <v>5080.3880621111985</v>
      </c>
      <c r="D4" s="146">
        <f t="shared" si="0"/>
        <v>5367.1239151308</v>
      </c>
      <c r="E4" s="146">
        <f t="shared" si="0"/>
        <v>6101.957502849601</v>
      </c>
      <c r="F4" s="146">
        <f t="shared" si="0"/>
        <v>6483.7160411147988</v>
      </c>
      <c r="G4" s="146">
        <f t="shared" si="0"/>
        <v>7128.8930232612001</v>
      </c>
      <c r="H4" s="146">
        <f t="shared" si="0"/>
        <v>7459.6171282703999</v>
      </c>
      <c r="I4" s="146">
        <f t="shared" si="0"/>
        <v>7080.1757433432022</v>
      </c>
      <c r="J4" s="146">
        <f t="shared" si="0"/>
        <v>7475.4025847783978</v>
      </c>
      <c r="K4" s="146">
        <f t="shared" si="0"/>
        <v>7345.1834888687999</v>
      </c>
      <c r="L4" s="146">
        <f t="shared" ref="L4" si="1">L5+L9+L10+L15</f>
        <v>7142.9328895572007</v>
      </c>
      <c r="M4" s="146">
        <f t="shared" ref="M4:V4" si="2">M5+M9+M10+M15</f>
        <v>7198.6858014024001</v>
      </c>
      <c r="N4" s="146">
        <f t="shared" si="2"/>
        <v>7472.3951143979994</v>
      </c>
      <c r="O4" s="146">
        <f t="shared" si="2"/>
        <v>6602.702516938798</v>
      </c>
      <c r="P4" s="146">
        <f t="shared" si="2"/>
        <v>7511.3129358575998</v>
      </c>
      <c r="Q4" s="146">
        <f t="shared" si="2"/>
        <v>8291.1216089052014</v>
      </c>
      <c r="R4" s="146">
        <f t="shared" si="2"/>
        <v>8415.3662971020021</v>
      </c>
      <c r="S4" s="146">
        <f t="shared" si="2"/>
        <v>8495.2913378939975</v>
      </c>
      <c r="T4" s="146">
        <f t="shared" si="2"/>
        <v>8775.0707752151975</v>
      </c>
      <c r="U4" s="146">
        <f t="shared" si="2"/>
        <v>9077.3693579772025</v>
      </c>
      <c r="V4" s="146">
        <f t="shared" si="2"/>
        <v>8540.5785570648004</v>
      </c>
      <c r="W4" s="146">
        <f t="shared" ref="W4:Y4" si="3">W5+W9+W10+W15</f>
        <v>9439.8737774399997</v>
      </c>
      <c r="X4" s="146">
        <f t="shared" si="3"/>
        <v>9376.2757605599982</v>
      </c>
      <c r="Y4" s="146">
        <f t="shared" si="3"/>
        <v>9582.1215667199976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4903.7239529279996</v>
      </c>
      <c r="C5" s="101">
        <f t="shared" si="4"/>
        <v>5080.3880621111985</v>
      </c>
      <c r="D5" s="101">
        <f t="shared" si="4"/>
        <v>5367.1239151308</v>
      </c>
      <c r="E5" s="101">
        <f t="shared" si="4"/>
        <v>6101.957502849601</v>
      </c>
      <c r="F5" s="101">
        <f t="shared" si="4"/>
        <v>6470.0837411147986</v>
      </c>
      <c r="G5" s="101">
        <f t="shared" si="4"/>
        <v>7084.0579032612004</v>
      </c>
      <c r="H5" s="101">
        <f t="shared" si="4"/>
        <v>7400.2915802303996</v>
      </c>
      <c r="I5" s="101">
        <f t="shared" si="4"/>
        <v>6993.3319335432025</v>
      </c>
      <c r="J5" s="101">
        <f t="shared" si="4"/>
        <v>7393.1030769383979</v>
      </c>
      <c r="K5" s="101">
        <f t="shared" si="4"/>
        <v>7229.8144447488003</v>
      </c>
      <c r="L5" s="101">
        <f t="shared" ref="L5" si="5">SUM(L6:L8)</f>
        <v>6988.078241917201</v>
      </c>
      <c r="M5" s="101">
        <f t="shared" ref="M5:V5" si="6">SUM(M6:M8)</f>
        <v>7056.0014653223998</v>
      </c>
      <c r="N5" s="101">
        <f t="shared" si="6"/>
        <v>7320.167360477999</v>
      </c>
      <c r="O5" s="101">
        <f t="shared" si="6"/>
        <v>6436.234967338798</v>
      </c>
      <c r="P5" s="101">
        <f t="shared" si="6"/>
        <v>7326.7188703776001</v>
      </c>
      <c r="Q5" s="101">
        <f t="shared" si="6"/>
        <v>8108.4461634252011</v>
      </c>
      <c r="R5" s="101">
        <f t="shared" si="6"/>
        <v>8241.3276710220016</v>
      </c>
      <c r="S5" s="101">
        <f t="shared" si="6"/>
        <v>8319.0973946939976</v>
      </c>
      <c r="T5" s="101">
        <f t="shared" si="6"/>
        <v>8590.8703297751981</v>
      </c>
      <c r="U5" s="101">
        <f t="shared" si="6"/>
        <v>8872.1862783372017</v>
      </c>
      <c r="V5" s="101">
        <f t="shared" si="6"/>
        <v>8338.1435471448003</v>
      </c>
      <c r="W5" s="101">
        <f t="shared" ref="W5:Y5" si="7">SUM(W6:W8)</f>
        <v>9224.0593214399996</v>
      </c>
      <c r="X5" s="101">
        <f t="shared" si="7"/>
        <v>9225.349032959999</v>
      </c>
      <c r="Y5" s="101">
        <f t="shared" si="7"/>
        <v>9452.3105649599984</v>
      </c>
      <c r="DA5" s="175"/>
    </row>
    <row r="6" spans="1:105" ht="11.45" customHeight="1" x14ac:dyDescent="0.25">
      <c r="A6" s="128" t="s">
        <v>52</v>
      </c>
      <c r="B6" s="101">
        <v>587.97208476000003</v>
      </c>
      <c r="C6" s="101">
        <v>778.98842999999988</v>
      </c>
      <c r="D6" s="101">
        <v>898.37373095999999</v>
      </c>
      <c r="E6" s="101">
        <v>961.05080952000003</v>
      </c>
      <c r="F6" s="101">
        <v>982.49857524000004</v>
      </c>
      <c r="G6" s="101">
        <v>1147.3472242800001</v>
      </c>
      <c r="H6" s="101">
        <v>1200.0990009599998</v>
      </c>
      <c r="I6" s="101">
        <v>1010.1048757200001</v>
      </c>
      <c r="J6" s="101">
        <v>963.66314951999993</v>
      </c>
      <c r="K6" s="101">
        <v>1024.61790096</v>
      </c>
      <c r="L6" s="101">
        <v>986.88389904000019</v>
      </c>
      <c r="M6" s="101">
        <v>923.02672428000028</v>
      </c>
      <c r="N6" s="101">
        <v>978.17617476000009</v>
      </c>
      <c r="O6" s="101">
        <v>1050.7413009599998</v>
      </c>
      <c r="P6" s="101">
        <v>1146.5269495200002</v>
      </c>
      <c r="Q6" s="101">
        <v>1221.9944990400002</v>
      </c>
      <c r="R6" s="101">
        <v>1309.0726504800002</v>
      </c>
      <c r="S6" s="101">
        <v>1265.0981090400001</v>
      </c>
      <c r="T6" s="101">
        <v>1207.3915184400003</v>
      </c>
      <c r="U6" s="101">
        <v>1158.4857877200002</v>
      </c>
      <c r="V6" s="101">
        <v>1098.25976556</v>
      </c>
      <c r="W6" s="101">
        <v>1062.7551118800002</v>
      </c>
      <c r="X6" s="101">
        <v>1160.5668004800002</v>
      </c>
      <c r="Y6" s="101">
        <v>1216.2734744400002</v>
      </c>
      <c r="DA6" s="175" t="s">
        <v>741</v>
      </c>
    </row>
    <row r="7" spans="1:105" ht="11.45" customHeight="1" x14ac:dyDescent="0.25">
      <c r="A7" s="128" t="s">
        <v>53</v>
      </c>
      <c r="B7" s="101">
        <v>2023.12338228</v>
      </c>
      <c r="C7" s="101">
        <v>1740.6843299999998</v>
      </c>
      <c r="D7" s="101">
        <v>1872.6939277199999</v>
      </c>
      <c r="E7" s="101">
        <v>1799.0142508799997</v>
      </c>
      <c r="F7" s="101">
        <v>1702.99189368</v>
      </c>
      <c r="G7" s="101">
        <v>1657.2946420800001</v>
      </c>
      <c r="H7" s="101">
        <v>1843.1307972</v>
      </c>
      <c r="I7" s="101">
        <v>1820.3724831600002</v>
      </c>
      <c r="J7" s="101">
        <v>1823.4216277199998</v>
      </c>
      <c r="K7" s="101">
        <v>1878.3072277199999</v>
      </c>
      <c r="L7" s="101">
        <v>1771.5851722800001</v>
      </c>
      <c r="M7" s="101">
        <v>1637.4203168399999</v>
      </c>
      <c r="N7" s="101">
        <v>1567.2887445599999</v>
      </c>
      <c r="O7" s="101">
        <v>1283.7133108799999</v>
      </c>
      <c r="P7" s="101">
        <v>1466.6652277200001</v>
      </c>
      <c r="Q7" s="101">
        <v>1509.354</v>
      </c>
      <c r="R7" s="101">
        <v>1430.0747445600002</v>
      </c>
      <c r="S7" s="101">
        <v>1465.11021888</v>
      </c>
      <c r="T7" s="101">
        <v>1385.4679700399997</v>
      </c>
      <c r="U7" s="101">
        <v>1371.8473599600002</v>
      </c>
      <c r="V7" s="101">
        <v>1332.4577111999999</v>
      </c>
      <c r="W7" s="101">
        <v>1454.6238260399998</v>
      </c>
      <c r="X7" s="101">
        <v>1521.02018376</v>
      </c>
      <c r="Y7" s="101">
        <v>1506.1461861599998</v>
      </c>
      <c r="DA7" s="175" t="s">
        <v>742</v>
      </c>
    </row>
    <row r="8" spans="1:105" ht="11.45" customHeight="1" x14ac:dyDescent="0.25">
      <c r="A8" s="128" t="s">
        <v>54</v>
      </c>
      <c r="B8" s="101">
        <v>2292.6284858879999</v>
      </c>
      <c r="C8" s="101">
        <v>2560.7153021111994</v>
      </c>
      <c r="D8" s="101">
        <v>2596.0562564508</v>
      </c>
      <c r="E8" s="101">
        <v>3341.8924424496013</v>
      </c>
      <c r="F8" s="101">
        <v>3784.5932721947988</v>
      </c>
      <c r="G8" s="101">
        <v>4279.4160369011997</v>
      </c>
      <c r="H8" s="101">
        <v>4357.0617820704001</v>
      </c>
      <c r="I8" s="101">
        <v>4162.8545746632017</v>
      </c>
      <c r="J8" s="101">
        <v>4606.0182996983986</v>
      </c>
      <c r="K8" s="101">
        <v>4326.8893160688003</v>
      </c>
      <c r="L8" s="101">
        <v>4229.6091705972003</v>
      </c>
      <c r="M8" s="101">
        <v>4495.5544242023998</v>
      </c>
      <c r="N8" s="101">
        <v>4774.7024411579987</v>
      </c>
      <c r="O8" s="101">
        <v>4101.7803554987986</v>
      </c>
      <c r="P8" s="101">
        <v>4713.5266931376</v>
      </c>
      <c r="Q8" s="101">
        <v>5377.0976643852009</v>
      </c>
      <c r="R8" s="101">
        <v>5502.1802759820002</v>
      </c>
      <c r="S8" s="101">
        <v>5588.8890667739979</v>
      </c>
      <c r="T8" s="101">
        <v>5998.0108412951986</v>
      </c>
      <c r="U8" s="101">
        <v>6341.8531306572004</v>
      </c>
      <c r="V8" s="101">
        <v>5907.4260703848004</v>
      </c>
      <c r="W8" s="101">
        <v>6706.6803835199989</v>
      </c>
      <c r="X8" s="101">
        <v>6543.7620487199983</v>
      </c>
      <c r="Y8" s="101">
        <v>6729.8909043599979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13.632300000000001</v>
      </c>
      <c r="G9" s="101">
        <v>44.835119999999989</v>
      </c>
      <c r="H9" s="101">
        <v>59.325548040000001</v>
      </c>
      <c r="I9" s="101">
        <v>86.843809800000017</v>
      </c>
      <c r="J9" s="101">
        <v>82.299507840000018</v>
      </c>
      <c r="K9" s="101">
        <v>115.36904411999998</v>
      </c>
      <c r="L9" s="101">
        <v>154.85464764000002</v>
      </c>
      <c r="M9" s="101">
        <v>142.68433608000001</v>
      </c>
      <c r="N9" s="101">
        <v>152.22775392</v>
      </c>
      <c r="O9" s="101">
        <v>166.46754960000001</v>
      </c>
      <c r="P9" s="101">
        <v>184.59406548000001</v>
      </c>
      <c r="Q9" s="101">
        <v>182.67544548000001</v>
      </c>
      <c r="R9" s="101">
        <v>174.03862608000003</v>
      </c>
      <c r="S9" s="101">
        <v>176.19394319999998</v>
      </c>
      <c r="T9" s="101">
        <v>184.20044543999998</v>
      </c>
      <c r="U9" s="101">
        <v>205.18307964000002</v>
      </c>
      <c r="V9" s="101">
        <v>202.43500992000003</v>
      </c>
      <c r="W9" s="101">
        <v>215.81445599999998</v>
      </c>
      <c r="X9" s="101">
        <v>150.92672759999999</v>
      </c>
      <c r="Y9" s="101">
        <v>129.81100175999998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4903.7239529280005</v>
      </c>
      <c r="C17" s="79">
        <f t="shared" si="12"/>
        <v>5080.3880621112003</v>
      </c>
      <c r="D17" s="79">
        <f t="shared" si="12"/>
        <v>5367.1239151308</v>
      </c>
      <c r="E17" s="79">
        <f t="shared" si="12"/>
        <v>6101.957502849602</v>
      </c>
      <c r="F17" s="79">
        <f t="shared" si="12"/>
        <v>6483.7160411147979</v>
      </c>
      <c r="G17" s="79">
        <f t="shared" si="12"/>
        <v>7128.8930232612001</v>
      </c>
      <c r="H17" s="79">
        <f t="shared" si="12"/>
        <v>7459.6171282703999</v>
      </c>
      <c r="I17" s="79">
        <f t="shared" si="12"/>
        <v>7080.1757433432022</v>
      </c>
      <c r="J17" s="79">
        <f t="shared" si="12"/>
        <v>7475.4025847783987</v>
      </c>
      <c r="K17" s="79">
        <f t="shared" si="12"/>
        <v>7345.183488868799</v>
      </c>
      <c r="L17" s="79">
        <f t="shared" ref="L17" si="13">SUM(L18,L33)</f>
        <v>7142.9328895571998</v>
      </c>
      <c r="M17" s="79">
        <f t="shared" ref="M17:V17" si="14">SUM(M18,M33)</f>
        <v>7198.6858014023992</v>
      </c>
      <c r="N17" s="79">
        <f t="shared" si="14"/>
        <v>7472.3951143979984</v>
      </c>
      <c r="O17" s="79">
        <f t="shared" si="14"/>
        <v>6602.702516938798</v>
      </c>
      <c r="P17" s="79">
        <f t="shared" si="14"/>
        <v>7511.3129358576007</v>
      </c>
      <c r="Q17" s="79">
        <f t="shared" si="14"/>
        <v>8291.1216089052032</v>
      </c>
      <c r="R17" s="79">
        <f t="shared" si="14"/>
        <v>8415.3662971020003</v>
      </c>
      <c r="S17" s="79">
        <f t="shared" si="14"/>
        <v>8495.2913378939993</v>
      </c>
      <c r="T17" s="79">
        <f t="shared" si="14"/>
        <v>8775.0707752151975</v>
      </c>
      <c r="U17" s="79">
        <f t="shared" si="14"/>
        <v>9077.3693579772007</v>
      </c>
      <c r="V17" s="79">
        <f t="shared" si="14"/>
        <v>8540.5785570647986</v>
      </c>
      <c r="W17" s="79">
        <f t="shared" ref="W17:Y17" si="15">SUM(W18,W33)</f>
        <v>9439.8737774399997</v>
      </c>
      <c r="X17" s="79">
        <f t="shared" si="15"/>
        <v>9376.2757605599982</v>
      </c>
      <c r="Y17" s="79">
        <f t="shared" si="15"/>
        <v>9582.1215667199995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3895.6421570386742</v>
      </c>
      <c r="C18" s="32">
        <f t="shared" si="16"/>
        <v>3974.6862027313487</v>
      </c>
      <c r="D18" s="32">
        <f t="shared" si="16"/>
        <v>4309.8229956501536</v>
      </c>
      <c r="E18" s="32">
        <f t="shared" si="16"/>
        <v>4604.054643045034</v>
      </c>
      <c r="F18" s="32">
        <f t="shared" si="16"/>
        <v>4827.8510828606713</v>
      </c>
      <c r="G18" s="32">
        <f t="shared" si="16"/>
        <v>5341.8510470362635</v>
      </c>
      <c r="H18" s="32">
        <f t="shared" si="16"/>
        <v>5642.3340393433864</v>
      </c>
      <c r="I18" s="32">
        <f t="shared" si="16"/>
        <v>5435.968035089496</v>
      </c>
      <c r="J18" s="32">
        <f t="shared" si="16"/>
        <v>5727.7438780315642</v>
      </c>
      <c r="K18" s="32">
        <f t="shared" si="16"/>
        <v>5823.1962370033298</v>
      </c>
      <c r="L18" s="32">
        <f t="shared" ref="L18" si="17">SUM(L19,L20,L27)</f>
        <v>5669.00618065052</v>
      </c>
      <c r="M18" s="32">
        <f t="shared" ref="M18:V18" si="18">SUM(M19,M20,M27)</f>
        <v>5665.1013310223843</v>
      </c>
      <c r="N18" s="32">
        <f t="shared" si="18"/>
        <v>5938.795303840534</v>
      </c>
      <c r="O18" s="32">
        <f t="shared" si="18"/>
        <v>5205.1321418099005</v>
      </c>
      <c r="P18" s="32">
        <f t="shared" si="18"/>
        <v>5982.2911568653408</v>
      </c>
      <c r="Q18" s="32">
        <f t="shared" si="18"/>
        <v>6587.4175363363338</v>
      </c>
      <c r="R18" s="32">
        <f t="shared" si="18"/>
        <v>6713.0269388297093</v>
      </c>
      <c r="S18" s="32">
        <f t="shared" si="18"/>
        <v>6824.5624458594666</v>
      </c>
      <c r="T18" s="32">
        <f t="shared" si="18"/>
        <v>7149.8356933516752</v>
      </c>
      <c r="U18" s="32">
        <f t="shared" si="18"/>
        <v>7636.3991564062826</v>
      </c>
      <c r="V18" s="32">
        <f t="shared" si="18"/>
        <v>6989.7556494680503</v>
      </c>
      <c r="W18" s="32">
        <f t="shared" ref="W18:Y18" si="19">SUM(W19,W20,W27)</f>
        <v>7655.102006460028</v>
      </c>
      <c r="X18" s="32">
        <f t="shared" si="19"/>
        <v>7745.4825048441435</v>
      </c>
      <c r="Y18" s="32">
        <f t="shared" si="19"/>
        <v>7907.4926351460936</v>
      </c>
      <c r="DA18" s="173" t="s">
        <v>403</v>
      </c>
    </row>
    <row r="19" spans="1:105" ht="11.45" customHeight="1" x14ac:dyDescent="0.25">
      <c r="A19" s="136" t="s">
        <v>173</v>
      </c>
      <c r="B19" s="141">
        <v>36.048245534763517</v>
      </c>
      <c r="C19" s="141">
        <v>36.947027049358695</v>
      </c>
      <c r="D19" s="141">
        <v>37.873562838591468</v>
      </c>
      <c r="E19" s="141">
        <v>38.149922564651455</v>
      </c>
      <c r="F19" s="141">
        <v>38.490030047075983</v>
      </c>
      <c r="G19" s="141">
        <v>41.191137892549925</v>
      </c>
      <c r="H19" s="141">
        <v>42.289910302520553</v>
      </c>
      <c r="I19" s="141">
        <v>44.05336045608221</v>
      </c>
      <c r="J19" s="141">
        <v>49.123208618451869</v>
      </c>
      <c r="K19" s="141">
        <v>51.637929063520822</v>
      </c>
      <c r="L19" s="141">
        <v>55.688179447244792</v>
      </c>
      <c r="M19" s="141">
        <v>58.29052963135198</v>
      </c>
      <c r="N19" s="141">
        <v>62.656420868843348</v>
      </c>
      <c r="O19" s="141">
        <v>64.580860745269263</v>
      </c>
      <c r="P19" s="141">
        <v>66.899009022883504</v>
      </c>
      <c r="Q19" s="141">
        <v>69.278212867200594</v>
      </c>
      <c r="R19" s="141">
        <v>73.082016362972226</v>
      </c>
      <c r="S19" s="141">
        <v>70.058089609995221</v>
      </c>
      <c r="T19" s="141">
        <v>66.2093714235031</v>
      </c>
      <c r="U19" s="141">
        <v>69.716660845340499</v>
      </c>
      <c r="V19" s="141">
        <v>63.095902817339514</v>
      </c>
      <c r="W19" s="141">
        <v>66.565581323038217</v>
      </c>
      <c r="X19" s="141">
        <v>67.679754353615266</v>
      </c>
      <c r="Y19" s="141">
        <v>73.592923305186943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3019.8880872064306</v>
      </c>
      <c r="C20" s="130">
        <f t="shared" si="20"/>
        <v>3072.8536875615337</v>
      </c>
      <c r="D20" s="130">
        <f t="shared" si="20"/>
        <v>3292.3320993386742</v>
      </c>
      <c r="E20" s="130">
        <f t="shared" si="20"/>
        <v>3720.6490733022929</v>
      </c>
      <c r="F20" s="130">
        <f t="shared" si="20"/>
        <v>4013.6120908508969</v>
      </c>
      <c r="G20" s="130">
        <f t="shared" si="20"/>
        <v>4479.3976986488115</v>
      </c>
      <c r="H20" s="130">
        <f t="shared" si="20"/>
        <v>4818.3922037305319</v>
      </c>
      <c r="I20" s="130">
        <f t="shared" si="20"/>
        <v>4560.420917984221</v>
      </c>
      <c r="J20" s="130">
        <f t="shared" si="20"/>
        <v>4924.1034121566145</v>
      </c>
      <c r="K20" s="130">
        <f t="shared" si="20"/>
        <v>4986.6943388553927</v>
      </c>
      <c r="L20" s="130">
        <f t="shared" ref="L20" si="21">SUM(L21:L26)</f>
        <v>4895.6682037018545</v>
      </c>
      <c r="M20" s="130">
        <f t="shared" ref="M20:V20" si="22">SUM(M21:M26)</f>
        <v>4818.6278935087848</v>
      </c>
      <c r="N20" s="130">
        <f t="shared" si="22"/>
        <v>5178.1301307469212</v>
      </c>
      <c r="O20" s="130">
        <f t="shared" si="22"/>
        <v>4518.7019553741457</v>
      </c>
      <c r="P20" s="130">
        <f t="shared" si="22"/>
        <v>5299.6674019635093</v>
      </c>
      <c r="Q20" s="130">
        <f t="shared" si="22"/>
        <v>5845.0789796922918</v>
      </c>
      <c r="R20" s="130">
        <f t="shared" si="22"/>
        <v>6035.3882897765288</v>
      </c>
      <c r="S20" s="130">
        <f t="shared" si="22"/>
        <v>6195.3390835473856</v>
      </c>
      <c r="T20" s="130">
        <f t="shared" si="22"/>
        <v>6512.5183665624636</v>
      </c>
      <c r="U20" s="130">
        <f t="shared" si="22"/>
        <v>6942.5405910000818</v>
      </c>
      <c r="V20" s="130">
        <f t="shared" si="22"/>
        <v>6317.1060087838214</v>
      </c>
      <c r="W20" s="130">
        <f t="shared" ref="W20:Y20" si="23">SUM(W21:W26)</f>
        <v>6972.2766345022847</v>
      </c>
      <c r="X20" s="130">
        <f t="shared" si="23"/>
        <v>7063.3352218821128</v>
      </c>
      <c r="Y20" s="130">
        <f t="shared" si="23"/>
        <v>7219.9972673523916</v>
      </c>
      <c r="DA20" s="176" t="s">
        <v>405</v>
      </c>
    </row>
    <row r="21" spans="1:105" ht="11.45" customHeight="1" x14ac:dyDescent="0.25">
      <c r="A21" s="111" t="s">
        <v>110</v>
      </c>
      <c r="B21" s="96">
        <v>1900.3580030566588</v>
      </c>
      <c r="C21" s="96">
        <v>1615.5727855205923</v>
      </c>
      <c r="D21" s="96">
        <v>1745.0822479208509</v>
      </c>
      <c r="E21" s="96">
        <v>1669.3598799452209</v>
      </c>
      <c r="F21" s="96">
        <v>1571.2285374766609</v>
      </c>
      <c r="G21" s="96">
        <v>1531.2022981004393</v>
      </c>
      <c r="H21" s="96">
        <v>1726.3653970545552</v>
      </c>
      <c r="I21" s="96">
        <v>1711.5662888254892</v>
      </c>
      <c r="J21" s="96">
        <v>1717.7728651543562</v>
      </c>
      <c r="K21" s="96">
        <v>1779.2981672186304</v>
      </c>
      <c r="L21" s="96">
        <v>1679.7164035068479</v>
      </c>
      <c r="M21" s="96">
        <v>1539.8622242583044</v>
      </c>
      <c r="N21" s="96">
        <v>1467.695567906633</v>
      </c>
      <c r="O21" s="96">
        <v>1185.7181630978989</v>
      </c>
      <c r="P21" s="96">
        <v>1369.7074142456436</v>
      </c>
      <c r="Q21" s="96">
        <v>1405.4174124729495</v>
      </c>
      <c r="R21" s="96">
        <v>1313.014230682297</v>
      </c>
      <c r="S21" s="96">
        <v>1351.2010641042693</v>
      </c>
      <c r="T21" s="96">
        <v>1275.1520255756743</v>
      </c>
      <c r="U21" s="96">
        <v>1257.7460934254264</v>
      </c>
      <c r="V21" s="96">
        <v>1226.1035284399127</v>
      </c>
      <c r="W21" s="96">
        <v>1345.2114274451819</v>
      </c>
      <c r="X21" s="96">
        <v>1412.0571397348219</v>
      </c>
      <c r="Y21" s="96">
        <v>1393.0943100599854</v>
      </c>
      <c r="DA21" s="171" t="s">
        <v>751</v>
      </c>
    </row>
    <row r="22" spans="1:105" ht="11.45" customHeight="1" x14ac:dyDescent="0.25">
      <c r="A22" s="111" t="s">
        <v>111</v>
      </c>
      <c r="B22" s="96">
        <v>531.55799938977157</v>
      </c>
      <c r="C22" s="96">
        <v>678.29247204094133</v>
      </c>
      <c r="D22" s="96">
        <v>648.87612045782316</v>
      </c>
      <c r="E22" s="96">
        <v>1090.2383838370715</v>
      </c>
      <c r="F22" s="96">
        <v>1449.2033460586717</v>
      </c>
      <c r="G22" s="96">
        <v>1762.4764607333486</v>
      </c>
      <c r="H22" s="96">
        <v>1843.9964688620028</v>
      </c>
      <c r="I22" s="96">
        <v>1771.4775010547633</v>
      </c>
      <c r="J22" s="96">
        <v>2179.8508533639097</v>
      </c>
      <c r="K22" s="96">
        <v>2097.1740255731306</v>
      </c>
      <c r="L22" s="96">
        <v>2117.6931763005623</v>
      </c>
      <c r="M22" s="96">
        <v>2257.1845854564044</v>
      </c>
      <c r="N22" s="96">
        <v>2625.344388202313</v>
      </c>
      <c r="O22" s="96">
        <v>2167.090290131146</v>
      </c>
      <c r="P22" s="96">
        <v>2629.6535869357249</v>
      </c>
      <c r="Q22" s="96">
        <v>3081.8674611473598</v>
      </c>
      <c r="R22" s="96">
        <v>3288.7638523441265</v>
      </c>
      <c r="S22" s="96">
        <v>3454.5947168703096</v>
      </c>
      <c r="T22" s="96">
        <v>3903.3582608138008</v>
      </c>
      <c r="U22" s="96">
        <v>4395.242989764316</v>
      </c>
      <c r="V22" s="96">
        <v>3859.4906899240955</v>
      </c>
      <c r="W22" s="96">
        <v>4436.473353813888</v>
      </c>
      <c r="X22" s="96">
        <v>4399.1291978579138</v>
      </c>
      <c r="Y22" s="96">
        <v>4524.3365521303695</v>
      </c>
      <c r="DA22" s="171" t="s">
        <v>752</v>
      </c>
    </row>
    <row r="23" spans="1:105" ht="11.45" customHeight="1" x14ac:dyDescent="0.25">
      <c r="A23" s="111" t="s">
        <v>112</v>
      </c>
      <c r="B23" s="96">
        <v>587.97208476000003</v>
      </c>
      <c r="C23" s="96">
        <v>778.98842999999988</v>
      </c>
      <c r="D23" s="96">
        <v>898.37373095999999</v>
      </c>
      <c r="E23" s="96">
        <v>961.05080952000003</v>
      </c>
      <c r="F23" s="96">
        <v>982.49857524000004</v>
      </c>
      <c r="G23" s="96">
        <v>1147.3472242800001</v>
      </c>
      <c r="H23" s="96">
        <v>1200.0990009599998</v>
      </c>
      <c r="I23" s="96">
        <v>1010.1048757200001</v>
      </c>
      <c r="J23" s="96">
        <v>963.66314951999993</v>
      </c>
      <c r="K23" s="96">
        <v>1024.61790096</v>
      </c>
      <c r="L23" s="96">
        <v>986.88389904000019</v>
      </c>
      <c r="M23" s="96">
        <v>923.02672428000028</v>
      </c>
      <c r="N23" s="96">
        <v>978.17617476000009</v>
      </c>
      <c r="O23" s="96">
        <v>1050.7413009599998</v>
      </c>
      <c r="P23" s="96">
        <v>1146.5269495200002</v>
      </c>
      <c r="Q23" s="96">
        <v>1221.9944990400002</v>
      </c>
      <c r="R23" s="96">
        <v>1307.3703068653331</v>
      </c>
      <c r="S23" s="96">
        <v>1262.4016485423958</v>
      </c>
      <c r="T23" s="96">
        <v>1203.1109302242262</v>
      </c>
      <c r="U23" s="96">
        <v>1152.2036250882834</v>
      </c>
      <c r="V23" s="96">
        <v>1092.0224253141043</v>
      </c>
      <c r="W23" s="96">
        <v>1054.2232471728621</v>
      </c>
      <c r="X23" s="96">
        <v>1152.1913384209713</v>
      </c>
      <c r="Y23" s="96">
        <v>1208.1327897082108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10.681632075564735</v>
      </c>
      <c r="G24" s="96">
        <v>38.371715535023185</v>
      </c>
      <c r="H24" s="96">
        <v>47.931336853973882</v>
      </c>
      <c r="I24" s="96">
        <v>67.272252383968279</v>
      </c>
      <c r="J24" s="96">
        <v>62.816544118349334</v>
      </c>
      <c r="K24" s="96">
        <v>85.604245103631598</v>
      </c>
      <c r="L24" s="96">
        <v>111.37472485444371</v>
      </c>
      <c r="M24" s="96">
        <v>98.554359514076012</v>
      </c>
      <c r="N24" s="96">
        <v>106.91200600211852</v>
      </c>
      <c r="O24" s="96">
        <v>115.15071055259919</v>
      </c>
      <c r="P24" s="96">
        <v>153.77596960207296</v>
      </c>
      <c r="Q24" s="96">
        <v>135.78319097416721</v>
      </c>
      <c r="R24" s="96">
        <v>126.21424702438702</v>
      </c>
      <c r="S24" s="96">
        <v>127.05349570669458</v>
      </c>
      <c r="T24" s="96">
        <v>130.73289997166822</v>
      </c>
      <c r="U24" s="96">
        <v>136.84098164747707</v>
      </c>
      <c r="V24" s="96">
        <v>138.82042636736446</v>
      </c>
      <c r="W24" s="96">
        <v>135.51872463043122</v>
      </c>
      <c r="X24" s="96">
        <v>98.839139181306024</v>
      </c>
      <c r="Y24" s="96">
        <v>93.325043233245026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1.9938758562912605E-3</v>
      </c>
      <c r="O25" s="96">
        <v>1.4906325018784628E-3</v>
      </c>
      <c r="P25" s="96">
        <v>3.481660067053118E-3</v>
      </c>
      <c r="Q25" s="96">
        <v>1.6416057814860392E-2</v>
      </c>
      <c r="R25" s="96">
        <v>2.5652860385395285E-2</v>
      </c>
      <c r="S25" s="96">
        <v>8.8158323716329895E-2</v>
      </c>
      <c r="T25" s="96">
        <v>0.16424997709417269</v>
      </c>
      <c r="U25" s="96">
        <v>0.50690107457902267</v>
      </c>
      <c r="V25" s="96">
        <v>0.66893873834487527</v>
      </c>
      <c r="W25" s="96">
        <v>0.84988143992163878</v>
      </c>
      <c r="X25" s="96">
        <v>1.118406687099704</v>
      </c>
      <c r="Y25" s="96">
        <v>1.108572220581163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839.70582429747992</v>
      </c>
      <c r="C27" s="130">
        <f t="shared" si="24"/>
        <v>864.88548812045599</v>
      </c>
      <c r="D27" s="130">
        <f t="shared" si="24"/>
        <v>979.61733347288782</v>
      </c>
      <c r="E27" s="130">
        <f t="shared" si="24"/>
        <v>845.25564717808902</v>
      </c>
      <c r="F27" s="130">
        <f t="shared" si="24"/>
        <v>775.74896196269844</v>
      </c>
      <c r="G27" s="130">
        <f t="shared" si="24"/>
        <v>821.26221049490209</v>
      </c>
      <c r="H27" s="130">
        <f t="shared" si="24"/>
        <v>781.65192531033426</v>
      </c>
      <c r="I27" s="130">
        <f t="shared" si="24"/>
        <v>831.49375664919273</v>
      </c>
      <c r="J27" s="130">
        <f t="shared" si="24"/>
        <v>754.51725725649749</v>
      </c>
      <c r="K27" s="130">
        <f t="shared" si="24"/>
        <v>784.86396908441679</v>
      </c>
      <c r="L27" s="130">
        <f t="shared" ref="L27" si="25">SUM(L28:L32)</f>
        <v>717.64979750142106</v>
      </c>
      <c r="M27" s="130">
        <f t="shared" ref="M27:V27" si="26">SUM(M28:M32)</f>
        <v>788.18290788224749</v>
      </c>
      <c r="N27" s="130">
        <f t="shared" si="26"/>
        <v>698.00875222476986</v>
      </c>
      <c r="O27" s="130">
        <f t="shared" si="26"/>
        <v>621.84932569048613</v>
      </c>
      <c r="P27" s="130">
        <f t="shared" si="26"/>
        <v>615.72474587894817</v>
      </c>
      <c r="Q27" s="130">
        <f t="shared" si="26"/>
        <v>673.06034377684102</v>
      </c>
      <c r="R27" s="130">
        <f t="shared" si="26"/>
        <v>604.55663269020783</v>
      </c>
      <c r="S27" s="130">
        <f t="shared" si="26"/>
        <v>559.16527270208542</v>
      </c>
      <c r="T27" s="130">
        <f t="shared" si="26"/>
        <v>571.10795536570868</v>
      </c>
      <c r="U27" s="130">
        <f t="shared" si="26"/>
        <v>624.14190456085987</v>
      </c>
      <c r="V27" s="130">
        <f t="shared" si="26"/>
        <v>609.55373786688983</v>
      </c>
      <c r="W27" s="130">
        <f t="shared" ref="W27:Y27" si="27">SUM(W28:W32)</f>
        <v>616.25979063470527</v>
      </c>
      <c r="X27" s="130">
        <f t="shared" si="27"/>
        <v>614.46752860841571</v>
      </c>
      <c r="Y27" s="130">
        <f t="shared" si="27"/>
        <v>613.90244448851502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10.459559321782008</v>
      </c>
      <c r="S28" s="97">
        <v>10.679320225242085</v>
      </c>
      <c r="T28" s="97">
        <v>10.867109217018747</v>
      </c>
      <c r="U28" s="97">
        <v>11.648361013749339</v>
      </c>
      <c r="V28" s="97">
        <v>10.617221573486438</v>
      </c>
      <c r="W28" s="97">
        <v>10.138377964587228</v>
      </c>
      <c r="X28" s="97">
        <v>9.4289214510627843</v>
      </c>
      <c r="Y28" s="97">
        <v>8.6829077234990493</v>
      </c>
      <c r="DA28" s="175" t="s">
        <v>757</v>
      </c>
    </row>
    <row r="29" spans="1:105" ht="11.45" customHeight="1" x14ac:dyDescent="0.25">
      <c r="A29" s="111" t="s">
        <v>111</v>
      </c>
      <c r="B29" s="97">
        <v>839.70582429747992</v>
      </c>
      <c r="C29" s="97">
        <v>864.88548812045599</v>
      </c>
      <c r="D29" s="97">
        <v>979.61733347288782</v>
      </c>
      <c r="E29" s="97">
        <v>845.25564717808902</v>
      </c>
      <c r="F29" s="97">
        <v>772.79829403826318</v>
      </c>
      <c r="G29" s="97">
        <v>814.79880602992534</v>
      </c>
      <c r="H29" s="97">
        <v>770.25771412430811</v>
      </c>
      <c r="I29" s="97">
        <v>811.922199233161</v>
      </c>
      <c r="J29" s="97">
        <v>735.03429353484682</v>
      </c>
      <c r="K29" s="97">
        <v>755.09917006804847</v>
      </c>
      <c r="L29" s="97">
        <v>674.16987471586481</v>
      </c>
      <c r="M29" s="97">
        <v>744.05293131632357</v>
      </c>
      <c r="N29" s="97">
        <v>652.69300430688838</v>
      </c>
      <c r="O29" s="97">
        <v>570.53248664308535</v>
      </c>
      <c r="P29" s="97">
        <v>584.90665000102115</v>
      </c>
      <c r="Q29" s="97">
        <v>626.16808927100817</v>
      </c>
      <c r="R29" s="97">
        <v>545.16564697506192</v>
      </c>
      <c r="S29" s="97">
        <v>498.32254243563659</v>
      </c>
      <c r="T29" s="97">
        <v>505.70283863851455</v>
      </c>
      <c r="U29" s="97">
        <v>543.11564039196833</v>
      </c>
      <c r="V29" s="97">
        <v>535.5283332389298</v>
      </c>
      <c r="W29" s="97">
        <v>525.48335703806265</v>
      </c>
      <c r="X29" s="97">
        <v>552.70554387224036</v>
      </c>
      <c r="Y29" s="97">
        <v>568.63850164903101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1.2051050311952785</v>
      </c>
      <c r="S30" s="97">
        <v>1.216752966117717</v>
      </c>
      <c r="T30" s="97">
        <v>1.3756663405490182</v>
      </c>
      <c r="U30" s="97">
        <v>1.5009415151909327</v>
      </c>
      <c r="V30" s="97">
        <v>0.44516212618353995</v>
      </c>
      <c r="W30" s="97">
        <v>1.1477448812072426</v>
      </c>
      <c r="X30" s="97">
        <v>1.057245168363613</v>
      </c>
      <c r="Y30" s="97">
        <v>0.90049710248710046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2.9506679244352654</v>
      </c>
      <c r="G31" s="97">
        <v>6.4634044649768043</v>
      </c>
      <c r="H31" s="97">
        <v>11.394211186026126</v>
      </c>
      <c r="I31" s="97">
        <v>19.57155741603173</v>
      </c>
      <c r="J31" s="97">
        <v>19.48296372165068</v>
      </c>
      <c r="K31" s="97">
        <v>29.764799016368379</v>
      </c>
      <c r="L31" s="97">
        <v>43.479922785556305</v>
      </c>
      <c r="M31" s="97">
        <v>44.129976565923982</v>
      </c>
      <c r="N31" s="97">
        <v>45.315747917881474</v>
      </c>
      <c r="O31" s="97">
        <v>51.316839047400805</v>
      </c>
      <c r="P31" s="97">
        <v>30.81809587792705</v>
      </c>
      <c r="Q31" s="97">
        <v>46.89225450583281</v>
      </c>
      <c r="R31" s="97">
        <v>47.72632136216864</v>
      </c>
      <c r="S31" s="97">
        <v>48.946657075089028</v>
      </c>
      <c r="T31" s="97">
        <v>53.162341169626281</v>
      </c>
      <c r="U31" s="97">
        <v>67.876961639951318</v>
      </c>
      <c r="V31" s="97">
        <v>62.963020928290099</v>
      </c>
      <c r="W31" s="97">
        <v>79.490310750848153</v>
      </c>
      <c r="X31" s="97">
        <v>51.275818116748951</v>
      </c>
      <c r="Y31" s="97">
        <v>35.680538013497902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1008.0817958893259</v>
      </c>
      <c r="C33" s="32">
        <f t="shared" si="28"/>
        <v>1105.7018593798512</v>
      </c>
      <c r="D33" s="32">
        <f t="shared" si="28"/>
        <v>1057.3009194806464</v>
      </c>
      <c r="E33" s="32">
        <f t="shared" si="28"/>
        <v>1497.9028598045684</v>
      </c>
      <c r="F33" s="32">
        <f t="shared" si="28"/>
        <v>1655.8649582541266</v>
      </c>
      <c r="G33" s="32">
        <f t="shared" si="28"/>
        <v>1787.0419762249369</v>
      </c>
      <c r="H33" s="32">
        <f t="shared" si="28"/>
        <v>1817.2830889270131</v>
      </c>
      <c r="I33" s="32">
        <f t="shared" si="28"/>
        <v>1644.2077082537062</v>
      </c>
      <c r="J33" s="32">
        <f t="shared" si="28"/>
        <v>1747.6587067468342</v>
      </c>
      <c r="K33" s="32">
        <f t="shared" si="28"/>
        <v>1521.9872518654693</v>
      </c>
      <c r="L33" s="32">
        <f t="shared" ref="L33" si="29">L34+L40</f>
        <v>1473.92670890668</v>
      </c>
      <c r="M33" s="32">
        <f t="shared" ref="M33:V33" si="30">M34+M40</f>
        <v>1533.5844703800149</v>
      </c>
      <c r="N33" s="32">
        <f t="shared" si="30"/>
        <v>1533.5998105574643</v>
      </c>
      <c r="O33" s="32">
        <f t="shared" si="30"/>
        <v>1397.570375128897</v>
      </c>
      <c r="P33" s="32">
        <f t="shared" si="30"/>
        <v>1529.0217789922594</v>
      </c>
      <c r="Q33" s="32">
        <f t="shared" si="30"/>
        <v>1703.7040725688685</v>
      </c>
      <c r="R33" s="32">
        <f t="shared" si="30"/>
        <v>1702.3393582722915</v>
      </c>
      <c r="S33" s="32">
        <f t="shared" si="30"/>
        <v>1670.728892034532</v>
      </c>
      <c r="T33" s="32">
        <f t="shared" si="30"/>
        <v>1625.2350818635232</v>
      </c>
      <c r="U33" s="32">
        <f t="shared" si="30"/>
        <v>1440.9702015709181</v>
      </c>
      <c r="V33" s="32">
        <f t="shared" si="30"/>
        <v>1550.8229075967481</v>
      </c>
      <c r="W33" s="32">
        <f t="shared" ref="W33:Y33" si="31">W34+W40</f>
        <v>1784.7717709799708</v>
      </c>
      <c r="X33" s="32">
        <f t="shared" si="31"/>
        <v>1630.7932557158549</v>
      </c>
      <c r="Y33" s="32">
        <f t="shared" si="31"/>
        <v>1674.6289315739054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389.98073835674302</v>
      </c>
      <c r="C34" s="141">
        <f t="shared" si="32"/>
        <v>377.42179968912205</v>
      </c>
      <c r="D34" s="141">
        <f t="shared" si="32"/>
        <v>383.80959548055586</v>
      </c>
      <c r="E34" s="141">
        <f t="shared" si="32"/>
        <v>406.81046850909149</v>
      </c>
      <c r="F34" s="141">
        <f t="shared" si="32"/>
        <v>455.01724994441645</v>
      </c>
      <c r="G34" s="141">
        <f t="shared" si="32"/>
        <v>421.35745019794177</v>
      </c>
      <c r="H34" s="141">
        <f t="shared" si="32"/>
        <v>449.62007244587028</v>
      </c>
      <c r="I34" s="141">
        <f t="shared" si="32"/>
        <v>484.32662651248859</v>
      </c>
      <c r="J34" s="141">
        <f t="shared" si="32"/>
        <v>513.15767219014515</v>
      </c>
      <c r="K34" s="141">
        <f t="shared" si="32"/>
        <v>506.65654937769443</v>
      </c>
      <c r="L34" s="141">
        <f t="shared" ref="L34" si="33">SUM(L35:L39)</f>
        <v>492.04617114072317</v>
      </c>
      <c r="M34" s="141">
        <f t="shared" ref="M34:V34" si="34">SUM(M35:M39)</f>
        <v>543.54991563654755</v>
      </c>
      <c r="N34" s="141">
        <f t="shared" si="34"/>
        <v>548.52192324790758</v>
      </c>
      <c r="O34" s="141">
        <f t="shared" si="34"/>
        <v>537.20942993854101</v>
      </c>
      <c r="P34" s="141">
        <f t="shared" si="34"/>
        <v>563.13913148504798</v>
      </c>
      <c r="Q34" s="141">
        <f t="shared" si="34"/>
        <v>624.33521660074132</v>
      </c>
      <c r="R34" s="141">
        <f t="shared" si="34"/>
        <v>607.23418726079478</v>
      </c>
      <c r="S34" s="141">
        <f t="shared" si="34"/>
        <v>514.45624892935302</v>
      </c>
      <c r="T34" s="141">
        <f t="shared" si="34"/>
        <v>514.46730193215512</v>
      </c>
      <c r="U34" s="141">
        <f t="shared" si="34"/>
        <v>500.65854702503782</v>
      </c>
      <c r="V34" s="141">
        <f t="shared" si="34"/>
        <v>479.6838840842986</v>
      </c>
      <c r="W34" s="141">
        <f t="shared" ref="W34:Y34" si="35">SUM(W35:W39)</f>
        <v>466.05245603486304</v>
      </c>
      <c r="X34" s="141">
        <f t="shared" si="35"/>
        <v>431.0003001728499</v>
      </c>
      <c r="Y34" s="141">
        <f t="shared" si="35"/>
        <v>401.16284936317885</v>
      </c>
      <c r="DA34" s="174" t="s">
        <v>412</v>
      </c>
    </row>
    <row r="35" spans="1:105" ht="11.45" customHeight="1" x14ac:dyDescent="0.25">
      <c r="A35" s="111" t="s">
        <v>110</v>
      </c>
      <c r="B35" s="96">
        <v>86.717133688577604</v>
      </c>
      <c r="C35" s="96">
        <v>88.164517430049003</v>
      </c>
      <c r="D35" s="96">
        <v>89.738116960557463</v>
      </c>
      <c r="E35" s="96">
        <v>91.504448370127278</v>
      </c>
      <c r="F35" s="96">
        <v>93.273326156262925</v>
      </c>
      <c r="G35" s="96">
        <v>84.901206087010834</v>
      </c>
      <c r="H35" s="96">
        <v>74.475489842924219</v>
      </c>
      <c r="I35" s="96">
        <v>64.752833878428646</v>
      </c>
      <c r="J35" s="96">
        <v>56.525553947191767</v>
      </c>
      <c r="K35" s="96">
        <v>47.371131437848653</v>
      </c>
      <c r="L35" s="96">
        <v>36.180589325907114</v>
      </c>
      <c r="M35" s="96">
        <v>39.267562950343439</v>
      </c>
      <c r="N35" s="96">
        <v>36.934761908667447</v>
      </c>
      <c r="O35" s="96">
        <v>33.412796404329796</v>
      </c>
      <c r="P35" s="96">
        <v>30.055322791405811</v>
      </c>
      <c r="Q35" s="96">
        <v>34.641958602035167</v>
      </c>
      <c r="R35" s="96">
        <v>33.493285332563715</v>
      </c>
      <c r="S35" s="96">
        <v>33.08358661677709</v>
      </c>
      <c r="T35" s="96">
        <v>33.075213846709396</v>
      </c>
      <c r="U35" s="96">
        <v>32.229343600905139</v>
      </c>
      <c r="V35" s="96">
        <v>31.972119630916442</v>
      </c>
      <c r="W35" s="96">
        <v>31.858557867270765</v>
      </c>
      <c r="X35" s="96">
        <v>30.735961533400193</v>
      </c>
      <c r="Y35" s="96">
        <v>29.667472850747114</v>
      </c>
      <c r="DA35" s="171" t="s">
        <v>762</v>
      </c>
    </row>
    <row r="36" spans="1:105" ht="11.45" customHeight="1" x14ac:dyDescent="0.25">
      <c r="A36" s="111" t="s">
        <v>111</v>
      </c>
      <c r="B36" s="96">
        <v>303.26360466816544</v>
      </c>
      <c r="C36" s="96">
        <v>289.25728225907307</v>
      </c>
      <c r="D36" s="96">
        <v>294.07147851999838</v>
      </c>
      <c r="E36" s="96">
        <v>315.30602013896419</v>
      </c>
      <c r="F36" s="96">
        <v>361.74392378815355</v>
      </c>
      <c r="G36" s="96">
        <v>336.45624411093092</v>
      </c>
      <c r="H36" s="96">
        <v>375.14458260294606</v>
      </c>
      <c r="I36" s="96">
        <v>419.57379263405994</v>
      </c>
      <c r="J36" s="96">
        <v>456.63211824295342</v>
      </c>
      <c r="K36" s="96">
        <v>459.28541793984579</v>
      </c>
      <c r="L36" s="96">
        <v>455.86558181481604</v>
      </c>
      <c r="M36" s="96">
        <v>504.28235268620409</v>
      </c>
      <c r="N36" s="96">
        <v>511.58716133924014</v>
      </c>
      <c r="O36" s="96">
        <v>503.79663353421125</v>
      </c>
      <c r="P36" s="96">
        <v>533.08380869364214</v>
      </c>
      <c r="Q36" s="96">
        <v>589.69325799870614</v>
      </c>
      <c r="R36" s="96">
        <v>573.14560565131478</v>
      </c>
      <c r="S36" s="96">
        <v>479.6991643628732</v>
      </c>
      <c r="T36" s="96">
        <v>478.18196191151515</v>
      </c>
      <c r="U36" s="96">
        <v>463.18284595503519</v>
      </c>
      <c r="V36" s="96">
        <v>441.26802370932478</v>
      </c>
      <c r="W36" s="96">
        <v>426.00435772294077</v>
      </c>
      <c r="X36" s="96">
        <v>392.13435144683945</v>
      </c>
      <c r="Y36" s="96">
        <v>363.4497683698724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0.49723858347197558</v>
      </c>
      <c r="S37" s="96">
        <v>1.4797075314863783</v>
      </c>
      <c r="T37" s="96">
        <v>2.9049218752250612</v>
      </c>
      <c r="U37" s="96">
        <v>4.7812211165258196</v>
      </c>
      <c r="V37" s="96">
        <v>5.7921781197119246</v>
      </c>
      <c r="W37" s="96">
        <v>7.3841198259309131</v>
      </c>
      <c r="X37" s="96">
        <v>7.3182168906652372</v>
      </c>
      <c r="Y37" s="96">
        <v>7.2401876293022713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9.8057693444352889E-2</v>
      </c>
      <c r="S38" s="96">
        <v>0.19379041821636228</v>
      </c>
      <c r="T38" s="96">
        <v>0.30520429870549864</v>
      </c>
      <c r="U38" s="96">
        <v>0.46513635257161112</v>
      </c>
      <c r="V38" s="96">
        <v>0.65156262434543988</v>
      </c>
      <c r="W38" s="96">
        <v>0.805420618720607</v>
      </c>
      <c r="X38" s="96">
        <v>0.8117703019450222</v>
      </c>
      <c r="Y38" s="96">
        <v>0.80542051325705333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618.1010575325829</v>
      </c>
      <c r="C40" s="130">
        <f t="shared" si="36"/>
        <v>728.2800596907291</v>
      </c>
      <c r="D40" s="130">
        <f t="shared" si="36"/>
        <v>673.49132400009057</v>
      </c>
      <c r="E40" s="130">
        <f t="shared" si="36"/>
        <v>1091.0923912954768</v>
      </c>
      <c r="F40" s="130">
        <f t="shared" si="36"/>
        <v>1200.84770830971</v>
      </c>
      <c r="G40" s="130">
        <f t="shared" si="36"/>
        <v>1365.6845260269952</v>
      </c>
      <c r="H40" s="130">
        <f t="shared" si="36"/>
        <v>1367.6630164811427</v>
      </c>
      <c r="I40" s="130">
        <f t="shared" si="36"/>
        <v>1159.8810817412175</v>
      </c>
      <c r="J40" s="130">
        <f t="shared" si="36"/>
        <v>1234.5010345566891</v>
      </c>
      <c r="K40" s="130">
        <f t="shared" si="36"/>
        <v>1015.3307024877749</v>
      </c>
      <c r="L40" s="130">
        <f t="shared" ref="L40" si="37">SUM(L41:L42)</f>
        <v>981.88053776595689</v>
      </c>
      <c r="M40" s="130">
        <f t="shared" ref="M40:V40" si="38">SUM(M41:M42)</f>
        <v>990.0345547434672</v>
      </c>
      <c r="N40" s="130">
        <f t="shared" si="38"/>
        <v>985.07788730955667</v>
      </c>
      <c r="O40" s="130">
        <f t="shared" si="38"/>
        <v>860.36094519035601</v>
      </c>
      <c r="P40" s="130">
        <f t="shared" si="38"/>
        <v>965.88264750721146</v>
      </c>
      <c r="Q40" s="130">
        <f t="shared" si="38"/>
        <v>1079.368855968127</v>
      </c>
      <c r="R40" s="130">
        <f t="shared" si="38"/>
        <v>1095.1051710114966</v>
      </c>
      <c r="S40" s="130">
        <f t="shared" si="38"/>
        <v>1156.272643105179</v>
      </c>
      <c r="T40" s="130">
        <f t="shared" si="38"/>
        <v>1110.7677799313681</v>
      </c>
      <c r="U40" s="130">
        <f t="shared" si="38"/>
        <v>940.31165454588029</v>
      </c>
      <c r="V40" s="130">
        <f t="shared" si="38"/>
        <v>1071.1390235124495</v>
      </c>
      <c r="W40" s="130">
        <f t="shared" ref="W40:Y40" si="39">SUM(W41:W42)</f>
        <v>1318.7193149451077</v>
      </c>
      <c r="X40" s="130">
        <f t="shared" si="39"/>
        <v>1199.7929555430051</v>
      </c>
      <c r="Y40" s="130">
        <f t="shared" si="39"/>
        <v>1273.4660822107267</v>
      </c>
      <c r="DA40" s="176" t="s">
        <v>413</v>
      </c>
    </row>
    <row r="41" spans="1:105" ht="11.45" customHeight="1" x14ac:dyDescent="0.25">
      <c r="A41" s="128" t="s">
        <v>27</v>
      </c>
      <c r="B41" s="97">
        <v>231.33469026455063</v>
      </c>
      <c r="C41" s="97">
        <v>323.8010880090194</v>
      </c>
      <c r="D41" s="97">
        <v>243.86894867087884</v>
      </c>
      <c r="E41" s="97">
        <v>672.58426796809124</v>
      </c>
      <c r="F41" s="97">
        <v>708.47466553422123</v>
      </c>
      <c r="G41" s="97">
        <v>866.17181160740688</v>
      </c>
      <c r="H41" s="97">
        <v>936.45873945179108</v>
      </c>
      <c r="I41" s="97">
        <v>774.53365600425639</v>
      </c>
      <c r="J41" s="97">
        <v>1014.1137439041743</v>
      </c>
      <c r="K41" s="97">
        <v>807.55331192389019</v>
      </c>
      <c r="L41" s="97">
        <v>756.2573017205516</v>
      </c>
      <c r="M41" s="97">
        <v>728.36083721865418</v>
      </c>
      <c r="N41" s="97">
        <v>754.8690155888745</v>
      </c>
      <c r="O41" s="97">
        <v>564.956631230619</v>
      </c>
      <c r="P41" s="97">
        <v>695.84214208110336</v>
      </c>
      <c r="Q41" s="97">
        <v>771.94666781074523</v>
      </c>
      <c r="R41" s="97">
        <v>803.15207507137836</v>
      </c>
      <c r="S41" s="97">
        <v>880.29578753320175</v>
      </c>
      <c r="T41" s="97">
        <v>861.22424971953797</v>
      </c>
      <c r="U41" s="97">
        <v>724.41087724680767</v>
      </c>
      <c r="V41" s="97">
        <v>804.20479023208679</v>
      </c>
      <c r="W41" s="97">
        <v>1006.4839722971866</v>
      </c>
      <c r="X41" s="97">
        <v>830.99376652007243</v>
      </c>
      <c r="Y41" s="97">
        <v>891.36085228806337</v>
      </c>
      <c r="DA41" s="175" t="s">
        <v>767</v>
      </c>
    </row>
    <row r="42" spans="1:105" ht="11.45" customHeight="1" x14ac:dyDescent="0.25">
      <c r="A42" s="138" t="s">
        <v>116</v>
      </c>
      <c r="B42" s="98">
        <v>386.7663672680323</v>
      </c>
      <c r="C42" s="98">
        <v>404.47897168170965</v>
      </c>
      <c r="D42" s="98">
        <v>429.62237532921171</v>
      </c>
      <c r="E42" s="98">
        <v>418.50812332738559</v>
      </c>
      <c r="F42" s="98">
        <v>492.37304277548884</v>
      </c>
      <c r="G42" s="98">
        <v>499.51271441958818</v>
      </c>
      <c r="H42" s="98">
        <v>431.20427702935154</v>
      </c>
      <c r="I42" s="98">
        <v>385.34742573696104</v>
      </c>
      <c r="J42" s="98">
        <v>220.38729065251491</v>
      </c>
      <c r="K42" s="98">
        <v>207.77739056388472</v>
      </c>
      <c r="L42" s="98">
        <v>225.62323604540529</v>
      </c>
      <c r="M42" s="98">
        <v>261.67371752481301</v>
      </c>
      <c r="N42" s="98">
        <v>230.20887172068217</v>
      </c>
      <c r="O42" s="98">
        <v>295.40431395973701</v>
      </c>
      <c r="P42" s="98">
        <v>270.0405054261081</v>
      </c>
      <c r="Q42" s="98">
        <v>307.42218815738175</v>
      </c>
      <c r="R42" s="98">
        <v>291.95309594011832</v>
      </c>
      <c r="S42" s="98">
        <v>275.9768555719773</v>
      </c>
      <c r="T42" s="98">
        <v>249.54353021183016</v>
      </c>
      <c r="U42" s="98">
        <v>215.90077729907262</v>
      </c>
      <c r="V42" s="98">
        <v>266.93423328036261</v>
      </c>
      <c r="W42" s="98">
        <v>312.23534264792102</v>
      </c>
      <c r="X42" s="98">
        <v>368.79918902293252</v>
      </c>
      <c r="Y42" s="98">
        <v>382.10522992266334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2.9561528238094916</v>
      </c>
      <c r="C47" s="145">
        <f>IF(C4=0,0,C4/TrRoad_ene!C4)</f>
        <v>2.9533858359458578</v>
      </c>
      <c r="D47" s="145">
        <f>IF(D4=0,0,D4/TrRoad_ene!D4)</f>
        <v>2.9452956935625667</v>
      </c>
      <c r="E47" s="145">
        <f>IF(E4=0,0,E4/TrRoad_ene!E4)</f>
        <v>2.9606706641053968</v>
      </c>
      <c r="F47" s="145">
        <f>IF(F4=0,0,F4/TrRoad_ene!F4)</f>
        <v>2.9680164891154068</v>
      </c>
      <c r="G47" s="145">
        <f>IF(G4=0,0,G4/TrRoad_ene!G4)</f>
        <v>2.9654822802677083</v>
      </c>
      <c r="H47" s="145">
        <f>IF(H4=0,0,H4/TrRoad_ene!H4)</f>
        <v>2.9547723950056581</v>
      </c>
      <c r="I47" s="145">
        <f>IF(I4=0,0,I4/TrRoad_ene!I4)</f>
        <v>2.961361792831831</v>
      </c>
      <c r="J47" s="145">
        <f>IF(J4=0,0,J4/TrRoad_ene!J4)</f>
        <v>2.9697539950179079</v>
      </c>
      <c r="K47" s="145">
        <f>IF(K4=0,0,K4/TrRoad_ene!K4)</f>
        <v>2.9581873462321471</v>
      </c>
      <c r="L47" s="145">
        <f>IF(L4=0,0,L4/TrRoad_ene!L4)</f>
        <v>2.9427437797557143</v>
      </c>
      <c r="M47" s="145">
        <f>IF(M4=0,0,M4/TrRoad_ene!M4)</f>
        <v>2.9487562433092931</v>
      </c>
      <c r="N47" s="145">
        <f>IF(N4=0,0,N4/TrRoad_ene!N4)</f>
        <v>2.8731178662931098</v>
      </c>
      <c r="O47" s="145">
        <f>IF(O4=0,0,O4/TrRoad_ene!O4)</f>
        <v>2.8200905349711043</v>
      </c>
      <c r="P47" s="145">
        <f>IF(P4=0,0,P4/TrRoad_ene!P4)</f>
        <v>2.8297438199949956</v>
      </c>
      <c r="Q47" s="145">
        <f>IF(Q4=0,0,Q4/TrRoad_ene!Q4)</f>
        <v>2.8136798895435651</v>
      </c>
      <c r="R47" s="145">
        <f>IF(R4=0,0,R4/TrRoad_ene!R4)</f>
        <v>2.7996577893110954</v>
      </c>
      <c r="S47" s="145">
        <f>IF(S4=0,0,S4/TrRoad_ene!S4)</f>
        <v>2.8007941748948144</v>
      </c>
      <c r="T47" s="145">
        <f>IF(T4=0,0,T4/TrRoad_ene!T4)</f>
        <v>2.8155925949613612</v>
      </c>
      <c r="U47" s="145">
        <f>IF(U4=0,0,U4/TrRoad_ene!U4)</f>
        <v>2.8109594971424183</v>
      </c>
      <c r="V47" s="145">
        <f>IF(V4=0,0,V4/TrRoad_ene!V4)</f>
        <v>2.8056125856668568</v>
      </c>
      <c r="W47" s="145">
        <f>IF(W4=0,0,W4/TrRoad_ene!W4)</f>
        <v>2.8325375812609455</v>
      </c>
      <c r="X47" s="145">
        <f>IF(X4=0,0,X4/TrRoad_ene!X4)</f>
        <v>2.8113774942397605</v>
      </c>
      <c r="Y47" s="145">
        <f>IF(Y4=0,0,Y4/TrRoad_ene!Y4)</f>
        <v>2.8262698416395997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2.8474969188836434</v>
      </c>
      <c r="P48" s="97">
        <f>IF(P7=0,0,(P7+P12)/(TrRoad_ene!P7+TrRoad_ene!P12))</f>
        <v>2.8187440269306103</v>
      </c>
      <c r="Q48" s="97">
        <f>IF(Q7=0,0,(Q7+Q12)/(TrRoad_ene!Q7+TrRoad_ene!Q12))</f>
        <v>2.732106929182879</v>
      </c>
      <c r="R48" s="97">
        <f>IF(R7=0,0,(R7+R12)/(TrRoad_ene!R7+TrRoad_ene!R12))</f>
        <v>2.7199550984055856</v>
      </c>
      <c r="S48" s="97">
        <f>IF(S7=0,0,(S7+S12)/(TrRoad_ene!S7+TrRoad_ene!S12))</f>
        <v>2.7560004499041022</v>
      </c>
      <c r="T48" s="97">
        <f>IF(T7=0,0,(T7+T12)/(TrRoad_ene!T7+TrRoad_ene!T12))</f>
        <v>2.737520303168699</v>
      </c>
      <c r="U48" s="97">
        <f>IF(U7=0,0,(U7+U12)/(TrRoad_ene!U7+TrRoad_ene!U12))</f>
        <v>2.7185072708688223</v>
      </c>
      <c r="V48" s="97">
        <f>IF(V7=0,0,(V7+V12)/(TrRoad_ene!V7+TrRoad_ene!V12))</f>
        <v>2.7431190821486862</v>
      </c>
      <c r="W48" s="97">
        <f>IF(W7=0,0,(W7+W12)/(TrRoad_ene!W7+TrRoad_ene!W12))</f>
        <v>2.7861349831125453</v>
      </c>
      <c r="X48" s="97">
        <f>IF(X7=0,0,(X7+X12)/(TrRoad_ene!X7+TrRoad_ene!X12))</f>
        <v>2.7902213327832852</v>
      </c>
      <c r="Y48" s="97">
        <f>IF(Y7=0,0,(Y7+Y12)/(TrRoad_ene!Y7+TrRoad_ene!Y12))</f>
        <v>2.788299609677535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3.0904731881880294</v>
      </c>
      <c r="I49" s="97">
        <f>IF(I8=0,0,(I8+I13+I14)/(TrRoad_ene!I8+TrRoad_ene!I13+TrRoad_ene!I14))</f>
        <v>3.0970565399174603</v>
      </c>
      <c r="J49" s="97">
        <f>IF(J8=0,0,(J8+J13+J14)/(TrRoad_ene!J8+TrRoad_ene!J13+TrRoad_ene!J14))</f>
        <v>3.0937077316445936</v>
      </c>
      <c r="K49" s="97">
        <f>IF(K8=0,0,(K8+K13+K14)/(TrRoad_ene!K8+TrRoad_ene!K13+TrRoad_ene!K14))</f>
        <v>3.0941059985954555</v>
      </c>
      <c r="L49" s="97">
        <f>IF(L8=0,0,(L8+L13+L14)/(TrRoad_ene!L8+TrRoad_ene!L13+TrRoad_ene!L14))</f>
        <v>3.0722026588764511</v>
      </c>
      <c r="M49" s="97">
        <f>IF(M8=0,0,(M8+M13+M14)/(TrRoad_ene!M8+TrRoad_ene!M13+TrRoad_ene!M14))</f>
        <v>3.0660555321363305</v>
      </c>
      <c r="N49" s="97">
        <f>IF(N8=0,0,(N8+N13+N14)/(TrRoad_ene!N8+TrRoad_ene!N13+TrRoad_ene!N14))</f>
        <v>2.9383613656743468</v>
      </c>
      <c r="O49" s="97">
        <f>IF(O8=0,0,(O8+O13+O14)/(TrRoad_ene!O8+TrRoad_ene!O13+TrRoad_ene!O14))</f>
        <v>2.8944953830569609</v>
      </c>
      <c r="P49" s="97">
        <f>IF(P8=0,0,(P8+P13+P14)/(TrRoad_ene!P8+TrRoad_ene!P13+TrRoad_ene!P14))</f>
        <v>2.9182580574010686</v>
      </c>
      <c r="Q49" s="97">
        <f>IF(Q8=0,0,(Q8+Q13+Q14)/(TrRoad_ene!Q8+TrRoad_ene!Q13+TrRoad_ene!Q14))</f>
        <v>2.9110025848854071</v>
      </c>
      <c r="R49" s="97">
        <f>IF(R8=0,0,(R8+R13+R14)/(TrRoad_ene!R8+TrRoad_ene!R13+TrRoad_ene!R14))</f>
        <v>2.8901611970258614</v>
      </c>
      <c r="S49" s="97">
        <f>IF(S8=0,0,(S8+S13+S14)/(TrRoad_ene!S8+TrRoad_ene!S13+TrRoad_ene!S14))</f>
        <v>2.8793038888425206</v>
      </c>
      <c r="T49" s="97">
        <f>IF(T8=0,0,(T8+T13+T14)/(TrRoad_ene!T8+TrRoad_ene!T13+TrRoad_ene!T14))</f>
        <v>2.8998786879299181</v>
      </c>
      <c r="U49" s="97">
        <f>IF(U8=0,0,(U8+U13+U14)/(TrRoad_ene!U8+TrRoad_ene!U13+TrRoad_ene!U14))</f>
        <v>2.8934740652389057</v>
      </c>
      <c r="V49" s="97">
        <f>IF(V8=0,0,(V8+V13+V14)/(TrRoad_ene!V8+TrRoad_ene!V13+TrRoad_ene!V14))</f>
        <v>2.8821129751495791</v>
      </c>
      <c r="W49" s="97">
        <f>IF(W8=0,0,(W8+W13+W14)/(TrRoad_ene!W8+TrRoad_ene!W13+TrRoad_ene!W14))</f>
        <v>2.9051782302831688</v>
      </c>
      <c r="X49" s="97">
        <f>IF(X8=0,0,(X8+X13+X14)/(TrRoad_ene!X8+TrRoad_ene!X13+TrRoad_ene!X14))</f>
        <v>2.871967024534932</v>
      </c>
      <c r="Y49" s="97">
        <f>IF(Y8=0,0,(Y8+Y13+Y14)/(TrRoad_ene!Y8+TrRoad_ene!Y13+TrRoad_ene!Y14))</f>
        <v>2.8943548376049502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2.3487947999999998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316.72084558651886</v>
      </c>
      <c r="C54" s="62">
        <f>IF(TrRoad_act!C30=0,0,C17/TrRoad_act!C30*1000
)</f>
        <v>321.17094293290882</v>
      </c>
      <c r="D54" s="62">
        <f>IF(TrRoad_act!D30=0,0,D17/TrRoad_act!D30*1000
)</f>
        <v>309.50304063898477</v>
      </c>
      <c r="E54" s="62">
        <f>IF(TrRoad_act!E30=0,0,E17/TrRoad_act!E30*1000
)</f>
        <v>322.55585915029144</v>
      </c>
      <c r="F54" s="62">
        <f>IF(TrRoad_act!F30=0,0,F17/TrRoad_act!F30*1000
)</f>
        <v>309.13583838538267</v>
      </c>
      <c r="G54" s="62">
        <f>IF(TrRoad_act!G30=0,0,G17/TrRoad_act!G30*1000
)</f>
        <v>312.14697635496708</v>
      </c>
      <c r="H54" s="62">
        <f>IF(TrRoad_act!H30=0,0,H17/TrRoad_act!H30*1000
)</f>
        <v>296.03622239821811</v>
      </c>
      <c r="I54" s="62">
        <f>IF(TrRoad_act!I30=0,0,I17/TrRoad_act!I30*1000
)</f>
        <v>282.32525389868709</v>
      </c>
      <c r="J54" s="62">
        <f>IF(TrRoad_act!J30=0,0,J17/TrRoad_act!J30*1000
)</f>
        <v>277.9825384947423</v>
      </c>
      <c r="K54" s="62">
        <f>IF(TrRoad_act!K30=0,0,K17/TrRoad_act!K30*1000
)</f>
        <v>265.61631387753994</v>
      </c>
      <c r="L54" s="62">
        <f>IF(TrRoad_act!L30=0,0,L17/TrRoad_act!L30*1000
)</f>
        <v>259.25547217852835</v>
      </c>
      <c r="M54" s="62">
        <f>IF(TrRoad_act!M30=0,0,M17/TrRoad_act!M30*1000
)</f>
        <v>257.32446671688513</v>
      </c>
      <c r="N54" s="62">
        <f>IF(TrRoad_act!N30=0,0,N17/TrRoad_act!N30*1000
)</f>
        <v>251.4804318024631</v>
      </c>
      <c r="O54" s="62">
        <f>IF(TrRoad_act!O30=0,0,O17/TrRoad_act!O30*1000
)</f>
        <v>217.41098360818424</v>
      </c>
      <c r="P54" s="62">
        <f>IF(TrRoad_act!P30=0,0,P17/TrRoad_act!P30*1000
)</f>
        <v>237.81167627452621</v>
      </c>
      <c r="Q54" s="62">
        <f>IF(TrRoad_act!Q30=0,0,Q17/TrRoad_act!Q30*1000
)</f>
        <v>233.82305800521667</v>
      </c>
      <c r="R54" s="62">
        <f>IF(TrRoad_act!R30=0,0,R17/TrRoad_act!R30*1000
)</f>
        <v>232.4353261710387</v>
      </c>
      <c r="S54" s="62">
        <f>IF(TrRoad_act!S30=0,0,S17/TrRoad_act!S30*1000
)</f>
        <v>236.33935477961003</v>
      </c>
      <c r="T54" s="62">
        <f>IF(TrRoad_act!T30=0,0,T17/TrRoad_act!T30*1000
)</f>
        <v>242.42024513555498</v>
      </c>
      <c r="U54" s="62">
        <f>IF(TrRoad_act!U30=0,0,U17/TrRoad_act!U30*1000
)</f>
        <v>244.60940517355044</v>
      </c>
      <c r="V54" s="62">
        <f>IF(TrRoad_act!V30=0,0,V17/TrRoad_act!V30*1000
)</f>
        <v>236.04594295829273</v>
      </c>
      <c r="W54" s="62">
        <f>IF(TrRoad_act!W30=0,0,W17/TrRoad_act!W30*1000
)</f>
        <v>237.96239262495806</v>
      </c>
      <c r="X54" s="62">
        <f>IF(TrRoad_act!X30=0,0,X17/TrRoad_act!X30*1000
)</f>
        <v>229.21787486483001</v>
      </c>
      <c r="Y54" s="62">
        <f>IF(TrRoad_act!Y30=0,0,Y17/TrRoad_act!Y30*1000
)</f>
        <v>228.02829785818187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286.58422823058993</v>
      </c>
      <c r="C55" s="29">
        <f>IF(TrRoad_act!C31=0,0,C18/TrRoad_act!C31*1000
)</f>
        <v>285.7632027373848</v>
      </c>
      <c r="D55" s="29">
        <f>IF(TrRoad_act!D31=0,0,D18/TrRoad_act!D31*1000
)</f>
        <v>280.09831137713695</v>
      </c>
      <c r="E55" s="29">
        <f>IF(TrRoad_act!E31=0,0,E18/TrRoad_act!E31*1000
)</f>
        <v>277.59515275889407</v>
      </c>
      <c r="F55" s="29">
        <f>IF(TrRoad_act!F31=0,0,F18/TrRoad_act!F31*1000
)</f>
        <v>264.7562846870382</v>
      </c>
      <c r="G55" s="29">
        <f>IF(TrRoad_act!G31=0,0,G18/TrRoad_act!G31*1000
)</f>
        <v>265.56721518078621</v>
      </c>
      <c r="H55" s="29">
        <f>IF(TrRoad_act!H31=0,0,H18/TrRoad_act!H31*1000
)</f>
        <v>254.14854172622981</v>
      </c>
      <c r="I55" s="29">
        <f>IF(TrRoad_act!I31=0,0,I18/TrRoad_act!I31*1000
)</f>
        <v>247.39959287827045</v>
      </c>
      <c r="J55" s="29">
        <f>IF(TrRoad_act!J31=0,0,J18/TrRoad_act!J31*1000
)</f>
        <v>243.11013195312009</v>
      </c>
      <c r="K55" s="29">
        <f>IF(TrRoad_act!K31=0,0,K18/TrRoad_act!K31*1000
)</f>
        <v>238.01279984861227</v>
      </c>
      <c r="L55" s="29">
        <f>IF(TrRoad_act!L31=0,0,L18/TrRoad_act!L31*1000
)</f>
        <v>232.20847251082782</v>
      </c>
      <c r="M55" s="29">
        <f>IF(TrRoad_act!M31=0,0,M18/TrRoad_act!M31*1000
)</f>
        <v>230.76752609949665</v>
      </c>
      <c r="N55" s="29">
        <f>IF(TrRoad_act!N31=0,0,N18/TrRoad_act!N31*1000
)</f>
        <v>226.81504217884063</v>
      </c>
      <c r="O55" s="29">
        <f>IF(TrRoad_act!O31=0,0,O18/TrRoad_act!O31*1000
)</f>
        <v>194.64309436379821</v>
      </c>
      <c r="P55" s="29">
        <f>IF(TrRoad_act!P31=0,0,P18/TrRoad_act!P31*1000
)</f>
        <v>214.44057903821124</v>
      </c>
      <c r="Q55" s="29">
        <f>IF(TrRoad_act!Q31=0,0,Q18/TrRoad_act!Q31*1000
)</f>
        <v>210.12205080631654</v>
      </c>
      <c r="R55" s="29">
        <f>IF(TrRoad_act!R31=0,0,R18/TrRoad_act!R31*1000
)</f>
        <v>208.89967642701936</v>
      </c>
      <c r="S55" s="29">
        <f>IF(TrRoad_act!S31=0,0,S18/TrRoad_act!S31*1000
)</f>
        <v>211.60388995754366</v>
      </c>
      <c r="T55" s="29">
        <f>IF(TrRoad_act!T31=0,0,T18/TrRoad_act!T31*1000
)</f>
        <v>219.22890272130897</v>
      </c>
      <c r="U55" s="29">
        <f>IF(TrRoad_act!U31=0,0,U18/TrRoad_act!U31*1000
)</f>
        <v>225.9345885323186</v>
      </c>
      <c r="V55" s="29">
        <f>IF(TrRoad_act!V31=0,0,V18/TrRoad_act!V31*1000
)</f>
        <v>213.56760481466742</v>
      </c>
      <c r="W55" s="29">
        <f>IF(TrRoad_act!W31=0,0,W18/TrRoad_act!W31*1000
)</f>
        <v>212.12690613181041</v>
      </c>
      <c r="X55" s="29">
        <f>IF(TrRoad_act!X31=0,0,X18/TrRoad_act!X31*1000
)</f>
        <v>206.25461156797104</v>
      </c>
      <c r="Y55" s="29">
        <f>IF(TrRoad_act!Y31=0,0,Y18/TrRoad_act!Y31*1000
)</f>
        <v>204.07974819731342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133.5168411410049</v>
      </c>
      <c r="C56" s="152">
        <f>IF(TrRoad_act!C32=0,0,C19/TrRoad_act!C32*1000
)</f>
        <v>133.04835739311284</v>
      </c>
      <c r="D56" s="152">
        <f>IF(TrRoad_act!D32=0,0,D19/TrRoad_act!D32*1000
)</f>
        <v>132.45490332996354</v>
      </c>
      <c r="E56" s="152">
        <f>IF(TrRoad_act!E32=0,0,E19/TrRoad_act!E32*1000
)</f>
        <v>131.73247257116162</v>
      </c>
      <c r="F56" s="152">
        <f>IF(TrRoad_act!F32=0,0,F19/TrRoad_act!F32*1000
)</f>
        <v>125.15849941830886</v>
      </c>
      <c r="G56" s="152">
        <f>IF(TrRoad_act!G32=0,0,G19/TrRoad_act!G32*1000
)</f>
        <v>124.91664095608907</v>
      </c>
      <c r="H56" s="152">
        <f>IF(TrRoad_act!H32=0,0,H19/TrRoad_act!H32*1000
)</f>
        <v>124.63944044351453</v>
      </c>
      <c r="I56" s="152">
        <f>IF(TrRoad_act!I32=0,0,I19/TrRoad_act!I32*1000
)</f>
        <v>122.50329626734033</v>
      </c>
      <c r="J56" s="152">
        <f>IF(TrRoad_act!J32=0,0,J19/TrRoad_act!J32*1000
)</f>
        <v>120.08239421376899</v>
      </c>
      <c r="K56" s="152">
        <f>IF(TrRoad_act!K32=0,0,K19/TrRoad_act!K32*1000
)</f>
        <v>118.31250725815558</v>
      </c>
      <c r="L56" s="152">
        <f>IF(TrRoad_act!L32=0,0,L19/TrRoad_act!L32*1000
)</f>
        <v>116.95996463388823</v>
      </c>
      <c r="M56" s="152">
        <f>IF(TrRoad_act!M32=0,0,M19/TrRoad_act!M32*1000
)</f>
        <v>115.44873734306958</v>
      </c>
      <c r="N56" s="152">
        <f>IF(TrRoad_act!N32=0,0,N19/TrRoad_act!N32*1000
)</f>
        <v>113.85937411392051</v>
      </c>
      <c r="O56" s="152">
        <f>IF(TrRoad_act!O32=0,0,O19/TrRoad_act!O32*1000
)</f>
        <v>110.26985066988796</v>
      </c>
      <c r="P56" s="152">
        <f>IF(TrRoad_act!P32=0,0,P19/TrRoad_act!P32*1000
)</f>
        <v>108.33724425421696</v>
      </c>
      <c r="Q56" s="152">
        <f>IF(TrRoad_act!Q32=0,0,Q19/TrRoad_act!Q32*1000
)</f>
        <v>103.68844667338999</v>
      </c>
      <c r="R56" s="152">
        <f>IF(TrRoad_act!R32=0,0,R19/TrRoad_act!R32*1000
)</f>
        <v>101.95102733121944</v>
      </c>
      <c r="S56" s="152">
        <f>IF(TrRoad_act!S32=0,0,S19/TrRoad_act!S32*1000
)</f>
        <v>102.49695776878069</v>
      </c>
      <c r="T56" s="152">
        <f>IF(TrRoad_act!T32=0,0,T19/TrRoad_act!T32*1000
)</f>
        <v>100.68005323922235</v>
      </c>
      <c r="U56" s="152">
        <f>IF(TrRoad_act!U32=0,0,U19/TrRoad_act!U32*1000
)</f>
        <v>99.020051855722826</v>
      </c>
      <c r="V56" s="152">
        <f>IF(TrRoad_act!V32=0,0,V19/TrRoad_act!V32*1000
)</f>
        <v>99.595635332936354</v>
      </c>
      <c r="W56" s="152">
        <f>IF(TrRoad_act!W32=0,0,W19/TrRoad_act!W32*1000
)</f>
        <v>100.87752975177132</v>
      </c>
      <c r="X56" s="152">
        <f>IF(TrRoad_act!X32=0,0,X19/TrRoad_act!X32*1000
)</f>
        <v>100.70082373466312</v>
      </c>
      <c r="Y56" s="152">
        <f>IF(TrRoad_act!Y32=0,0,Y19/TrRoad_act!Y32*1000
)</f>
        <v>99.944333503680184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234.85777142863122</v>
      </c>
      <c r="C57" s="116">
        <f>IF(TrRoad_act!C33=0,0,C20/TrRoad_act!C33*1000
)</f>
        <v>233.77090601450092</v>
      </c>
      <c r="D57" s="116">
        <f>IF(TrRoad_act!D33=0,0,D20/TrRoad_act!D33*1000
)</f>
        <v>226.47110651457299</v>
      </c>
      <c r="E57" s="116">
        <f>IF(TrRoad_act!E33=0,0,E20/TrRoad_act!E33*1000
)</f>
        <v>235.35371240111576</v>
      </c>
      <c r="F57" s="116">
        <f>IF(TrRoad_act!F33=0,0,F20/TrRoad_act!F33*1000
)</f>
        <v>229.63847294821645</v>
      </c>
      <c r="G57" s="116">
        <f>IF(TrRoad_act!G33=0,0,G20/TrRoad_act!G33*1000
)</f>
        <v>232.05319433973551</v>
      </c>
      <c r="H57" s="116">
        <f>IF(TrRoad_act!H33=0,0,H20/TrRoad_act!H33*1000
)</f>
        <v>225.19083574657765</v>
      </c>
      <c r="I57" s="116">
        <f>IF(TrRoad_act!I33=0,0,I20/TrRoad_act!I33*1000
)</f>
        <v>215.97209349163373</v>
      </c>
      <c r="J57" s="116">
        <f>IF(TrRoad_act!J33=0,0,J20/TrRoad_act!J33*1000
)</f>
        <v>216.94565264621747</v>
      </c>
      <c r="K57" s="116">
        <f>IF(TrRoad_act!K33=0,0,K20/TrRoad_act!K33*1000
)</f>
        <v>211.72368170222734</v>
      </c>
      <c r="L57" s="116">
        <f>IF(TrRoad_act!L33=0,0,L20/TrRoad_act!L33*1000
)</f>
        <v>208.37681734304095</v>
      </c>
      <c r="M57" s="116">
        <f>IF(TrRoad_act!M33=0,0,M20/TrRoad_act!M33*1000
)</f>
        <v>204.56878419402608</v>
      </c>
      <c r="N57" s="116">
        <f>IF(TrRoad_act!N33=0,0,N20/TrRoad_act!N33*1000
)</f>
        <v>205.61082924376774</v>
      </c>
      <c r="O57" s="116">
        <f>IF(TrRoad_act!O33=0,0,O20/TrRoad_act!O33*1000
)</f>
        <v>175.71306455582646</v>
      </c>
      <c r="P57" s="116">
        <f>IF(TrRoad_act!P33=0,0,P20/TrRoad_act!P33*1000
)</f>
        <v>197.57266130176797</v>
      </c>
      <c r="Q57" s="116">
        <f>IF(TrRoad_act!Q33=0,0,Q20/TrRoad_act!Q33*1000
)</f>
        <v>193.52716329067326</v>
      </c>
      <c r="R57" s="116">
        <f>IF(TrRoad_act!R33=0,0,R20/TrRoad_act!R33*1000
)</f>
        <v>194.86823654234371</v>
      </c>
      <c r="S57" s="116">
        <f>IF(TrRoad_act!S33=0,0,S20/TrRoad_act!S33*1000
)</f>
        <v>198.89496019991549</v>
      </c>
      <c r="T57" s="116">
        <f>IF(TrRoad_act!T33=0,0,T20/TrRoad_act!T33*1000
)</f>
        <v>206.56076422401108</v>
      </c>
      <c r="U57" s="116">
        <f>IF(TrRoad_act!U33=0,0,U20/TrRoad_act!U33*1000
)</f>
        <v>212.7915504085305</v>
      </c>
      <c r="V57" s="116">
        <f>IF(TrRoad_act!V33=0,0,V20/TrRoad_act!V33*1000
)</f>
        <v>199.72183987509482</v>
      </c>
      <c r="W57" s="116">
        <f>IF(TrRoad_act!W33=0,0,W20/TrRoad_act!W33*1000
)</f>
        <v>199.42392297144454</v>
      </c>
      <c r="X57" s="116">
        <f>IF(TrRoad_act!X33=0,0,X20/TrRoad_act!X33*1000
)</f>
        <v>193.97268179671562</v>
      </c>
      <c r="Y57" s="116">
        <f>IF(TrRoad_act!Y33=0,0,Y20/TrRoad_act!Y33*1000
)</f>
        <v>192.30901697106401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241.11131142777816</v>
      </c>
      <c r="C58" s="87">
        <f>IF(TrRoad_act!C34=0,0,C21/TrRoad_act!C34*1000
)</f>
        <v>233.80033970142506</v>
      </c>
      <c r="D58" s="87">
        <f>IF(TrRoad_act!D34=0,0,D21/TrRoad_act!D34*1000
)</f>
        <v>235.62473971590467</v>
      </c>
      <c r="E58" s="87">
        <f>IF(TrRoad_act!E34=0,0,E21/TrRoad_act!E34*1000
)</f>
        <v>234.83296056675755</v>
      </c>
      <c r="F58" s="87">
        <f>IF(TrRoad_act!F34=0,0,F21/TrRoad_act!F34*1000
)</f>
        <v>239.81892585006307</v>
      </c>
      <c r="G58" s="87">
        <f>IF(TrRoad_act!G34=0,0,G21/TrRoad_act!G34*1000
)</f>
        <v>242.41040885581762</v>
      </c>
      <c r="H58" s="87">
        <f>IF(TrRoad_act!H34=0,0,H21/TrRoad_act!H34*1000
)</f>
        <v>247.0852725600387</v>
      </c>
      <c r="I58" s="87">
        <f>IF(TrRoad_act!I34=0,0,I21/TrRoad_act!I34*1000
)</f>
        <v>246.64065899347793</v>
      </c>
      <c r="J58" s="87">
        <f>IF(TrRoad_act!J34=0,0,J21/TrRoad_act!J34*1000
)</f>
        <v>245.14175112264201</v>
      </c>
      <c r="K58" s="87">
        <f>IF(TrRoad_act!K34=0,0,K21/TrRoad_act!K34*1000
)</f>
        <v>238.45837428522734</v>
      </c>
      <c r="L58" s="87">
        <f>IF(TrRoad_act!L34=0,0,L21/TrRoad_act!L34*1000
)</f>
        <v>240.3557117955697</v>
      </c>
      <c r="M58" s="87">
        <f>IF(TrRoad_act!M34=0,0,M21/TrRoad_act!M34*1000
)</f>
        <v>234.43277542195025</v>
      </c>
      <c r="N58" s="87">
        <f>IF(TrRoad_act!N34=0,0,N21/TrRoad_act!N34*1000
)</f>
        <v>235.44774269876837</v>
      </c>
      <c r="O58" s="87">
        <f>IF(TrRoad_act!O34=0,0,O21/TrRoad_act!O34*1000
)</f>
        <v>195.56412108537165</v>
      </c>
      <c r="P58" s="87">
        <f>IF(TrRoad_act!P34=0,0,P21/TrRoad_act!P34*1000
)</f>
        <v>223.85921768488606</v>
      </c>
      <c r="Q58" s="87">
        <f>IF(TrRoad_act!Q34=0,0,Q21/TrRoad_act!Q34*1000
)</f>
        <v>218.24177468967881</v>
      </c>
      <c r="R58" s="87">
        <f>IF(TrRoad_act!R34=0,0,R21/TrRoad_act!R34*1000
)</f>
        <v>207.99598707891869</v>
      </c>
      <c r="S58" s="87">
        <f>IF(TrRoad_act!S34=0,0,S21/TrRoad_act!S34*1000
)</f>
        <v>208.50268830567012</v>
      </c>
      <c r="T58" s="87">
        <f>IF(TrRoad_act!T34=0,0,T21/TrRoad_act!T34*1000
)</f>
        <v>203.71492063141741</v>
      </c>
      <c r="U58" s="87">
        <f>IF(TrRoad_act!U34=0,0,U21/TrRoad_act!U34*1000
)</f>
        <v>199.10067711976214</v>
      </c>
      <c r="V58" s="87">
        <f>IF(TrRoad_act!V34=0,0,V21/TrRoad_act!V34*1000
)</f>
        <v>198.04559084670791</v>
      </c>
      <c r="W58" s="87">
        <f>IF(TrRoad_act!W34=0,0,W21/TrRoad_act!W34*1000
)</f>
        <v>197.98870524107528</v>
      </c>
      <c r="X58" s="87">
        <f>IF(TrRoad_act!X34=0,0,X21/TrRoad_act!X34*1000
)</f>
        <v>195.9519594513545</v>
      </c>
      <c r="Y58" s="87">
        <f>IF(TrRoad_act!Y34=0,0,Y21/TrRoad_act!Y34*1000
)</f>
        <v>192.32715794551819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211.78548901255328</v>
      </c>
      <c r="C59" s="87">
        <f>IF(TrRoad_act!C35=0,0,C22/TrRoad_act!C35*1000
)</f>
        <v>222.26517394981875</v>
      </c>
      <c r="D59" s="87">
        <f>IF(TrRoad_act!D35=0,0,D22/TrRoad_act!D35*1000
)</f>
        <v>197.60292292753047</v>
      </c>
      <c r="E59" s="87">
        <f>IF(TrRoad_act!E35=0,0,E22/TrRoad_act!E35*1000
)</f>
        <v>238.19604061006078</v>
      </c>
      <c r="F59" s="87">
        <f>IF(TrRoad_act!F35=0,0,F22/TrRoad_act!F35*1000
)</f>
        <v>225.01983504814314</v>
      </c>
      <c r="G59" s="87">
        <f>IF(TrRoad_act!G35=0,0,G22/TrRoad_act!G35*1000
)</f>
        <v>238.87506878955296</v>
      </c>
      <c r="H59" s="87">
        <f>IF(TrRoad_act!H35=0,0,H22/TrRoad_act!H35*1000
)</f>
        <v>225.61355082881559</v>
      </c>
      <c r="I59" s="87">
        <f>IF(TrRoad_act!I35=0,0,I22/TrRoad_act!I35*1000
)</f>
        <v>205.03478752450485</v>
      </c>
      <c r="J59" s="87">
        <f>IF(TrRoad_act!J35=0,0,J22/TrRoad_act!J35*1000
)</f>
        <v>212.39790962987527</v>
      </c>
      <c r="K59" s="87">
        <f>IF(TrRoad_act!K35=0,0,K22/TrRoad_act!K35*1000
)</f>
        <v>198.63040089950252</v>
      </c>
      <c r="L59" s="87">
        <f>IF(TrRoad_act!L35=0,0,L22/TrRoad_act!L35*1000
)</f>
        <v>197.01858502185792</v>
      </c>
      <c r="M59" s="87">
        <f>IF(TrRoad_act!M35=0,0,M22/TrRoad_act!M35*1000
)</f>
        <v>190.07205985205039</v>
      </c>
      <c r="N59" s="87">
        <f>IF(TrRoad_act!N35=0,0,N22/TrRoad_act!N35*1000
)</f>
        <v>196.11578044629007</v>
      </c>
      <c r="O59" s="87">
        <f>IF(TrRoad_act!O35=0,0,O22/TrRoad_act!O35*1000
)</f>
        <v>157.06817962011999</v>
      </c>
      <c r="P59" s="87">
        <f>IF(TrRoad_act!P35=0,0,P22/TrRoad_act!P35*1000
)</f>
        <v>186.21065399142782</v>
      </c>
      <c r="Q59" s="87">
        <f>IF(TrRoad_act!Q35=0,0,Q22/TrRoad_act!Q35*1000
)</f>
        <v>188.13701319099189</v>
      </c>
      <c r="R59" s="87">
        <f>IF(TrRoad_act!R35=0,0,R22/TrRoad_act!R35*1000
)</f>
        <v>195.1059099463746</v>
      </c>
      <c r="S59" s="87">
        <f>IF(TrRoad_act!S35=0,0,S22/TrRoad_act!S35*1000
)</f>
        <v>201.83411791996173</v>
      </c>
      <c r="T59" s="87">
        <f>IF(TrRoad_act!T35=0,0,T22/TrRoad_act!T35*1000
)</f>
        <v>215.17491231714732</v>
      </c>
      <c r="U59" s="87">
        <f>IF(TrRoad_act!U35=0,0,U22/TrRoad_act!U35*1000
)</f>
        <v>227.51116728578472</v>
      </c>
      <c r="V59" s="87">
        <f>IF(TrRoad_act!V35=0,0,V22/TrRoad_act!V35*1000
)</f>
        <v>203.17405681678164</v>
      </c>
      <c r="W59" s="87">
        <f>IF(TrRoad_act!W35=0,0,W22/TrRoad_act!W35*1000
)</f>
        <v>205.70546004685909</v>
      </c>
      <c r="X59" s="87">
        <f>IF(TrRoad_act!X35=0,0,X22/TrRoad_act!X35*1000
)</f>
        <v>193.63800542461871</v>
      </c>
      <c r="Y59" s="87">
        <f>IF(TrRoad_act!Y35=0,0,Y22/TrRoad_act!Y35*1000
)</f>
        <v>190.12149141136135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238.35238104606481</v>
      </c>
      <c r="C60" s="87">
        <f>IF(TrRoad_act!C36=0,0,C23/TrRoad_act!C36*1000
)</f>
        <v>244.73841511980564</v>
      </c>
      <c r="D60" s="87">
        <f>IF(TrRoad_act!D36=0,0,D23/TrRoad_act!D36*1000
)</f>
        <v>233.48896596677372</v>
      </c>
      <c r="E60" s="87">
        <f>IF(TrRoad_act!E36=0,0,E23/TrRoad_act!E36*1000
)</f>
        <v>233.09620846866667</v>
      </c>
      <c r="F60" s="87">
        <f>IF(TrRoad_act!F36=0,0,F23/TrRoad_act!F36*1000
)</f>
        <v>221.3171147828304</v>
      </c>
      <c r="G60" s="87">
        <f>IF(TrRoad_act!G36=0,0,G23/TrRoad_act!G36*1000
)</f>
        <v>210.91466427275469</v>
      </c>
      <c r="H60" s="87">
        <f>IF(TrRoad_act!H36=0,0,H23/TrRoad_act!H36*1000
)</f>
        <v>199.18086638606533</v>
      </c>
      <c r="I60" s="87">
        <f>IF(TrRoad_act!I36=0,0,I23/TrRoad_act!I36*1000
)</f>
        <v>192.8840623344025</v>
      </c>
      <c r="J60" s="87">
        <f>IF(TrRoad_act!J36=0,0,J23/TrRoad_act!J36*1000
)</f>
        <v>187.22392191273647</v>
      </c>
      <c r="K60" s="87">
        <f>IF(TrRoad_act!K36=0,0,K23/TrRoad_act!K36*1000
)</f>
        <v>199.44062229671562</v>
      </c>
      <c r="L60" s="87">
        <f>IF(TrRoad_act!L36=0,0,L23/TrRoad_act!L36*1000
)</f>
        <v>190.71992884728633</v>
      </c>
      <c r="M60" s="87">
        <f>IF(TrRoad_act!M36=0,0,M23/TrRoad_act!M36*1000
)</f>
        <v>201.30588022463172</v>
      </c>
      <c r="N60" s="87">
        <f>IF(TrRoad_act!N36=0,0,N23/TrRoad_act!N36*1000
)</f>
        <v>196.16336831426577</v>
      </c>
      <c r="O60" s="87">
        <f>IF(TrRoad_act!O36=0,0,O23/TrRoad_act!O36*1000
)</f>
        <v>200.84281306747266</v>
      </c>
      <c r="P60" s="87">
        <f>IF(TrRoad_act!P36=0,0,P23/TrRoad_act!P36*1000
)</f>
        <v>200.26844540472294</v>
      </c>
      <c r="Q60" s="87">
        <f>IF(TrRoad_act!Q36=0,0,Q23/TrRoad_act!Q36*1000
)</f>
        <v>184.93470815930598</v>
      </c>
      <c r="R60" s="87">
        <f>IF(TrRoad_act!R36=0,0,R23/TrRoad_act!R36*1000
)</f>
        <v>184.81815379894567</v>
      </c>
      <c r="S60" s="87">
        <f>IF(TrRoad_act!S36=0,0,S23/TrRoad_act!S36*1000
)</f>
        <v>185.26944035257355</v>
      </c>
      <c r="T60" s="87">
        <f>IF(TrRoad_act!T36=0,0,T23/TrRoad_act!T36*1000
)</f>
        <v>189.2881613231167</v>
      </c>
      <c r="U60" s="87">
        <f>IF(TrRoad_act!U36=0,0,U23/TrRoad_act!U36*1000
)</f>
        <v>187.08689691425977</v>
      </c>
      <c r="V60" s="87">
        <f>IF(TrRoad_act!V36=0,0,V23/TrRoad_act!V36*1000
)</f>
        <v>195.58988294805559</v>
      </c>
      <c r="W60" s="87">
        <f>IF(TrRoad_act!W36=0,0,W23/TrRoad_act!W36*1000
)</f>
        <v>183.84393367090971</v>
      </c>
      <c r="X60" s="87">
        <f>IF(TrRoad_act!X36=0,0,X23/TrRoad_act!X36*1000
)</f>
        <v>198.68077883483681</v>
      </c>
      <c r="Y60" s="87">
        <f>IF(TrRoad_act!Y36=0,0,Y23/TrRoad_act!Y36*1000
)</f>
        <v>207.15572567735609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229.36420084381305</v>
      </c>
      <c r="G61" s="87">
        <f>IF(TrRoad_act!G37=0,0,G24/TrRoad_act!G37*1000
)</f>
        <v>227.51889728092283</v>
      </c>
      <c r="H61" s="87">
        <f>IF(TrRoad_act!H37=0,0,H24/TrRoad_act!H37*1000
)</f>
        <v>226.53723284292877</v>
      </c>
      <c r="I61" s="87">
        <f>IF(TrRoad_act!I37=0,0,I24/TrRoad_act!I37*1000
)</f>
        <v>224.5877642196003</v>
      </c>
      <c r="J61" s="87">
        <f>IF(TrRoad_act!J37=0,0,J24/TrRoad_act!J37*1000
)</f>
        <v>224.36566837787268</v>
      </c>
      <c r="K61" s="87">
        <f>IF(TrRoad_act!K37=0,0,K24/TrRoad_act!K37*1000
)</f>
        <v>216.42440174536989</v>
      </c>
      <c r="L61" s="87">
        <f>IF(TrRoad_act!L37=0,0,L24/TrRoad_act!L37*1000
)</f>
        <v>191.15972814823871</v>
      </c>
      <c r="M61" s="87">
        <f>IF(TrRoad_act!M37=0,0,M24/TrRoad_act!M37*1000
)</f>
        <v>187.37278665032724</v>
      </c>
      <c r="N61" s="87">
        <f>IF(TrRoad_act!N37=0,0,N24/TrRoad_act!N37*1000
)</f>
        <v>185.22097920315801</v>
      </c>
      <c r="O61" s="87">
        <f>IF(TrRoad_act!O37=0,0,O24/TrRoad_act!O37*1000
)</f>
        <v>184.3950022582454</v>
      </c>
      <c r="P61" s="87">
        <f>IF(TrRoad_act!P37=0,0,P24/TrRoad_act!P37*1000
)</f>
        <v>179.15421529433789</v>
      </c>
      <c r="Q61" s="87">
        <f>IF(TrRoad_act!Q37=0,0,Q24/TrRoad_act!Q37*1000
)</f>
        <v>175.37907892278517</v>
      </c>
      <c r="R61" s="87">
        <f>IF(TrRoad_act!R37=0,0,R24/TrRoad_act!R37*1000
)</f>
        <v>173.37492239457436</v>
      </c>
      <c r="S61" s="87">
        <f>IF(TrRoad_act!S37=0,0,S24/TrRoad_act!S37*1000
)</f>
        <v>172.75817584480836</v>
      </c>
      <c r="T61" s="87">
        <f>IF(TrRoad_act!T37=0,0,T24/TrRoad_act!T37*1000
)</f>
        <v>170.91370746566812</v>
      </c>
      <c r="U61" s="87">
        <f>IF(TrRoad_act!U37=0,0,U24/TrRoad_act!U37*1000
)</f>
        <v>167.74711524474714</v>
      </c>
      <c r="V61" s="87">
        <f>IF(TrRoad_act!V37=0,0,V24/TrRoad_act!V37*1000
)</f>
        <v>166.32368758749337</v>
      </c>
      <c r="W61" s="87">
        <f>IF(TrRoad_act!W37=0,0,W24/TrRoad_act!W37*1000
)</f>
        <v>165.99472885641012</v>
      </c>
      <c r="X61" s="87">
        <f>IF(TrRoad_act!X37=0,0,X24/TrRoad_act!X37*1000
)</f>
        <v>158.8868965716475</v>
      </c>
      <c r="Y61" s="87">
        <f>IF(TrRoad_act!Y37=0,0,Y24/TrRoad_act!Y37*1000
)</f>
        <v>158.64137341343223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53.892576105452697</v>
      </c>
      <c r="O62" s="87">
        <f>IF(TrRoad_act!O38=0,0,O25/TrRoad_act!O38*1000
)</f>
        <v>45.059364203227631</v>
      </c>
      <c r="P62" s="87">
        <f>IF(TrRoad_act!P38=0,0,P25/TrRoad_act!P38*1000
)</f>
        <v>61.99372806996449</v>
      </c>
      <c r="Q62" s="87">
        <f>IF(TrRoad_act!Q38=0,0,Q25/TrRoad_act!Q38*1000
)</f>
        <v>65.249765341515129</v>
      </c>
      <c r="R62" s="87">
        <f>IF(TrRoad_act!R38=0,0,R25/TrRoad_act!R38*1000
)</f>
        <v>60.042869769125836</v>
      </c>
      <c r="S62" s="87">
        <f>IF(TrRoad_act!S38=0,0,S25/TrRoad_act!S38*1000
)</f>
        <v>60.481627086329084</v>
      </c>
      <c r="T62" s="87">
        <f>IF(TrRoad_act!T38=0,0,T25/TrRoad_act!T38*1000
)</f>
        <v>59.041323025217793</v>
      </c>
      <c r="U62" s="87">
        <f>IF(TrRoad_act!U38=0,0,U25/TrRoad_act!U38*1000
)</f>
        <v>66.342827610890723</v>
      </c>
      <c r="V62" s="87">
        <f>IF(TrRoad_act!V38=0,0,V25/TrRoad_act!V38*1000
)</f>
        <v>62.960589098429402</v>
      </c>
      <c r="W62" s="87">
        <f>IF(TrRoad_act!W38=0,0,W25/TrRoad_act!W38*1000
)</f>
        <v>52.861272717394961</v>
      </c>
      <c r="X62" s="87">
        <f>IF(TrRoad_act!X38=0,0,X25/TrRoad_act!X38*1000
)</f>
        <v>46.070282047974239</v>
      </c>
      <c r="Y62" s="87">
        <f>IF(TrRoad_act!Y38=0,0,Y25/TrRoad_act!Y38*1000
)</f>
        <v>37.604066798940018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1805.825166806879</v>
      </c>
      <c r="C64" s="116">
        <f>IF(TrRoad_act!C40=0,0,C27/TrRoad_act!C40*1000
)</f>
        <v>1777.3995027537271</v>
      </c>
      <c r="D64" s="116">
        <f>IF(TrRoad_act!D40=0,0,D27/TrRoad_act!D40*1000
)</f>
        <v>1738.9144895029476</v>
      </c>
      <c r="E64" s="116">
        <f>IF(TrRoad_act!E40=0,0,E27/TrRoad_act!E40*1000
)</f>
        <v>1735.1220090683551</v>
      </c>
      <c r="F64" s="116">
        <f>IF(TrRoad_act!F40=0,0,F27/TrRoad_act!F40*1000
)</f>
        <v>1725.4743201841279</v>
      </c>
      <c r="G64" s="116">
        <f>IF(TrRoad_act!G40=0,0,G27/TrRoad_act!G40*1000
)</f>
        <v>1704.5630771595681</v>
      </c>
      <c r="H64" s="116">
        <f>IF(TrRoad_act!H40=0,0,H27/TrRoad_act!H40*1000
)</f>
        <v>1682.0434337732045</v>
      </c>
      <c r="I64" s="116">
        <f>IF(TrRoad_act!I40=0,0,I27/TrRoad_act!I40*1000
)</f>
        <v>1672.9461892155355</v>
      </c>
      <c r="J64" s="116">
        <f>IF(TrRoad_act!J40=0,0,J27/TrRoad_act!J40*1000
)</f>
        <v>1662.6647361315504</v>
      </c>
      <c r="K64" s="116">
        <f>IF(TrRoad_act!K40=0,0,K27/TrRoad_act!K40*1000
)</f>
        <v>1646.7980887209753</v>
      </c>
      <c r="L64" s="116">
        <f>IF(TrRoad_act!L40=0,0,L27/TrRoad_act!L40*1000
)</f>
        <v>1619.9769695291673</v>
      </c>
      <c r="M64" s="116">
        <f>IF(TrRoad_act!M40=0,0,M27/TrRoad_act!M40*1000
)</f>
        <v>1611.8259874892585</v>
      </c>
      <c r="N64" s="116">
        <f>IF(TrRoad_act!N40=0,0,N27/TrRoad_act!N40*1000
)</f>
        <v>1554.5851942645215</v>
      </c>
      <c r="O64" s="116">
        <f>IF(TrRoad_act!O40=0,0,O27/TrRoad_act!O40*1000
)</f>
        <v>1413.6151982052425</v>
      </c>
      <c r="P64" s="116">
        <f>IF(TrRoad_act!P40=0,0,P27/TrRoad_act!P40*1000
)</f>
        <v>1350.8660506339363</v>
      </c>
      <c r="Q64" s="116">
        <f>IF(TrRoad_act!Q40=0,0,Q27/TrRoad_act!Q40*1000
)</f>
        <v>1403.9365718481856</v>
      </c>
      <c r="R64" s="116">
        <f>IF(TrRoad_act!R40=0,0,R27/TrRoad_act!R40*1000
)</f>
        <v>1353.3839997542148</v>
      </c>
      <c r="S64" s="116">
        <f>IF(TrRoad_act!S40=0,0,S27/TrRoad_act!S40*1000
)</f>
        <v>1333.6321138668325</v>
      </c>
      <c r="T64" s="116">
        <f>IF(TrRoad_act!T40=0,0,T27/TrRoad_act!T40*1000
)</f>
        <v>1335.6126177869708</v>
      </c>
      <c r="U64" s="116">
        <f>IF(TrRoad_act!U40=0,0,U27/TrRoad_act!U40*1000
)</f>
        <v>1330.5746734536353</v>
      </c>
      <c r="V64" s="116">
        <f>IF(TrRoad_act!V40=0,0,V27/TrRoad_act!V40*1000
)</f>
        <v>1309.4667619436254</v>
      </c>
      <c r="W64" s="116">
        <f>IF(TrRoad_act!W40=0,0,W27/TrRoad_act!W40*1000
)</f>
        <v>1324.1036418565245</v>
      </c>
      <c r="X64" s="116">
        <f>IF(TrRoad_act!X40=0,0,X27/TrRoad_act!X40*1000
)</f>
        <v>1316.1837927335118</v>
      </c>
      <c r="Y64" s="116">
        <f>IF(TrRoad_act!Y40=0,0,Y27/TrRoad_act!Y40*1000
)</f>
        <v>1314.5510920440711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379.43940019221611</v>
      </c>
      <c r="S65" s="101">
        <f>IF(TrRoad_act!S41=0,0,S28/TrRoad_act!S41*1000
)</f>
        <v>384.46780178617337</v>
      </c>
      <c r="T65" s="101">
        <f>IF(TrRoad_act!T41=0,0,T28/TrRoad_act!T41*1000
)</f>
        <v>381.88978283400172</v>
      </c>
      <c r="U65" s="101">
        <f>IF(TrRoad_act!U41=0,0,U28/TrRoad_act!U41*1000
)</f>
        <v>379.23742523591881</v>
      </c>
      <c r="V65" s="101">
        <f>IF(TrRoad_act!V41=0,0,V28/TrRoad_act!V41*1000
)</f>
        <v>382.67082416046344</v>
      </c>
      <c r="W65" s="101">
        <f>IF(TrRoad_act!W41=0,0,W28/TrRoad_act!W41*1000
)</f>
        <v>388.67163192012913</v>
      </c>
      <c r="X65" s="101">
        <f>IF(TrRoad_act!X41=0,0,X28/TrRoad_act!X41*1000
)</f>
        <v>389.24168620850691</v>
      </c>
      <c r="Y65" s="101">
        <f>IF(TrRoad_act!Y41=0,0,Y28/TrRoad_act!Y41*1000
)</f>
        <v>388.97360183350798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1805.825166806879</v>
      </c>
      <c r="C66" s="101">
        <f>IF(TrRoad_act!C42=0,0,C29/TrRoad_act!C42*1000
)</f>
        <v>1777.3995027537271</v>
      </c>
      <c r="D66" s="101">
        <f>IF(TrRoad_act!D42=0,0,D29/TrRoad_act!D42*1000
)</f>
        <v>1738.9144895029476</v>
      </c>
      <c r="E66" s="101">
        <f>IF(TrRoad_act!E42=0,0,E29/TrRoad_act!E42*1000
)</f>
        <v>1735.1220090683551</v>
      </c>
      <c r="F66" s="101">
        <f>IF(TrRoad_act!F42=0,0,F29/TrRoad_act!F42*1000
)</f>
        <v>1730.680945350749</v>
      </c>
      <c r="G66" s="101">
        <f>IF(TrRoad_act!G42=0,0,G29/TrRoad_act!G42*1000
)</f>
        <v>1716.4072336467655</v>
      </c>
      <c r="H66" s="101">
        <f>IF(TrRoad_act!H42=0,0,H29/TrRoad_act!H42*1000
)</f>
        <v>1704.7776312230822</v>
      </c>
      <c r="I66" s="101">
        <f>IF(TrRoad_act!I42=0,0,I29/TrRoad_act!I42*1000
)</f>
        <v>1702.0632031189684</v>
      </c>
      <c r="J66" s="101">
        <f>IF(TrRoad_act!J42=0,0,J29/TrRoad_act!J42*1000
)</f>
        <v>1694.3284566401071</v>
      </c>
      <c r="K66" s="101">
        <f>IF(TrRoad_act!K42=0,0,K29/TrRoad_act!K42*1000
)</f>
        <v>1690.1921230566811</v>
      </c>
      <c r="L66" s="101">
        <f>IF(TrRoad_act!L42=0,0,L29/TrRoad_act!L42*1000
)</f>
        <v>1674.3406504527075</v>
      </c>
      <c r="M66" s="101">
        <f>IF(TrRoad_act!M42=0,0,M29/TrRoad_act!M42*1000
)</f>
        <v>1666.0559910284203</v>
      </c>
      <c r="N66" s="101">
        <f>IF(TrRoad_act!N42=0,0,N29/TrRoad_act!N42*1000
)</f>
        <v>1594.3307497565108</v>
      </c>
      <c r="O66" s="101">
        <f>IF(TrRoad_act!O42=0,0,O29/TrRoad_act!O42*1000
)</f>
        <v>1567.1708766250119</v>
      </c>
      <c r="P66" s="101">
        <f>IF(TrRoad_act!P42=0,0,P29/TrRoad_act!P42*1000
)</f>
        <v>1581.8525095734281</v>
      </c>
      <c r="Q66" s="101">
        <f>IF(TrRoad_act!Q42=0,0,Q29/TrRoad_act!Q42*1000
)</f>
        <v>1585.4559145579656</v>
      </c>
      <c r="R66" s="101">
        <f>IF(TrRoad_act!R42=0,0,R29/TrRoad_act!R42*1000
)</f>
        <v>1577.8547682805229</v>
      </c>
      <c r="S66" s="101">
        <f>IF(TrRoad_act!S42=0,0,S29/TrRoad_act!S42*1000
)</f>
        <v>1576.4267733255872</v>
      </c>
      <c r="T66" s="101">
        <f>IF(TrRoad_act!T42=0,0,T29/TrRoad_act!T42*1000
)</f>
        <v>1589.0632132001624</v>
      </c>
      <c r="U66" s="101">
        <f>IF(TrRoad_act!U42=0,0,U29/TrRoad_act!U42*1000
)</f>
        <v>1584.821420149626</v>
      </c>
      <c r="V66" s="101">
        <f>IF(TrRoad_act!V42=0,0,V29/TrRoad_act!V42*1000
)</f>
        <v>1569.7959063668857</v>
      </c>
      <c r="W66" s="101">
        <f>IF(TrRoad_act!W42=0,0,W29/TrRoad_act!W42*1000
)</f>
        <v>1577.238153433618</v>
      </c>
      <c r="X66" s="101">
        <f>IF(TrRoad_act!X42=0,0,X29/TrRoad_act!X42*1000
)</f>
        <v>1518.9082956180287</v>
      </c>
      <c r="Y66" s="101">
        <f>IF(TrRoad_act!Y42=0,0,Y29/TrRoad_act!Y42*1000
)</f>
        <v>1495.5788773208917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1238.5956131099185</v>
      </c>
      <c r="S67" s="101">
        <f>IF(TrRoad_act!S43=0,0,S30/TrRoad_act!S43*1000
)</f>
        <v>1238.5956131099183</v>
      </c>
      <c r="T67" s="101">
        <f>IF(TrRoad_act!T43=0,0,T30/TrRoad_act!T43*1000
)</f>
        <v>1238.0419104046116</v>
      </c>
      <c r="U67" s="101">
        <f>IF(TrRoad_act!U43=0,0,U30/TrRoad_act!U43*1000
)</f>
        <v>1238.0419104046118</v>
      </c>
      <c r="V67" s="101">
        <f>IF(TrRoad_act!V43=0,0,V30/TrRoad_act!V43*1000
)</f>
        <v>1236.9077799228462</v>
      </c>
      <c r="W67" s="101">
        <f>IF(TrRoad_act!W43=0,0,W30/TrRoad_act!W43*1000
)</f>
        <v>1218.1308823562326</v>
      </c>
      <c r="X67" s="101">
        <f>IF(TrRoad_act!X43=0,0,X30/TrRoad_act!X43*1000
)</f>
        <v>1217.5119620315991</v>
      </c>
      <c r="Y67" s="101">
        <f>IF(TrRoad_act!Y43=0,0,Y30/TrRoad_act!Y43*1000
)</f>
        <v>1215.4081698945279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965.07062681283662</v>
      </c>
      <c r="G68" s="101">
        <f>IF(TrRoad_act!G44=0,0,G31/TrRoad_act!G44*1000
)</f>
        <v>911.57636794579628</v>
      </c>
      <c r="H68" s="101">
        <f>IF(TrRoad_act!H44=0,0,H31/TrRoad_act!H44*1000
)</f>
        <v>884.58963860983829</v>
      </c>
      <c r="I68" s="101">
        <f>IF(TrRoad_act!I44=0,0,I31/TrRoad_act!I44*1000
)</f>
        <v>978.51644969471772</v>
      </c>
      <c r="J68" s="101">
        <f>IF(TrRoad_act!J44=0,0,J31/TrRoad_act!J44*1000
)</f>
        <v>988.99080082642399</v>
      </c>
      <c r="K68" s="101">
        <f>IF(TrRoad_act!K44=0,0,K31/TrRoad_act!K44*1000
)</f>
        <v>1023.9351643254187</v>
      </c>
      <c r="L68" s="101">
        <f>IF(TrRoad_act!L44=0,0,L31/TrRoad_act!L44*1000
)</f>
        <v>1120.925972954997</v>
      </c>
      <c r="M68" s="101">
        <f>IF(TrRoad_act!M44=0,0,M31/TrRoad_act!M44*1000
)</f>
        <v>1084.8546680387155</v>
      </c>
      <c r="N68" s="101">
        <f>IF(TrRoad_act!N44=0,0,N31/TrRoad_act!N44*1000
)</f>
        <v>1200.2391922529678</v>
      </c>
      <c r="O68" s="101">
        <f>IF(TrRoad_act!O44=0,0,O31/TrRoad_act!O44*1000
)</f>
        <v>840.13980568442855</v>
      </c>
      <c r="P68" s="101">
        <f>IF(TrRoad_act!P44=0,0,P31/TrRoad_act!P44*1000
)</f>
        <v>462.95512232279521</v>
      </c>
      <c r="Q68" s="101">
        <f>IF(TrRoad_act!Q44=0,0,Q31/TrRoad_act!Q44*1000
)</f>
        <v>736.86114037103562</v>
      </c>
      <c r="R68" s="101">
        <f>IF(TrRoad_act!R44=0,0,R31/TrRoad_act!R44*1000
)</f>
        <v>916.79543833951129</v>
      </c>
      <c r="S68" s="101">
        <f>IF(TrRoad_act!S44=0,0,S31/TrRoad_act!S44*1000
)</f>
        <v>903.6725933880324</v>
      </c>
      <c r="T68" s="101">
        <f>IF(TrRoad_act!T44=0,0,T31/TrRoad_act!T44*1000
)</f>
        <v>892.53909111180349</v>
      </c>
      <c r="U68" s="101">
        <f>IF(TrRoad_act!U44=0,0,U31/TrRoad_act!U44*1000
)</f>
        <v>922.20255408410094</v>
      </c>
      <c r="V68" s="101">
        <f>IF(TrRoad_act!V44=0,0,V31/TrRoad_act!V44*1000
)</f>
        <v>822.97435684489471</v>
      </c>
      <c r="W68" s="101">
        <f>IF(TrRoad_act!W44=0,0,W31/TrRoad_act!W44*1000
)</f>
        <v>955.63559639881794</v>
      </c>
      <c r="X68" s="101">
        <f>IF(TrRoad_act!X44=0,0,X31/TrRoad_act!X44*1000
)</f>
        <v>905.19977941636876</v>
      </c>
      <c r="Y68" s="101">
        <f>IF(TrRoad_act!Y44=0,0,Y31/TrRoad_act!Y44*1000
)</f>
        <v>926.57657136183525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533.53566108268262</v>
      </c>
      <c r="C70" s="29">
        <f>IF(TrRoad_act!C46=0,0,C33/TrRoad_act!C46*1000
)</f>
        <v>579.11071655469618</v>
      </c>
      <c r="D70" s="29">
        <f>IF(TrRoad_act!D46=0,0,D33/TrRoad_act!D46*1000
)</f>
        <v>541.01816306111346</v>
      </c>
      <c r="E70" s="29">
        <f>IF(TrRoad_act!E46=0,0,E33/TrRoad_act!E46*1000
)</f>
        <v>642.31963733859823</v>
      </c>
      <c r="F70" s="29">
        <f>IF(TrRoad_act!F46=0,0,F33/TrRoad_act!F46*1000
)</f>
        <v>604.63850352772511</v>
      </c>
      <c r="G70" s="29">
        <f>IF(TrRoad_act!G46=0,0,G33/TrRoad_act!G46*1000
)</f>
        <v>656.18445438462049</v>
      </c>
      <c r="H70" s="29">
        <f>IF(TrRoad_act!H46=0,0,H33/TrRoad_act!H46*1000
)</f>
        <v>606.28740688663299</v>
      </c>
      <c r="I70" s="29">
        <f>IF(TrRoad_act!I46=0,0,I33/TrRoad_act!I46*1000
)</f>
        <v>529.42288153852212</v>
      </c>
      <c r="J70" s="29">
        <f>IF(TrRoad_act!J46=0,0,J33/TrRoad_act!J46*1000
)</f>
        <v>524.61102538300725</v>
      </c>
      <c r="K70" s="29">
        <f>IF(TrRoad_act!K46=0,0,K33/TrRoad_act!K46*1000
)</f>
        <v>477.49151624521477</v>
      </c>
      <c r="L70" s="29">
        <f>IF(TrRoad_act!L46=0,0,L33/TrRoad_act!L46*1000
)</f>
        <v>469.66049862345636</v>
      </c>
      <c r="M70" s="29">
        <f>IF(TrRoad_act!M46=0,0,M33/TrRoad_act!M46*1000
)</f>
        <v>447.60797064797021</v>
      </c>
      <c r="N70" s="29">
        <f>IF(TrRoad_act!N46=0,0,N33/TrRoad_act!N46*1000
)</f>
        <v>434.42334635967291</v>
      </c>
      <c r="O70" s="29">
        <f>IF(TrRoad_act!O46=0,0,O33/TrRoad_act!O46*1000
)</f>
        <v>385.24422359855407</v>
      </c>
      <c r="P70" s="29">
        <f>IF(TrRoad_act!P46=0,0,P33/TrRoad_act!P46*1000
)</f>
        <v>414.60122469974959</v>
      </c>
      <c r="Q70" s="29">
        <f>IF(TrRoad_act!Q46=0,0,Q33/TrRoad_act!Q46*1000
)</f>
        <v>414.67564848209065</v>
      </c>
      <c r="R70" s="29">
        <f>IF(TrRoad_act!R46=0,0,R33/TrRoad_act!R46*1000
)</f>
        <v>418.26279397446814</v>
      </c>
      <c r="S70" s="29">
        <f>IF(TrRoad_act!S46=0,0,S33/TrRoad_act!S46*1000
)</f>
        <v>452.31639722150777</v>
      </c>
      <c r="T70" s="29">
        <f>IF(TrRoad_act!T46=0,0,T33/TrRoad_act!T46*1000
)</f>
        <v>453.4442404843922</v>
      </c>
      <c r="U70" s="29">
        <f>IF(TrRoad_act!U46=0,0,U33/TrRoad_act!U46*1000
)</f>
        <v>435.27393472523988</v>
      </c>
      <c r="V70" s="29">
        <f>IF(TrRoad_act!V46=0,0,V33/TrRoad_act!V46*1000
)</f>
        <v>449.08306584659465</v>
      </c>
      <c r="W70" s="29">
        <f>IF(TrRoad_act!W46=0,0,W33/TrRoad_act!W46*1000
)</f>
        <v>498.22866314338694</v>
      </c>
      <c r="X70" s="29">
        <f>IF(TrRoad_act!X46=0,0,X33/TrRoad_act!X46*1000
)</f>
        <v>486.44058611297157</v>
      </c>
      <c r="Y70" s="29">
        <f>IF(TrRoad_act!Y46=0,0,Y33/TrRoad_act!Y46*1000
)</f>
        <v>511.40550014072807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306.8482194996588</v>
      </c>
      <c r="C71" s="152">
        <f>IF(TrRoad_act!C47=0,0,C34/TrRoad_act!C47*1000
)</f>
        <v>306.60644308799698</v>
      </c>
      <c r="D71" s="152">
        <f>IF(TrRoad_act!D47=0,0,D34/TrRoad_act!D47*1000
)</f>
        <v>304.54414505831835</v>
      </c>
      <c r="E71" s="152">
        <f>IF(TrRoad_act!E47=0,0,E34/TrRoad_act!E47*1000
)</f>
        <v>292.24448405222756</v>
      </c>
      <c r="F71" s="152">
        <f>IF(TrRoad_act!F47=0,0,F34/TrRoad_act!F47*1000
)</f>
        <v>276.43439968286992</v>
      </c>
      <c r="G71" s="152">
        <f>IF(TrRoad_act!G47=0,0,G34/TrRoad_act!G47*1000
)</f>
        <v>272.16475006655048</v>
      </c>
      <c r="H71" s="152">
        <f>IF(TrRoad_act!H47=0,0,H34/TrRoad_act!H47*1000
)</f>
        <v>259.34724196177979</v>
      </c>
      <c r="I71" s="152">
        <f>IF(TrRoad_act!I47=0,0,I34/TrRoad_act!I47*1000
)</f>
        <v>251.55520596842024</v>
      </c>
      <c r="J71" s="152">
        <f>IF(TrRoad_act!J47=0,0,J34/TrRoad_act!J47*1000
)</f>
        <v>246.10426009170956</v>
      </c>
      <c r="K71" s="152">
        <f>IF(TrRoad_act!K47=0,0,K34/TrRoad_act!K47*1000
)</f>
        <v>242.45005040720292</v>
      </c>
      <c r="L71" s="152">
        <f>IF(TrRoad_act!L47=0,0,L34/TrRoad_act!L47*1000
)</f>
        <v>237.74650937296084</v>
      </c>
      <c r="M71" s="152">
        <f>IF(TrRoad_act!M47=0,0,M34/TrRoad_act!M47*1000
)</f>
        <v>235.71426250029097</v>
      </c>
      <c r="N71" s="152">
        <f>IF(TrRoad_act!N47=0,0,N34/TrRoad_act!N47*1000
)</f>
        <v>224.20171706186701</v>
      </c>
      <c r="O71" s="152">
        <f>IF(TrRoad_act!O47=0,0,O34/TrRoad_act!O47*1000
)</f>
        <v>218.91478748089304</v>
      </c>
      <c r="P71" s="152">
        <f>IF(TrRoad_act!P47=0,0,P34/TrRoad_act!P47*1000
)</f>
        <v>218.34067798065604</v>
      </c>
      <c r="Q71" s="152">
        <f>IF(TrRoad_act!Q47=0,0,Q34/TrRoad_act!Q47*1000
)</f>
        <v>215.47861836846332</v>
      </c>
      <c r="R71" s="152">
        <f>IF(TrRoad_act!R47=0,0,R34/TrRoad_act!R47*1000
)</f>
        <v>210.7955881807145</v>
      </c>
      <c r="S71" s="152">
        <f>IF(TrRoad_act!S47=0,0,S34/TrRoad_act!S47*1000
)</f>
        <v>207.76889081449286</v>
      </c>
      <c r="T71" s="152">
        <f>IF(TrRoad_act!T47=0,0,T34/TrRoad_act!T47*1000
)</f>
        <v>206.5120751030461</v>
      </c>
      <c r="U71" s="152">
        <f>IF(TrRoad_act!U47=0,0,U34/TrRoad_act!U47*1000
)</f>
        <v>204.67836623742534</v>
      </c>
      <c r="V71" s="152">
        <f>IF(TrRoad_act!V47=0,0,V34/TrRoad_act!V47*1000
)</f>
        <v>203.69036942673276</v>
      </c>
      <c r="W71" s="152">
        <f>IF(TrRoad_act!W47=0,0,W34/TrRoad_act!W47*1000
)</f>
        <v>206.31391126798539</v>
      </c>
      <c r="X71" s="152">
        <f>IF(TrRoad_act!X47=0,0,X34/TrRoad_act!X47*1000
)</f>
        <v>205.27535404499605</v>
      </c>
      <c r="Y71" s="152">
        <f>IF(TrRoad_act!Y47=0,0,Y34/TrRoad_act!Y47*1000
)</f>
        <v>208.5028184784251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348.62316815012105</v>
      </c>
      <c r="C72" s="87">
        <f>IF(TrRoad_act!C48=0,0,C35/TrRoad_act!C48*1000
)</f>
        <v>344.40256522093739</v>
      </c>
      <c r="D72" s="87">
        <f>IF(TrRoad_act!D48=0,0,D35/TrRoad_act!D48*1000
)</f>
        <v>339.78348643806311</v>
      </c>
      <c r="E72" s="87">
        <f>IF(TrRoad_act!E48=0,0,E35/TrRoad_act!E48*1000
)</f>
        <v>334.85622196114298</v>
      </c>
      <c r="F72" s="87">
        <f>IF(TrRoad_act!F48=0,0,F35/TrRoad_act!F48*1000
)</f>
        <v>330.23941621659418</v>
      </c>
      <c r="G72" s="87">
        <f>IF(TrRoad_act!G48=0,0,G35/TrRoad_act!G48*1000
)</f>
        <v>327.778071065098</v>
      </c>
      <c r="H72" s="87">
        <f>IF(TrRoad_act!H48=0,0,H35/TrRoad_act!H48*1000
)</f>
        <v>326.25643503760983</v>
      </c>
      <c r="I72" s="87">
        <f>IF(TrRoad_act!I48=0,0,I35/TrRoad_act!I48*1000
)</f>
        <v>324.45335505501151</v>
      </c>
      <c r="J72" s="87">
        <f>IF(TrRoad_act!J48=0,0,J35/TrRoad_act!J48*1000
)</f>
        <v>322.07290710127188</v>
      </c>
      <c r="K72" s="87">
        <f>IF(TrRoad_act!K48=0,0,K35/TrRoad_act!K48*1000
)</f>
        <v>320.01572495893629</v>
      </c>
      <c r="L72" s="87">
        <f>IF(TrRoad_act!L48=0,0,L35/TrRoad_act!L48*1000
)</f>
        <v>314.22848506518272</v>
      </c>
      <c r="M72" s="87">
        <f>IF(TrRoad_act!M48=0,0,M35/TrRoad_act!M48*1000
)</f>
        <v>310.47484904774581</v>
      </c>
      <c r="N72" s="87">
        <f>IF(TrRoad_act!N48=0,0,N35/TrRoad_act!N48*1000
)</f>
        <v>299.95163130244299</v>
      </c>
      <c r="O72" s="87">
        <f>IF(TrRoad_act!O48=0,0,O35/TrRoad_act!O48*1000
)</f>
        <v>285.86978301141141</v>
      </c>
      <c r="P72" s="87">
        <f>IF(TrRoad_act!P48=0,0,P35/TrRoad_act!P48*1000
)</f>
        <v>266.37632905705334</v>
      </c>
      <c r="Q72" s="87">
        <f>IF(TrRoad_act!Q48=0,0,Q35/TrRoad_act!Q48*1000
)</f>
        <v>245.97210829351755</v>
      </c>
      <c r="R72" s="87">
        <f>IF(TrRoad_act!R48=0,0,R35/TrRoad_act!R48*1000
)</f>
        <v>230.65403900436203</v>
      </c>
      <c r="S72" s="87">
        <f>IF(TrRoad_act!S48=0,0,S35/TrRoad_act!S48*1000
)</f>
        <v>223.17125863556717</v>
      </c>
      <c r="T72" s="87">
        <f>IF(TrRoad_act!T48=0,0,T35/TrRoad_act!T48*1000
)</f>
        <v>211.04556458017467</v>
      </c>
      <c r="U72" s="87">
        <f>IF(TrRoad_act!U48=0,0,U35/TrRoad_act!U48*1000
)</f>
        <v>204.71965625125495</v>
      </c>
      <c r="V72" s="87">
        <f>IF(TrRoad_act!V48=0,0,V35/TrRoad_act!V48*1000
)</f>
        <v>205.03730946480547</v>
      </c>
      <c r="W72" s="87">
        <f>IF(TrRoad_act!W48=0,0,W35/TrRoad_act!W48*1000
)</f>
        <v>207.26270794890505</v>
      </c>
      <c r="X72" s="87">
        <f>IF(TrRoad_act!X48=0,0,X35/TrRoad_act!X48*1000
)</f>
        <v>206.45713297578493</v>
      </c>
      <c r="Y72" s="87">
        <f>IF(TrRoad_act!Y48=0,0,Y35/TrRoad_act!Y48*1000
)</f>
        <v>204.89214043100745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296.682542799023</v>
      </c>
      <c r="C73" s="87">
        <f>IF(TrRoad_act!C49=0,0,C36/TrRoad_act!C49*1000
)</f>
        <v>296.68254279902294</v>
      </c>
      <c r="D73" s="87">
        <f>IF(TrRoad_act!D49=0,0,D36/TrRoad_act!D49*1000
)</f>
        <v>295.20153603168183</v>
      </c>
      <c r="E73" s="87">
        <f>IF(TrRoad_act!E49=0,0,E36/TrRoad_act!E49*1000
)</f>
        <v>281.83623565794431</v>
      </c>
      <c r="F73" s="87">
        <f>IF(TrRoad_act!F49=0,0,F36/TrRoad_act!F49*1000
)</f>
        <v>265.28964830715</v>
      </c>
      <c r="G73" s="87">
        <f>IF(TrRoad_act!G49=0,0,G36/TrRoad_act!G49*1000
)</f>
        <v>260.99073401177861</v>
      </c>
      <c r="H73" s="87">
        <f>IF(TrRoad_act!H49=0,0,H36/TrRoad_act!H49*1000
)</f>
        <v>249.20131515446417</v>
      </c>
      <c r="I73" s="87">
        <f>IF(TrRoad_act!I49=0,0,I36/TrRoad_act!I49*1000
)</f>
        <v>243.12488571545063</v>
      </c>
      <c r="J73" s="87">
        <f>IF(TrRoad_act!J49=0,0,J36/TrRoad_act!J49*1000
)</f>
        <v>239.12227988964014</v>
      </c>
      <c r="K73" s="87">
        <f>IF(TrRoad_act!K49=0,0,K36/TrRoad_act!K49*1000
)</f>
        <v>236.53677606304737</v>
      </c>
      <c r="L73" s="87">
        <f>IF(TrRoad_act!L49=0,0,L36/TrRoad_act!L49*1000
)</f>
        <v>233.24086385619066</v>
      </c>
      <c r="M73" s="87">
        <f>IF(TrRoad_act!M49=0,0,M36/TrRoad_act!M49*1000
)</f>
        <v>231.37591238135275</v>
      </c>
      <c r="N73" s="87">
        <f>IF(TrRoad_act!N49=0,0,N36/TrRoad_act!N49*1000
)</f>
        <v>220.20935247517895</v>
      </c>
      <c r="O73" s="87">
        <f>IF(TrRoad_act!O49=0,0,O36/TrRoad_act!O49*1000
)</f>
        <v>215.58857609309149</v>
      </c>
      <c r="P73" s="87">
        <f>IF(TrRoad_act!P49=0,0,P36/TrRoad_act!P49*1000
)</f>
        <v>216.16501826000419</v>
      </c>
      <c r="Q73" s="87">
        <f>IF(TrRoad_act!Q49=0,0,Q36/TrRoad_act!Q49*1000
)</f>
        <v>213.94521813617058</v>
      </c>
      <c r="R73" s="87">
        <f>IF(TrRoad_act!R49=0,0,R36/TrRoad_act!R49*1000
)</f>
        <v>209.75452288957894</v>
      </c>
      <c r="S73" s="87">
        <f>IF(TrRoad_act!S49=0,0,S36/TrRoad_act!S49*1000
)</f>
        <v>206.77633645289694</v>
      </c>
      <c r="T73" s="87">
        <f>IF(TrRoad_act!T49=0,0,T36/TrRoad_act!T49*1000
)</f>
        <v>206.14181888913038</v>
      </c>
      <c r="U73" s="87">
        <f>IF(TrRoad_act!U49=0,0,U36/TrRoad_act!U49*1000
)</f>
        <v>204.50696838026806</v>
      </c>
      <c r="V73" s="87">
        <f>IF(TrRoad_act!V49=0,0,V36/TrRoad_act!V49*1000
)</f>
        <v>203.37972649957183</v>
      </c>
      <c r="W73" s="87">
        <f>IF(TrRoad_act!W49=0,0,W36/TrRoad_act!W49*1000
)</f>
        <v>206.0278302690395</v>
      </c>
      <c r="X73" s="87">
        <f>IF(TrRoad_act!X49=0,0,X36/TrRoad_act!X49*1000
)</f>
        <v>204.93889268092295</v>
      </c>
      <c r="Y73" s="87">
        <f>IF(TrRoad_act!Y49=0,0,Y36/TrRoad_act!Y49*1000
)</f>
        <v>208.74580030959342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267.50283272236607</v>
      </c>
      <c r="S74" s="87">
        <f>IF(TrRoad_act!S50=0,0,S37/TrRoad_act!S50*1000
)</f>
        <v>241.90029173591464</v>
      </c>
      <c r="T74" s="87">
        <f>IF(TrRoad_act!T50=0,0,T37/TrRoad_act!T50*1000
)</f>
        <v>238.01246994538775</v>
      </c>
      <c r="U74" s="87">
        <f>IF(TrRoad_act!U50=0,0,U37/TrRoad_act!U50*1000
)</f>
        <v>240.38499618867453</v>
      </c>
      <c r="V74" s="87">
        <f>IF(TrRoad_act!V50=0,0,V37/TrRoad_act!V50*1000
)</f>
        <v>235.62105545235354</v>
      </c>
      <c r="W74" s="87">
        <f>IF(TrRoad_act!W50=0,0,W37/TrRoad_act!W50*1000
)</f>
        <v>230.7586019240089</v>
      </c>
      <c r="X74" s="87">
        <f>IF(TrRoad_act!X50=0,0,X37/TrRoad_act!X50*1000
)</f>
        <v>230.77928986963656</v>
      </c>
      <c r="Y74" s="87">
        <f>IF(TrRoad_act!Y50=0,0,Y37/TrRoad_act!Y50*1000
)</f>
        <v>229.70709539338966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135.38495192871522</v>
      </c>
      <c r="S75" s="87">
        <f>IF(TrRoad_act!S51=0,0,S38/TrRoad_act!S51*1000
)</f>
        <v>140.92241359059858</v>
      </c>
      <c r="T75" s="87">
        <f>IF(TrRoad_act!T51=0,0,T38/TrRoad_act!T51*1000
)</f>
        <v>148.36725133664854</v>
      </c>
      <c r="U75" s="87">
        <f>IF(TrRoad_act!U51=0,0,U38/TrRoad_act!U51*1000
)</f>
        <v>149.58668429747078</v>
      </c>
      <c r="V75" s="87">
        <f>IF(TrRoad_act!V51=0,0,V38/TrRoad_act!V51*1000
)</f>
        <v>165.87033740257601</v>
      </c>
      <c r="W75" s="87">
        <f>IF(TrRoad_act!W51=0,0,W38/TrRoad_act!W51*1000
)</f>
        <v>174.77071253432206</v>
      </c>
      <c r="X75" s="87">
        <f>IF(TrRoad_act!X51=0,0,X38/TrRoad_act!X51*1000
)</f>
        <v>174.17512912697896</v>
      </c>
      <c r="Y75" s="87">
        <f>IF(TrRoad_act!Y51=0,0,Y38/TrRoad_act!Y51*1000
)</f>
        <v>174.70213487842298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999.33450624912007</v>
      </c>
      <c r="C77" s="116">
        <f>IF(TrRoad_act!C53=0,0,C40/TrRoad_act!C53*1000
)</f>
        <v>1073.6131322544668</v>
      </c>
      <c r="D77" s="116">
        <f>IF(TrRoad_act!D53=0,0,D40/TrRoad_act!D53*1000
)</f>
        <v>970.44277154825818</v>
      </c>
      <c r="E77" s="116">
        <f>IF(TrRoad_act!E53=0,0,E40/TrRoad_act!E53*1000
)</f>
        <v>1160.7366715038027</v>
      </c>
      <c r="F77" s="116">
        <f>IF(TrRoad_act!F53=0,0,F40/TrRoad_act!F53*1000
)</f>
        <v>1099.0929175269625</v>
      </c>
      <c r="G77" s="116">
        <f>IF(TrRoad_act!G53=0,0,G40/TrRoad_act!G53*1000
)</f>
        <v>1162.074002711239</v>
      </c>
      <c r="H77" s="116">
        <f>IF(TrRoad_act!H53=0,0,H40/TrRoad_act!H53*1000
)</f>
        <v>1082.238863704805</v>
      </c>
      <c r="I77" s="116">
        <f>IF(TrRoad_act!I53=0,0,I40/TrRoad_act!I53*1000
)</f>
        <v>982.67434923702012</v>
      </c>
      <c r="J77" s="116">
        <f>IF(TrRoad_act!J53=0,0,J40/TrRoad_act!J53*1000
)</f>
        <v>990.5973018281469</v>
      </c>
      <c r="K77" s="116">
        <f>IF(TrRoad_act!K53=0,0,K40/TrRoad_act!K53*1000
)</f>
        <v>924.9377464923266</v>
      </c>
      <c r="L77" s="116">
        <f>IF(TrRoad_act!L53=0,0,L40/TrRoad_act!L53*1000
)</f>
        <v>918.79946601351241</v>
      </c>
      <c r="M77" s="116">
        <f>IF(TrRoad_act!M53=0,0,M40/TrRoad_act!M53*1000
)</f>
        <v>883.79514433011514</v>
      </c>
      <c r="N77" s="116">
        <f>IF(TrRoad_act!N53=0,0,N40/TrRoad_act!N53*1000
)</f>
        <v>909.04435385877684</v>
      </c>
      <c r="O77" s="116">
        <f>IF(TrRoad_act!O53=0,0,O40/TrRoad_act!O53*1000
)</f>
        <v>732.9795517469737</v>
      </c>
      <c r="P77" s="116">
        <f>IF(TrRoad_act!P53=0,0,P40/TrRoad_act!P53*1000
)</f>
        <v>871.13995320520723</v>
      </c>
      <c r="Q77" s="116">
        <f>IF(TrRoad_act!Q53=0,0,Q40/TrRoad_act!Q53*1000
)</f>
        <v>891.23939639837465</v>
      </c>
      <c r="R77" s="116">
        <f>IF(TrRoad_act!R53=0,0,R40/TrRoad_act!R53*1000
)</f>
        <v>920.76284835892625</v>
      </c>
      <c r="S77" s="116">
        <f>IF(TrRoad_act!S53=0,0,S40/TrRoad_act!S53*1000
)</f>
        <v>949.61798292893491</v>
      </c>
      <c r="T77" s="116">
        <f>IF(TrRoad_act!T53=0,0,T40/TrRoad_act!T53*1000
)</f>
        <v>1016.2753948464609</v>
      </c>
      <c r="U77" s="116">
        <f>IF(TrRoad_act!U53=0,0,U40/TrRoad_act!U53*1000
)</f>
        <v>1087.8000789867347</v>
      </c>
      <c r="V77" s="116">
        <f>IF(TrRoad_act!V53=0,0,V40/TrRoad_act!V53*1000
)</f>
        <v>975.23113490987544</v>
      </c>
      <c r="W77" s="116">
        <f>IF(TrRoad_act!W53=0,0,W40/TrRoad_act!W53*1000
)</f>
        <v>996.54902324629211</v>
      </c>
      <c r="X77" s="116">
        <f>IF(TrRoad_act!X53=0,0,X40/TrRoad_act!X53*1000
)</f>
        <v>957.62634679393273</v>
      </c>
      <c r="Y77" s="116">
        <f>IF(TrRoad_act!Y53=0,0,Y40/TrRoad_act!Y53*1000
)</f>
        <v>942.92726788940843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730.34807287216302</v>
      </c>
      <c r="C78" s="101">
        <f>IF(TrRoad_act!C54=0,0,C41/TrRoad_act!C54*1000
)</f>
        <v>912.60939838617844</v>
      </c>
      <c r="D78" s="101">
        <f>IF(TrRoad_act!D54=0,0,D41/TrRoad_act!D54*1000
)</f>
        <v>689.63436560084756</v>
      </c>
      <c r="E78" s="101">
        <f>IF(TrRoad_act!E54=0,0,E41/TrRoad_act!E54*1000
)</f>
        <v>1135.965499884195</v>
      </c>
      <c r="F78" s="101">
        <f>IF(TrRoad_act!F54=0,0,F41/TrRoad_act!F54*1000
)</f>
        <v>1040.0169280752446</v>
      </c>
      <c r="G78" s="101">
        <f>IF(TrRoad_act!G54=0,0,G41/TrRoad_act!G54*1000
)</f>
        <v>1155.9203500040351</v>
      </c>
      <c r="H78" s="101">
        <f>IF(TrRoad_act!H54=0,0,H41/TrRoad_act!H54*1000
)</f>
        <v>1043.9896760889533</v>
      </c>
      <c r="I78" s="101">
        <f>IF(TrRoad_act!I54=0,0,I41/TrRoad_act!I54*1000
)</f>
        <v>902.71987879283961</v>
      </c>
      <c r="J78" s="101">
        <f>IF(TrRoad_act!J54=0,0,J41/TrRoad_act!J54*1000
)</f>
        <v>960.33498475774081</v>
      </c>
      <c r="K78" s="101">
        <f>IF(TrRoad_act!K54=0,0,K41/TrRoad_act!K54*1000
)</f>
        <v>877.77533904770678</v>
      </c>
      <c r="L78" s="101">
        <f>IF(TrRoad_act!L54=0,0,L41/TrRoad_act!L54*1000
)</f>
        <v>866.27411422743592</v>
      </c>
      <c r="M78" s="101">
        <f>IF(TrRoad_act!M54=0,0,M41/TrRoad_act!M54*1000
)</f>
        <v>815.63363630308413</v>
      </c>
      <c r="N78" s="101">
        <f>IF(TrRoad_act!N54=0,0,N41/TrRoad_act!N54*1000
)</f>
        <v>865.67547659274601</v>
      </c>
      <c r="O78" s="101">
        <f>IF(TrRoad_act!O54=0,0,O41/TrRoad_act!O54*1000
)</f>
        <v>622.88492969197239</v>
      </c>
      <c r="P78" s="101">
        <f>IF(TrRoad_act!P54=0,0,P41/TrRoad_act!P54*1000
)</f>
        <v>809.11876986174809</v>
      </c>
      <c r="Q78" s="101">
        <f>IF(TrRoad_act!Q54=0,0,Q41/TrRoad_act!Q54*1000
)</f>
        <v>834.53693817377859</v>
      </c>
      <c r="R78" s="101">
        <f>IF(TrRoad_act!R54=0,0,R41/TrRoad_act!R54*1000
)</f>
        <v>879.68463863239685</v>
      </c>
      <c r="S78" s="101">
        <f>IF(TrRoad_act!S54=0,0,S41/TrRoad_act!S54*1000
)</f>
        <v>923.71016530241525</v>
      </c>
      <c r="T78" s="101">
        <f>IF(TrRoad_act!T54=0,0,T41/TrRoad_act!T54*1000
)</f>
        <v>1010.8265841778614</v>
      </c>
      <c r="U78" s="101">
        <f>IF(TrRoad_act!U54=0,0,U41/TrRoad_act!U54*1000
)</f>
        <v>1111.059627679153</v>
      </c>
      <c r="V78" s="101">
        <f>IF(TrRoad_act!V54=0,0,V41/TrRoad_act!V54*1000
)</f>
        <v>958.52775951381022</v>
      </c>
      <c r="W78" s="101">
        <f>IF(TrRoad_act!W54=0,0,W41/TrRoad_act!W54*1000
)</f>
        <v>985.78253897863522</v>
      </c>
      <c r="X78" s="101">
        <f>IF(TrRoad_act!X54=0,0,X41/TrRoad_act!X54*1000
)</f>
        <v>928.48465532968987</v>
      </c>
      <c r="Y78" s="101">
        <f>IF(TrRoad_act!Y54=0,0,Y41/TrRoad_act!Y54*1000
)</f>
        <v>905.85452468299127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1281.6727437179641</v>
      </c>
      <c r="C79" s="88">
        <f>IF(TrRoad_act!C55=0,0,C42/TrRoad_act!C55*1000
)</f>
        <v>1250.1784380098657</v>
      </c>
      <c r="D79" s="88">
        <f>IF(TrRoad_act!D55=0,0,D42/TrRoad_act!D55*1000
)</f>
        <v>1262.1714945398248</v>
      </c>
      <c r="E79" s="88">
        <f>IF(TrRoad_act!E55=0,0,E42/TrRoad_act!E55*1000
)</f>
        <v>1202.8918368153693</v>
      </c>
      <c r="F79" s="88">
        <f>IF(TrRoad_act!F55=0,0,F42/TrRoad_act!F55*1000
)</f>
        <v>1196.9216375934895</v>
      </c>
      <c r="G79" s="88">
        <f>IF(TrRoad_act!G55=0,0,G42/TrRoad_act!G55*1000
)</f>
        <v>1172.9014000983066</v>
      </c>
      <c r="H79" s="88">
        <f>IF(TrRoad_act!H55=0,0,H42/TrRoad_act!H55*1000
)</f>
        <v>1175.7928772055488</v>
      </c>
      <c r="I79" s="88">
        <f>IF(TrRoad_act!I55=0,0,I42/TrRoad_act!I55*1000
)</f>
        <v>1195.5019002787849</v>
      </c>
      <c r="J79" s="88">
        <f>IF(TrRoad_act!J55=0,0,J42/TrRoad_act!J55*1000
)</f>
        <v>1158.5985598737443</v>
      </c>
      <c r="K79" s="88">
        <f>IF(TrRoad_act!K55=0,0,K42/TrRoad_act!K55*1000
)</f>
        <v>1169.0706121571468</v>
      </c>
      <c r="L79" s="88">
        <f>IF(TrRoad_act!L55=0,0,L42/TrRoad_act!L55*1000
)</f>
        <v>1153.1630343659792</v>
      </c>
      <c r="M79" s="88">
        <f>IF(TrRoad_act!M55=0,0,M42/TrRoad_act!M55*1000
)</f>
        <v>1151.6914201928209</v>
      </c>
      <c r="N79" s="88">
        <f>IF(TrRoad_act!N55=0,0,N42/TrRoad_act!N55*1000
)</f>
        <v>1087.7319927238254</v>
      </c>
      <c r="O79" s="88">
        <f>IF(TrRoad_act!O55=0,0,O42/TrRoad_act!O55*1000
)</f>
        <v>1107.2717548784258</v>
      </c>
      <c r="P79" s="88">
        <f>IF(TrRoad_act!P55=0,0,P42/TrRoad_act!P55*1000
)</f>
        <v>1085.5587899053648</v>
      </c>
      <c r="Q79" s="88">
        <f>IF(TrRoad_act!Q55=0,0,Q42/TrRoad_act!Q55*1000
)</f>
        <v>1074.574150170133</v>
      </c>
      <c r="R79" s="88">
        <f>IF(TrRoad_act!R55=0,0,R42/TrRoad_act!R55*1000
)</f>
        <v>1056.4784739872889</v>
      </c>
      <c r="S79" s="88">
        <f>IF(TrRoad_act!S55=0,0,S42/TrRoad_act!S55*1000
)</f>
        <v>1042.9226032208044</v>
      </c>
      <c r="T79" s="88">
        <f>IF(TrRoad_act!T55=0,0,T42/TrRoad_act!T55*1000
)</f>
        <v>1035.5400797646159</v>
      </c>
      <c r="U79" s="88">
        <f>IF(TrRoad_act!U55=0,0,U42/TrRoad_act!U55*1000
)</f>
        <v>1016.4060463361884</v>
      </c>
      <c r="V79" s="88">
        <f>IF(TrRoad_act!V55=0,0,V42/TrRoad_act!V55*1000
)</f>
        <v>1029.2680332900309</v>
      </c>
      <c r="W79" s="88">
        <f>IF(TrRoad_act!W55=0,0,W42/TrRoad_act!W55*1000
)</f>
        <v>1032.9138647360442</v>
      </c>
      <c r="X79" s="88">
        <f>IF(TrRoad_act!X55=0,0,X42/TrRoad_act!X55*1000
)</f>
        <v>1030.5045663856572</v>
      </c>
      <c r="Y79" s="88">
        <f>IF(TrRoad_act!Y55=0,0,Y42/TrRoad_act!Y55*1000
)</f>
        <v>1042.4499450891212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93.16958188563305</v>
      </c>
      <c r="C82" s="29">
        <f>IF(TrRoad_act!C4=0,0,C18/TrRoad_act!C4*1000)</f>
        <v>92.011603434065407</v>
      </c>
      <c r="D82" s="29">
        <f>IF(TrRoad_act!D4=0,0,D18/TrRoad_act!D4*1000)</f>
        <v>92.426897451177197</v>
      </c>
      <c r="E82" s="29">
        <f>IF(TrRoad_act!E4=0,0,E18/TrRoad_act!E4*1000)</f>
        <v>101.30134685936008</v>
      </c>
      <c r="F82" s="29">
        <f>IF(TrRoad_act!F4=0,0,F18/TrRoad_act!F4*1000)</f>
        <v>104.49948925908276</v>
      </c>
      <c r="G82" s="29">
        <f>IF(TrRoad_act!G4=0,0,G18/TrRoad_act!G4*1000)</f>
        <v>108.60691280882547</v>
      </c>
      <c r="H82" s="29">
        <f>IF(TrRoad_act!H4=0,0,H18/TrRoad_act!H4*1000)</f>
        <v>110.74083241029993</v>
      </c>
      <c r="I82" s="29">
        <f>IF(TrRoad_act!I4=0,0,I18/TrRoad_act!I4*1000)</f>
        <v>99.916758195951772</v>
      </c>
      <c r="J82" s="29">
        <f>IF(TrRoad_act!J4=0,0,J18/TrRoad_act!J4*1000)</f>
        <v>99.555927771989289</v>
      </c>
      <c r="K82" s="29">
        <f>IF(TrRoad_act!K4=0,0,K18/TrRoad_act!K4*1000)</f>
        <v>101.66508405534941</v>
      </c>
      <c r="L82" s="29">
        <f>IF(TrRoad_act!L4=0,0,L18/TrRoad_act!L4*1000)</f>
        <v>97.594803459064039</v>
      </c>
      <c r="M82" s="29">
        <f>IF(TrRoad_act!M4=0,0,M18/TrRoad_act!M4*1000)</f>
        <v>95.180792924532895</v>
      </c>
      <c r="N82" s="29">
        <f>IF(TrRoad_act!N4=0,0,N18/TrRoad_act!N4*1000)</f>
        <v>97.607119574488038</v>
      </c>
      <c r="O82" s="29">
        <f>IF(TrRoad_act!O4=0,0,O18/TrRoad_act!O4*1000)</f>
        <v>83.439597660891906</v>
      </c>
      <c r="P82" s="29">
        <f>IF(TrRoad_act!P4=0,0,P18/TrRoad_act!P4*1000)</f>
        <v>90.401808052486984</v>
      </c>
      <c r="Q82" s="29">
        <f>IF(TrRoad_act!Q4=0,0,Q18/TrRoad_act!Q4*1000)</f>
        <v>93.895581709780132</v>
      </c>
      <c r="R82" s="29">
        <f>IF(TrRoad_act!R4=0,0,R18/TrRoad_act!R4*1000)</f>
        <v>96.313710506398564</v>
      </c>
      <c r="S82" s="29">
        <f>IF(TrRoad_act!S4=0,0,S18/TrRoad_act!S4*1000)</f>
        <v>98.838202430368412</v>
      </c>
      <c r="T82" s="29">
        <f>IF(TrRoad_act!T4=0,0,T18/TrRoad_act!T4*1000)</f>
        <v>105.26190435676509</v>
      </c>
      <c r="U82" s="29">
        <f>IF(TrRoad_act!U4=0,0,U18/TrRoad_act!U4*1000)</f>
        <v>109.38131836628162</v>
      </c>
      <c r="V82" s="29">
        <f>IF(TrRoad_act!V4=0,0,V18/TrRoad_act!V4*1000)</f>
        <v>124.99608755133175</v>
      </c>
      <c r="W82" s="29">
        <f>IF(TrRoad_act!W4=0,0,W18/TrRoad_act!W4*1000)</f>
        <v>132.54171343435223</v>
      </c>
      <c r="X82" s="29">
        <f>IF(TrRoad_act!X4=0,0,X18/TrRoad_act!X4*1000)</f>
        <v>123.25334819916291</v>
      </c>
      <c r="Y82" s="29">
        <f>IF(TrRoad_act!Y4=0,0,Y18/TrRoad_act!Y4*1000)</f>
        <v>118.2666621548147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110.78742978842955</v>
      </c>
      <c r="C83" s="152">
        <f>IF(TrRoad_act!C5=0,0,C19/TrRoad_act!C5*1000)</f>
        <v>110.4008164873476</v>
      </c>
      <c r="D83" s="152">
        <f>IF(TrRoad_act!D5=0,0,D19/TrRoad_act!D5*1000)</f>
        <v>109.92748174050078</v>
      </c>
      <c r="E83" s="152">
        <f>IF(TrRoad_act!E5=0,0,E19/TrRoad_act!E5*1000)</f>
        <v>109.28202411179029</v>
      </c>
      <c r="F83" s="152">
        <f>IF(TrRoad_act!F5=0,0,F19/TrRoad_act!F5*1000)</f>
        <v>103.81451477691688</v>
      </c>
      <c r="G83" s="152">
        <f>IF(TrRoad_act!G5=0,0,G19/TrRoad_act!G5*1000)</f>
        <v>103.70781198461209</v>
      </c>
      <c r="H83" s="152">
        <f>IF(TrRoad_act!H5=0,0,H19/TrRoad_act!H5*1000)</f>
        <v>103.44881912682919</v>
      </c>
      <c r="I83" s="152">
        <f>IF(TrRoad_act!I5=0,0,I19/TrRoad_act!I5*1000)</f>
        <v>101.51291716612783</v>
      </c>
      <c r="J83" s="152">
        <f>IF(TrRoad_act!J5=0,0,J19/TrRoad_act!J5*1000)</f>
        <v>99.454485100509899</v>
      </c>
      <c r="K83" s="152">
        <f>IF(TrRoad_act!K5=0,0,K19/TrRoad_act!K5*1000)</f>
        <v>97.941630332383781</v>
      </c>
      <c r="L83" s="152">
        <f>IF(TrRoad_act!L5=0,0,L19/TrRoad_act!L5*1000)</f>
        <v>96.988592119032461</v>
      </c>
      <c r="M83" s="152">
        <f>IF(TrRoad_act!M5=0,0,M19/TrRoad_act!M5*1000)</f>
        <v>95.819350775559641</v>
      </c>
      <c r="N83" s="152">
        <f>IF(TrRoad_act!N5=0,0,N19/TrRoad_act!N5*1000)</f>
        <v>95.08708019287613</v>
      </c>
      <c r="O83" s="152">
        <f>IF(TrRoad_act!O5=0,0,O19/TrRoad_act!O5*1000)</f>
        <v>92.136769539883261</v>
      </c>
      <c r="P83" s="152">
        <f>IF(TrRoad_act!P5=0,0,P19/TrRoad_act!P5*1000)</f>
        <v>90.325843819893095</v>
      </c>
      <c r="Q83" s="152">
        <f>IF(TrRoad_act!Q5=0,0,Q19/TrRoad_act!Q5*1000)</f>
        <v>86.30076738605166</v>
      </c>
      <c r="R83" s="152">
        <f>IF(TrRoad_act!R5=0,0,R19/TrRoad_act!R5*1000)</f>
        <v>84.794421810249943</v>
      </c>
      <c r="S83" s="152">
        <f>IF(TrRoad_act!S5=0,0,S19/TrRoad_act!S5*1000)</f>
        <v>85.289477930622979</v>
      </c>
      <c r="T83" s="152">
        <f>IF(TrRoad_act!T5=0,0,T19/TrRoad_act!T5*1000)</f>
        <v>83.81028631359446</v>
      </c>
      <c r="U83" s="152">
        <f>IF(TrRoad_act!U5=0,0,U19/TrRoad_act!U5*1000)</f>
        <v>82.371631797021152</v>
      </c>
      <c r="V83" s="152">
        <f>IF(TrRoad_act!V5=0,0,V19/TrRoad_act!V5*1000)</f>
        <v>82.938845129364154</v>
      </c>
      <c r="W83" s="152">
        <f>IF(TrRoad_act!W5=0,0,W19/TrRoad_act!W5*1000)</f>
        <v>83.971784894561907</v>
      </c>
      <c r="X83" s="152">
        <f>IF(TrRoad_act!X5=0,0,X19/TrRoad_act!X5*1000)</f>
        <v>83.820743365573577</v>
      </c>
      <c r="Y83" s="152">
        <f>IF(TrRoad_act!Y5=0,0,Y19/TrRoad_act!Y5*1000)</f>
        <v>83.081615518963432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112.26349766566656</v>
      </c>
      <c r="C84" s="116">
        <f>IF(TrRoad_act!C6=0,0,C20/TrRoad_act!C6*1000)</f>
        <v>110.1381250022055</v>
      </c>
      <c r="D84" s="116">
        <f>IF(TrRoad_act!D6=0,0,D20/TrRoad_act!D6*1000)</f>
        <v>112.36628325387966</v>
      </c>
      <c r="E84" s="116">
        <f>IF(TrRoad_act!E6=0,0,E20/TrRoad_act!E6*1000)</f>
        <v>121.19378088932552</v>
      </c>
      <c r="F84" s="116">
        <f>IF(TrRoad_act!F6=0,0,F20/TrRoad_act!F6*1000)</f>
        <v>122.36622228203954</v>
      </c>
      <c r="G84" s="116">
        <f>IF(TrRoad_act!G6=0,0,G20/TrRoad_act!G6*1000)</f>
        <v>127.6181680526727</v>
      </c>
      <c r="H84" s="116">
        <f>IF(TrRoad_act!H6=0,0,H20/TrRoad_act!H6*1000)</f>
        <v>128.14872882262051</v>
      </c>
      <c r="I84" s="116">
        <f>IF(TrRoad_act!I6=0,0,I20/TrRoad_act!I6*1000)</f>
        <v>112.88170589069854</v>
      </c>
      <c r="J84" s="116">
        <f>IF(TrRoad_act!J6=0,0,J20/TrRoad_act!J6*1000)</f>
        <v>113.98387528140313</v>
      </c>
      <c r="K84" s="116">
        <f>IF(TrRoad_act!K6=0,0,K20/TrRoad_act!K6*1000)</f>
        <v>107.70398140076442</v>
      </c>
      <c r="L84" s="116">
        <f>IF(TrRoad_act!L6=0,0,L20/TrRoad_act!L6*1000)</f>
        <v>104.38524954588176</v>
      </c>
      <c r="M84" s="116">
        <f>IF(TrRoad_act!M6=0,0,M20/TrRoad_act!M6*1000)</f>
        <v>100.24598767055795</v>
      </c>
      <c r="N84" s="116">
        <f>IF(TrRoad_act!N6=0,0,N20/TrRoad_act!N6*1000)</f>
        <v>104.18157257931647</v>
      </c>
      <c r="O84" s="116">
        <f>IF(TrRoad_act!O6=0,0,O20/TrRoad_act!O6*1000)</f>
        <v>87.973910235307656</v>
      </c>
      <c r="P84" s="116">
        <f>IF(TrRoad_act!P6=0,0,P20/TrRoad_act!P6*1000)</f>
        <v>98.220523939443197</v>
      </c>
      <c r="Q84" s="116">
        <f>IF(TrRoad_act!Q6=0,0,Q20/TrRoad_act!Q6*1000)</f>
        <v>102.82288628395095</v>
      </c>
      <c r="R84" s="116">
        <f>IF(TrRoad_act!R6=0,0,R20/TrRoad_act!R6*1000)</f>
        <v>106.58009382262692</v>
      </c>
      <c r="S84" s="116">
        <f>IF(TrRoad_act!S6=0,0,S20/TrRoad_act!S6*1000)</f>
        <v>107.42107366193568</v>
      </c>
      <c r="T84" s="116">
        <f>IF(TrRoad_act!T6=0,0,T20/TrRoad_act!T6*1000)</f>
        <v>113.75924282383669</v>
      </c>
      <c r="U84" s="116">
        <f>IF(TrRoad_act!U6=0,0,U20/TrRoad_act!U6*1000)</f>
        <v>119.42490343505574</v>
      </c>
      <c r="V84" s="116">
        <f>IF(TrRoad_act!V6=0,0,V20/TrRoad_act!V6*1000)</f>
        <v>126.03448679207696</v>
      </c>
      <c r="W84" s="116">
        <f>IF(TrRoad_act!W6=0,0,W20/TrRoad_act!W6*1000)</f>
        <v>134.04754941063669</v>
      </c>
      <c r="X84" s="116">
        <f>IF(TrRoad_act!X6=0,0,X20/TrRoad_act!X6*1000)</f>
        <v>127.74021664434457</v>
      </c>
      <c r="Y84" s="116">
        <f>IF(TrRoad_act!Y6=0,0,Y20/TrRoad_act!Y6*1000)</f>
        <v>122.3401520920598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115.92921777747178</v>
      </c>
      <c r="C85" s="87">
        <f>IF(TrRoad_act!C7=0,0,C21/TrRoad_act!C7*1000)</f>
        <v>110.90971184074662</v>
      </c>
      <c r="D85" s="87">
        <f>IF(TrRoad_act!D7=0,0,D21/TrRoad_act!D7*1000)</f>
        <v>117.57619422518491</v>
      </c>
      <c r="E85" s="87">
        <f>IF(TrRoad_act!E7=0,0,E21/TrRoad_act!E7*1000)</f>
        <v>122.18806213238042</v>
      </c>
      <c r="F85" s="87">
        <f>IF(TrRoad_act!F7=0,0,F21/TrRoad_act!F7*1000)</f>
        <v>129.8640759290318</v>
      </c>
      <c r="G85" s="87">
        <f>IF(TrRoad_act!G7=0,0,G21/TrRoad_act!G7*1000)</f>
        <v>135.52471644914513</v>
      </c>
      <c r="H85" s="87">
        <f>IF(TrRoad_act!H7=0,0,H21/TrRoad_act!H7*1000)</f>
        <v>142.93453719612961</v>
      </c>
      <c r="I85" s="87">
        <f>IF(TrRoad_act!I7=0,0,I21/TrRoad_act!I7*1000)</f>
        <v>131.36828519962967</v>
      </c>
      <c r="J85" s="87">
        <f>IF(TrRoad_act!J7=0,0,J21/TrRoad_act!J7*1000)</f>
        <v>131.68680014628615</v>
      </c>
      <c r="K85" s="87">
        <f>IF(TrRoad_act!K7=0,0,K21/TrRoad_act!K7*1000)</f>
        <v>123.9969001535263</v>
      </c>
      <c r="L85" s="87">
        <f>IF(TrRoad_act!L7=0,0,L21/TrRoad_act!L7*1000)</f>
        <v>123.14300377010051</v>
      </c>
      <c r="M85" s="87">
        <f>IF(TrRoad_act!M7=0,0,M21/TrRoad_act!M7*1000)</f>
        <v>117.89159383341291</v>
      </c>
      <c r="N85" s="87">
        <f>IF(TrRoad_act!N7=0,0,N21/TrRoad_act!N7*1000)</f>
        <v>122.64848563434315</v>
      </c>
      <c r="O85" s="87">
        <f>IF(TrRoad_act!O7=0,0,O21/TrRoad_act!O7*1000)</f>
        <v>100.69237692244222</v>
      </c>
      <c r="P85" s="87">
        <f>IF(TrRoad_act!P7=0,0,P21/TrRoad_act!P7*1000)</f>
        <v>114.36240526202123</v>
      </c>
      <c r="Q85" s="87">
        <f>IF(TrRoad_act!Q7=0,0,Q21/TrRoad_act!Q7*1000)</f>
        <v>119.28758983101567</v>
      </c>
      <c r="R85" s="87">
        <f>IF(TrRoad_act!R7=0,0,R21/TrRoad_act!R7*1000)</f>
        <v>117.04318049940531</v>
      </c>
      <c r="S85" s="87">
        <f>IF(TrRoad_act!S7=0,0,S21/TrRoad_act!S7*1000)</f>
        <v>115.90342261514375</v>
      </c>
      <c r="T85" s="87">
        <f>IF(TrRoad_act!T7=0,0,T21/TrRoad_act!T7*1000)</f>
        <v>115.67482788164055</v>
      </c>
      <c r="U85" s="87">
        <f>IF(TrRoad_act!U7=0,0,U21/TrRoad_act!U7*1000)</f>
        <v>115.334688636997</v>
      </c>
      <c r="V85" s="87">
        <f>IF(TrRoad_act!V7=0,0,V21/TrRoad_act!V7*1000)</f>
        <v>129.05917305427471</v>
      </c>
      <c r="W85" s="87">
        <f>IF(TrRoad_act!W7=0,0,W21/TrRoad_act!W7*1000)</f>
        <v>137.55397197153476</v>
      </c>
      <c r="X85" s="87">
        <f>IF(TrRoad_act!X7=0,0,X21/TrRoad_act!X7*1000)</f>
        <v>133.42654904501336</v>
      </c>
      <c r="Y85" s="87">
        <f>IF(TrRoad_act!Y7=0,0,Y21/TrRoad_act!Y7*1000)</f>
        <v>126.57823551922648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96.615641634910176</v>
      </c>
      <c r="C86" s="87">
        <f>IF(TrRoad_act!C8=0,0,C22/TrRoad_act!C8*1000)</f>
        <v>100.03956184143044</v>
      </c>
      <c r="D86" s="87">
        <f>IF(TrRoad_act!D8=0,0,D22/TrRoad_act!D8*1000)</f>
        <v>93.555171060638344</v>
      </c>
      <c r="E86" s="87">
        <f>IF(TrRoad_act!E8=0,0,E22/TrRoad_act!E8*1000)</f>
        <v>117.5926517598345</v>
      </c>
      <c r="F86" s="87">
        <f>IF(TrRoad_act!F8=0,0,F22/TrRoad_act!F8*1000)</f>
        <v>115.61183653875226</v>
      </c>
      <c r="G86" s="87">
        <f>IF(TrRoad_act!G8=0,0,G22/TrRoad_act!G8*1000)</f>
        <v>126.71090432092036</v>
      </c>
      <c r="H86" s="87">
        <f>IF(TrRoad_act!H8=0,0,H22/TrRoad_act!H8*1000)</f>
        <v>123.83158233689386</v>
      </c>
      <c r="I86" s="87">
        <f>IF(TrRoad_act!I8=0,0,I22/TrRoad_act!I8*1000)</f>
        <v>103.61659900937859</v>
      </c>
      <c r="J86" s="87">
        <f>IF(TrRoad_act!J8=0,0,J22/TrRoad_act!J8*1000)</f>
        <v>108.25578686958515</v>
      </c>
      <c r="K86" s="87">
        <f>IF(TrRoad_act!K8=0,0,K22/TrRoad_act!K8*1000)</f>
        <v>97.998604330038134</v>
      </c>
      <c r="L86" s="87">
        <f>IF(TrRoad_act!L8=0,0,L22/TrRoad_act!L8*1000)</f>
        <v>95.77196839192473</v>
      </c>
      <c r="M86" s="87">
        <f>IF(TrRoad_act!M8=0,0,M22/TrRoad_act!M8*1000)</f>
        <v>90.689856222285982</v>
      </c>
      <c r="N86" s="87">
        <f>IF(TrRoad_act!N8=0,0,N22/TrRoad_act!N8*1000)</f>
        <v>96.929533319770854</v>
      </c>
      <c r="O86" s="87">
        <f>IF(TrRoad_act!O8=0,0,O22/TrRoad_act!O8*1000)</f>
        <v>76.731121311020573</v>
      </c>
      <c r="P86" s="87">
        <f>IF(TrRoad_act!P8=0,0,P22/TrRoad_act!P8*1000)</f>
        <v>90.258631939351019</v>
      </c>
      <c r="Q86" s="87">
        <f>IF(TrRoad_act!Q8=0,0,Q22/TrRoad_act!Q8*1000)</f>
        <v>97.568032284284072</v>
      </c>
      <c r="R86" s="87">
        <f>IF(TrRoad_act!R8=0,0,R22/TrRoad_act!R8*1000)</f>
        <v>104.16876263639723</v>
      </c>
      <c r="S86" s="87">
        <f>IF(TrRoad_act!S8=0,0,S22/TrRoad_act!S8*1000)</f>
        <v>106.45231367536242</v>
      </c>
      <c r="T86" s="87">
        <f>IF(TrRoad_act!T8=0,0,T22/TrRoad_act!T8*1000)</f>
        <v>115.92672838138031</v>
      </c>
      <c r="U86" s="87">
        <f>IF(TrRoad_act!U8=0,0,U22/TrRoad_act!U8*1000)</f>
        <v>125.04486189533672</v>
      </c>
      <c r="V86" s="87">
        <f>IF(TrRoad_act!V8=0,0,V22/TrRoad_act!V8*1000)</f>
        <v>125.62262797343804</v>
      </c>
      <c r="W86" s="87">
        <f>IF(TrRoad_act!W8=0,0,W22/TrRoad_act!W8*1000)</f>
        <v>135.59836760360702</v>
      </c>
      <c r="X86" s="87">
        <f>IF(TrRoad_act!X8=0,0,X22/TrRoad_act!X8*1000)</f>
        <v>125.1005345729121</v>
      </c>
      <c r="Y86" s="87">
        <f>IF(TrRoad_act!Y8=0,0,Y22/TrRoad_act!Y8*1000)</f>
        <v>118.72045651093367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117.45767332806538</v>
      </c>
      <c r="C87" s="87">
        <f>IF(TrRoad_act!C9=0,0,C23/TrRoad_act!C9*1000)</f>
        <v>118.87146847134912</v>
      </c>
      <c r="D87" s="87">
        <f>IF(TrRoad_act!D9=0,0,D23/TrRoad_act!D9*1000)</f>
        <v>119.43121252113751</v>
      </c>
      <c r="E87" s="87">
        <f>IF(TrRoad_act!E9=0,0,E23/TrRoad_act!E9*1000)</f>
        <v>123.74360279807748</v>
      </c>
      <c r="F87" s="87">
        <f>IF(TrRoad_act!F9=0,0,F23/TrRoad_act!F9*1000)</f>
        <v>121.57944820267902</v>
      </c>
      <c r="G87" s="87">
        <f>IF(TrRoad_act!G9=0,0,G23/TrRoad_act!G9*1000)</f>
        <v>119.58039859400725</v>
      </c>
      <c r="H87" s="87">
        <f>IF(TrRoad_act!H9=0,0,H23/TrRoad_act!H9*1000)</f>
        <v>116.85289399850866</v>
      </c>
      <c r="I87" s="87">
        <f>IF(TrRoad_act!I9=0,0,I23/TrRoad_act!I9*1000)</f>
        <v>103.93229940526241</v>
      </c>
      <c r="J87" s="87">
        <f>IF(TrRoad_act!J9=0,0,J23/TrRoad_act!J9*1000)</f>
        <v>101.41030075083779</v>
      </c>
      <c r="K87" s="87">
        <f>IF(TrRoad_act!K9=0,0,K23/TrRoad_act!K9*1000)</f>
        <v>104.59338216183656</v>
      </c>
      <c r="L87" s="87">
        <f>IF(TrRoad_act!L9=0,0,L23/TrRoad_act!L9*1000)</f>
        <v>98.494975167014488</v>
      </c>
      <c r="M87" s="87">
        <f>IF(TrRoad_act!M9=0,0,M23/TrRoad_act!M9*1000)</f>
        <v>101.69798819994159</v>
      </c>
      <c r="N87" s="87">
        <f>IF(TrRoad_act!N9=0,0,N23/TrRoad_act!N9*1000)</f>
        <v>102.4686701480931</v>
      </c>
      <c r="O87" s="87">
        <f>IF(TrRoad_act!O9=0,0,O23/TrRoad_act!O9*1000)</f>
        <v>103.6655375219496</v>
      </c>
      <c r="P87" s="87">
        <f>IF(TrRoad_act!P9=0,0,P23/TrRoad_act!P9*1000)</f>
        <v>102.63989260825126</v>
      </c>
      <c r="Q87" s="87">
        <f>IF(TrRoad_act!Q9=0,0,Q23/TrRoad_act!Q9*1000)</f>
        <v>101.29652610057164</v>
      </c>
      <c r="R87" s="87">
        <f>IF(TrRoad_act!R9=0,0,R23/TrRoad_act!R9*1000)</f>
        <v>104.20964982863029</v>
      </c>
      <c r="S87" s="87">
        <f>IF(TrRoad_act!S9=0,0,S23/TrRoad_act!S9*1000)</f>
        <v>103.15677718310367</v>
      </c>
      <c r="T87" s="87">
        <f>IF(TrRoad_act!T9=0,0,T23/TrRoad_act!T9*1000)</f>
        <v>107.47082418230096</v>
      </c>
      <c r="U87" s="87">
        <f>IF(TrRoad_act!U9=0,0,U23/TrRoad_act!U9*1000)</f>
        <v>108.24607488764121</v>
      </c>
      <c r="V87" s="87">
        <f>IF(TrRoad_act!V9=0,0,V23/TrRoad_act!V9*1000)</f>
        <v>127.24434532463869</v>
      </c>
      <c r="W87" s="87">
        <f>IF(TrRoad_act!W9=0,0,W23/TrRoad_act!W9*1000)</f>
        <v>127.39699769050117</v>
      </c>
      <c r="X87" s="87">
        <f>IF(TrRoad_act!X9=0,0,X23/TrRoad_act!X9*1000)</f>
        <v>134.88734225140928</v>
      </c>
      <c r="Y87" s="87">
        <f>IF(TrRoad_act!Y9=0,0,Y23/TrRoad_act!Y9*1000)</f>
        <v>135.86092758671523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126.0000746142142</v>
      </c>
      <c r="G88" s="87">
        <f>IF(TrRoad_act!G10=0,0,G24/TrRoad_act!G10*1000)</f>
        <v>128.99435190214149</v>
      </c>
      <c r="H88" s="87">
        <f>IF(TrRoad_act!H10=0,0,H24/TrRoad_act!H10*1000)</f>
        <v>132.90197867099036</v>
      </c>
      <c r="I88" s="87">
        <f>IF(TrRoad_act!I10=0,0,I24/TrRoad_act!I10*1000)</f>
        <v>121.01530044074954</v>
      </c>
      <c r="J88" s="87">
        <f>IF(TrRoad_act!J10=0,0,J24/TrRoad_act!J10*1000)</f>
        <v>121.52821966291137</v>
      </c>
      <c r="K88" s="87">
        <f>IF(TrRoad_act!K10=0,0,K24/TrRoad_act!K10*1000)</f>
        <v>113.50024834571076</v>
      </c>
      <c r="L88" s="87">
        <f>IF(TrRoad_act!L10=0,0,L24/TrRoad_act!L10*1000)</f>
        <v>98.72210413821108</v>
      </c>
      <c r="M88" s="87">
        <f>IF(TrRoad_act!M10=0,0,M24/TrRoad_act!M10*1000)</f>
        <v>94.659109930081115</v>
      </c>
      <c r="N88" s="87">
        <f>IF(TrRoad_act!N10=0,0,N24/TrRoad_act!N10*1000)</f>
        <v>96.752760648303763</v>
      </c>
      <c r="O88" s="87">
        <f>IF(TrRoad_act!O10=0,0,O24/TrRoad_act!O10*1000)</f>
        <v>95.175957424178989</v>
      </c>
      <c r="P88" s="87">
        <f>IF(TrRoad_act!P10=0,0,P24/TrRoad_act!P10*1000)</f>
        <v>91.81860567682179</v>
      </c>
      <c r="Q88" s="87">
        <f>IF(TrRoad_act!Q10=0,0,Q24/TrRoad_act!Q10*1000)</f>
        <v>96.062505640059683</v>
      </c>
      <c r="R88" s="87">
        <f>IF(TrRoad_act!R10=0,0,R24/TrRoad_act!R10*1000)</f>
        <v>97.757387899562559</v>
      </c>
      <c r="S88" s="87">
        <f>IF(TrRoad_act!S10=0,0,S24/TrRoad_act!S10*1000)</f>
        <v>96.190589329077056</v>
      </c>
      <c r="T88" s="87">
        <f>IF(TrRoad_act!T10=0,0,T24/TrRoad_act!T10*1000)</f>
        <v>97.038488181166727</v>
      </c>
      <c r="U88" s="87">
        <f>IF(TrRoad_act!U10=0,0,U24/TrRoad_act!U10*1000)</f>
        <v>97.056325688539872</v>
      </c>
      <c r="V88" s="87">
        <f>IF(TrRoad_act!V10=0,0,V24/TrRoad_act!V10*1000)</f>
        <v>108.20472112389859</v>
      </c>
      <c r="W88" s="87">
        <f>IF(TrRoad_act!W10=0,0,W24/TrRoad_act!W10*1000)</f>
        <v>115.0281636521665</v>
      </c>
      <c r="X88" s="87">
        <f>IF(TrRoad_act!X10=0,0,X24/TrRoad_act!X10*1000)</f>
        <v>107.87068242238145</v>
      </c>
      <c r="Y88" s="87">
        <f>IF(TrRoad_act!Y10=0,0,Y24/TrRoad_act!Y10*1000)</f>
        <v>104.04329436275539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28.769889063039784</v>
      </c>
      <c r="O89" s="87">
        <f>IF(TrRoad_act!O11=0,0,O25/TrRoad_act!O11*1000)</f>
        <v>23.768360262959707</v>
      </c>
      <c r="P89" s="87">
        <f>IF(TrRoad_act!P11=0,0,P25/TrRoad_act!P11*1000)</f>
        <v>32.470387398449134</v>
      </c>
      <c r="Q89" s="87">
        <f>IF(TrRoad_act!Q11=0,0,Q25/TrRoad_act!Q11*1000)</f>
        <v>36.525076434140139</v>
      </c>
      <c r="R89" s="87">
        <f>IF(TrRoad_act!R11=0,0,R25/TrRoad_act!R11*1000)</f>
        <v>34.598781496888705</v>
      </c>
      <c r="S89" s="87">
        <f>IF(TrRoad_act!S11=0,0,S25/TrRoad_act!S11*1000)</f>
        <v>34.41545342366161</v>
      </c>
      <c r="T89" s="87">
        <f>IF(TrRoad_act!T11=0,0,T25/TrRoad_act!T11*1000)</f>
        <v>34.257783575778681</v>
      </c>
      <c r="U89" s="87">
        <f>IF(TrRoad_act!U11=0,0,U25/TrRoad_act!U11*1000)</f>
        <v>39.228239414859786</v>
      </c>
      <c r="V89" s="87">
        <f>IF(TrRoad_act!V11=0,0,V25/TrRoad_act!V11*1000)</f>
        <v>41.859780001195766</v>
      </c>
      <c r="W89" s="87">
        <f>IF(TrRoad_act!W11=0,0,W25/TrRoad_act!W11*1000)</f>
        <v>37.43549313033148</v>
      </c>
      <c r="X89" s="87">
        <f>IF(TrRoad_act!X11=0,0,X25/TrRoad_act!X11*1000)</f>
        <v>31.964820409046627</v>
      </c>
      <c r="Y89" s="87">
        <f>IF(TrRoad_act!Y11=0,0,Y25/TrRoad_act!Y11*1000)</f>
        <v>25.203943838100155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57.565354377012397</v>
      </c>
      <c r="C91" s="116">
        <f>IF(TrRoad_act!C13=0,0,C27/TrRoad_act!C13*1000)</f>
        <v>57.801609845649665</v>
      </c>
      <c r="D91" s="116">
        <f>IF(TrRoad_act!D13=0,0,D27/TrRoad_act!D13*1000)</f>
        <v>57.67543912115913</v>
      </c>
      <c r="E91" s="116">
        <f>IF(TrRoad_act!E13=0,0,E27/TrRoad_act!E13*1000)</f>
        <v>58.698308831811737</v>
      </c>
      <c r="F91" s="116">
        <f>IF(TrRoad_act!F13=0,0,F27/TrRoad_act!F13*1000)</f>
        <v>59.540176679921593</v>
      </c>
      <c r="G91" s="116">
        <f>IF(TrRoad_act!G13=0,0,G27/TrRoad_act!G13*1000)</f>
        <v>59.998700357605358</v>
      </c>
      <c r="H91" s="116">
        <f>IF(TrRoad_act!H13=0,0,H27/TrRoad_act!H13*1000)</f>
        <v>60.396532630994763</v>
      </c>
      <c r="I91" s="116">
        <f>IF(TrRoad_act!I13=0,0,I27/TrRoad_act!I13*1000)</f>
        <v>61.269895855072782</v>
      </c>
      <c r="J91" s="116">
        <f>IF(TrRoad_act!J13=0,0,J27/TrRoad_act!J13*1000)</f>
        <v>54.521082249909497</v>
      </c>
      <c r="K91" s="116">
        <f>IF(TrRoad_act!K13=0,0,K27/TrRoad_act!K13*1000)</f>
        <v>75.099413365650832</v>
      </c>
      <c r="L91" s="116">
        <f>IF(TrRoad_act!L13=0,0,L27/TrRoad_act!L13*1000)</f>
        <v>67.619881042252061</v>
      </c>
      <c r="M91" s="116">
        <f>IF(TrRoad_act!M13=0,0,M27/TrRoad_act!M13*1000)</f>
        <v>72.690483065779532</v>
      </c>
      <c r="N91" s="116">
        <f>IF(TrRoad_act!N13=0,0,N27/TrRoad_act!N13*1000)</f>
        <v>66.591180330544717</v>
      </c>
      <c r="O91" s="116">
        <f>IF(TrRoad_act!O13=0,0,O27/TrRoad_act!O13*1000)</f>
        <v>60.274239186826222</v>
      </c>
      <c r="P91" s="116">
        <f>IF(TrRoad_act!P13=0,0,P27/TrRoad_act!P13*1000)</f>
        <v>53.648579409161641</v>
      </c>
      <c r="Q91" s="116">
        <f>IF(TrRoad_act!Q13=0,0,Q27/TrRoad_act!Q13*1000)</f>
        <v>53.810388853281189</v>
      </c>
      <c r="R91" s="116">
        <f>IF(TrRoad_act!R13=0,0,R27/TrRoad_act!R13*1000)</f>
        <v>49.513237730565756</v>
      </c>
      <c r="S91" s="116">
        <f>IF(TrRoad_act!S13=0,0,S27/TrRoad_act!S13*1000)</f>
        <v>52.986380432302226</v>
      </c>
      <c r="T91" s="116">
        <f>IF(TrRoad_act!T13=0,0,T27/TrRoad_act!T13*1000)</f>
        <v>57.769366312533748</v>
      </c>
      <c r="U91" s="116">
        <f>IF(TrRoad_act!U13=0,0,U27/TrRoad_act!U13*1000)</f>
        <v>57.604236692280566</v>
      </c>
      <c r="V91" s="116">
        <f>IF(TrRoad_act!V13=0,0,V27/TrRoad_act!V13*1000)</f>
        <v>121.0152348355946</v>
      </c>
      <c r="W91" s="116">
        <f>IF(TrRoad_act!W13=0,0,W27/TrRoad_act!W13*1000)</f>
        <v>124.49692740095055</v>
      </c>
      <c r="X91" s="116">
        <f>IF(TrRoad_act!X13=0,0,X27/TrRoad_act!X13*1000)</f>
        <v>91.167289111040915</v>
      </c>
      <c r="Y91" s="116">
        <f>IF(TrRoad_act!Y13=0,0,Y27/TrRoad_act!Y13*1000)</f>
        <v>88.204374208119972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36.092424911649765</v>
      </c>
      <c r="S92" s="101">
        <f>IF(TrRoad_act!S14=0,0,S28/TrRoad_act!S14*1000)</f>
        <v>39.715636863977778</v>
      </c>
      <c r="T92" s="101">
        <f>IF(TrRoad_act!T14=0,0,T28/TrRoad_act!T14*1000)</f>
        <v>42.946569387368982</v>
      </c>
      <c r="U92" s="101">
        <f>IF(TrRoad_act!U14=0,0,U28/TrRoad_act!U14*1000)</f>
        <v>42.68740070620138</v>
      </c>
      <c r="V92" s="101">
        <f>IF(TrRoad_act!V14=0,0,V28/TrRoad_act!V14*1000)</f>
        <v>59.641536110495274</v>
      </c>
      <c r="W92" s="101">
        <f>IF(TrRoad_act!W14=0,0,W28/TrRoad_act!W14*1000)</f>
        <v>60.644066589808403</v>
      </c>
      <c r="X92" s="101">
        <f>IF(TrRoad_act!X14=0,0,X28/TrRoad_act!X14*1000)</f>
        <v>59.378437624305811</v>
      </c>
      <c r="Y92" s="101">
        <f>IF(TrRoad_act!Y14=0,0,Y28/TrRoad_act!Y14*1000)</f>
        <v>59.175590467573507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57.565354377012397</v>
      </c>
      <c r="C93" s="101">
        <f>IF(TrRoad_act!C15=0,0,C29/TrRoad_act!C15*1000)</f>
        <v>57.801609845649665</v>
      </c>
      <c r="D93" s="101">
        <f>IF(TrRoad_act!D15=0,0,D29/TrRoad_act!D15*1000)</f>
        <v>57.67543912115913</v>
      </c>
      <c r="E93" s="101">
        <f>IF(TrRoad_act!E15=0,0,E29/TrRoad_act!E15*1000)</f>
        <v>58.698308831811737</v>
      </c>
      <c r="F93" s="101">
        <f>IF(TrRoad_act!F15=0,0,F29/TrRoad_act!F15*1000)</f>
        <v>59.719839384083812</v>
      </c>
      <c r="G93" s="101">
        <f>IF(TrRoad_act!G15=0,0,G29/TrRoad_act!G15*1000)</f>
        <v>60.415601325123738</v>
      </c>
      <c r="H93" s="101">
        <f>IF(TrRoad_act!H15=0,0,H29/TrRoad_act!H15*1000)</f>
        <v>61.212841336555918</v>
      </c>
      <c r="I93" s="101">
        <f>IF(TrRoad_act!I15=0,0,I29/TrRoad_act!I15*1000)</f>
        <v>62.336275886286209</v>
      </c>
      <c r="J93" s="101">
        <f>IF(TrRoad_act!J15=0,0,J29/TrRoad_act!J15*1000)</f>
        <v>55.55937955222781</v>
      </c>
      <c r="K93" s="101">
        <f>IF(TrRoad_act!K15=0,0,K29/TrRoad_act!K15*1000)</f>
        <v>77.078324165038197</v>
      </c>
      <c r="L93" s="101">
        <f>IF(TrRoad_act!L15=0,0,L29/TrRoad_act!L15*1000)</f>
        <v>69.889089621271026</v>
      </c>
      <c r="M93" s="101">
        <f>IF(TrRoad_act!M15=0,0,M29/TrRoad_act!M15*1000)</f>
        <v>75.136159698690179</v>
      </c>
      <c r="N93" s="101">
        <f>IF(TrRoad_act!N15=0,0,N29/TrRoad_act!N15*1000)</f>
        <v>68.293694585067087</v>
      </c>
      <c r="O93" s="101">
        <f>IF(TrRoad_act!O15=0,0,O29/TrRoad_act!O15*1000)</f>
        <v>66.821602076896653</v>
      </c>
      <c r="P93" s="101">
        <f>IF(TrRoad_act!P15=0,0,P29/TrRoad_act!P15*1000)</f>
        <v>62.822024384731947</v>
      </c>
      <c r="Q93" s="101">
        <f>IF(TrRoad_act!Q15=0,0,Q29/TrRoad_act!Q15*1000)</f>
        <v>60.767702033567438</v>
      </c>
      <c r="R93" s="101">
        <f>IF(TrRoad_act!R15=0,0,R29/TrRoad_act!R15*1000)</f>
        <v>55.480010465760124</v>
      </c>
      <c r="S93" s="101">
        <f>IF(TrRoad_act!S15=0,0,S29/TrRoad_act!S15*1000)</f>
        <v>60.012607685280109</v>
      </c>
      <c r="T93" s="101">
        <f>IF(TrRoad_act!T15=0,0,T29/TrRoad_act!T15*1000)</f>
        <v>65.843176475378343</v>
      </c>
      <c r="U93" s="101">
        <f>IF(TrRoad_act!U15=0,0,U29/TrRoad_act!U15*1000)</f>
        <v>65.775126648227939</v>
      </c>
      <c r="V93" s="101">
        <f>IF(TrRoad_act!V15=0,0,V29/TrRoad_act!V15*1000)</f>
        <v>141.42513286828955</v>
      </c>
      <c r="W93" s="101">
        <f>IF(TrRoad_act!W15=0,0,W29/TrRoad_act!W15*1000)</f>
        <v>144.87912858582121</v>
      </c>
      <c r="X93" s="101">
        <f>IF(TrRoad_act!X15=0,0,X29/TrRoad_act!X15*1000)</f>
        <v>102.15707641456629</v>
      </c>
      <c r="Y93" s="101">
        <f>IF(TrRoad_act!Y15=0,0,Y29/TrRoad_act!Y15*1000)</f>
        <v>97.612201808645025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43.55109162110525</v>
      </c>
      <c r="S94" s="101">
        <f>IF(TrRoad_act!S16=0,0,S30/TrRoad_act!S16*1000)</f>
        <v>47.151795356448496</v>
      </c>
      <c r="T94" s="101">
        <f>IF(TrRoad_act!T16=0,0,T30/TrRoad_act!T16*1000)</f>
        <v>51.298533194612027</v>
      </c>
      <c r="U94" s="101">
        <f>IF(TrRoad_act!U16=0,0,U30/TrRoad_act!U16*1000)</f>
        <v>51.382674676992458</v>
      </c>
      <c r="V94" s="101">
        <f>IF(TrRoad_act!V16=0,0,V30/TrRoad_act!V16*1000)</f>
        <v>111.43477085901239</v>
      </c>
      <c r="W94" s="101">
        <f>IF(TrRoad_act!W16=0,0,W30/TrRoad_act!W16*1000)</f>
        <v>111.89289350821942</v>
      </c>
      <c r="X94" s="101">
        <f>IF(TrRoad_act!X16=0,0,X30/TrRoad_act!X16*1000)</f>
        <v>81.886090753295065</v>
      </c>
      <c r="Y94" s="101">
        <f>IF(TrRoad_act!Y16=0,0,Y30/TrRoad_act!Y16*1000)</f>
        <v>79.326252435541321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33.301263865177248</v>
      </c>
      <c r="G95" s="101">
        <f>IF(TrRoad_act!G17=0,0,G31/TrRoad_act!G17*1000)</f>
        <v>32.086461384927716</v>
      </c>
      <c r="H95" s="101">
        <f>IF(TrRoad_act!H17=0,0,H31/TrRoad_act!H17*1000)</f>
        <v>31.76264411525452</v>
      </c>
      <c r="I95" s="101">
        <f>IF(TrRoad_act!I17=0,0,I31/TrRoad_act!I17*1000)</f>
        <v>35.837136515062618</v>
      </c>
      <c r="J95" s="101">
        <f>IF(TrRoad_act!J17=0,0,J31/TrRoad_act!J17*1000)</f>
        <v>32.430379753958469</v>
      </c>
      <c r="K95" s="101">
        <f>IF(TrRoad_act!K17=0,0,K31/TrRoad_act!K17*1000)</f>
        <v>46.694813828102049</v>
      </c>
      <c r="L95" s="101">
        <f>IF(TrRoad_act!L17=0,0,L31/TrRoad_act!L17*1000)</f>
        <v>46.788863282678186</v>
      </c>
      <c r="M95" s="101">
        <f>IF(TrRoad_act!M17=0,0,M31/TrRoad_act!M17*1000)</f>
        <v>48.925014541264588</v>
      </c>
      <c r="N95" s="101">
        <f>IF(TrRoad_act!N17=0,0,N31/TrRoad_act!N17*1000)</f>
        <v>51.412650002058996</v>
      </c>
      <c r="O95" s="101">
        <f>IF(TrRoad_act!O17=0,0,O31/TrRoad_act!O17*1000)</f>
        <v>35.822186732633526</v>
      </c>
      <c r="P95" s="101">
        <f>IF(TrRoad_act!P17=0,0,P31/TrRoad_act!P17*1000)</f>
        <v>18.38589742569749</v>
      </c>
      <c r="Q95" s="101">
        <f>IF(TrRoad_act!Q17=0,0,Q31/TrRoad_act!Q17*1000)</f>
        <v>28.242575404984368</v>
      </c>
      <c r="R95" s="101">
        <f>IF(TrRoad_act!R17=0,0,R31/TrRoad_act!R17*1000)</f>
        <v>32.236059703686415</v>
      </c>
      <c r="S95" s="101">
        <f>IF(TrRoad_act!S17=0,0,S31/TrRoad_act!S17*1000)</f>
        <v>34.401692321254991</v>
      </c>
      <c r="T95" s="101">
        <f>IF(TrRoad_act!T17=0,0,T31/TrRoad_act!T17*1000)</f>
        <v>36.98254946629725</v>
      </c>
      <c r="U95" s="101">
        <f>IF(TrRoad_act!U17=0,0,U31/TrRoad_act!U17*1000)</f>
        <v>38.274337423123782</v>
      </c>
      <c r="V95" s="101">
        <f>IF(TrRoad_act!V17=0,0,V31/TrRoad_act!V17*1000)</f>
        <v>74.142923479367525</v>
      </c>
      <c r="W95" s="101">
        <f>IF(TrRoad_act!W17=0,0,W31/TrRoad_act!W17*1000)</f>
        <v>87.781069808922396</v>
      </c>
      <c r="X95" s="101">
        <f>IF(TrRoad_act!X17=0,0,X31/TrRoad_act!X17*1000)</f>
        <v>60.880938831570717</v>
      </c>
      <c r="Y95" s="101">
        <f>IF(TrRoad_act!Y17=0,0,Y31/TrRoad_act!Y17*1000)</f>
        <v>60.475031204608214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129.58015434015422</v>
      </c>
      <c r="C97" s="29">
        <f>IF(TrRoad_act!C19=0,0,C33/TrRoad_act!C19*1000)</f>
        <v>132.93856909797597</v>
      </c>
      <c r="D97" s="29">
        <f>IF(TrRoad_act!D19=0,0,D33/TrRoad_act!D19*1000)</f>
        <v>114.72109886549185</v>
      </c>
      <c r="E97" s="29">
        <f>IF(TrRoad_act!E19=0,0,E33/TrRoad_act!E19*1000)</f>
        <v>149.93725298738076</v>
      </c>
      <c r="F97" s="29">
        <f>IF(TrRoad_act!F19=0,0,F33/TrRoad_act!F19*1000)</f>
        <v>151.98065410354201</v>
      </c>
      <c r="G97" s="29">
        <f>IF(TrRoad_act!G19=0,0,G33/TrRoad_act!G19*1000)</f>
        <v>155.29535067374155</v>
      </c>
      <c r="H97" s="29">
        <f>IF(TrRoad_act!H19=0,0,H33/TrRoad_act!H19*1000)</f>
        <v>157.43500392740529</v>
      </c>
      <c r="I97" s="29">
        <f>IF(TrRoad_act!I19=0,0,I33/TrRoad_act!I19*1000)</f>
        <v>148.37585182373178</v>
      </c>
      <c r="J97" s="29">
        <f>IF(TrRoad_act!J19=0,0,J33/TrRoad_act!J19*1000)</f>
        <v>167.00047430897246</v>
      </c>
      <c r="K97" s="29">
        <f>IF(TrRoad_act!K19=0,0,K33/TrRoad_act!K19*1000)</f>
        <v>161.0168023821785</v>
      </c>
      <c r="L97" s="29">
        <f>IF(TrRoad_act!L19=0,0,L33/TrRoad_act!L19*1000)</f>
        <v>153.59722038633021</v>
      </c>
      <c r="M97" s="29">
        <f>IF(TrRoad_act!M19=0,0,M33/TrRoad_act!M19*1000)</f>
        <v>145.92894789258034</v>
      </c>
      <c r="N97" s="29">
        <f>IF(TrRoad_act!N19=0,0,N33/TrRoad_act!N19*1000)</f>
        <v>152.00893962580093</v>
      </c>
      <c r="O97" s="29">
        <f>IF(TrRoad_act!O19=0,0,O33/TrRoad_act!O19*1000)</f>
        <v>118.64364117131825</v>
      </c>
      <c r="P97" s="29">
        <f>IF(TrRoad_act!P19=0,0,P33/TrRoad_act!P19*1000)</f>
        <v>136.4793901258241</v>
      </c>
      <c r="Q97" s="29">
        <f>IF(TrRoad_act!Q19=0,0,Q33/TrRoad_act!Q19*1000)</f>
        <v>140.39428049971735</v>
      </c>
      <c r="R97" s="29">
        <f>IF(TrRoad_act!R19=0,0,R33/TrRoad_act!R19*1000)</f>
        <v>140.45690059876864</v>
      </c>
      <c r="S97" s="29">
        <f>IF(TrRoad_act!S19=0,0,S33/TrRoad_act!S19*1000)</f>
        <v>130.1239840102335</v>
      </c>
      <c r="T97" s="29">
        <f>IF(TrRoad_act!T19=0,0,T33/TrRoad_act!T19*1000)</f>
        <v>136.09013009234974</v>
      </c>
      <c r="U97" s="29">
        <f>IF(TrRoad_act!U19=0,0,U33/TrRoad_act!U19*1000)</f>
        <v>151.97430295152023</v>
      </c>
      <c r="V97" s="29">
        <f>IF(TrRoad_act!V19=0,0,V33/TrRoad_act!V19*1000)</f>
        <v>132.0542767395898</v>
      </c>
      <c r="W97" s="29">
        <f>IF(TrRoad_act!W19=0,0,W33/TrRoad_act!W19*1000)</f>
        <v>127.71023531447581</v>
      </c>
      <c r="X97" s="29">
        <f>IF(TrRoad_act!X19=0,0,X33/TrRoad_act!X19*1000)</f>
        <v>112.70216015185808</v>
      </c>
      <c r="Y97" s="29">
        <f>IF(TrRoad_act!Y19=0,0,Y33/TrRoad_act!Y19*1000)</f>
        <v>107.62895680581316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937.04225020373519</v>
      </c>
      <c r="C98" s="152">
        <f>IF(TrRoad_act!C20=0,0,C34/TrRoad_act!C20*1000)</f>
        <v>946.90142024860836</v>
      </c>
      <c r="D98" s="152">
        <f>IF(TrRoad_act!D20=0,0,D34/TrRoad_act!D20*1000)</f>
        <v>948.50190318097668</v>
      </c>
      <c r="E98" s="152">
        <f>IF(TrRoad_act!E20=0,0,E34/TrRoad_act!E20*1000)</f>
        <v>914.35112947245977</v>
      </c>
      <c r="F98" s="152">
        <f>IF(TrRoad_act!F20=0,0,F34/TrRoad_act!F20*1000)</f>
        <v>863.52196390071617</v>
      </c>
      <c r="G98" s="152">
        <f>IF(TrRoad_act!G20=0,0,G34/TrRoad_act!G20*1000)</f>
        <v>842.14208765750857</v>
      </c>
      <c r="H98" s="152">
        <f>IF(TrRoad_act!H20=0,0,H34/TrRoad_act!H20*1000)</f>
        <v>788.53562747951014</v>
      </c>
      <c r="I98" s="152">
        <f>IF(TrRoad_act!I20=0,0,I34/TrRoad_act!I20*1000)</f>
        <v>754.89409968667985</v>
      </c>
      <c r="J98" s="152">
        <f>IF(TrRoad_act!J20=0,0,J34/TrRoad_act!J20*1000)</f>
        <v>737.28290485273055</v>
      </c>
      <c r="K98" s="152">
        <f>IF(TrRoad_act!K20=0,0,K34/TrRoad_act!K20*1000)</f>
        <v>717.8315628589952</v>
      </c>
      <c r="L98" s="152">
        <f>IF(TrRoad_act!L20=0,0,L34/TrRoad_act!L20*1000)</f>
        <v>701.01705741394721</v>
      </c>
      <c r="M98" s="152">
        <f>IF(TrRoad_act!M20=0,0,M34/TrRoad_act!M20*1000)</f>
        <v>696.91425003588881</v>
      </c>
      <c r="N98" s="152">
        <f>IF(TrRoad_act!N20=0,0,N34/TrRoad_act!N20*1000)</f>
        <v>667.61725989707952</v>
      </c>
      <c r="O98" s="152">
        <f>IF(TrRoad_act!O20=0,0,O34/TrRoad_act!O20*1000)</f>
        <v>651.55239472049402</v>
      </c>
      <c r="P98" s="152">
        <f>IF(TrRoad_act!P20=0,0,P34/TrRoad_act!P20*1000)</f>
        <v>654.5578377966176</v>
      </c>
      <c r="Q98" s="152">
        <f>IF(TrRoad_act!Q20=0,0,Q34/TrRoad_act!Q20*1000)</f>
        <v>652.84855775875189</v>
      </c>
      <c r="R98" s="152">
        <f>IF(TrRoad_act!R20=0,0,R34/TrRoad_act!R20*1000)</f>
        <v>642.1598012497775</v>
      </c>
      <c r="S98" s="152">
        <f>IF(TrRoad_act!S20=0,0,S34/TrRoad_act!S20*1000)</f>
        <v>640.1355907989057</v>
      </c>
      <c r="T98" s="152">
        <f>IF(TrRoad_act!T20=0,0,T34/TrRoad_act!T20*1000)</f>
        <v>643.6122838181218</v>
      </c>
      <c r="U98" s="152">
        <f>IF(TrRoad_act!U20=0,0,U34/TrRoad_act!U20*1000)</f>
        <v>645.45295540192296</v>
      </c>
      <c r="V98" s="152">
        <f>IF(TrRoad_act!V20=0,0,V34/TrRoad_act!V20*1000)</f>
        <v>649.24843920418209</v>
      </c>
      <c r="W98" s="152">
        <f>IF(TrRoad_act!W20=0,0,W34/TrRoad_act!W20*1000)</f>
        <v>665.63113079611105</v>
      </c>
      <c r="X98" s="152">
        <f>IF(TrRoad_act!X20=0,0,X34/TrRoad_act!X20*1000)</f>
        <v>668.28188765876462</v>
      </c>
      <c r="Y98" s="152">
        <f>IF(TrRoad_act!Y20=0,0,Y34/TrRoad_act!Y20*1000)</f>
        <v>685.42195713237311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1419.4894879546923</v>
      </c>
      <c r="C99" s="87">
        <f>IF(TrRoad_act!C21=0,0,C35/TrRoad_act!C21*1000)</f>
        <v>1410.3862670860769</v>
      </c>
      <c r="D99" s="87">
        <f>IF(TrRoad_act!D21=0,0,D35/TrRoad_act!D21*1000)</f>
        <v>1400.1931047628766</v>
      </c>
      <c r="E99" s="87">
        <f>IF(TrRoad_act!E21=0,0,E35/TrRoad_act!E21*1000)</f>
        <v>1389.4836089947621</v>
      </c>
      <c r="F99" s="87">
        <f>IF(TrRoad_act!F21=0,0,F35/TrRoad_act!F21*1000)</f>
        <v>1380.9100014712367</v>
      </c>
      <c r="G99" s="87">
        <f>IF(TrRoad_act!G21=0,0,G35/TrRoad_act!G21*1000)</f>
        <v>1361.7978551518474</v>
      </c>
      <c r="H99" s="87">
        <f>IF(TrRoad_act!H21=0,0,H35/TrRoad_act!H21*1000)</f>
        <v>1348.8903451149804</v>
      </c>
      <c r="I99" s="87">
        <f>IF(TrRoad_act!I21=0,0,I35/TrRoad_act!I21*1000)</f>
        <v>1337.7453515348689</v>
      </c>
      <c r="J99" s="87">
        <f>IF(TrRoad_act!J21=0,0,J35/TrRoad_act!J21*1000)</f>
        <v>1336.0158245824975</v>
      </c>
      <c r="K99" s="87">
        <f>IF(TrRoad_act!K21=0,0,K35/TrRoad_act!K21*1000)</f>
        <v>1319.736915210631</v>
      </c>
      <c r="L99" s="87">
        <f>IF(TrRoad_act!L21=0,0,L35/TrRoad_act!L21*1000)</f>
        <v>1298.9884186718787</v>
      </c>
      <c r="M99" s="87">
        <f>IF(TrRoad_act!M21=0,0,M35/TrRoad_act!M21*1000)</f>
        <v>1289.7318202459685</v>
      </c>
      <c r="N99" s="87">
        <f>IF(TrRoad_act!N21=0,0,N35/TrRoad_act!N21*1000)</f>
        <v>1254.2101836959171</v>
      </c>
      <c r="O99" s="87">
        <f>IF(TrRoad_act!O21=0,0,O35/TrRoad_act!O21*1000)</f>
        <v>1198.0176634846409</v>
      </c>
      <c r="P99" s="87">
        <f>IF(TrRoad_act!P21=0,0,P35/TrRoad_act!P21*1000)</f>
        <v>1123.5622474791462</v>
      </c>
      <c r="Q99" s="87">
        <f>IF(TrRoad_act!Q21=0,0,Q35/TrRoad_act!Q21*1000)</f>
        <v>1044.9613322041428</v>
      </c>
      <c r="R99" s="87">
        <f>IF(TrRoad_act!R21=0,0,R35/TrRoad_act!R21*1000)</f>
        <v>985.72849677229635</v>
      </c>
      <c r="S99" s="87">
        <f>IF(TrRoad_act!S21=0,0,S35/TrRoad_act!S21*1000)</f>
        <v>957.90832519445485</v>
      </c>
      <c r="T99" s="87">
        <f>IF(TrRoad_act!T21=0,0,T35/TrRoad_act!T21*1000)</f>
        <v>911.21884725323218</v>
      </c>
      <c r="U99" s="87">
        <f>IF(TrRoad_act!U21=0,0,U35/TrRoad_act!U21*1000)</f>
        <v>888.91716725124513</v>
      </c>
      <c r="V99" s="87">
        <f>IF(TrRoad_act!V21=0,0,V35/TrRoad_act!V21*1000)</f>
        <v>895.16863611675524</v>
      </c>
      <c r="W99" s="87">
        <f>IF(TrRoad_act!W21=0,0,W35/TrRoad_act!W21*1000)</f>
        <v>909.8129590083081</v>
      </c>
      <c r="X99" s="87">
        <f>IF(TrRoad_act!X21=0,0,X35/TrRoad_act!X21*1000)</f>
        <v>910.9187855056266</v>
      </c>
      <c r="Y99" s="87">
        <f>IF(TrRoad_act!Y21=0,0,Y35/TrRoad_act!Y21*1000)</f>
        <v>908.53225738976187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854.04163551531917</v>
      </c>
      <c r="C100" s="87">
        <f>IF(TrRoad_act!C22=0,0,C36/TrRoad_act!C22*1000)</f>
        <v>860.69199199155548</v>
      </c>
      <c r="D100" s="87">
        <f>IF(TrRoad_act!D22=0,0,D36/TrRoad_act!D22*1000)</f>
        <v>863.4979622968068</v>
      </c>
      <c r="E100" s="87">
        <f>IF(TrRoad_act!E22=0,0,E36/TrRoad_act!E22*1000)</f>
        <v>831.8056833371561</v>
      </c>
      <c r="F100" s="87">
        <f>IF(TrRoad_act!F22=0,0,F36/TrRoad_act!F22*1000)</f>
        <v>787.44910768468253</v>
      </c>
      <c r="G100" s="87">
        <f>IF(TrRoad_act!G22=0,0,G36/TrRoad_act!G22*1000)</f>
        <v>768.17344286614218</v>
      </c>
      <c r="H100" s="87">
        <f>IF(TrRoad_act!H22=0,0,H36/TrRoad_act!H22*1000)</f>
        <v>728.4589176798188</v>
      </c>
      <c r="I100" s="87">
        <f>IF(TrRoad_act!I22=0,0,I36/TrRoad_act!I22*1000)</f>
        <v>707.33230817868196</v>
      </c>
      <c r="J100" s="87">
        <f>IF(TrRoad_act!J22=0,0,J36/TrRoad_act!J22*1000)</f>
        <v>698.53163098838161</v>
      </c>
      <c r="K100" s="87">
        <f>IF(TrRoad_act!K22=0,0,K36/TrRoad_act!K22*1000)</f>
        <v>685.58146697611437</v>
      </c>
      <c r="L100" s="87">
        <f>IF(TrRoad_act!L22=0,0,L36/TrRoad_act!L22*1000)</f>
        <v>676.30787460322063</v>
      </c>
      <c r="M100" s="87">
        <f>IF(TrRoad_act!M22=0,0,M36/TrRoad_act!M22*1000)</f>
        <v>672.8324599904131</v>
      </c>
      <c r="N100" s="87">
        <f>IF(TrRoad_act!N22=0,0,N36/TrRoad_act!N22*1000)</f>
        <v>645.86777481660044</v>
      </c>
      <c r="O100" s="87">
        <f>IF(TrRoad_act!O22=0,0,O36/TrRoad_act!O22*1000)</f>
        <v>632.47767490331489</v>
      </c>
      <c r="P100" s="87">
        <f>IF(TrRoad_act!P22=0,0,P36/TrRoad_act!P22*1000)</f>
        <v>639.56453099009173</v>
      </c>
      <c r="Q100" s="87">
        <f>IF(TrRoad_act!Q22=0,0,Q36/TrRoad_act!Q22*1000)</f>
        <v>638.83301102997223</v>
      </c>
      <c r="R100" s="87">
        <f>IF(TrRoad_act!R22=0,0,R36/TrRoad_act!R22*1000)</f>
        <v>628.78913707443485</v>
      </c>
      <c r="S100" s="87">
        <f>IF(TrRoad_act!S22=0,0,S36/TrRoad_act!S22*1000)</f>
        <v>623.80412796463929</v>
      </c>
      <c r="T100" s="87">
        <f>IF(TrRoad_act!T22=0,0,T36/TrRoad_act!T22*1000)</f>
        <v>626.81382399845609</v>
      </c>
      <c r="U100" s="87">
        <f>IF(TrRoad_act!U22=0,0,U36/TrRoad_act!U22*1000)</f>
        <v>626.61405675310527</v>
      </c>
      <c r="V100" s="87">
        <f>IF(TrRoad_act!V22=0,0,V36/TrRoad_act!V22*1000)</f>
        <v>627.81858719575916</v>
      </c>
      <c r="W100" s="87">
        <f>IF(TrRoad_act!W22=0,0,W36/TrRoad_act!W22*1000)</f>
        <v>640.73088872223036</v>
      </c>
      <c r="X100" s="87">
        <f>IF(TrRoad_act!X22=0,0,X36/TrRoad_act!X22*1000)</f>
        <v>641.88503164286135</v>
      </c>
      <c r="Y100" s="87">
        <f>IF(TrRoad_act!Y22=0,0,Y36/TrRoad_act!Y22*1000)</f>
        <v>658.38536777188995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83.942144193819701</v>
      </c>
      <c r="C104" s="116">
        <f>IF(TrRoad_act!C26=0,0,C40/TrRoad_act!C26*1000)</f>
        <v>91.96844874990903</v>
      </c>
      <c r="D104" s="116">
        <f>IF(TrRoad_act!D26=0,0,D40/TrRoad_act!D26*1000)</f>
        <v>76.432141733224853</v>
      </c>
      <c r="E104" s="116">
        <f>IF(TrRoad_act!E26=0,0,E40/TrRoad_act!E26*1000)</f>
        <v>114.30699560644123</v>
      </c>
      <c r="F104" s="116">
        <f>IF(TrRoad_act!F26=0,0,F40/TrRoad_act!F26*1000)</f>
        <v>115.81911540400085</v>
      </c>
      <c r="G104" s="116">
        <f>IF(TrRoad_act!G26=0,0,G40/TrRoad_act!G26*1000)</f>
        <v>124.073778766198</v>
      </c>
      <c r="H104" s="116">
        <f>IF(TrRoad_act!H26=0,0,H40/TrRoad_act!H26*1000)</f>
        <v>124.64038080950772</v>
      </c>
      <c r="I104" s="116">
        <f>IF(TrRoad_act!I26=0,0,I40/TrRoad_act!I26*1000)</f>
        <v>111.10197917548551</v>
      </c>
      <c r="J104" s="116">
        <f>IF(TrRoad_act!J26=0,0,J40/TrRoad_act!J26*1000)</f>
        <v>126.36948396879438</v>
      </c>
      <c r="K104" s="116">
        <f>IF(TrRoad_act!K26=0,0,K40/TrRoad_act!K26*1000)</f>
        <v>116.08376205383988</v>
      </c>
      <c r="L104" s="116">
        <f>IF(TrRoad_act!L26=0,0,L40/TrRoad_act!L26*1000)</f>
        <v>110.39625217387572</v>
      </c>
      <c r="M104" s="116">
        <f>IF(TrRoad_act!M26=0,0,M40/TrRoad_act!M26*1000)</f>
        <v>101.75930548922896</v>
      </c>
      <c r="N104" s="116">
        <f>IF(TrRoad_act!N26=0,0,N40/TrRoad_act!N26*1000)</f>
        <v>106.29647454885587</v>
      </c>
      <c r="O104" s="116">
        <f>IF(TrRoad_act!O26=0,0,O40/TrRoad_act!O26*1000)</f>
        <v>78.535504505438411</v>
      </c>
      <c r="P104" s="116">
        <f>IF(TrRoad_act!P26=0,0,P40/TrRoad_act!P26*1000)</f>
        <v>93.385324185617563</v>
      </c>
      <c r="Q104" s="116">
        <f>IF(TrRoad_act!Q26=0,0,Q40/TrRoad_act!Q26*1000)</f>
        <v>96.554862985934548</v>
      </c>
      <c r="R104" s="116">
        <f>IF(TrRoad_act!R26=0,0,R40/TrRoad_act!R26*1000)</f>
        <v>98.001250292521206</v>
      </c>
      <c r="S104" s="116">
        <f>IF(TrRoad_act!S26=0,0,S40/TrRoad_act!S26*1000)</f>
        <v>96.06906534104094</v>
      </c>
      <c r="T104" s="116">
        <f>IF(TrRoad_act!T26=0,0,T40/TrRoad_act!T26*1000)</f>
        <v>99.683009955251549</v>
      </c>
      <c r="U104" s="116">
        <f>IF(TrRoad_act!U26=0,0,U40/TrRoad_act!U26*1000)</f>
        <v>108.00731157200555</v>
      </c>
      <c r="V104" s="116">
        <f>IF(TrRoad_act!V26=0,0,V40/TrRoad_act!V26*1000)</f>
        <v>97.332033031571967</v>
      </c>
      <c r="W104" s="116">
        <f>IF(TrRoad_act!W26=0,0,W40/TrRoad_act!W26*1000)</f>
        <v>99.338554798124875</v>
      </c>
      <c r="X104" s="116">
        <f>IF(TrRoad_act!X26=0,0,X40/TrRoad_act!X26*1000)</f>
        <v>86.784300581772513</v>
      </c>
      <c r="Y104" s="116">
        <f>IF(TrRoad_act!Y26=0,0,Y40/TrRoad_act!Y26*1000)</f>
        <v>85.045150408089128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75.574874310535975</v>
      </c>
      <c r="C105" s="101">
        <f>IF(TrRoad_act!C27=0,0,C41/TrRoad_act!C27*1000)</f>
        <v>97.825102117528516</v>
      </c>
      <c r="D105" s="101">
        <f>IF(TrRoad_act!D27=0,0,D41/TrRoad_act!D27*1000)</f>
        <v>62.037382007346444</v>
      </c>
      <c r="E105" s="101">
        <f>IF(TrRoad_act!E27=0,0,E41/TrRoad_act!E27*1000)</f>
        <v>146.66032881990651</v>
      </c>
      <c r="F105" s="101">
        <f>IF(TrRoad_act!F27=0,0,F41/TrRoad_act!F27*1000)</f>
        <v>153.61549556249378</v>
      </c>
      <c r="G105" s="101">
        <f>IF(TrRoad_act!G27=0,0,G41/TrRoad_act!G27*1000)</f>
        <v>171.68915988253852</v>
      </c>
      <c r="H105" s="101">
        <f>IF(TrRoad_act!H27=0,0,H41/TrRoad_act!H27*1000)</f>
        <v>161.29155002614385</v>
      </c>
      <c r="I105" s="101">
        <f>IF(TrRoad_act!I27=0,0,I41/TrRoad_act!I27*1000)</f>
        <v>131.49977181736102</v>
      </c>
      <c r="J105" s="101">
        <f>IF(TrRoad_act!J27=0,0,J41/TrRoad_act!J27*1000)</f>
        <v>142.39170793375095</v>
      </c>
      <c r="K105" s="101">
        <f>IF(TrRoad_act!K27=0,0,K41/TrRoad_act!K27*1000)</f>
        <v>128.0611024300492</v>
      </c>
      <c r="L105" s="101">
        <f>IF(TrRoad_act!L27=0,0,L41/TrRoad_act!L27*1000)</f>
        <v>123.57145452950189</v>
      </c>
      <c r="M105" s="101">
        <f>IF(TrRoad_act!M27=0,0,M41/TrRoad_act!M27*1000)</f>
        <v>111.74606278285582</v>
      </c>
      <c r="N105" s="101">
        <f>IF(TrRoad_act!N27=0,0,N41/TrRoad_act!N27*1000)</f>
        <v>120.08733941916552</v>
      </c>
      <c r="O105" s="101">
        <f>IF(TrRoad_act!O27=0,0,O41/TrRoad_act!O27*1000)</f>
        <v>78.55348042694925</v>
      </c>
      <c r="P105" s="101">
        <f>IF(TrRoad_act!P27=0,0,P41/TrRoad_act!P27*1000)</f>
        <v>101.93995635527445</v>
      </c>
      <c r="Q105" s="101">
        <f>IF(TrRoad_act!Q27=0,0,Q41/TrRoad_act!Q27*1000)</f>
        <v>107.6333892653019</v>
      </c>
      <c r="R105" s="101">
        <f>IF(TrRoad_act!R27=0,0,R41/TrRoad_act!R27*1000)</f>
        <v>109.66030517085997</v>
      </c>
      <c r="S105" s="101">
        <f>IF(TrRoad_act!S27=0,0,S41/TrRoad_act!S27*1000)</f>
        <v>105.70314451647475</v>
      </c>
      <c r="T105" s="101">
        <f>IF(TrRoad_act!T27=0,0,T41/TrRoad_act!T27*1000)</f>
        <v>111.35560508398473</v>
      </c>
      <c r="U105" s="101">
        <f>IF(TrRoad_act!U27=0,0,U41/TrRoad_act!U27*1000)</f>
        <v>126.66740291078993</v>
      </c>
      <c r="V105" s="101">
        <f>IF(TrRoad_act!V27=0,0,V41/TrRoad_act!V27*1000)</f>
        <v>108.52966129987676</v>
      </c>
      <c r="W105" s="101">
        <f>IF(TrRoad_act!W27=0,0,W41/TrRoad_act!W27*1000)</f>
        <v>111.47236374982684</v>
      </c>
      <c r="X105" s="101">
        <f>IF(TrRoad_act!X27=0,0,X41/TrRoad_act!X27*1000)</f>
        <v>94.249037826933474</v>
      </c>
      <c r="Y105" s="101">
        <f>IF(TrRoad_act!Y27=0,0,Y41/TrRoad_act!Y27*1000)</f>
        <v>90.018264218144154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89.895125937198031</v>
      </c>
      <c r="C106" s="88">
        <f>IF(TrRoad_act!C28=0,0,C42/TrRoad_act!C28*1000)</f>
        <v>87.762254388527921</v>
      </c>
      <c r="D106" s="88">
        <f>IF(TrRoad_act!D28=0,0,D42/TrRoad_act!D28*1000)</f>
        <v>88.026109226458757</v>
      </c>
      <c r="E106" s="88">
        <f>IF(TrRoad_act!E28=0,0,E42/TrRoad_act!E28*1000)</f>
        <v>84.388871053857869</v>
      </c>
      <c r="F106" s="88">
        <f>IF(TrRoad_act!F28=0,0,F42/TrRoad_act!F28*1000)</f>
        <v>85.53632828636681</v>
      </c>
      <c r="G106" s="88">
        <f>IF(TrRoad_act!G28=0,0,G42/TrRoad_act!G28*1000)</f>
        <v>83.782239874772173</v>
      </c>
      <c r="H106" s="88">
        <f>IF(TrRoad_act!H28=0,0,H42/TrRoad_act!H28*1000)</f>
        <v>83.455566334134048</v>
      </c>
      <c r="I106" s="88">
        <f>IF(TrRoad_act!I28=0,0,I42/TrRoad_act!I28*1000)</f>
        <v>84.695692743487299</v>
      </c>
      <c r="J106" s="88">
        <f>IF(TrRoad_act!J28=0,0,J42/TrRoad_act!J28*1000)</f>
        <v>83.259882023780563</v>
      </c>
      <c r="K106" s="88">
        <f>IF(TrRoad_act!K28=0,0,K42/TrRoad_act!K28*1000)</f>
        <v>85.135996715722399</v>
      </c>
      <c r="L106" s="88">
        <f>IF(TrRoad_act!L28=0,0,L42/TrRoad_act!L28*1000)</f>
        <v>81.330659334412076</v>
      </c>
      <c r="M106" s="88">
        <f>IF(TrRoad_act!M28=0,0,M42/TrRoad_act!M28*1000)</f>
        <v>81.488348080644073</v>
      </c>
      <c r="N106" s="88">
        <f>IF(TrRoad_act!N28=0,0,N42/TrRoad_act!N28*1000)</f>
        <v>77.218449787593102</v>
      </c>
      <c r="O106" s="88">
        <f>IF(TrRoad_act!O28=0,0,O42/TrRoad_act!O28*1000)</f>
        <v>78.501148709033359</v>
      </c>
      <c r="P106" s="88">
        <f>IF(TrRoad_act!P28=0,0,P42/TrRoad_act!P28*1000)</f>
        <v>76.781903029608102</v>
      </c>
      <c r="Q106" s="88">
        <f>IF(TrRoad_act!Q28=0,0,Q42/TrRoad_act!Q28*1000)</f>
        <v>76.724845896275227</v>
      </c>
      <c r="R106" s="88">
        <f>IF(TrRoad_act!R28=0,0,R42/TrRoad_act!R28*1000)</f>
        <v>75.824095195085121</v>
      </c>
      <c r="S106" s="88">
        <f>IF(TrRoad_act!S28=0,0,S42/TrRoad_act!S28*1000)</f>
        <v>74.430471480573303</v>
      </c>
      <c r="T106" s="88">
        <f>IF(TrRoad_act!T28=0,0,T42/TrRoad_act!T28*1000)</f>
        <v>73.201387565805277</v>
      </c>
      <c r="U106" s="88">
        <f>IF(TrRoad_act!U28=0,0,U42/TrRoad_act!U28*1000)</f>
        <v>72.280139705079549</v>
      </c>
      <c r="V106" s="88">
        <f>IF(TrRoad_act!V28=0,0,V42/TrRoad_act!V28*1000)</f>
        <v>74.251525251839396</v>
      </c>
      <c r="W106" s="88">
        <f>IF(TrRoad_act!W28=0,0,W42/TrRoad_act!W28*1000)</f>
        <v>73.536350129044038</v>
      </c>
      <c r="X106" s="88">
        <f>IF(TrRoad_act!X28=0,0,X42/TrRoad_act!X28*1000)</f>
        <v>73.642010587646269</v>
      </c>
      <c r="Y106" s="88">
        <f>IF(TrRoad_act!Y28=0,0,Y42/TrRoad_act!Y28*1000)</f>
        <v>75.336204637749077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512.32548157760607</v>
      </c>
      <c r="C110" s="152">
        <f>IF(C19=0,0,1000000*C19/TrRoad_act!C59)</f>
        <v>516.46715101566576</v>
      </c>
      <c r="D110" s="152">
        <f>IF(D19=0,0,1000000*D19/TrRoad_act!D59)</f>
        <v>515.68648936714828</v>
      </c>
      <c r="E110" s="152">
        <f>IF(E19=0,0,1000000*E19/TrRoad_act!E59)</f>
        <v>501.4316469684216</v>
      </c>
      <c r="F110" s="152">
        <f>IF(F19=0,0,1000000*F19/TrRoad_act!F59)</f>
        <v>508.42124096263097</v>
      </c>
      <c r="G110" s="152">
        <f>IF(G19=0,0,1000000*G19/TrRoad_act!G59)</f>
        <v>542.60980191205624</v>
      </c>
      <c r="H110" s="152">
        <f>IF(H19=0,0,1000000*H19/TrRoad_act!H59)</f>
        <v>554.59268107273783</v>
      </c>
      <c r="I110" s="152">
        <f>IF(I19=0,0,1000000*I19/TrRoad_act!I59)</f>
        <v>487.75836993824277</v>
      </c>
      <c r="J110" s="152">
        <f>IF(J19=0,0,1000000*J19/TrRoad_act!J59)</f>
        <v>459.47758994352193</v>
      </c>
      <c r="K110" s="152">
        <f>IF(K19=0,0,1000000*K19/TrRoad_act!K59)</f>
        <v>439.11670618241266</v>
      </c>
      <c r="L110" s="152">
        <f>IF(L19=0,0,1000000*L19/TrRoad_act!L59)</f>
        <v>444.08436560801272</v>
      </c>
      <c r="M110" s="152">
        <f>IF(M19=0,0,1000000*M19/TrRoad_act!M59)</f>
        <v>442.26501996473428</v>
      </c>
      <c r="N110" s="152">
        <f>IF(N19=0,0,1000000*N19/TrRoad_act!N59)</f>
        <v>448.18612924780649</v>
      </c>
      <c r="O110" s="152">
        <f>IF(O19=0,0,1000000*O19/TrRoad_act!O59)</f>
        <v>436.65220246970426</v>
      </c>
      <c r="P110" s="152">
        <f>IF(P19=0,0,1000000*P19/TrRoad_act!P59)</f>
        <v>432.16414097469965</v>
      </c>
      <c r="Q110" s="152">
        <f>IF(Q19=0,0,1000000*Q19/TrRoad_act!Q59)</f>
        <v>424.23890304470666</v>
      </c>
      <c r="R110" s="152">
        <f>IF(R19=0,0,1000000*R19/TrRoad_act!R59)</f>
        <v>425.63783554439271</v>
      </c>
      <c r="S110" s="152">
        <f>IF(S19=0,0,1000000*S19/TrRoad_act!S59)</f>
        <v>387.2752327805153</v>
      </c>
      <c r="T110" s="152">
        <f>IF(T19=0,0,1000000*T19/TrRoad_act!T59)</f>
        <v>348.47037591317422</v>
      </c>
      <c r="U110" s="152">
        <f>IF(U19=0,0,1000000*U19/TrRoad_act!U59)</f>
        <v>350.15901981587393</v>
      </c>
      <c r="V110" s="152">
        <f>IF(V19=0,0,1000000*V19/TrRoad_act!V59)</f>
        <v>305.84538447571265</v>
      </c>
      <c r="W110" s="152">
        <f>IF(W19=0,0,1000000*W19/TrRoad_act!W59)</f>
        <v>312.66125562723442</v>
      </c>
      <c r="X110" s="152">
        <f>IF(X19=0,0,1000000*X19/TrRoad_act!X59)</f>
        <v>304.17867125220346</v>
      </c>
      <c r="Y110" s="152">
        <f>IF(Y19=0,0,1000000*Y19/TrRoad_act!Y59)</f>
        <v>308.21808235234448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1515.4755292851059</v>
      </c>
      <c r="C111" s="116">
        <f>IF(C20=0,0,1000000*C20/TrRoad_act!C60)</f>
        <v>1473.2961056535139</v>
      </c>
      <c r="D111" s="116">
        <f>IF(D20=0,0,1000000*D20/TrRoad_act!D60)</f>
        <v>1514.3425322380174</v>
      </c>
      <c r="E111" s="116">
        <f>IF(E20=0,0,1000000*E20/TrRoad_act!E60)</f>
        <v>1611.1588244499601</v>
      </c>
      <c r="F111" s="116">
        <f>IF(F20=0,0,1000000*F20/TrRoad_act!F60)</f>
        <v>1646.0023338463325</v>
      </c>
      <c r="G111" s="116">
        <f>IF(G20=0,0,1000000*G20/TrRoad_act!G60)</f>
        <v>1764.8681366352407</v>
      </c>
      <c r="H111" s="116">
        <f>IF(H20=0,0,1000000*H20/TrRoad_act!H60)</f>
        <v>1852.1990877876024</v>
      </c>
      <c r="I111" s="116">
        <f>IF(I20=0,0,1000000*I20/TrRoad_act!I60)</f>
        <v>1665.0951656394859</v>
      </c>
      <c r="J111" s="116">
        <f>IF(J20=0,0,1000000*J20/TrRoad_act!J60)</f>
        <v>1759.7144677213582</v>
      </c>
      <c r="K111" s="116">
        <f>IF(K20=0,0,1000000*K20/TrRoad_act!K60)</f>
        <v>1786.3852190060513</v>
      </c>
      <c r="L111" s="116">
        <f>IF(L20=0,0,1000000*L20/TrRoad_act!L60)</f>
        <v>1714.8588451176643</v>
      </c>
      <c r="M111" s="116">
        <f>IF(M20=0,0,1000000*M20/TrRoad_act!M60)</f>
        <v>1648.1508923614449</v>
      </c>
      <c r="N111" s="116">
        <f>IF(N20=0,0,1000000*N20/TrRoad_act!N60)</f>
        <v>1736.7207360005721</v>
      </c>
      <c r="O111" s="116">
        <f>IF(O20=0,0,1000000*O20/TrRoad_act!O60)</f>
        <v>1484.0192069429174</v>
      </c>
      <c r="P111" s="116">
        <f>IF(P20=0,0,1000000*P20/TrRoad_act!P60)</f>
        <v>1705.0270575703157</v>
      </c>
      <c r="Q111" s="116">
        <f>IF(Q20=0,0,1000000*Q20/TrRoad_act!Q60)</f>
        <v>1841.9426511868762</v>
      </c>
      <c r="R111" s="116">
        <f>IF(R20=0,0,1000000*R20/TrRoad_act!R60)</f>
        <v>1876.0180402503629</v>
      </c>
      <c r="S111" s="116">
        <f>IF(S20=0,0,1000000*S20/TrRoad_act!S60)</f>
        <v>1948.7695376800893</v>
      </c>
      <c r="T111" s="116">
        <f>IF(T20=0,0,1000000*T20/TrRoad_act!T60)</f>
        <v>2023.4016000634015</v>
      </c>
      <c r="U111" s="116">
        <f>IF(U20=0,0,1000000*U20/TrRoad_act!U60)</f>
        <v>2153.898554065433</v>
      </c>
      <c r="V111" s="116">
        <f>IF(V20=0,0,1000000*V20/TrRoad_act!V60)</f>
        <v>1955.3977478429917</v>
      </c>
      <c r="W111" s="116">
        <f>IF(W20=0,0,1000000*W20/TrRoad_act!W60)</f>
        <v>2154.0314300947789</v>
      </c>
      <c r="X111" s="116">
        <f>IF(X20=0,0,1000000*X20/TrRoad_act!X60)</f>
        <v>2189.5161228160473</v>
      </c>
      <c r="Y111" s="116">
        <f>IF(Y20=0,0,1000000*Y20/TrRoad_act!Y60)</f>
        <v>2229.8463713567758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1227.4327351845509</v>
      </c>
      <c r="C112" s="87">
        <f>IF(C21=0,0,1000000*C21/TrRoad_act!C61)</f>
        <v>1043.4912368257287</v>
      </c>
      <c r="D112" s="87">
        <f>IF(D21=0,0,1000000*D21/TrRoad_act!D61)</f>
        <v>1127.1408193836157</v>
      </c>
      <c r="E112" s="87">
        <f>IF(E21=0,0,1000000*E21/TrRoad_act!E61)</f>
        <v>1078.2320805620459</v>
      </c>
      <c r="F112" s="87">
        <f>IF(F21=0,0,1000000*F21/TrRoad_act!F61)</f>
        <v>1013.3480234375434</v>
      </c>
      <c r="G112" s="87">
        <f>IF(G21=0,0,1000000*G21/TrRoad_act!G61)</f>
        <v>984.74287400200353</v>
      </c>
      <c r="H112" s="87">
        <f>IF(H21=0,0,1000000*H21/TrRoad_act!H61)</f>
        <v>1155.5826706346361</v>
      </c>
      <c r="I112" s="87">
        <f>IF(I21=0,0,1000000*I21/TrRoad_act!I61)</f>
        <v>1113.4448635687597</v>
      </c>
      <c r="J112" s="87">
        <f>IF(J21=0,0,1000000*J21/TrRoad_act!J61)</f>
        <v>1111.7472240857489</v>
      </c>
      <c r="K112" s="87">
        <f>IF(K21=0,0,1000000*K21/TrRoad_act!K61)</f>
        <v>1187.3037621804228</v>
      </c>
      <c r="L112" s="87">
        <f>IF(L21=0,0,1000000*L21/TrRoad_act!L61)</f>
        <v>1105.4067487965797</v>
      </c>
      <c r="M112" s="87">
        <f>IF(M21=0,0,1000000*M21/TrRoad_act!M61)</f>
        <v>1069.3405982720301</v>
      </c>
      <c r="N112" s="87">
        <f>IF(N21=0,0,1000000*N21/TrRoad_act!N61)</f>
        <v>1028.1061606046021</v>
      </c>
      <c r="O112" s="87">
        <f>IF(O21=0,0,1000000*O21/TrRoad_act!O61)</f>
        <v>832.17752691737485</v>
      </c>
      <c r="P112" s="87">
        <f>IF(P21=0,0,1000000*P21/TrRoad_act!P61)</f>
        <v>974.46388715264402</v>
      </c>
      <c r="Q112" s="87">
        <f>IF(Q21=0,0,1000000*Q21/TrRoad_act!Q61)</f>
        <v>1002.188766606398</v>
      </c>
      <c r="R112" s="87">
        <f>IF(R21=0,0,1000000*R21/TrRoad_act!R61)</f>
        <v>945.75490352561576</v>
      </c>
      <c r="S112" s="87">
        <f>IF(S21=0,0,1000000*S21/TrRoad_act!S61)</f>
        <v>993.1227217834662</v>
      </c>
      <c r="T112" s="87">
        <f>IF(T21=0,0,1000000*T21/TrRoad_act!T61)</f>
        <v>946.69377890369913</v>
      </c>
      <c r="U112" s="87">
        <f>IF(U21=0,0,1000000*U21/TrRoad_act!U61)</f>
        <v>947.99098655844193</v>
      </c>
      <c r="V112" s="87">
        <f>IF(V21=0,0,1000000*V21/TrRoad_act!V61)</f>
        <v>933.4756992786447</v>
      </c>
      <c r="W112" s="87">
        <f>IF(W21=0,0,1000000*W21/TrRoad_act!W61)</f>
        <v>1035.06146871388</v>
      </c>
      <c r="X112" s="87">
        <f>IF(X21=0,0,1000000*X21/TrRoad_act!X61)</f>
        <v>1097.4705103535173</v>
      </c>
      <c r="Y112" s="87">
        <f>IF(Y21=0,0,1000000*Y21/TrRoad_act!Y61)</f>
        <v>1093.6677626626733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2733.4800598048541</v>
      </c>
      <c r="C113" s="87">
        <f>IF(C22=0,0,1000000*C22/TrRoad_act!C62)</f>
        <v>3445.2600966133236</v>
      </c>
      <c r="D113" s="87">
        <f>IF(D22=0,0,1000000*D22/TrRoad_act!D62)</f>
        <v>2853.9213524532274</v>
      </c>
      <c r="E113" s="87">
        <f>IF(E22=0,0,1000000*E22/TrRoad_act!E62)</f>
        <v>3284.3253959520393</v>
      </c>
      <c r="F113" s="87">
        <f>IF(F22=0,0,1000000*F22/TrRoad_act!F62)</f>
        <v>3380.4445653593211</v>
      </c>
      <c r="G113" s="87">
        <f>IF(G22=0,0,1000000*G22/TrRoad_act!G62)</f>
        <v>4149.6592189197527</v>
      </c>
      <c r="H113" s="87">
        <f>IF(H22=0,0,1000000*H22/TrRoad_act!H62)</f>
        <v>3569.9144474598247</v>
      </c>
      <c r="I113" s="87">
        <f>IF(I22=0,0,1000000*I22/TrRoad_act!I62)</f>
        <v>2840.9413490990555</v>
      </c>
      <c r="J113" s="87">
        <f>IF(J22=0,0,1000000*J22/TrRoad_act!J62)</f>
        <v>3080.0077618170317</v>
      </c>
      <c r="K113" s="87">
        <f>IF(K22=0,0,1000000*K22/TrRoad_act!K62)</f>
        <v>2724.5721536925225</v>
      </c>
      <c r="L113" s="87">
        <f>IF(L22=0,0,1000000*L22/TrRoad_act!L62)</f>
        <v>2792.2469984277323</v>
      </c>
      <c r="M113" s="87">
        <f>IF(M22=0,0,1000000*M22/TrRoad_act!M62)</f>
        <v>2377.1222906301482</v>
      </c>
      <c r="N113" s="87">
        <f>IF(N22=0,0,1000000*N22/TrRoad_act!N62)</f>
        <v>2671.6222284434098</v>
      </c>
      <c r="O113" s="87">
        <f>IF(O22=0,0,1000000*O22/TrRoad_act!O62)</f>
        <v>2162.8122475055798</v>
      </c>
      <c r="P113" s="87">
        <f>IF(P22=0,0,1000000*P22/TrRoad_act!P62)</f>
        <v>2625.861842435248</v>
      </c>
      <c r="Q113" s="87">
        <f>IF(Q22=0,0,1000000*Q22/TrRoad_act!Q62)</f>
        <v>2972.5346636824556</v>
      </c>
      <c r="R113" s="87">
        <f>IF(R22=0,0,1000000*R22/TrRoad_act!R62)</f>
        <v>3115.9973777355772</v>
      </c>
      <c r="S113" s="87">
        <f>IF(S22=0,0,1000000*S22/TrRoad_act!S62)</f>
        <v>3240.7110296260221</v>
      </c>
      <c r="T113" s="87">
        <f>IF(T22=0,0,1000000*T22/TrRoad_act!T62)</f>
        <v>3409.3919216390486</v>
      </c>
      <c r="U113" s="87">
        <f>IF(U22=0,0,1000000*U22/TrRoad_act!U62)</f>
        <v>3691.3721484902035</v>
      </c>
      <c r="V113" s="87">
        <f>IF(V22=0,0,1000000*V22/TrRoad_act!V62)</f>
        <v>3116.7352734400502</v>
      </c>
      <c r="W113" s="87">
        <f>IF(W22=0,0,1000000*W22/TrRoad_act!W62)</f>
        <v>3446.7254581526154</v>
      </c>
      <c r="X113" s="87">
        <f>IF(X22=0,0,1000000*X22/TrRoad_act!X62)</f>
        <v>3286.2626436776332</v>
      </c>
      <c r="Y113" s="87">
        <f>IF(Y22=0,0,1000000*Y22/TrRoad_act!Y62)</f>
        <v>3249.8028657985624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2351.8883390400001</v>
      </c>
      <c r="C114" s="87">
        <f>IF(C23=0,0,1000000*C23/TrRoad_act!C63)</f>
        <v>2287.2070995493045</v>
      </c>
      <c r="D114" s="87">
        <f>IF(D23=0,0,1000000*D23/TrRoad_act!D63)</f>
        <v>2254.3939406623354</v>
      </c>
      <c r="E114" s="87">
        <f>IF(E23=0,0,1000000*E23/TrRoad_act!E63)</f>
        <v>2239.6374111999253</v>
      </c>
      <c r="F114" s="87">
        <f>IF(F23=0,0,1000000*F23/TrRoad_act!F63)</f>
        <v>2166.6422074422339</v>
      </c>
      <c r="G114" s="87">
        <f>IF(G23=0,0,1000000*G23/TrRoad_act!G63)</f>
        <v>2133.3770123910394</v>
      </c>
      <c r="H114" s="87">
        <f>IF(H23=0,0,1000000*H23/TrRoad_act!H63)</f>
        <v>2123.6555731804424</v>
      </c>
      <c r="I114" s="87">
        <f>IF(I23=0,0,1000000*I23/TrRoad_act!I63)</f>
        <v>1865.5000973653011</v>
      </c>
      <c r="J114" s="87">
        <f>IF(J23=0,0,1000000*J23/TrRoad_act!J63)</f>
        <v>1885.2401968847448</v>
      </c>
      <c r="K114" s="87">
        <f>IF(K23=0,0,1000000*K23/TrRoad_act!K63)</f>
        <v>2157.8307944831595</v>
      </c>
      <c r="L114" s="87">
        <f>IF(L23=0,0,1000000*L23/TrRoad_act!L63)</f>
        <v>1951.6169457457856</v>
      </c>
      <c r="M114" s="87">
        <f>IF(M23=0,0,1000000*M23/TrRoad_act!M63)</f>
        <v>1964.7268816664155</v>
      </c>
      <c r="N114" s="87">
        <f>IF(N23=0,0,1000000*N23/TrRoad_act!N63)</f>
        <v>1953.3441994528428</v>
      </c>
      <c r="O114" s="87">
        <f>IF(O23=0,0,1000000*O23/TrRoad_act!O63)</f>
        <v>1939.4278865736765</v>
      </c>
      <c r="P114" s="87">
        <f>IF(P23=0,0,1000000*P23/TrRoad_act!P63)</f>
        <v>1922.5835788894724</v>
      </c>
      <c r="Q114" s="87">
        <f>IF(Q23=0,0,1000000*Q23/TrRoad_act!Q63)</f>
        <v>1910.330524686678</v>
      </c>
      <c r="R114" s="87">
        <f>IF(R23=0,0,1000000*R23/TrRoad_act!R63)</f>
        <v>1910.0922879628624</v>
      </c>
      <c r="S114" s="87">
        <f>IF(S23=0,0,1000000*S23/TrRoad_act!S63)</f>
        <v>1905.3652451545554</v>
      </c>
      <c r="T114" s="87">
        <f>IF(T23=0,0,1000000*T23/TrRoad_act!T63)</f>
        <v>1901.4421974160255</v>
      </c>
      <c r="U114" s="87">
        <f>IF(U23=0,0,1000000*U23/TrRoad_act!U63)</f>
        <v>1904.796237846313</v>
      </c>
      <c r="V114" s="87">
        <f>IF(V23=0,0,1000000*V23/TrRoad_act!V63)</f>
        <v>1900.3228486752905</v>
      </c>
      <c r="W114" s="87">
        <f>IF(W23=0,0,1000000*W23/TrRoad_act!W63)</f>
        <v>1931.1018269646029</v>
      </c>
      <c r="X114" s="87">
        <f>IF(X23=0,0,1000000*X23/TrRoad_act!X63)</f>
        <v>2221.6399196736184</v>
      </c>
      <c r="Y114" s="87">
        <f>IF(Y23=0,0,1000000*Y23/TrRoad_act!Y63)</f>
        <v>2452.1105311609317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1873.9705395727606</v>
      </c>
      <c r="G115" s="87">
        <f>IF(G24=0,0,1000000*G24/TrRoad_act!G64)</f>
        <v>1859.9959057209492</v>
      </c>
      <c r="H115" s="87">
        <f>IF(H24=0,0,1000000*H24/TrRoad_act!H64)</f>
        <v>1853.4216331144921</v>
      </c>
      <c r="I115" s="87">
        <f>IF(I24=0,0,1000000*I24/TrRoad_act!I64)</f>
        <v>1836.2836736445552</v>
      </c>
      <c r="J115" s="87">
        <f>IF(J24=0,0,1000000*J24/TrRoad_act!J64)</f>
        <v>1835.3993898714195</v>
      </c>
      <c r="K115" s="87">
        <f>IF(K24=0,0,1000000*K24/TrRoad_act!K64)</f>
        <v>1771.1345272098069</v>
      </c>
      <c r="L115" s="87">
        <f>IF(L24=0,0,1000000*L24/TrRoad_act!L64)</f>
        <v>1563.9881600635247</v>
      </c>
      <c r="M115" s="87">
        <f>IF(M24=0,0,1000000*M24/TrRoad_act!M64)</f>
        <v>1532.6795358476566</v>
      </c>
      <c r="N115" s="87">
        <f>IF(N24=0,0,1000000*N24/TrRoad_act!N64)</f>
        <v>1515.7943345165104</v>
      </c>
      <c r="O115" s="87">
        <f>IF(O24=0,0,1000000*O24/TrRoad_act!O64)</f>
        <v>1509.0056291210628</v>
      </c>
      <c r="P115" s="87">
        <f>IF(P24=0,0,1000000*P24/TrRoad_act!P64)</f>
        <v>1466.4603917727391</v>
      </c>
      <c r="Q115" s="87">
        <f>IF(Q24=0,0,1000000*Q24/TrRoad_act!Q64)</f>
        <v>1436.9656056445153</v>
      </c>
      <c r="R115" s="87">
        <f>IF(R24=0,0,1000000*R24/TrRoad_act!R64)</f>
        <v>1420.9635682693336</v>
      </c>
      <c r="S115" s="87">
        <f>IF(S24=0,0,1000000*S24/TrRoad_act!S64)</f>
        <v>1416.2532544135565</v>
      </c>
      <c r="T115" s="87">
        <f>IF(T24=0,0,1000000*T24/TrRoad_act!T64)</f>
        <v>1401.225093212877</v>
      </c>
      <c r="U115" s="87">
        <f>IF(U24=0,0,1000000*U24/TrRoad_act!U64)</f>
        <v>1375.8393489591501</v>
      </c>
      <c r="V115" s="87">
        <f>IF(V24=0,0,1000000*V24/TrRoad_act!V64)</f>
        <v>1363.6985998346165</v>
      </c>
      <c r="W115" s="87">
        <f>IF(W24=0,0,1000000*W24/TrRoad_act!W64)</f>
        <v>1362.4080087506911</v>
      </c>
      <c r="X115" s="87">
        <f>IF(X24=0,0,1000000*X24/TrRoad_act!X64)</f>
        <v>1304.479921621059</v>
      </c>
      <c r="Y115" s="87">
        <f>IF(Y24=0,0,1000000*Y24/TrRoad_act!Y64)</f>
        <v>1302.803741704289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498.46896407281514</v>
      </c>
      <c r="O116" s="87">
        <f>IF(O25=0,0,1000000*O25/TrRoad_act!O65)</f>
        <v>372.6581254696157</v>
      </c>
      <c r="P116" s="87">
        <f>IF(P25=0,0,1000000*P25/TrRoad_act!P65)</f>
        <v>580.27667784218636</v>
      </c>
      <c r="Q116" s="87">
        <f>IF(Q25=0,0,1000000*Q25/TrRoad_act!Q65)</f>
        <v>684.00240895251636</v>
      </c>
      <c r="R116" s="87">
        <f>IF(R25=0,0,1000000*R25/TrRoad_act!R65)</f>
        <v>641.32150963488209</v>
      </c>
      <c r="S116" s="87">
        <f>IF(S25=0,0,1000000*S25/TrRoad_act!S65)</f>
        <v>662.84453922052546</v>
      </c>
      <c r="T116" s="87">
        <f>IF(T25=0,0,1000000*T25/TrRoad_act!T65)</f>
        <v>651.78562338957408</v>
      </c>
      <c r="U116" s="87">
        <f>IF(U25=0,0,1000000*U25/TrRoad_act!U65)</f>
        <v>765.71159301967168</v>
      </c>
      <c r="V116" s="87">
        <f>IF(V25=0,0,1000000*V25/TrRoad_act!V65)</f>
        <v>701.9294211383791</v>
      </c>
      <c r="W116" s="87">
        <f>IF(W25=0,0,1000000*W25/TrRoad_act!W65)</f>
        <v>657.29423041116695</v>
      </c>
      <c r="X116" s="87">
        <f>IF(X25=0,0,1000000*X25/TrRoad_act!X65)</f>
        <v>592.06283065098148</v>
      </c>
      <c r="Y116" s="87">
        <f>IF(Y25=0,0,1000000*Y25/TrRoad_act!Y65)</f>
        <v>496.67214183743857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69946.341049352763</v>
      </c>
      <c r="C118" s="116">
        <f>IF(C27=0,0,1000000*C27/TrRoad_act!C67)</f>
        <v>68827.430218084992</v>
      </c>
      <c r="D118" s="116">
        <f>IF(D27=0,0,1000000*D27/TrRoad_act!D67)</f>
        <v>66822.464766227</v>
      </c>
      <c r="E118" s="116">
        <f>IF(E27=0,0,1000000*E27/TrRoad_act!E67)</f>
        <v>61038.102771381353</v>
      </c>
      <c r="F118" s="116">
        <f>IF(F27=0,0,1000000*F27/TrRoad_act!F67)</f>
        <v>59082.175320845272</v>
      </c>
      <c r="G118" s="116">
        <f>IF(G27=0,0,1000000*G27/TrRoad_act!G67)</f>
        <v>57527.473416566412</v>
      </c>
      <c r="H118" s="116">
        <f>IF(H27=0,0,1000000*H27/TrRoad_act!H67)</f>
        <v>56826.748477668792</v>
      </c>
      <c r="I118" s="116">
        <f>IF(I27=0,0,1000000*I27/TrRoad_act!I67)</f>
        <v>57810.870934380357</v>
      </c>
      <c r="J118" s="116">
        <f>IF(J27=0,0,1000000*J27/TrRoad_act!J67)</f>
        <v>56948.996698354407</v>
      </c>
      <c r="K118" s="116">
        <f>IF(K27=0,0,1000000*K27/TrRoad_act!K67)</f>
        <v>55699.664259769837</v>
      </c>
      <c r="L118" s="116">
        <f>IF(L27=0,0,1000000*L27/TrRoad_act!L67)</f>
        <v>49640.298644353679</v>
      </c>
      <c r="M118" s="116">
        <f>IF(M27=0,0,1000000*M27/TrRoad_act!M67)</f>
        <v>53797.208919681078</v>
      </c>
      <c r="N118" s="116">
        <f>IF(N27=0,0,1000000*N27/TrRoad_act!N67)</f>
        <v>47197.832999173021</v>
      </c>
      <c r="O118" s="116">
        <f>IF(O27=0,0,1000000*O27/TrRoad_act!O67)</f>
        <v>40752.954039615055</v>
      </c>
      <c r="P118" s="116">
        <f>IF(P27=0,0,1000000*P27/TrRoad_act!P67)</f>
        <v>39974.339146851147</v>
      </c>
      <c r="Q118" s="116">
        <f>IF(Q27=0,0,1000000*Q27/TrRoad_act!Q67)</f>
        <v>42571.81175059083</v>
      </c>
      <c r="R118" s="116">
        <f>IF(R27=0,0,1000000*R27/TrRoad_act!R67)</f>
        <v>39346.347718204219</v>
      </c>
      <c r="S118" s="116">
        <f>IF(S27=0,0,1000000*S27/TrRoad_act!S67)</f>
        <v>39889.090647887388</v>
      </c>
      <c r="T118" s="116">
        <f>IF(T27=0,0,1000000*T27/TrRoad_act!T67)</f>
        <v>41937.726198098746</v>
      </c>
      <c r="U118" s="116">
        <f>IF(U27=0,0,1000000*U27/TrRoad_act!U67)</f>
        <v>46277.29699420627</v>
      </c>
      <c r="V118" s="116">
        <f>IF(V27=0,0,1000000*V27/TrRoad_act!V67)</f>
        <v>42775.700902939636</v>
      </c>
      <c r="W118" s="116">
        <f>IF(W27=0,0,1000000*W27/TrRoad_act!W67)</f>
        <v>42410.005549150461</v>
      </c>
      <c r="X118" s="116">
        <f>IF(X27=0,0,1000000*X27/TrRoad_act!X67)</f>
        <v>41065.797541162581</v>
      </c>
      <c r="Y118" s="116">
        <f>IF(Y27=0,0,1000000*Y27/TrRoad_act!Y67)</f>
        <v>39884.514324877535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6936.0472956114108</v>
      </c>
      <c r="S119" s="101">
        <f>IF(S28=0,0,1000000*S28/TrRoad_act!S68)</f>
        <v>7095.8938373701567</v>
      </c>
      <c r="T119" s="101">
        <f>IF(T28=0,0,1000000*T28/TrRoad_act!T68)</f>
        <v>7268.9693759322727</v>
      </c>
      <c r="U119" s="101">
        <f>IF(U28=0,0,1000000*U28/TrRoad_act!U68)</f>
        <v>7875.8357090935351</v>
      </c>
      <c r="V119" s="101">
        <f>IF(V28=0,0,1000000*V28/TrRoad_act!V68)</f>
        <v>7292.0477839879386</v>
      </c>
      <c r="W119" s="101">
        <f>IF(W28=0,0,1000000*W28/TrRoad_act!W68)</f>
        <v>7109.6619667512123</v>
      </c>
      <c r="X119" s="101">
        <f>IF(X28=0,0,1000000*X28/TrRoad_act!X68)</f>
        <v>6788.2803823346176</v>
      </c>
      <c r="Y119" s="101">
        <f>IF(Y28=0,0,1000000*Y28/TrRoad_act!Y68)</f>
        <v>6455.6934747204823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69946.341049352763</v>
      </c>
      <c r="C120" s="101">
        <f>IF(C29=0,0,1000000*C29/TrRoad_act!C69)</f>
        <v>68827.430218084992</v>
      </c>
      <c r="D120" s="101">
        <f>IF(D29=0,0,1000000*D29/TrRoad_act!D69)</f>
        <v>66822.464766227</v>
      </c>
      <c r="E120" s="101">
        <f>IF(E29=0,0,1000000*E29/TrRoad_act!E69)</f>
        <v>61038.102771381353</v>
      </c>
      <c r="F120" s="101">
        <f>IF(F29=0,0,1000000*F29/TrRoad_act!F69)</f>
        <v>59309.155336781521</v>
      </c>
      <c r="G120" s="101">
        <f>IF(G29=0,0,1000000*G29/TrRoad_act!G69)</f>
        <v>58129.329102513046</v>
      </c>
      <c r="H120" s="101">
        <f>IF(H29=0,0,1000000*H29/TrRoad_act!H69)</f>
        <v>57979.504262273847</v>
      </c>
      <c r="I120" s="101">
        <f>IF(I29=0,0,1000000*I29/TrRoad_act!I69)</f>
        <v>59338.025230809108</v>
      </c>
      <c r="J120" s="101">
        <f>IF(J29=0,0,1000000*J29/TrRoad_act!J69)</f>
        <v>58615.174923034036</v>
      </c>
      <c r="K120" s="101">
        <f>IF(K29=0,0,1000000*K29/TrRoad_act!K69)</f>
        <v>57535.74901463338</v>
      </c>
      <c r="L120" s="101">
        <f>IF(L29=0,0,1000000*L29/TrRoad_act!L69)</f>
        <v>51369.23763455233</v>
      </c>
      <c r="M120" s="101">
        <f>IF(M29=0,0,1000000*M29/TrRoad_act!M69)</f>
        <v>55667.584267269456</v>
      </c>
      <c r="N120" s="101">
        <f>IF(N29=0,0,1000000*N29/TrRoad_act!N69)</f>
        <v>48458.905954925263</v>
      </c>
      <c r="O120" s="101">
        <f>IF(O29=0,0,1000000*O29/TrRoad_act!O69)</f>
        <v>45144.206887409826</v>
      </c>
      <c r="P120" s="101">
        <f>IF(P29=0,0,1000000*P29/TrRoad_act!P69)</f>
        <v>46777.563179864133</v>
      </c>
      <c r="Q120" s="101">
        <f>IF(Q29=0,0,1000000*Q29/TrRoad_act!Q69)</f>
        <v>48873.563008976598</v>
      </c>
      <c r="R120" s="101">
        <f>IF(R29=0,0,1000000*R29/TrRoad_act!R69)</f>
        <v>49782.270749252297</v>
      </c>
      <c r="S120" s="101">
        <f>IF(S29=0,0,1000000*S29/TrRoad_act!S69)</f>
        <v>51935.647987038727</v>
      </c>
      <c r="T120" s="101">
        <f>IF(T29=0,0,1000000*T29/TrRoad_act!T69)</f>
        <v>55571.740509726878</v>
      </c>
      <c r="U120" s="101">
        <f>IF(U29=0,0,1000000*U29/TrRoad_act!U69)</f>
        <v>62398.396184739016</v>
      </c>
      <c r="V120" s="101">
        <f>IF(V29=0,0,1000000*V29/TrRoad_act!V69)</f>
        <v>58014.119081240366</v>
      </c>
      <c r="W120" s="101">
        <f>IF(W29=0,0,1000000*W29/TrRoad_act!W69)</f>
        <v>57373.442192167553</v>
      </c>
      <c r="X120" s="101">
        <f>IF(X29=0,0,1000000*X29/TrRoad_act!X69)</f>
        <v>52058.542325726696</v>
      </c>
      <c r="Y120" s="101">
        <f>IF(Y29=0,0,1000000*Y29/TrRoad_act!Y69)</f>
        <v>48860.500227619093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38874.355845008984</v>
      </c>
      <c r="S121" s="101">
        <f>IF(S30=0,0,1000000*S30/TrRoad_act!S70)</f>
        <v>39250.095681216677</v>
      </c>
      <c r="T121" s="101">
        <f>IF(T30=0,0,1000000*T30/TrRoad_act!T70)</f>
        <v>40460.77472202995</v>
      </c>
      <c r="U121" s="101">
        <f>IF(U30=0,0,1000000*U30/TrRoad_act!U70)</f>
        <v>44145.338682086258</v>
      </c>
      <c r="V121" s="101">
        <f>IF(V30=0,0,1000000*V30/TrRoad_act!V70)</f>
        <v>40469.284198503636</v>
      </c>
      <c r="W121" s="101">
        <f>IF(W30=0,0,1000000*W30/TrRoad_act!W70)</f>
        <v>38258.162706908086</v>
      </c>
      <c r="X121" s="101">
        <f>IF(X30=0,0,1000000*X30/TrRoad_act!X70)</f>
        <v>36456.729943572864</v>
      </c>
      <c r="Y121" s="101">
        <f>IF(Y30=0,0,1000000*Y30/TrRoad_act!Y70)</f>
        <v>34634.503941811556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29506.679244352654</v>
      </c>
      <c r="G122" s="101">
        <f>IF(G31=0,0,1000000*G31/TrRoad_act!G71)</f>
        <v>24955.229594505035</v>
      </c>
      <c r="H122" s="101">
        <f>IF(H31=0,0,1000000*H31/TrRoad_act!H71)</f>
        <v>24243.002523459843</v>
      </c>
      <c r="I122" s="101">
        <f>IF(I31=0,0,1000000*I31/TrRoad_act!I71)</f>
        <v>27959.367737188186</v>
      </c>
      <c r="J122" s="101">
        <f>IF(J31=0,0,1000000*J31/TrRoad_act!J71)</f>
        <v>27832.805316643826</v>
      </c>
      <c r="K122" s="101">
        <f>IF(K31=0,0,1000000*K31/TrRoad_act!K71)</f>
        <v>31597.451185104434</v>
      </c>
      <c r="L122" s="101">
        <f>IF(L31=0,0,1000000*L31/TrRoad_act!L71)</f>
        <v>33889.261719061811</v>
      </c>
      <c r="M122" s="101">
        <f>IF(M31=0,0,1000000*M31/TrRoad_act!M71)</f>
        <v>35878.029728393478</v>
      </c>
      <c r="N122" s="101">
        <f>IF(N31=0,0,1000000*N31/TrRoad_act!N71)</f>
        <v>35936.358380556281</v>
      </c>
      <c r="O122" s="101">
        <f>IF(O31=0,0,1000000*O31/TrRoad_act!O71)</f>
        <v>23823.9735596104</v>
      </c>
      <c r="P122" s="101">
        <f>IF(P31=0,0,1000000*P31/TrRoad_act!P71)</f>
        <v>13493.036724136187</v>
      </c>
      <c r="Q122" s="101">
        <f>IF(Q31=0,0,1000000*Q31/TrRoad_act!Q71)</f>
        <v>20030.864803858523</v>
      </c>
      <c r="R122" s="101">
        <f>IF(R31=0,0,1000000*R31/TrRoad_act!R71)</f>
        <v>21459.676871478707</v>
      </c>
      <c r="S122" s="101">
        <f>IF(S31=0,0,1000000*S31/TrRoad_act!S71)</f>
        <v>21792.812589086836</v>
      </c>
      <c r="T122" s="101">
        <f>IF(T31=0,0,1000000*T31/TrRoad_act!T71)</f>
        <v>22651.189249947285</v>
      </c>
      <c r="U122" s="101">
        <f>IF(U31=0,0,1000000*U31/TrRoad_act!U71)</f>
        <v>26056.415216871908</v>
      </c>
      <c r="V122" s="101">
        <f>IF(V31=0,0,1000000*V31/TrRoad_act!V71)</f>
        <v>21771.445687513864</v>
      </c>
      <c r="W122" s="101">
        <f>IF(W31=0,0,1000000*W31/TrRoad_act!W71)</f>
        <v>24763.336682507215</v>
      </c>
      <c r="X122" s="101">
        <f>IF(X31=0,0,1000000*X31/TrRoad_act!X71)</f>
        <v>22819.678734645728</v>
      </c>
      <c r="Y122" s="101">
        <f>IF(Y31=0,0,1000000*Y31/TrRoad_act!Y71)</f>
        <v>22683.113803876608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2768.9629249981754</v>
      </c>
      <c r="C125" s="152">
        <f>IF(C34=0,0,1000000*C34/TrRoad_act!C74)</f>
        <v>2850.854675910552</v>
      </c>
      <c r="D125" s="152">
        <f>IF(D34=0,0,1000000*D34/TrRoad_act!D74)</f>
        <v>2940.0558847949428</v>
      </c>
      <c r="E125" s="152">
        <f>IF(E34=0,0,1000000*E34/TrRoad_act!E74)</f>
        <v>2962.0252254160528</v>
      </c>
      <c r="F125" s="152">
        <f>IF(F34=0,0,1000000*F34/TrRoad_act!F74)</f>
        <v>2927.9258840998191</v>
      </c>
      <c r="G125" s="152">
        <f>IF(G34=0,0,1000000*G34/TrRoad_act!G74)</f>
        <v>2776.252867445522</v>
      </c>
      <c r="H125" s="152">
        <f>IF(H34=0,0,1000000*H34/TrRoad_act!H74)</f>
        <v>2608.2925174228612</v>
      </c>
      <c r="I125" s="152">
        <f>IF(I34=0,0,1000000*I34/TrRoad_act!I74)</f>
        <v>2509.6984512155982</v>
      </c>
      <c r="J125" s="152">
        <f>IF(J34=0,0,1000000*J34/TrRoad_act!J74)</f>
        <v>2533.4989172503697</v>
      </c>
      <c r="K125" s="152">
        <f>IF(K34=0,0,1000000*K34/TrRoad_act!K74)</f>
        <v>2418.0967101027286</v>
      </c>
      <c r="L125" s="152">
        <f>IF(L34=0,0,1000000*L34/TrRoad_act!L74)</f>
        <v>2395.3643880745567</v>
      </c>
      <c r="M125" s="152">
        <f>IF(M34=0,0,1000000*M34/TrRoad_act!M74)</f>
        <v>2412.0574741911255</v>
      </c>
      <c r="N125" s="152">
        <f>IF(N34=0,0,1000000*N34/TrRoad_act!N74)</f>
        <v>2397.6689698867772</v>
      </c>
      <c r="O125" s="152">
        <f>IF(O34=0,0,1000000*O34/TrRoad_act!O74)</f>
        <v>2348.7029456141454</v>
      </c>
      <c r="P125" s="152">
        <f>IF(P34=0,0,1000000*P34/TrRoad_act!P74)</f>
        <v>2446.6651524771164</v>
      </c>
      <c r="Q125" s="152">
        <f>IF(Q34=0,0,1000000*Q34/TrRoad_act!Q74)</f>
        <v>2520.3974623888989</v>
      </c>
      <c r="R125" s="152">
        <f>IF(R34=0,0,1000000*R34/TrRoad_act!R74)</f>
        <v>2513.3761336285643</v>
      </c>
      <c r="S125" s="152">
        <f>IF(S34=0,0,1000000*S34/TrRoad_act!S74)</f>
        <v>2541.2525509990664</v>
      </c>
      <c r="T125" s="152">
        <f>IF(T34=0,0,1000000*T34/TrRoad_act!T74)</f>
        <v>2617.6879534543727</v>
      </c>
      <c r="U125" s="152">
        <f>IF(U34=0,0,1000000*U34/TrRoad_act!U74)</f>
        <v>2685.4033642733889</v>
      </c>
      <c r="V125" s="152">
        <f>IF(V34=0,0,1000000*V34/TrRoad_act!V74)</f>
        <v>2763.3311101757522</v>
      </c>
      <c r="W125" s="152">
        <f>IF(W34=0,0,1000000*W34/TrRoad_act!W74)</f>
        <v>2890.6242427532457</v>
      </c>
      <c r="X125" s="152">
        <f>IF(X34=0,0,1000000*X34/TrRoad_act!X74)</f>
        <v>2967.9945747910001</v>
      </c>
      <c r="Y125" s="152">
        <f>IF(Y34=0,0,1000000*Y34/TrRoad_act!Y74)</f>
        <v>3103.3662834534634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2260.259961647751</v>
      </c>
      <c r="C126" s="87">
        <f>IF(C35=0,0,1000000*C35/TrRoad_act!C75)</f>
        <v>2297.9856495347185</v>
      </c>
      <c r="D126" s="87">
        <f>IF(D35=0,0,1000000*D35/TrRoad_act!D75)</f>
        <v>2339.1230570471657</v>
      </c>
      <c r="E126" s="87">
        <f>IF(E35=0,0,1000000*E35/TrRoad_act!E75)</f>
        <v>2386.4707605071922</v>
      </c>
      <c r="F126" s="87">
        <f>IF(F35=0,0,1000000*F35/TrRoad_act!F75)</f>
        <v>2445.871932772071</v>
      </c>
      <c r="G126" s="87">
        <f>IF(G35=0,0,1000000*G35/TrRoad_act!G75)</f>
        <v>2350.5317299836884</v>
      </c>
      <c r="H126" s="87">
        <f>IF(H35=0,0,1000000*H35/TrRoad_act!H75)</f>
        <v>2283.3335329099618</v>
      </c>
      <c r="I126" s="87">
        <f>IF(I35=0,0,1000000*I35/TrRoad_act!I75)</f>
        <v>2239.6525276158218</v>
      </c>
      <c r="J126" s="87">
        <f>IF(J35=0,0,1000000*J35/TrRoad_act!J75)</f>
        <v>2291.7313580860232</v>
      </c>
      <c r="K126" s="87">
        <f>IF(K35=0,0,1000000*K35/TrRoad_act!K75)</f>
        <v>2211.4341738410276</v>
      </c>
      <c r="L126" s="87">
        <f>IF(L35=0,0,1000000*L35/TrRoad_act!L75)</f>
        <v>2197.6911453506114</v>
      </c>
      <c r="M126" s="87">
        <f>IF(M35=0,0,1000000*M35/TrRoad_act!M75)</f>
        <v>2224.917159631902</v>
      </c>
      <c r="N126" s="87">
        <f>IF(N35=0,0,1000000*N35/TrRoad_act!N75)</f>
        <v>2221.1054127528682</v>
      </c>
      <c r="O126" s="87">
        <f>IF(O35=0,0,1000000*O35/TrRoad_act!O75)</f>
        <v>2140.7481038140568</v>
      </c>
      <c r="P126" s="87">
        <f>IF(P35=0,0,1000000*P35/TrRoad_act!P75)</f>
        <v>2060.2771313000967</v>
      </c>
      <c r="Q126" s="87">
        <f>IF(Q35=0,0,1000000*Q35/TrRoad_act!Q75)</f>
        <v>1971.8783357260454</v>
      </c>
      <c r="R126" s="87">
        <f>IF(R35=0,0,1000000*R35/TrRoad_act!R75)</f>
        <v>1904.8675045534731</v>
      </c>
      <c r="S126" s="87">
        <f>IF(S35=0,0,1000000*S35/TrRoad_act!S75)</f>
        <v>1883.6020619891306</v>
      </c>
      <c r="T126" s="87">
        <f>IF(T35=0,0,1000000*T35/TrRoad_act!T75)</f>
        <v>1834.5562064845192</v>
      </c>
      <c r="U126" s="87">
        <f>IF(U35=0,0,1000000*U35/TrRoad_act!U75)</f>
        <v>1830.5886402876938</v>
      </c>
      <c r="V126" s="87">
        <f>IF(V35=0,0,1000000*V35/TrRoad_act!V75)</f>
        <v>1884.1487200728648</v>
      </c>
      <c r="W126" s="87">
        <f>IF(W35=0,0,1000000*W35/TrRoad_act!W75)</f>
        <v>1957.0340848498533</v>
      </c>
      <c r="X126" s="87">
        <f>IF(X35=0,0,1000000*X35/TrRoad_act!X75)</f>
        <v>1999.8673650465348</v>
      </c>
      <c r="Y126" s="87">
        <f>IF(Y35=0,0,1000000*Y35/TrRoad_act!Y75)</f>
        <v>2034.8060940155769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2959.4199959810826</v>
      </c>
      <c r="C127" s="87">
        <f>IF(C36=0,0,1000000*C36/TrRoad_act!C76)</f>
        <v>3076.4523814287259</v>
      </c>
      <c r="D127" s="87">
        <f>IF(D36=0,0,1000000*D36/TrRoad_act!D76)</f>
        <v>3190.152835399902</v>
      </c>
      <c r="E127" s="87">
        <f>IF(E36=0,0,1000000*E36/TrRoad_act!E76)</f>
        <v>3184.941465458885</v>
      </c>
      <c r="F127" s="87">
        <f>IF(F36=0,0,1000000*F36/TrRoad_act!F76)</f>
        <v>3084.6835431449681</v>
      </c>
      <c r="G127" s="87">
        <f>IF(G36=0,0,1000000*G36/TrRoad_act!G76)</f>
        <v>2909.2125005268472</v>
      </c>
      <c r="H127" s="87">
        <f>IF(H36=0,0,1000000*H36/TrRoad_act!H76)</f>
        <v>2684.1288357727744</v>
      </c>
      <c r="I127" s="87">
        <f>IF(I36=0,0,1000000*I36/TrRoad_act!I76)</f>
        <v>2557.2852601576155</v>
      </c>
      <c r="J127" s="87">
        <f>IF(J36=0,0,1000000*J36/TrRoad_act!J76)</f>
        <v>2567.0218695495573</v>
      </c>
      <c r="K127" s="87">
        <f>IF(K36=0,0,1000000*K36/TrRoad_act!K76)</f>
        <v>2441.6308780147674</v>
      </c>
      <c r="L127" s="87">
        <f>IF(L36=0,0,1000000*L36/TrRoad_act!L76)</f>
        <v>2412.5871609067653</v>
      </c>
      <c r="M127" s="87">
        <f>IF(M36=0,0,1000000*M36/TrRoad_act!M76)</f>
        <v>2427.9595984853204</v>
      </c>
      <c r="N127" s="87">
        <f>IF(N36=0,0,1000000*N36/TrRoad_act!N76)</f>
        <v>2411.8727905033197</v>
      </c>
      <c r="O127" s="87">
        <f>IF(O36=0,0,1000000*O36/TrRoad_act!O76)</f>
        <v>2364.298911393159</v>
      </c>
      <c r="P127" s="87">
        <f>IF(P36=0,0,1000000*P36/TrRoad_act!P76)</f>
        <v>2473.2017996030609</v>
      </c>
      <c r="Q127" s="87">
        <f>IF(Q36=0,0,1000000*Q36/TrRoad_act!Q76)</f>
        <v>2562.7472077544139</v>
      </c>
      <c r="R127" s="87">
        <f>IF(R36=0,0,1000000*R36/TrRoad_act!R76)</f>
        <v>2562.4722498482793</v>
      </c>
      <c r="S127" s="87">
        <f>IF(S36=0,0,1000000*S36/TrRoad_act!S76)</f>
        <v>2607.4574628904029</v>
      </c>
      <c r="T127" s="87">
        <f>IF(T36=0,0,1000000*T36/TrRoad_act!T76)</f>
        <v>2704.006751289372</v>
      </c>
      <c r="U127" s="87">
        <f>IF(U36=0,0,1000000*U36/TrRoad_act!U76)</f>
        <v>2787.0680904689525</v>
      </c>
      <c r="V127" s="87">
        <f>IF(V36=0,0,1000000*V36/TrRoad_act!V76)</f>
        <v>2876.8655586225823</v>
      </c>
      <c r="W127" s="87">
        <f>IF(W36=0,0,1000000*W36/TrRoad_act!W76)</f>
        <v>3024.5036082309725</v>
      </c>
      <c r="X127" s="87">
        <f>IF(X36=0,0,1000000*X36/TrRoad_act!X76)</f>
        <v>3117.2243270599974</v>
      </c>
      <c r="Y127" s="87">
        <f>IF(Y36=0,0,1000000*Y36/TrRoad_act!Y76)</f>
        <v>3287.8289945168658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2367.8027784379788</v>
      </c>
      <c r="S128" s="87">
        <f>IF(S37=0,0,1000000*S37/TrRoad_act!S77)</f>
        <v>2144.5036688208379</v>
      </c>
      <c r="T128" s="87">
        <f>IF(T37=0,0,1000000*T37/TrRoad_act!T77)</f>
        <v>2129.7081196664672</v>
      </c>
      <c r="U128" s="87">
        <f>IF(U37=0,0,1000000*U37/TrRoad_act!U77)</f>
        <v>2168.3542478575146</v>
      </c>
      <c r="V128" s="87">
        <f>IF(V37=0,0,1000000*V37/TrRoad_act!V77)</f>
        <v>2140.4945010021893</v>
      </c>
      <c r="W128" s="87">
        <f>IF(W37=0,0,1000000*W37/TrRoad_act!W77)</f>
        <v>2110.9547815697292</v>
      </c>
      <c r="X128" s="87">
        <f>IF(X37=0,0,1000000*X37/TrRoad_act!X77)</f>
        <v>2122.4526945084795</v>
      </c>
      <c r="Y128" s="87">
        <f>IF(Y37=0,0,1000000*Y37/TrRoad_act!Y77)</f>
        <v>2122.5997154213637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1210.5888079549738</v>
      </c>
      <c r="S129" s="87">
        <f>IF(S38=0,0,1000000*S38/TrRoad_act!S78)</f>
        <v>1274.9369619497518</v>
      </c>
      <c r="T129" s="87">
        <f>IF(T38=0,0,1000000*T38/TrRoad_act!T78)</f>
        <v>1368.6291421771239</v>
      </c>
      <c r="U129" s="87">
        <f>IF(U38=0,0,1000000*U38/TrRoad_act!U78)</f>
        <v>1405.2457781619671</v>
      </c>
      <c r="V129" s="87">
        <f>IF(V38=0,0,1000000*V38/TrRoad_act!V78)</f>
        <v>1585.3105215217515</v>
      </c>
      <c r="W129" s="87">
        <f>IF(W38=0,0,1000000*W38/TrRoad_act!W78)</f>
        <v>1699.1996175540232</v>
      </c>
      <c r="X129" s="87">
        <f>IF(X38=0,0,1000000*X38/TrRoad_act!X78)</f>
        <v>1719.8523346292843</v>
      </c>
      <c r="Y129" s="87">
        <f>IF(Y38=0,0,1000000*Y38/TrRoad_act!Y78)</f>
        <v>1750.9141592544638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32293.681166801613</v>
      </c>
      <c r="C131" s="116">
        <f>IF(C40=0,0,1000000*C40/TrRoad_act!C80)</f>
        <v>35363.701062966356</v>
      </c>
      <c r="D131" s="116">
        <f>IF(D40=0,0,1000000*D40/TrRoad_act!D80)</f>
        <v>29606.617021280577</v>
      </c>
      <c r="E131" s="116">
        <f>IF(E40=0,0,1000000*E40/TrRoad_act!E80)</f>
        <v>34139.31136719264</v>
      </c>
      <c r="F131" s="116">
        <f>IF(F40=0,0,1000000*F40/TrRoad_act!F80)</f>
        <v>30925.771524844451</v>
      </c>
      <c r="G131" s="116">
        <f>IF(G40=0,0,1000000*G40/TrRoad_act!G80)</f>
        <v>32917.579204275818</v>
      </c>
      <c r="H131" s="116">
        <f>IF(H40=0,0,1000000*H40/TrRoad_act!H80)</f>
        <v>29872.073573325677</v>
      </c>
      <c r="I131" s="116">
        <f>IF(I40=0,0,1000000*I40/TrRoad_act!I80)</f>
        <v>26302.947632292839</v>
      </c>
      <c r="J131" s="116">
        <f>IF(J40=0,0,1000000*J40/TrRoad_act!J80)</f>
        <v>25537.878249000601</v>
      </c>
      <c r="K131" s="116">
        <f>IF(K40=0,0,1000000*K40/TrRoad_act!K80)</f>
        <v>22198.843466871636</v>
      </c>
      <c r="L131" s="116">
        <f>IF(L40=0,0,1000000*L40/TrRoad_act!L80)</f>
        <v>21979.283633647996</v>
      </c>
      <c r="M131" s="116">
        <f>IF(M40=0,0,1000000*M40/TrRoad_act!M80)</f>
        <v>22059.101952796667</v>
      </c>
      <c r="N131" s="116">
        <f>IF(N40=0,0,1000000*N40/TrRoad_act!N80)</f>
        <v>22735.364828968719</v>
      </c>
      <c r="O131" s="116">
        <f>IF(O40=0,0,1000000*O40/TrRoad_act!O80)</f>
        <v>19842.272721179797</v>
      </c>
      <c r="P131" s="116">
        <f>IF(P40=0,0,1000000*P40/TrRoad_act!P80)</f>
        <v>23236.206878060322</v>
      </c>
      <c r="Q131" s="116">
        <f>IF(Q40=0,0,1000000*Q40/TrRoad_act!Q80)</f>
        <v>25277.36718035004</v>
      </c>
      <c r="R131" s="116">
        <f>IF(R40=0,0,1000000*R40/TrRoad_act!R80)</f>
        <v>22274.5336223964</v>
      </c>
      <c r="S131" s="116">
        <f>IF(S40=0,0,1000000*S40/TrRoad_act!S80)</f>
        <v>22533.7174420747</v>
      </c>
      <c r="T131" s="116">
        <f>IF(T40=0,0,1000000*T40/TrRoad_act!T80)</f>
        <v>17557.937181786638</v>
      </c>
      <c r="U131" s="116">
        <f>IF(U40=0,0,1000000*U40/TrRoad_act!U80)</f>
        <v>12979.304243735149</v>
      </c>
      <c r="V131" s="116">
        <f>IF(V40=0,0,1000000*V40/TrRoad_act!V80)</f>
        <v>15253.175887338368</v>
      </c>
      <c r="W131" s="116">
        <f>IF(W40=0,0,1000000*W40/TrRoad_act!W80)</f>
        <v>17853.342832030594</v>
      </c>
      <c r="X131" s="116">
        <f>IF(X40=0,0,1000000*X40/TrRoad_act!X80)</f>
        <v>15185.330408087648</v>
      </c>
      <c r="Y131" s="116">
        <f>IF(Y40=0,0,1000000*Y40/TrRoad_act!Y80)</f>
        <v>15234.670202305619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14838.658772581823</v>
      </c>
      <c r="C132" s="101">
        <f>IF(C41=0,0,1000000*C41/TrRoad_act!C81)</f>
        <v>19287.651179951117</v>
      </c>
      <c r="D132" s="101">
        <f>IF(D41=0,0,1000000*D41/TrRoad_act!D81)</f>
        <v>13011.201444319417</v>
      </c>
      <c r="E132" s="101">
        <f>IF(E41=0,0,1000000*E41/TrRoad_act!E81)</f>
        <v>24135.510387486676</v>
      </c>
      <c r="F132" s="101">
        <f>IF(F41=0,0,1000000*F41/TrRoad_act!F81)</f>
        <v>20843.620639429868</v>
      </c>
      <c r="G132" s="101">
        <f>IF(G41=0,0,1000000*G41/TrRoad_act!G81)</f>
        <v>23745.046647497311</v>
      </c>
      <c r="H132" s="101">
        <f>IF(H41=0,0,1000000*H41/TrRoad_act!H81)</f>
        <v>22582.139416233596</v>
      </c>
      <c r="I132" s="101">
        <f>IF(I41=0,0,1000000*I41/TrRoad_act!I81)</f>
        <v>19216.813199460521</v>
      </c>
      <c r="J132" s="101">
        <f>IF(J41=0,0,1000000*J41/TrRoad_act!J81)</f>
        <v>21997.174610736503</v>
      </c>
      <c r="K132" s="101">
        <f>IF(K41=0,0,1000000*K41/TrRoad_act!K81)</f>
        <v>18501.920221868404</v>
      </c>
      <c r="L132" s="101">
        <f>IF(L41=0,0,1000000*L41/TrRoad_act!L81)</f>
        <v>17848.464792441802</v>
      </c>
      <c r="M132" s="101">
        <f>IF(M41=0,0,1000000*M41/TrRoad_act!M81)</f>
        <v>17256.464111510948</v>
      </c>
      <c r="N132" s="101">
        <f>IF(N41=0,0,1000000*N41/TrRoad_act!N81)</f>
        <v>18484.475625370353</v>
      </c>
      <c r="O132" s="101">
        <f>IF(O41=0,0,1000000*O41/TrRoad_act!O81)</f>
        <v>14046.30991846595</v>
      </c>
      <c r="P132" s="101">
        <f>IF(P41=0,0,1000000*P41/TrRoad_act!P81)</f>
        <v>18007.870968171199</v>
      </c>
      <c r="Q132" s="101">
        <f>IF(Q41=0,0,1000000*Q41/TrRoad_act!Q81)</f>
        <v>19624.931176070808</v>
      </c>
      <c r="R132" s="101">
        <f>IF(R41=0,0,1000000*R41/TrRoad_act!R81)</f>
        <v>17492.912139729018</v>
      </c>
      <c r="S132" s="101">
        <f>IF(S41=0,0,1000000*S41/TrRoad_act!S81)</f>
        <v>18263.398081601696</v>
      </c>
      <c r="T132" s="101">
        <f>IF(T41=0,0,1000000*T41/TrRoad_act!T81)</f>
        <v>14252.07270999434</v>
      </c>
      <c r="U132" s="101">
        <f>IF(U41=0,0,1000000*U41/TrRoad_act!U81)</f>
        <v>10356.42015850071</v>
      </c>
      <c r="V132" s="101">
        <f>IF(V41=0,0,1000000*V41/TrRoad_act!V81)</f>
        <v>11972.143424174696</v>
      </c>
      <c r="W132" s="101">
        <f>IF(W41=0,0,1000000*W41/TrRoad_act!W81)</f>
        <v>14315.354899829132</v>
      </c>
      <c r="X132" s="101">
        <f>IF(X41=0,0,1000000*X41/TrRoad_act!X81)</f>
        <v>11109.542333156049</v>
      </c>
      <c r="Y132" s="101">
        <f>IF(Y41=0,0,1000000*Y41/TrRoad_act!Y81)</f>
        <v>11243.483088474273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108948.27246986826</v>
      </c>
      <c r="C133" s="88">
        <f>IF(C42=0,0,1000000*C42/TrRoad_act!C82)</f>
        <v>106274.0335474802</v>
      </c>
      <c r="D133" s="88">
        <f>IF(D42=0,0,1000000*D42/TrRoad_act!D82)</f>
        <v>107271.50445173825</v>
      </c>
      <c r="E133" s="88">
        <f>IF(E42=0,0,1000000*E42/TrRoad_act!E82)</f>
        <v>102249.72473183132</v>
      </c>
      <c r="F133" s="88">
        <f>IF(F42=0,0,1000000*F42/TrRoad_act!F82)</f>
        <v>101729.96751559687</v>
      </c>
      <c r="G133" s="88">
        <f>IF(G42=0,0,1000000*G42/TrRoad_act!G82)</f>
        <v>99703.136610696238</v>
      </c>
      <c r="H133" s="88">
        <f>IF(H42=0,0,1000000*H42/TrRoad_act!H82)</f>
        <v>99931.466287219358</v>
      </c>
      <c r="I133" s="88">
        <f>IF(I42=0,0,1000000*I42/TrRoad_act!I82)</f>
        <v>101621.15657620282</v>
      </c>
      <c r="J133" s="88">
        <f>IF(J42=0,0,1000000*J42/TrRoad_act!J82)</f>
        <v>98475.107530167516</v>
      </c>
      <c r="K133" s="88">
        <f>IF(K42=0,0,1000000*K42/TrRoad_act!K82)</f>
        <v>99367.475162068265</v>
      </c>
      <c r="L133" s="88">
        <f>IF(L42=0,0,1000000*L42/TrRoad_act!L82)</f>
        <v>98011.831470636535</v>
      </c>
      <c r="M133" s="88">
        <f>IF(M42=0,0,1000000*M42/TrRoad_act!M82)</f>
        <v>97895.143106925942</v>
      </c>
      <c r="N133" s="88">
        <f>IF(N42=0,0,1000000*N42/TrRoad_act!N82)</f>
        <v>92453.362136820157</v>
      </c>
      <c r="O133" s="88">
        <f>IF(O42=0,0,1000000*O42/TrRoad_act!O82)</f>
        <v>94107.777623363174</v>
      </c>
      <c r="P133" s="88">
        <f>IF(P42=0,0,1000000*P42/TrRoad_act!P82)</f>
        <v>92258.457610559664</v>
      </c>
      <c r="Q133" s="88">
        <f>IF(Q42=0,0,1000000*Q42/TrRoad_act!Q82)</f>
        <v>91331.606701539451</v>
      </c>
      <c r="R133" s="88">
        <f>IF(R42=0,0,1000000*R42/TrRoad_act!R82)</f>
        <v>89804.089800097907</v>
      </c>
      <c r="S133" s="88">
        <f>IF(S42=0,0,1000000*S42/TrRoad_act!S82)</f>
        <v>88653.021385151718</v>
      </c>
      <c r="T133" s="88">
        <f>IF(T42=0,0,1000000*T42/TrRoad_act!T82)</f>
        <v>88022.409245795468</v>
      </c>
      <c r="U133" s="88">
        <f>IF(U42=0,0,1000000*U42/TrRoad_act!U82)</f>
        <v>86394.868867175916</v>
      </c>
      <c r="V133" s="88">
        <f>IF(V42=0,0,1000000*V42/TrRoad_act!V82)</f>
        <v>87490.735260689151</v>
      </c>
      <c r="W133" s="88">
        <f>IF(W42=0,0,1000000*W42/TrRoad_act!W82)</f>
        <v>87805.214467919301</v>
      </c>
      <c r="X133" s="88">
        <f>IF(X42=0,0,1000000*X42/TrRoad_act!X82)</f>
        <v>87600.757487632436</v>
      </c>
      <c r="Y133" s="88">
        <f>IF(Y42=0,0,1000000*Y42/TrRoad_act!Y82)</f>
        <v>88614.385418057354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0.79442525607759729</v>
      </c>
      <c r="C136" s="46">
        <f t="shared" si="40"/>
        <v>0.78235877931726983</v>
      </c>
      <c r="D136" s="46">
        <f t="shared" si="40"/>
        <v>0.80300419066160511</v>
      </c>
      <c r="E136" s="46">
        <f t="shared" si="40"/>
        <v>0.75452092888142042</v>
      </c>
      <c r="F136" s="46">
        <f t="shared" si="40"/>
        <v>0.74461173997227981</v>
      </c>
      <c r="G136" s="46">
        <f t="shared" si="40"/>
        <v>0.74932405769115717</v>
      </c>
      <c r="H136" s="46">
        <f t="shared" si="40"/>
        <v>0.75638386559547566</v>
      </c>
      <c r="I136" s="46">
        <f t="shared" si="40"/>
        <v>0.76777303730072033</v>
      </c>
      <c r="J136" s="46">
        <f t="shared" si="40"/>
        <v>0.76621209534514423</v>
      </c>
      <c r="K136" s="46">
        <f t="shared" si="40"/>
        <v>0.79279111894591159</v>
      </c>
      <c r="L136" s="46">
        <f t="shared" si="41"/>
        <v>0.7936524489735125</v>
      </c>
      <c r="M136" s="46">
        <f t="shared" si="40"/>
        <v>0.7869632718125783</v>
      </c>
      <c r="N136" s="46">
        <f t="shared" si="40"/>
        <v>0.79476462538731574</v>
      </c>
      <c r="O136" s="46">
        <f t="shared" si="40"/>
        <v>0.7883335843855569</v>
      </c>
      <c r="P136" s="46">
        <f t="shared" si="40"/>
        <v>0.79643748142977822</v>
      </c>
      <c r="Q136" s="46">
        <f t="shared" si="40"/>
        <v>0.79451464434691432</v>
      </c>
      <c r="R136" s="46">
        <f t="shared" si="40"/>
        <v>0.79771060484217715</v>
      </c>
      <c r="S136" s="46">
        <f t="shared" si="40"/>
        <v>0.8033347150106438</v>
      </c>
      <c r="T136" s="46">
        <f t="shared" si="40"/>
        <v>0.81478951868354987</v>
      </c>
      <c r="U136" s="46">
        <f t="shared" si="40"/>
        <v>0.84125685044372556</v>
      </c>
      <c r="V136" s="46">
        <f t="shared" si="40"/>
        <v>0.81841711340341206</v>
      </c>
      <c r="W136" s="46">
        <f t="shared" si="42"/>
        <v>0.810932665726386</v>
      </c>
      <c r="X136" s="46">
        <f t="shared" si="42"/>
        <v>0.82607238765570867</v>
      </c>
      <c r="Y136" s="46">
        <f t="shared" si="42"/>
        <v>0.82523401316571499</v>
      </c>
      <c r="DA136" s="211"/>
    </row>
    <row r="137" spans="1:105" ht="11.45" customHeight="1" x14ac:dyDescent="0.25">
      <c r="A137" s="153" t="s">
        <v>173</v>
      </c>
      <c r="B137" s="154">
        <f t="shared" si="40"/>
        <v>7.3511979631804532E-3</v>
      </c>
      <c r="C137" s="154">
        <f t="shared" si="40"/>
        <v>7.2724812745908691E-3</v>
      </c>
      <c r="D137" s="154">
        <f t="shared" si="40"/>
        <v>7.0565843899783459E-3</v>
      </c>
      <c r="E137" s="154">
        <f t="shared" si="40"/>
        <v>6.2520793608994351E-3</v>
      </c>
      <c r="F137" s="154">
        <f t="shared" si="40"/>
        <v>5.9364151364744346E-3</v>
      </c>
      <c r="G137" s="154">
        <f t="shared" si="40"/>
        <v>5.778055268629425E-3</v>
      </c>
      <c r="H137" s="154">
        <f t="shared" si="40"/>
        <v>5.6691797414441785E-3</v>
      </c>
      <c r="I137" s="154">
        <f t="shared" si="40"/>
        <v>6.2220716057085563E-3</v>
      </c>
      <c r="J137" s="154">
        <f t="shared" si="40"/>
        <v>6.571312790360986E-3</v>
      </c>
      <c r="K137" s="154">
        <f t="shared" si="40"/>
        <v>7.0301755077698353E-3</v>
      </c>
      <c r="L137" s="154">
        <f t="shared" si="41"/>
        <v>7.7962624468528334E-3</v>
      </c>
      <c r="M137" s="154">
        <f t="shared" si="40"/>
        <v>8.0973848893358021E-3</v>
      </c>
      <c r="N137" s="154">
        <f t="shared" si="40"/>
        <v>8.3850519023164847E-3</v>
      </c>
      <c r="O137" s="154">
        <f t="shared" si="40"/>
        <v>9.7809738632917836E-3</v>
      </c>
      <c r="P137" s="154">
        <f t="shared" si="40"/>
        <v>8.906433481624787E-3</v>
      </c>
      <c r="Q137" s="154">
        <f t="shared" si="40"/>
        <v>8.3557106185478316E-3</v>
      </c>
      <c r="R137" s="154">
        <f t="shared" si="40"/>
        <v>8.6843535721243034E-3</v>
      </c>
      <c r="S137" s="154">
        <f t="shared" si="40"/>
        <v>8.2466965314650139E-3</v>
      </c>
      <c r="T137" s="154">
        <f t="shared" si="40"/>
        <v>7.5451666567190054E-3</v>
      </c>
      <c r="U137" s="154">
        <f t="shared" si="40"/>
        <v>7.6802714636783429E-3</v>
      </c>
      <c r="V137" s="154">
        <f t="shared" si="40"/>
        <v>7.3877785205952295E-3</v>
      </c>
      <c r="W137" s="154">
        <f t="shared" si="42"/>
        <v>7.0515329857609756E-3</v>
      </c>
      <c r="X137" s="154">
        <f t="shared" si="42"/>
        <v>7.2181915380838896E-3</v>
      </c>
      <c r="Y137" s="154">
        <f t="shared" si="42"/>
        <v>7.6802326909298554E-3</v>
      </c>
      <c r="DA137" s="212"/>
    </row>
    <row r="138" spans="1:105" ht="11.45" customHeight="1" x14ac:dyDescent="0.25">
      <c r="A138" s="155" t="s">
        <v>20</v>
      </c>
      <c r="B138" s="156">
        <f t="shared" si="40"/>
        <v>0.61583566207948215</v>
      </c>
      <c r="C138" s="156">
        <f t="shared" si="40"/>
        <v>0.60484625386757995</v>
      </c>
      <c r="D138" s="156">
        <f t="shared" si="40"/>
        <v>0.61342576608992605</v>
      </c>
      <c r="E138" s="156">
        <f t="shared" si="40"/>
        <v>0.60974680199997411</v>
      </c>
      <c r="F138" s="156">
        <f t="shared" si="40"/>
        <v>0.6190295912713667</v>
      </c>
      <c r="G138" s="156">
        <f t="shared" si="40"/>
        <v>0.62834407586602492</v>
      </c>
      <c r="H138" s="156">
        <f t="shared" si="40"/>
        <v>0.6459302295113547</v>
      </c>
      <c r="I138" s="156">
        <f t="shared" si="40"/>
        <v>0.6441112598471781</v>
      </c>
      <c r="J138" s="156">
        <f t="shared" si="40"/>
        <v>0.65870745505843342</v>
      </c>
      <c r="K138" s="156">
        <f t="shared" si="40"/>
        <v>0.67890670756046323</v>
      </c>
      <c r="L138" s="156">
        <f t="shared" si="41"/>
        <v>0.68538628031339988</v>
      </c>
      <c r="M138" s="156">
        <f t="shared" si="40"/>
        <v>0.66937605369164088</v>
      </c>
      <c r="N138" s="156">
        <f t="shared" si="40"/>
        <v>0.69296792413580621</v>
      </c>
      <c r="O138" s="156">
        <f t="shared" si="40"/>
        <v>0.6843715802403203</v>
      </c>
      <c r="P138" s="156">
        <f t="shared" si="40"/>
        <v>0.70555806251446274</v>
      </c>
      <c r="Q138" s="156">
        <f t="shared" si="40"/>
        <v>0.70498049062678048</v>
      </c>
      <c r="R138" s="156">
        <f t="shared" si="40"/>
        <v>0.71718664128202425</v>
      </c>
      <c r="S138" s="156">
        <f t="shared" si="40"/>
        <v>0.72926740674713852</v>
      </c>
      <c r="T138" s="156">
        <f t="shared" si="40"/>
        <v>0.74216134928014321</v>
      </c>
      <c r="U138" s="156">
        <f t="shared" si="40"/>
        <v>0.76481856330975129</v>
      </c>
      <c r="V138" s="156">
        <f t="shared" si="40"/>
        <v>0.7396578541577008</v>
      </c>
      <c r="W138" s="156">
        <f t="shared" si="42"/>
        <v>0.7385985023618713</v>
      </c>
      <c r="X138" s="156">
        <f t="shared" si="42"/>
        <v>0.75331991104539087</v>
      </c>
      <c r="Y138" s="156">
        <f t="shared" si="42"/>
        <v>0.7534862939360335</v>
      </c>
      <c r="DA138" s="213"/>
    </row>
    <row r="139" spans="1:105" ht="11.45" customHeight="1" x14ac:dyDescent="0.25">
      <c r="A139" s="157" t="s">
        <v>110</v>
      </c>
      <c r="B139" s="103">
        <f t="shared" si="40"/>
        <v>0.38753364204401436</v>
      </c>
      <c r="C139" s="103">
        <f t="shared" si="40"/>
        <v>0.31800184666389969</v>
      </c>
      <c r="D139" s="103">
        <f t="shared" si="40"/>
        <v>0.32514290251454392</v>
      </c>
      <c r="E139" s="103">
        <f t="shared" si="40"/>
        <v>0.27357776240913401</v>
      </c>
      <c r="F139" s="103">
        <f t="shared" si="40"/>
        <v>0.24233456979194093</v>
      </c>
      <c r="G139" s="103">
        <f t="shared" si="40"/>
        <v>0.21478822772402495</v>
      </c>
      <c r="H139" s="103">
        <f t="shared" si="40"/>
        <v>0.2314281507172786</v>
      </c>
      <c r="I139" s="103">
        <f t="shared" si="40"/>
        <v>0.24174065035528361</v>
      </c>
      <c r="J139" s="103">
        <f t="shared" si="40"/>
        <v>0.22979001407257024</v>
      </c>
      <c r="K139" s="103">
        <f t="shared" si="40"/>
        <v>0.24224012509899226</v>
      </c>
      <c r="L139" s="103">
        <f t="shared" si="41"/>
        <v>0.23515780275110157</v>
      </c>
      <c r="M139" s="103">
        <f t="shared" si="40"/>
        <v>0.21390879762502191</v>
      </c>
      <c r="N139" s="103">
        <f t="shared" si="40"/>
        <v>0.19641568003793594</v>
      </c>
      <c r="O139" s="103">
        <f t="shared" si="40"/>
        <v>0.17958073380650078</v>
      </c>
      <c r="P139" s="103">
        <f t="shared" si="40"/>
        <v>0.18235259613627824</v>
      </c>
      <c r="Q139" s="103">
        <f t="shared" si="40"/>
        <v>0.16950872014269336</v>
      </c>
      <c r="R139" s="103">
        <f t="shared" si="40"/>
        <v>0.15602579665895941</v>
      </c>
      <c r="S139" s="103">
        <f t="shared" si="40"/>
        <v>0.15905294007718337</v>
      </c>
      <c r="T139" s="103">
        <f t="shared" si="40"/>
        <v>0.14531529810304042</v>
      </c>
      <c r="U139" s="103">
        <f t="shared" si="40"/>
        <v>0.13855843513959448</v>
      </c>
      <c r="V139" s="103">
        <f t="shared" si="40"/>
        <v>0.1435621158739504</v>
      </c>
      <c r="W139" s="103">
        <f t="shared" si="42"/>
        <v>0.1425031159484412</v>
      </c>
      <c r="X139" s="103">
        <f t="shared" si="42"/>
        <v>0.1505989345657307</v>
      </c>
      <c r="Y139" s="103">
        <f t="shared" si="42"/>
        <v>0.14538474599387152</v>
      </c>
      <c r="DA139" s="191"/>
    </row>
    <row r="140" spans="1:105" ht="11.45" customHeight="1" x14ac:dyDescent="0.25">
      <c r="A140" s="157" t="s">
        <v>111</v>
      </c>
      <c r="B140" s="103">
        <f t="shared" si="40"/>
        <v>0.10839884228645857</v>
      </c>
      <c r="C140" s="103">
        <f t="shared" si="40"/>
        <v>0.13351194116440604</v>
      </c>
      <c r="D140" s="103">
        <f t="shared" si="40"/>
        <v>0.12089829314887537</v>
      </c>
      <c r="E140" s="103">
        <f t="shared" si="40"/>
        <v>0.1786702682422702</v>
      </c>
      <c r="F140" s="103">
        <f t="shared" si="40"/>
        <v>0.22351431445623557</v>
      </c>
      <c r="G140" s="103">
        <f t="shared" si="40"/>
        <v>0.24723003346837741</v>
      </c>
      <c r="H140" s="103">
        <f t="shared" si="40"/>
        <v>0.24719720022541627</v>
      </c>
      <c r="I140" s="103">
        <f t="shared" si="40"/>
        <v>0.25020247593717015</v>
      </c>
      <c r="J140" s="103">
        <f t="shared" si="40"/>
        <v>0.29160313824469819</v>
      </c>
      <c r="K140" s="103">
        <f t="shared" si="40"/>
        <v>0.28551690080326469</v>
      </c>
      <c r="L140" s="103">
        <f t="shared" si="41"/>
        <v>0.29647390071333024</v>
      </c>
      <c r="M140" s="103">
        <f t="shared" si="40"/>
        <v>0.31355509154416422</v>
      </c>
      <c r="N140" s="103">
        <f t="shared" si="40"/>
        <v>0.35133907509035939</v>
      </c>
      <c r="O140" s="103">
        <f t="shared" si="40"/>
        <v>0.32821261969195475</v>
      </c>
      <c r="P140" s="103">
        <f t="shared" si="40"/>
        <v>0.35009240187321333</v>
      </c>
      <c r="Q140" s="103">
        <f t="shared" si="40"/>
        <v>0.37170694225944462</v>
      </c>
      <c r="R140" s="103">
        <f t="shared" si="40"/>
        <v>0.39080459913868254</v>
      </c>
      <c r="S140" s="103">
        <f t="shared" si="40"/>
        <v>0.40664817479075543</v>
      </c>
      <c r="T140" s="103">
        <f t="shared" si="40"/>
        <v>0.44482356448208543</v>
      </c>
      <c r="U140" s="103">
        <f t="shared" si="40"/>
        <v>0.48419787897049404</v>
      </c>
      <c r="V140" s="103">
        <f t="shared" si="40"/>
        <v>0.45190037936382077</v>
      </c>
      <c r="W140" s="103">
        <f t="shared" si="42"/>
        <v>0.46997168165706299</v>
      </c>
      <c r="X140" s="103">
        <f t="shared" si="42"/>
        <v>0.46917660169107228</v>
      </c>
      <c r="Y140" s="103">
        <f t="shared" si="42"/>
        <v>0.47216438662644405</v>
      </c>
      <c r="DA140" s="191"/>
    </row>
    <row r="141" spans="1:105" ht="11.45" customHeight="1" x14ac:dyDescent="0.25">
      <c r="A141" s="157" t="s">
        <v>112</v>
      </c>
      <c r="B141" s="103">
        <f t="shared" si="40"/>
        <v>0.11990317774900919</v>
      </c>
      <c r="C141" s="103">
        <f t="shared" si="40"/>
        <v>0.15333246603927425</v>
      </c>
      <c r="D141" s="103">
        <f t="shared" si="40"/>
        <v>0.16738457042650673</v>
      </c>
      <c r="E141" s="103">
        <f t="shared" si="40"/>
        <v>0.1574987713485699</v>
      </c>
      <c r="F141" s="103">
        <f t="shared" si="40"/>
        <v>0.15153325176638535</v>
      </c>
      <c r="G141" s="103">
        <f t="shared" si="40"/>
        <v>0.16094325171331186</v>
      </c>
      <c r="H141" s="103">
        <f t="shared" si="40"/>
        <v>0.16087943661503401</v>
      </c>
      <c r="I141" s="103">
        <f t="shared" si="40"/>
        <v>0.14266663884292746</v>
      </c>
      <c r="J141" s="103">
        <f t="shared" si="40"/>
        <v>0.12891120425838135</v>
      </c>
      <c r="K141" s="103">
        <f t="shared" si="40"/>
        <v>0.1394952083243052</v>
      </c>
      <c r="L141" s="103">
        <f t="shared" si="41"/>
        <v>0.13816228071844289</v>
      </c>
      <c r="M141" s="103">
        <f t="shared" si="40"/>
        <v>0.12822156012145752</v>
      </c>
      <c r="N141" s="103">
        <f t="shared" si="40"/>
        <v>0.13090530677041229</v>
      </c>
      <c r="O141" s="103">
        <f t="shared" si="40"/>
        <v>0.15913806479458861</v>
      </c>
      <c r="P141" s="103">
        <f t="shared" si="40"/>
        <v>0.15264001903671134</v>
      </c>
      <c r="Q141" s="103">
        <f t="shared" si="40"/>
        <v>0.14738590949232958</v>
      </c>
      <c r="R141" s="103">
        <f t="shared" si="40"/>
        <v>0.15535512783508332</v>
      </c>
      <c r="S141" s="103">
        <f t="shared" si="40"/>
        <v>0.14860015958621001</v>
      </c>
      <c r="T141" s="103">
        <f t="shared" si="40"/>
        <v>0.13710555288310156</v>
      </c>
      <c r="U141" s="103">
        <f t="shared" si="40"/>
        <v>0.12693144672753959</v>
      </c>
      <c r="V141" s="103">
        <f t="shared" si="40"/>
        <v>0.1278628160864792</v>
      </c>
      <c r="W141" s="103">
        <f t="shared" si="42"/>
        <v>0.11167768468391079</v>
      </c>
      <c r="X141" s="103">
        <f t="shared" si="42"/>
        <v>0.12288368728098892</v>
      </c>
      <c r="Y141" s="103">
        <f t="shared" si="42"/>
        <v>0.12608197269216651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1.6474552568048857E-3</v>
      </c>
      <c r="G142" s="103">
        <f t="shared" si="40"/>
        <v>5.3825629603107116E-3</v>
      </c>
      <c r="H142" s="103">
        <f t="shared" si="40"/>
        <v>6.4254419536257518E-3</v>
      </c>
      <c r="I142" s="103">
        <f t="shared" si="40"/>
        <v>9.5014947117969227E-3</v>
      </c>
      <c r="J142" s="103">
        <f t="shared" si="40"/>
        <v>8.4030984827837829E-3</v>
      </c>
      <c r="K142" s="103">
        <f t="shared" si="40"/>
        <v>1.1654473333901036E-2</v>
      </c>
      <c r="L142" s="103">
        <f t="shared" si="41"/>
        <v>1.5592296130525173E-2</v>
      </c>
      <c r="M142" s="103">
        <f t="shared" si="40"/>
        <v>1.3690604400997237E-2</v>
      </c>
      <c r="N142" s="103">
        <f t="shared" si="40"/>
        <v>1.4307595404867949E-2</v>
      </c>
      <c r="O142" s="103">
        <f t="shared" si="40"/>
        <v>1.7439936186309717E-2</v>
      </c>
      <c r="P142" s="103">
        <f t="shared" si="40"/>
        <v>2.0472581946090317E-2</v>
      </c>
      <c r="Q142" s="103">
        <f t="shared" si="40"/>
        <v>1.6376938776091192E-2</v>
      </c>
      <c r="R142" s="103">
        <f t="shared" si="40"/>
        <v>1.4998069313732834E-2</v>
      </c>
      <c r="S142" s="103">
        <f t="shared" si="40"/>
        <v>1.4955754976873037E-2</v>
      </c>
      <c r="T142" s="103">
        <f t="shared" si="40"/>
        <v>1.4898216016777615E-2</v>
      </c>
      <c r="U142" s="103">
        <f t="shared" si="40"/>
        <v>1.5074960184056086E-2</v>
      </c>
      <c r="V142" s="103">
        <f t="shared" si="40"/>
        <v>1.6254218076658482E-2</v>
      </c>
      <c r="W142" s="103">
        <f t="shared" si="42"/>
        <v>1.4355989055097574E-2</v>
      </c>
      <c r="X142" s="103">
        <f t="shared" si="42"/>
        <v>1.0541407026130687E-2</v>
      </c>
      <c r="Y142" s="103">
        <f t="shared" si="42"/>
        <v>9.7394968936081426E-3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2.6683223059891609E-7</v>
      </c>
      <c r="O143" s="103">
        <f t="shared" si="40"/>
        <v>2.2576096652156346E-7</v>
      </c>
      <c r="P143" s="103">
        <f t="shared" si="40"/>
        <v>4.635221693976196E-7</v>
      </c>
      <c r="Q143" s="103">
        <f t="shared" si="40"/>
        <v>1.9799562217527336E-6</v>
      </c>
      <c r="R143" s="103">
        <f t="shared" si="40"/>
        <v>3.0483355661213893E-6</v>
      </c>
      <c r="S143" s="103">
        <f t="shared" si="40"/>
        <v>1.0377316116645922E-5</v>
      </c>
      <c r="T143" s="103">
        <f t="shared" si="40"/>
        <v>1.8717795138255698E-5</v>
      </c>
      <c r="U143" s="103">
        <f t="shared" si="40"/>
        <v>5.5842288067033157E-5</v>
      </c>
      <c r="V143" s="103">
        <f t="shared" si="40"/>
        <v>7.8324756791977126E-5</v>
      </c>
      <c r="W143" s="103">
        <f t="shared" si="42"/>
        <v>9.0031017358806062E-5</v>
      </c>
      <c r="X143" s="103">
        <f t="shared" si="42"/>
        <v>1.1928048146835937E-4</v>
      </c>
      <c r="Y143" s="103">
        <f t="shared" si="42"/>
        <v>1.1569172994333362E-4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0.1712383960349346</v>
      </c>
      <c r="C145" s="156">
        <f t="shared" si="40"/>
        <v>0.17024004417509894</v>
      </c>
      <c r="D145" s="156">
        <f t="shared" si="40"/>
        <v>0.18252184018170073</v>
      </c>
      <c r="E145" s="156">
        <f t="shared" si="40"/>
        <v>0.1385220475205467</v>
      </c>
      <c r="F145" s="156">
        <f t="shared" si="40"/>
        <v>0.11964573356443871</v>
      </c>
      <c r="G145" s="156">
        <f t="shared" si="40"/>
        <v>0.11520192655650281</v>
      </c>
      <c r="H145" s="156">
        <f t="shared" si="40"/>
        <v>0.10478445634267686</v>
      </c>
      <c r="I145" s="156">
        <f t="shared" si="40"/>
        <v>0.11743970584783367</v>
      </c>
      <c r="J145" s="156">
        <f t="shared" si="40"/>
        <v>0.10093332749634974</v>
      </c>
      <c r="K145" s="156">
        <f t="shared" si="40"/>
        <v>0.10685423587767859</v>
      </c>
      <c r="L145" s="156">
        <f t="shared" si="41"/>
        <v>0.10046990621325985</v>
      </c>
      <c r="M145" s="156">
        <f t="shared" si="40"/>
        <v>0.10948983323160166</v>
      </c>
      <c r="N145" s="156">
        <f t="shared" si="40"/>
        <v>9.3411649349193146E-2</v>
      </c>
      <c r="O145" s="156">
        <f t="shared" si="40"/>
        <v>9.41810302819448E-2</v>
      </c>
      <c r="P145" s="156">
        <f t="shared" si="40"/>
        <v>8.1972985433690776E-2</v>
      </c>
      <c r="Q145" s="156">
        <f t="shared" si="40"/>
        <v>8.1178443101585979E-2</v>
      </c>
      <c r="R145" s="156">
        <f t="shared" si="40"/>
        <v>7.183960998802856E-2</v>
      </c>
      <c r="S145" s="156">
        <f t="shared" si="40"/>
        <v>6.5820611732040221E-2</v>
      </c>
      <c r="T145" s="156">
        <f t="shared" si="40"/>
        <v>6.5083002746687588E-2</v>
      </c>
      <c r="U145" s="156">
        <f t="shared" si="40"/>
        <v>6.8758015670295866E-2</v>
      </c>
      <c r="V145" s="156">
        <f t="shared" si="40"/>
        <v>7.1371480725116065E-2</v>
      </c>
      <c r="W145" s="156">
        <f t="shared" si="42"/>
        <v>6.5282630378753731E-2</v>
      </c>
      <c r="X145" s="156">
        <f t="shared" si="42"/>
        <v>6.5534285072233911E-2</v>
      </c>
      <c r="Y145" s="156">
        <f t="shared" si="42"/>
        <v>6.4067486538751606E-2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1.2429119485130394E-3</v>
      </c>
      <c r="S146" s="103">
        <f t="shared" si="40"/>
        <v>1.2570869909553344E-3</v>
      </c>
      <c r="T146" s="103">
        <f t="shared" si="40"/>
        <v>1.2384070163527822E-3</v>
      </c>
      <c r="U146" s="103">
        <f t="shared" si="40"/>
        <v>1.2832309179435062E-3</v>
      </c>
      <c r="V146" s="103">
        <f t="shared" si="40"/>
        <v>1.2431501569298057E-3</v>
      </c>
      <c r="W146" s="103">
        <f t="shared" si="42"/>
        <v>1.0739950770122114E-3</v>
      </c>
      <c r="X146" s="103">
        <f t="shared" si="42"/>
        <v>1.00561477625522E-3</v>
      </c>
      <c r="Y146" s="103">
        <f t="shared" si="42"/>
        <v>9.0615712429029896E-4</v>
      </c>
      <c r="DA146" s="191"/>
    </row>
    <row r="147" spans="1:105" ht="11.45" customHeight="1" x14ac:dyDescent="0.25">
      <c r="A147" s="157" t="s">
        <v>111</v>
      </c>
      <c r="B147" s="103">
        <f t="shared" si="40"/>
        <v>0.1712383960349346</v>
      </c>
      <c r="C147" s="103">
        <f t="shared" si="40"/>
        <v>0.17024004417509894</v>
      </c>
      <c r="D147" s="103">
        <f t="shared" si="40"/>
        <v>0.18252184018170073</v>
      </c>
      <c r="E147" s="103">
        <f t="shared" si="40"/>
        <v>0.1385220475205467</v>
      </c>
      <c r="F147" s="103">
        <f t="shared" si="40"/>
        <v>0.11919064455287121</v>
      </c>
      <c r="G147" s="103">
        <f t="shared" si="40"/>
        <v>0.11429527745349524</v>
      </c>
      <c r="H147" s="103">
        <f t="shared" si="40"/>
        <v>0.10325700379516682</v>
      </c>
      <c r="I147" s="103">
        <f t="shared" si="40"/>
        <v>0.11467543019628181</v>
      </c>
      <c r="J147" s="103">
        <f t="shared" si="40"/>
        <v>9.8327051312466038E-2</v>
      </c>
      <c r="K147" s="103">
        <f t="shared" si="40"/>
        <v>0.10280194786316198</v>
      </c>
      <c r="L147" s="103">
        <f t="shared" si="41"/>
        <v>9.4382781574426575E-2</v>
      </c>
      <c r="M147" s="103">
        <f t="shared" si="40"/>
        <v>0.10335955087404596</v>
      </c>
      <c r="N147" s="103">
        <f t="shared" si="40"/>
        <v>8.7347228608035343E-2</v>
      </c>
      <c r="O147" s="103">
        <f t="shared" si="40"/>
        <v>8.6408934096216194E-2</v>
      </c>
      <c r="P147" s="103">
        <f t="shared" si="40"/>
        <v>7.7870094748520774E-2</v>
      </c>
      <c r="Q147" s="103">
        <f t="shared" si="40"/>
        <v>7.552272404236153E-2</v>
      </c>
      <c r="R147" s="103">
        <f t="shared" ref="R147:V147" si="43">IF(R29=0,0,R29/R$17)</f>
        <v>6.4782164878883594E-2</v>
      </c>
      <c r="S147" s="103">
        <f t="shared" si="43"/>
        <v>5.8658676037727481E-2</v>
      </c>
      <c r="T147" s="103">
        <f t="shared" si="43"/>
        <v>5.7629488307587219E-2</v>
      </c>
      <c r="U147" s="103">
        <f t="shared" si="43"/>
        <v>5.9831832216310311E-2</v>
      </c>
      <c r="V147" s="103">
        <f t="shared" si="43"/>
        <v>6.2703987752204302E-2</v>
      </c>
      <c r="W147" s="103">
        <f t="shared" ref="W147:Y147" si="44">IF(W29=0,0,W29/W$17)</f>
        <v>5.5666354172435616E-2</v>
      </c>
      <c r="X147" s="103">
        <f t="shared" si="44"/>
        <v>5.8947236406710589E-2</v>
      </c>
      <c r="Y147" s="103">
        <f t="shared" si="44"/>
        <v>5.9343695202531056E-2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1.4320292054432383E-4</v>
      </c>
      <c r="S148" s="103">
        <f t="shared" si="47"/>
        <v>1.4322674970430768E-4</v>
      </c>
      <c r="T148" s="103">
        <f t="shared" si="47"/>
        <v>1.5676982850491958E-4</v>
      </c>
      <c r="U148" s="103">
        <f t="shared" si="47"/>
        <v>1.6534983385598425E-4</v>
      </c>
      <c r="V148" s="103">
        <f t="shared" si="47"/>
        <v>5.2123181492815868E-5</v>
      </c>
      <c r="W148" s="103">
        <f t="shared" ref="W148:Y148" si="48">IF(W30=0,0,W30/W$17)</f>
        <v>1.2158476990976247E-4</v>
      </c>
      <c r="X148" s="103">
        <f t="shared" si="48"/>
        <v>1.127574737947414E-4</v>
      </c>
      <c r="Y148" s="103">
        <f t="shared" si="48"/>
        <v>9.3976797958256799E-5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4.5508901156749815E-4</v>
      </c>
      <c r="G149" s="103">
        <f t="shared" si="49"/>
        <v>9.066491030075859E-4</v>
      </c>
      <c r="H149" s="103">
        <f t="shared" si="49"/>
        <v>1.5274525475100368E-3</v>
      </c>
      <c r="I149" s="103">
        <f t="shared" si="49"/>
        <v>2.7642756515518637E-3</v>
      </c>
      <c r="J149" s="103">
        <f t="shared" si="49"/>
        <v>2.6062761838837119E-3</v>
      </c>
      <c r="K149" s="103">
        <f t="shared" si="49"/>
        <v>4.0522880145166165E-3</v>
      </c>
      <c r="L149" s="103">
        <f t="shared" si="46"/>
        <v>6.0871246388332911E-3</v>
      </c>
      <c r="M149" s="103">
        <f t="shared" ref="M149:V149" si="50">IF(M31=0,0,M31/M$17)</f>
        <v>6.1302823575557193E-3</v>
      </c>
      <c r="N149" s="103">
        <f t="shared" si="50"/>
        <v>6.0644207411578053E-3</v>
      </c>
      <c r="O149" s="103">
        <f t="shared" si="50"/>
        <v>7.7720961857286218E-3</v>
      </c>
      <c r="P149" s="103">
        <f t="shared" si="50"/>
        <v>4.1028906851699968E-3</v>
      </c>
      <c r="Q149" s="103">
        <f t="shared" si="50"/>
        <v>5.6557190592244457E-3</v>
      </c>
      <c r="R149" s="103">
        <f t="shared" si="50"/>
        <v>5.6713302400876065E-3</v>
      </c>
      <c r="S149" s="103">
        <f t="shared" si="50"/>
        <v>5.7616219536530938E-3</v>
      </c>
      <c r="T149" s="103">
        <f t="shared" si="50"/>
        <v>6.0583375942426564E-3</v>
      </c>
      <c r="U149" s="103">
        <f t="shared" si="50"/>
        <v>7.477602702186067E-3</v>
      </c>
      <c r="V149" s="103">
        <f t="shared" si="50"/>
        <v>7.3722196344891472E-3</v>
      </c>
      <c r="W149" s="103">
        <f t="shared" ref="W149:Y149" si="51">IF(W31=0,0,W31/W$17)</f>
        <v>8.4206963593961466E-3</v>
      </c>
      <c r="X149" s="103">
        <f t="shared" si="51"/>
        <v>5.4686764154733541E-3</v>
      </c>
      <c r="Y149" s="103">
        <f t="shared" si="51"/>
        <v>3.7236574139719977E-3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0.20557474392240269</v>
      </c>
      <c r="C151" s="46">
        <f t="shared" si="55"/>
        <v>0.21764122068273009</v>
      </c>
      <c r="D151" s="46">
        <f t="shared" si="55"/>
        <v>0.19699580933839486</v>
      </c>
      <c r="E151" s="46">
        <f t="shared" si="55"/>
        <v>0.24547907111857969</v>
      </c>
      <c r="F151" s="46">
        <f t="shared" si="55"/>
        <v>0.25538826002772019</v>
      </c>
      <c r="G151" s="46">
        <f t="shared" si="55"/>
        <v>0.25067594230884283</v>
      </c>
      <c r="H151" s="46">
        <f t="shared" si="55"/>
        <v>0.24361613440452426</v>
      </c>
      <c r="I151" s="46">
        <f t="shared" si="55"/>
        <v>0.23222696269927962</v>
      </c>
      <c r="J151" s="46">
        <f t="shared" si="55"/>
        <v>0.23378790465485572</v>
      </c>
      <c r="K151" s="46">
        <f t="shared" si="55"/>
        <v>0.20720888105408844</v>
      </c>
      <c r="L151" s="46">
        <f t="shared" ref="L151" si="56">IF(L33=0,0,L33/L$17)</f>
        <v>0.2063475510264875</v>
      </c>
      <c r="M151" s="46">
        <f t="shared" ref="M151:V151" si="57">IF(M33=0,0,M33/M$17)</f>
        <v>0.2130367281874217</v>
      </c>
      <c r="N151" s="46">
        <f t="shared" si="57"/>
        <v>0.20523537461268418</v>
      </c>
      <c r="O151" s="46">
        <f t="shared" si="57"/>
        <v>0.21166641561444308</v>
      </c>
      <c r="P151" s="46">
        <f t="shared" si="57"/>
        <v>0.20356251857022173</v>
      </c>
      <c r="Q151" s="46">
        <f t="shared" si="57"/>
        <v>0.20548535565308554</v>
      </c>
      <c r="R151" s="46">
        <f t="shared" si="57"/>
        <v>0.2022893951578229</v>
      </c>
      <c r="S151" s="46">
        <f t="shared" si="57"/>
        <v>0.19666528498935615</v>
      </c>
      <c r="T151" s="46">
        <f t="shared" si="57"/>
        <v>0.18521048131645027</v>
      </c>
      <c r="U151" s="46">
        <f t="shared" si="57"/>
        <v>0.1587431495562745</v>
      </c>
      <c r="V151" s="46">
        <f t="shared" si="57"/>
        <v>0.18158288659658794</v>
      </c>
      <c r="W151" s="46">
        <f t="shared" ref="W151:Y151" si="58">IF(W33=0,0,W33/W$17)</f>
        <v>0.18906733427361391</v>
      </c>
      <c r="X151" s="46">
        <f t="shared" si="58"/>
        <v>0.17392761234429135</v>
      </c>
      <c r="Y151" s="46">
        <f t="shared" si="58"/>
        <v>0.17476598683428496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7.9527465677158793E-2</v>
      </c>
      <c r="C152" s="154">
        <f t="shared" si="59"/>
        <v>7.4289954837087988E-2</v>
      </c>
      <c r="D152" s="154">
        <f t="shared" si="59"/>
        <v>7.1511223059064058E-2</v>
      </c>
      <c r="E152" s="154">
        <f t="shared" si="59"/>
        <v>6.6668846565894932E-2</v>
      </c>
      <c r="F152" s="154">
        <f t="shared" si="59"/>
        <v>7.0178466647682125E-2</v>
      </c>
      <c r="G152" s="154">
        <f t="shared" si="59"/>
        <v>5.9105593087604873E-2</v>
      </c>
      <c r="H152" s="154">
        <f t="shared" si="59"/>
        <v>6.0273880644879693E-2</v>
      </c>
      <c r="I152" s="154">
        <f t="shared" si="59"/>
        <v>6.8406017600319266E-2</v>
      </c>
      <c r="J152" s="154">
        <f t="shared" si="59"/>
        <v>6.8646158701211574E-2</v>
      </c>
      <c r="K152" s="154">
        <f t="shared" si="59"/>
        <v>6.8978065714151743E-2</v>
      </c>
      <c r="L152" s="154">
        <f t="shared" ref="L152" si="60">IF(L34=0,0,L34/L$17)</f>
        <v>6.8885733458322579E-2</v>
      </c>
      <c r="M152" s="154">
        <f t="shared" ref="M152:V152" si="61">IF(M34=0,0,M34/M$17)</f>
        <v>7.5506825916843989E-2</v>
      </c>
      <c r="N152" s="154">
        <f t="shared" si="61"/>
        <v>7.3406439950023758E-2</v>
      </c>
      <c r="O152" s="154">
        <f t="shared" si="61"/>
        <v>8.1362052668640703E-2</v>
      </c>
      <c r="P152" s="154">
        <f t="shared" si="61"/>
        <v>7.497213021131463E-2</v>
      </c>
      <c r="Q152" s="154">
        <f t="shared" si="61"/>
        <v>7.5301659540268323E-2</v>
      </c>
      <c r="R152" s="154">
        <f t="shared" si="61"/>
        <v>7.2157784441291409E-2</v>
      </c>
      <c r="S152" s="154">
        <f t="shared" si="61"/>
        <v>6.0557811200020344E-2</v>
      </c>
      <c r="T152" s="154">
        <f t="shared" si="61"/>
        <v>5.8628279487527947E-2</v>
      </c>
      <c r="U152" s="154">
        <f t="shared" si="61"/>
        <v>5.5154585792530145E-2</v>
      </c>
      <c r="V152" s="154">
        <f t="shared" si="61"/>
        <v>5.6165268064597602E-2</v>
      </c>
      <c r="W152" s="154">
        <f t="shared" ref="W152:Y152" si="62">IF(W34=0,0,W34/W$17)</f>
        <v>4.9370623699298219E-2</v>
      </c>
      <c r="X152" s="154">
        <f t="shared" si="62"/>
        <v>4.5967110095651499E-2</v>
      </c>
      <c r="Y152" s="154">
        <f t="shared" si="62"/>
        <v>4.1865764963415986E-2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1.7683934601742626E-2</v>
      </c>
      <c r="C153" s="103">
        <f t="shared" si="63"/>
        <v>1.7353894299446775E-2</v>
      </c>
      <c r="D153" s="103">
        <f t="shared" si="63"/>
        <v>1.6719963686243771E-2</v>
      </c>
      <c r="E153" s="103">
        <f t="shared" si="63"/>
        <v>1.4995917019644088E-2</v>
      </c>
      <c r="F153" s="103">
        <f t="shared" si="63"/>
        <v>1.4385782098536457E-2</v>
      </c>
      <c r="G153" s="103">
        <f t="shared" si="63"/>
        <v>1.1909451552994652E-2</v>
      </c>
      <c r="H153" s="103">
        <f t="shared" si="63"/>
        <v>9.9838220329938349E-3</v>
      </c>
      <c r="I153" s="103">
        <f t="shared" si="63"/>
        <v>9.1456534732643341E-3</v>
      </c>
      <c r="J153" s="103">
        <f t="shared" si="63"/>
        <v>7.5615397707530178E-3</v>
      </c>
      <c r="K153" s="103">
        <f t="shared" si="63"/>
        <v>6.449278157535052E-3</v>
      </c>
      <c r="L153" s="103">
        <f t="shared" ref="L153" si="64">IF(L35=0,0,L35/L$17)</f>
        <v>5.0652287912157602E-3</v>
      </c>
      <c r="M153" s="103">
        <f t="shared" ref="M153:V153" si="65">IF(M35=0,0,M35/M$17)</f>
        <v>5.4548238433595195E-3</v>
      </c>
      <c r="N153" s="103">
        <f t="shared" si="65"/>
        <v>4.9428277470901696E-3</v>
      </c>
      <c r="O153" s="103">
        <f t="shared" si="65"/>
        <v>5.0604727865009016E-3</v>
      </c>
      <c r="P153" s="103">
        <f t="shared" si="65"/>
        <v>4.0013407839696478E-3</v>
      </c>
      <c r="Q153" s="103">
        <f t="shared" si="65"/>
        <v>4.1781993119998934E-3</v>
      </c>
      <c r="R153" s="103">
        <f t="shared" si="65"/>
        <v>3.9800151473023578E-3</v>
      </c>
      <c r="S153" s="103">
        <f t="shared" si="65"/>
        <v>3.8943439725492193E-3</v>
      </c>
      <c r="T153" s="103">
        <f t="shared" si="65"/>
        <v>3.7692247383495628E-3</v>
      </c>
      <c r="U153" s="103">
        <f t="shared" si="65"/>
        <v>3.5505158300716232E-3</v>
      </c>
      <c r="V153" s="103">
        <f t="shared" si="65"/>
        <v>3.7435543057523879E-3</v>
      </c>
      <c r="W153" s="103">
        <f t="shared" ref="W153:Y153" si="66">IF(W35=0,0,W35/W$17)</f>
        <v>3.3748923575025271E-3</v>
      </c>
      <c r="X153" s="103">
        <f t="shared" si="66"/>
        <v>3.2780564819442221E-3</v>
      </c>
      <c r="Y153" s="103">
        <f t="shared" si="66"/>
        <v>3.0961277880032587E-3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6.1843531075416174E-2</v>
      </c>
      <c r="C154" s="103">
        <f t="shared" si="67"/>
        <v>5.693606053764122E-2</v>
      </c>
      <c r="D154" s="103">
        <f t="shared" si="67"/>
        <v>5.479125937282029E-2</v>
      </c>
      <c r="E154" s="103">
        <f t="shared" si="67"/>
        <v>5.1672929546250843E-2</v>
      </c>
      <c r="F154" s="103">
        <f t="shared" si="67"/>
        <v>5.5792684549145675E-2</v>
      </c>
      <c r="G154" s="103">
        <f t="shared" si="67"/>
        <v>4.7196141534610214E-2</v>
      </c>
      <c r="H154" s="103">
        <f t="shared" si="67"/>
        <v>5.0290058611885853E-2</v>
      </c>
      <c r="I154" s="103">
        <f t="shared" si="67"/>
        <v>5.9260364127054925E-2</v>
      </c>
      <c r="J154" s="103">
        <f t="shared" si="67"/>
        <v>6.1084618930458558E-2</v>
      </c>
      <c r="K154" s="103">
        <f t="shared" si="67"/>
        <v>6.25287875566167E-2</v>
      </c>
      <c r="L154" s="103">
        <f t="shared" ref="L154" si="68">IF(L36=0,0,L36/L$17)</f>
        <v>6.3820504667106814E-2</v>
      </c>
      <c r="M154" s="103">
        <f t="shared" ref="M154:V154" si="69">IF(M36=0,0,M36/M$17)</f>
        <v>7.0052002073484471E-2</v>
      </c>
      <c r="N154" s="103">
        <f t="shared" si="69"/>
        <v>6.8463612202933594E-2</v>
      </c>
      <c r="O154" s="103">
        <f t="shared" si="69"/>
        <v>7.63015798821398E-2</v>
      </c>
      <c r="P154" s="103">
        <f t="shared" si="69"/>
        <v>7.0970789427344971E-2</v>
      </c>
      <c r="Q154" s="103">
        <f t="shared" si="69"/>
        <v>7.1123460228268431E-2</v>
      </c>
      <c r="R154" s="103">
        <f t="shared" si="69"/>
        <v>6.8107030094303675E-2</v>
      </c>
      <c r="S154" s="103">
        <f t="shared" si="69"/>
        <v>5.6466475990426909E-2</v>
      </c>
      <c r="T154" s="103">
        <f t="shared" si="69"/>
        <v>5.4493231355138366E-2</v>
      </c>
      <c r="U154" s="103">
        <f t="shared" si="69"/>
        <v>5.1026109844036438E-2</v>
      </c>
      <c r="V154" s="103">
        <f t="shared" si="69"/>
        <v>5.1667228485862499E-2</v>
      </c>
      <c r="W154" s="103">
        <f t="shared" ref="W154:Y154" si="70">IF(W36=0,0,W36/W$17)</f>
        <v>4.5128183677734399E-2</v>
      </c>
      <c r="X154" s="103">
        <f t="shared" si="70"/>
        <v>4.1821972973139096E-2</v>
      </c>
      <c r="Y154" s="103">
        <f t="shared" si="70"/>
        <v>3.7929989286734002E-2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5.9086980401935637E-5</v>
      </c>
      <c r="S155" s="103">
        <f t="shared" si="73"/>
        <v>1.7417972764347843E-4</v>
      </c>
      <c r="T155" s="103">
        <f t="shared" si="73"/>
        <v>3.3104255790504685E-4</v>
      </c>
      <c r="U155" s="103">
        <f t="shared" si="73"/>
        <v>5.2671880232835059E-4</v>
      </c>
      <c r="V155" s="103">
        <f t="shared" si="73"/>
        <v>6.7819505212800995E-4</v>
      </c>
      <c r="W155" s="103">
        <f t="shared" ref="W155:Y155" si="74">IF(W37=0,0,W37/W$17)</f>
        <v>7.8222654243300836E-4</v>
      </c>
      <c r="X155" s="103">
        <f t="shared" si="74"/>
        <v>7.8050358986329091E-4</v>
      </c>
      <c r="Y155" s="103">
        <f t="shared" si="74"/>
        <v>7.5559338074445012E-4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1.1652219283445929E-5</v>
      </c>
      <c r="S156" s="103">
        <f t="shared" si="77"/>
        <v>2.2811509400736259E-5</v>
      </c>
      <c r="T156" s="103">
        <f t="shared" si="77"/>
        <v>3.4780836134967113E-5</v>
      </c>
      <c r="U156" s="103">
        <f t="shared" si="77"/>
        <v>5.124131609372586E-5</v>
      </c>
      <c r="V156" s="103">
        <f t="shared" si="77"/>
        <v>7.6290220854706014E-5</v>
      </c>
      <c r="W156" s="103">
        <f t="shared" ref="W156:Y156" si="78">IF(W38=0,0,W38/W$17)</f>
        <v>8.5321121628284001E-5</v>
      </c>
      <c r="X156" s="103">
        <f t="shared" si="78"/>
        <v>8.6577050704888741E-5</v>
      </c>
      <c r="Y156" s="103">
        <f t="shared" si="78"/>
        <v>8.4054507934274954E-5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0.12604727824524389</v>
      </c>
      <c r="C158" s="156">
        <f t="shared" si="83"/>
        <v>0.14335126584564209</v>
      </c>
      <c r="D158" s="156">
        <f t="shared" si="83"/>
        <v>0.12548458627933079</v>
      </c>
      <c r="E158" s="156">
        <f t="shared" si="83"/>
        <v>0.17881022455268475</v>
      </c>
      <c r="F158" s="156">
        <f t="shared" si="83"/>
        <v>0.18520979338003804</v>
      </c>
      <c r="G158" s="156">
        <f t="shared" si="83"/>
        <v>0.19157034922123797</v>
      </c>
      <c r="H158" s="156">
        <f t="shared" si="83"/>
        <v>0.18334225375964455</v>
      </c>
      <c r="I158" s="156">
        <f t="shared" si="83"/>
        <v>0.16382094509896034</v>
      </c>
      <c r="J158" s="156">
        <f t="shared" si="83"/>
        <v>0.16514174595364414</v>
      </c>
      <c r="K158" s="156">
        <f t="shared" si="83"/>
        <v>0.1382308153399367</v>
      </c>
      <c r="L158" s="156">
        <f t="shared" ref="L158" si="84">IF(L40=0,0,L40/L$17)</f>
        <v>0.13746181756816492</v>
      </c>
      <c r="M158" s="156">
        <f t="shared" ref="M158:V158" si="85">IF(M40=0,0,M40/M$17)</f>
        <v>0.13752990227057768</v>
      </c>
      <c r="N158" s="156">
        <f t="shared" si="85"/>
        <v>0.13182893466266041</v>
      </c>
      <c r="O158" s="156">
        <f t="shared" si="85"/>
        <v>0.13030436294580239</v>
      </c>
      <c r="P158" s="156">
        <f t="shared" si="85"/>
        <v>0.1285903883589071</v>
      </c>
      <c r="Q158" s="156">
        <f t="shared" si="85"/>
        <v>0.13018369611281722</v>
      </c>
      <c r="R158" s="156">
        <f t="shared" si="85"/>
        <v>0.13013161071653148</v>
      </c>
      <c r="S158" s="156">
        <f t="shared" si="85"/>
        <v>0.1361074737893358</v>
      </c>
      <c r="T158" s="156">
        <f t="shared" si="85"/>
        <v>0.12658220182892232</v>
      </c>
      <c r="U158" s="156">
        <f t="shared" si="85"/>
        <v>0.10358856376374434</v>
      </c>
      <c r="V158" s="156">
        <f t="shared" si="85"/>
        <v>0.12541761853199035</v>
      </c>
      <c r="W158" s="156">
        <f t="shared" ref="W158:Y158" si="86">IF(W40=0,0,W40/W$17)</f>
        <v>0.13969671057431568</v>
      </c>
      <c r="X158" s="156">
        <f t="shared" si="86"/>
        <v>0.12796050224863986</v>
      </c>
      <c r="Y158" s="156">
        <f t="shared" si="86"/>
        <v>0.13290022187086897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4.7175308497212881E-2</v>
      </c>
      <c r="C159" s="103">
        <f t="shared" si="87"/>
        <v>6.373550288882085E-2</v>
      </c>
      <c r="D159" s="103">
        <f t="shared" si="87"/>
        <v>4.5437547656273107E-2</v>
      </c>
      <c r="E159" s="103">
        <f t="shared" si="87"/>
        <v>0.11022434483589827</v>
      </c>
      <c r="F159" s="103">
        <f t="shared" si="87"/>
        <v>0.10926984788377737</v>
      </c>
      <c r="G159" s="103">
        <f t="shared" si="87"/>
        <v>0.1215015864007405</v>
      </c>
      <c r="H159" s="103">
        <f t="shared" si="87"/>
        <v>0.12553710510192365</v>
      </c>
      <c r="I159" s="103">
        <f t="shared" si="87"/>
        <v>0.10939469358970005</v>
      </c>
      <c r="J159" s="103">
        <f t="shared" si="87"/>
        <v>0.13566008417648809</v>
      </c>
      <c r="K159" s="103">
        <f t="shared" si="87"/>
        <v>0.10994324554964359</v>
      </c>
      <c r="L159" s="103">
        <f t="shared" ref="L159" si="88">IF(L41=0,0,L41/L$17)</f>
        <v>0.10587489948648153</v>
      </c>
      <c r="M159" s="103">
        <f t="shared" ref="M159:V159" si="89">IF(M41=0,0,M41/M$17)</f>
        <v>0.10117969547674381</v>
      </c>
      <c r="N159" s="103">
        <f t="shared" si="89"/>
        <v>0.10102102525793556</v>
      </c>
      <c r="O159" s="103">
        <f t="shared" si="89"/>
        <v>8.5564453310028737E-2</v>
      </c>
      <c r="P159" s="103">
        <f t="shared" si="89"/>
        <v>9.2639216076231268E-2</v>
      </c>
      <c r="Q159" s="103">
        <f t="shared" si="89"/>
        <v>9.3105215943476732E-2</v>
      </c>
      <c r="R159" s="103">
        <f t="shared" si="89"/>
        <v>9.5438754145254476E-2</v>
      </c>
      <c r="S159" s="103">
        <f t="shared" si="89"/>
        <v>0.10362161255218694</v>
      </c>
      <c r="T159" s="103">
        <f t="shared" si="89"/>
        <v>9.8144422054352892E-2</v>
      </c>
      <c r="U159" s="103">
        <f t="shared" si="89"/>
        <v>7.980405431119697E-2</v>
      </c>
      <c r="V159" s="103">
        <f t="shared" si="89"/>
        <v>9.4162799962403662E-2</v>
      </c>
      <c r="W159" s="103">
        <f t="shared" ref="W159:Y159" si="90">IF(W41=0,0,W41/W$17)</f>
        <v>0.10662049048818269</v>
      </c>
      <c r="X159" s="103">
        <f t="shared" si="90"/>
        <v>8.8627274596117606E-2</v>
      </c>
      <c r="Y159" s="103">
        <f t="shared" si="90"/>
        <v>9.3023329549885889E-2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7.8871969748031012E-2</v>
      </c>
      <c r="C160" s="105">
        <f t="shared" si="91"/>
        <v>7.9615762956821226E-2</v>
      </c>
      <c r="D160" s="105">
        <f t="shared" si="91"/>
        <v>8.0047038623057676E-2</v>
      </c>
      <c r="E160" s="105">
        <f t="shared" si="91"/>
        <v>6.858587971678648E-2</v>
      </c>
      <c r="F160" s="105">
        <f t="shared" si="91"/>
        <v>7.593994549626068E-2</v>
      </c>
      <c r="G160" s="105">
        <f t="shared" si="91"/>
        <v>7.0068762820497468E-2</v>
      </c>
      <c r="H160" s="105">
        <f t="shared" si="91"/>
        <v>5.7805148657720899E-2</v>
      </c>
      <c r="I160" s="105">
        <f t="shared" si="91"/>
        <v>5.4426251509260289E-2</v>
      </c>
      <c r="J160" s="105">
        <f t="shared" si="91"/>
        <v>2.9481661777156058E-2</v>
      </c>
      <c r="K160" s="105">
        <f t="shared" si="91"/>
        <v>2.82875697902931E-2</v>
      </c>
      <c r="L160" s="105">
        <f t="shared" ref="L160" si="92">IF(L42=0,0,L42/L$17)</f>
        <v>3.1586918081683388E-2</v>
      </c>
      <c r="M160" s="105">
        <f t="shared" ref="M160:V160" si="93">IF(M42=0,0,M42/M$17)</f>
        <v>3.6350206793833884E-2</v>
      </c>
      <c r="N160" s="105">
        <f t="shared" si="93"/>
        <v>3.0807909404724856E-2</v>
      </c>
      <c r="O160" s="105">
        <f t="shared" si="93"/>
        <v>4.4739909635773643E-2</v>
      </c>
      <c r="P160" s="105">
        <f t="shared" si="93"/>
        <v>3.5951172282675817E-2</v>
      </c>
      <c r="Q160" s="105">
        <f t="shared" si="93"/>
        <v>3.7078480169340462E-2</v>
      </c>
      <c r="R160" s="105">
        <f t="shared" si="93"/>
        <v>3.469285657127702E-2</v>
      </c>
      <c r="S160" s="105">
        <f t="shared" si="93"/>
        <v>3.2485861237148875E-2</v>
      </c>
      <c r="T160" s="105">
        <f t="shared" si="93"/>
        <v>2.8437779774569443E-2</v>
      </c>
      <c r="U160" s="105">
        <f t="shared" si="93"/>
        <v>2.3784509452547373E-2</v>
      </c>
      <c r="V160" s="105">
        <f t="shared" si="93"/>
        <v>3.1254818569586673E-2</v>
      </c>
      <c r="W160" s="105">
        <f t="shared" ref="W160:Y160" si="94">IF(W42=0,0,W42/W$17)</f>
        <v>3.3076220086132986E-2</v>
      </c>
      <c r="X160" s="105">
        <f t="shared" si="94"/>
        <v>3.9333227652522243E-2</v>
      </c>
      <c r="Y160" s="105">
        <f t="shared" si="94"/>
        <v>3.9876892320983105E-2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2235047</v>
      </c>
      <c r="C3" s="54">
        <f>TrRoad_act!C57</f>
        <v>2322787</v>
      </c>
      <c r="D3" s="54">
        <f>TrRoad_act!D57</f>
        <v>2415496.0000000005</v>
      </c>
      <c r="E3" s="54">
        <f>TrRoad_act!E57</f>
        <v>2568532</v>
      </c>
      <c r="F3" s="54">
        <f>TrRoad_act!F57</f>
        <v>2721471</v>
      </c>
      <c r="G3" s="54">
        <f>TrRoad_act!G57</f>
        <v>2821541</v>
      </c>
      <c r="H3" s="54">
        <f>TrRoad_act!H57</f>
        <v>2909618</v>
      </c>
      <c r="I3" s="54">
        <f>TrRoad_act!I57</f>
        <v>3080614.9999999995</v>
      </c>
      <c r="J3" s="54">
        <f>TrRoad_act!J57</f>
        <v>3169289.0000000005</v>
      </c>
      <c r="K3" s="54">
        <f>TrRoad_act!K57</f>
        <v>3178451</v>
      </c>
      <c r="L3" s="54">
        <f>TrRoad_act!L57</f>
        <v>3244798.0000000005</v>
      </c>
      <c r="M3" s="54">
        <f>TrRoad_act!M57</f>
        <v>3340336</v>
      </c>
      <c r="N3" s="54">
        <f>TrRoad_act!N57</f>
        <v>3408246</v>
      </c>
      <c r="O3" s="54">
        <f>TrRoad_act!O57</f>
        <v>3480153.0000000005</v>
      </c>
      <c r="P3" s="54">
        <f>TrRoad_act!P57</f>
        <v>3550197</v>
      </c>
      <c r="Q3" s="54">
        <f>TrRoad_act!Q57</f>
        <v>3642847.0000000005</v>
      </c>
      <c r="R3" s="54">
        <f>TrRoad_act!R57</f>
        <v>3694957</v>
      </c>
      <c r="S3" s="54">
        <f>TrRoad_act!S57</f>
        <v>3627776</v>
      </c>
      <c r="T3" s="54">
        <f>TrRoad_act!T57</f>
        <v>3682015</v>
      </c>
      <c r="U3" s="54">
        <f>TrRoad_act!U57</f>
        <v>3694715</v>
      </c>
      <c r="V3" s="54">
        <f>TrRoad_act!V57</f>
        <v>3694962</v>
      </c>
      <c r="W3" s="54">
        <f>TrRoad_act!W57</f>
        <v>3699374</v>
      </c>
      <c r="X3" s="54">
        <f>TrRoad_act!X57</f>
        <v>3687669</v>
      </c>
      <c r="Y3" s="54">
        <f>TrRoad_act!Y57</f>
        <v>3704908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2075067</v>
      </c>
      <c r="C4" s="28">
        <f>TrRoad_act!C58</f>
        <v>2169804</v>
      </c>
      <c r="D4" s="28">
        <f>TrRoad_act!D58</f>
        <v>2262203.0000000005</v>
      </c>
      <c r="E4" s="28">
        <f>TrRoad_act!E58</f>
        <v>2399230</v>
      </c>
      <c r="F4" s="28">
        <f>TrRoad_act!F58</f>
        <v>2527235</v>
      </c>
      <c r="G4" s="28">
        <f>TrRoad_act!G58</f>
        <v>2628281</v>
      </c>
      <c r="H4" s="28">
        <f>TrRoad_act!H58</f>
        <v>2691453</v>
      </c>
      <c r="I4" s="28">
        <f>TrRoad_act!I58</f>
        <v>2843535.9999999995</v>
      </c>
      <c r="J4" s="28">
        <f>TrRoad_act!J58</f>
        <v>2918400.0000000005</v>
      </c>
      <c r="K4" s="28">
        <f>TrRoad_act!K58</f>
        <v>2923186</v>
      </c>
      <c r="L4" s="28">
        <f>TrRoad_act!L58</f>
        <v>2994709.0000000005</v>
      </c>
      <c r="M4" s="28">
        <f>TrRoad_act!M58</f>
        <v>3070108</v>
      </c>
      <c r="N4" s="28">
        <f>TrRoad_act!N58</f>
        <v>3136145</v>
      </c>
      <c r="O4" s="28">
        <f>TrRoad_act!O58</f>
        <v>3208067.0000000005</v>
      </c>
      <c r="P4" s="28">
        <f>TrRoad_act!P58</f>
        <v>3278463</v>
      </c>
      <c r="Q4" s="28">
        <f>TrRoad_act!Q58</f>
        <v>3352433.0000000005</v>
      </c>
      <c r="R4" s="28">
        <f>TrRoad_act!R58</f>
        <v>3404192</v>
      </c>
      <c r="S4" s="28">
        <f>TrRoad_act!S58</f>
        <v>3374021</v>
      </c>
      <c r="T4" s="28">
        <f>TrRoad_act!T58</f>
        <v>3422217</v>
      </c>
      <c r="U4" s="28">
        <f>TrRoad_act!U58</f>
        <v>3435831</v>
      </c>
      <c r="V4" s="28">
        <f>TrRoad_act!V58</f>
        <v>3451149</v>
      </c>
      <c r="W4" s="28">
        <f>TrRoad_act!W58</f>
        <v>3464281</v>
      </c>
      <c r="X4" s="28">
        <f>TrRoad_act!X58</f>
        <v>3463443</v>
      </c>
      <c r="Y4" s="28">
        <f>TrRoad_act!Y58</f>
        <v>3492051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70362</v>
      </c>
      <c r="C5" s="137">
        <f>TrRoad_act!C59</f>
        <v>71538</v>
      </c>
      <c r="D5" s="137">
        <f>TrRoad_act!D59</f>
        <v>73443</v>
      </c>
      <c r="E5" s="137">
        <f>TrRoad_act!E59</f>
        <v>76082</v>
      </c>
      <c r="F5" s="137">
        <f>TrRoad_act!F59</f>
        <v>75705</v>
      </c>
      <c r="G5" s="137">
        <f>TrRoad_act!G59</f>
        <v>75913</v>
      </c>
      <c r="H5" s="137">
        <f>TrRoad_act!H59</f>
        <v>76254</v>
      </c>
      <c r="I5" s="137">
        <f>TrRoad_act!I59</f>
        <v>90318</v>
      </c>
      <c r="J5" s="137">
        <f>TrRoad_act!J59</f>
        <v>106911</v>
      </c>
      <c r="K5" s="137">
        <f>TrRoad_act!K59</f>
        <v>117595</v>
      </c>
      <c r="L5" s="137">
        <f>TrRoad_act!L59</f>
        <v>125400</v>
      </c>
      <c r="M5" s="137">
        <f>TrRoad_act!M59</f>
        <v>131800</v>
      </c>
      <c r="N5" s="137">
        <f>TrRoad_act!N59</f>
        <v>139800</v>
      </c>
      <c r="O5" s="137">
        <f>TrRoad_act!O59</f>
        <v>147900</v>
      </c>
      <c r="P5" s="137">
        <f>TrRoad_act!P59</f>
        <v>154800</v>
      </c>
      <c r="Q5" s="137">
        <f>TrRoad_act!Q59</f>
        <v>163300</v>
      </c>
      <c r="R5" s="137">
        <f>TrRoad_act!R59</f>
        <v>171700</v>
      </c>
      <c r="S5" s="137">
        <f>TrRoad_act!S59</f>
        <v>180900</v>
      </c>
      <c r="T5" s="137">
        <f>TrRoad_act!T59</f>
        <v>190000</v>
      </c>
      <c r="U5" s="137">
        <f>TrRoad_act!U59</f>
        <v>199100</v>
      </c>
      <c r="V5" s="137">
        <f>TrRoad_act!V59</f>
        <v>206300</v>
      </c>
      <c r="W5" s="137">
        <f>TrRoad_act!W59</f>
        <v>212900</v>
      </c>
      <c r="X5" s="137">
        <f>TrRoad_act!X59</f>
        <v>222500</v>
      </c>
      <c r="Y5" s="137">
        <f>TrRoad_act!Y59</f>
        <v>238769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1992700</v>
      </c>
      <c r="C6" s="110">
        <f>TrRoad_act!C60</f>
        <v>2085699.9999999998</v>
      </c>
      <c r="D6" s="110">
        <f>TrRoad_act!D60</f>
        <v>2174100.0000000005</v>
      </c>
      <c r="E6" s="110">
        <f>TrRoad_act!E60</f>
        <v>2309300</v>
      </c>
      <c r="F6" s="110">
        <f>TrRoad_act!F60</f>
        <v>2438400</v>
      </c>
      <c r="G6" s="110">
        <f>TrRoad_act!G60</f>
        <v>2538092</v>
      </c>
      <c r="H6" s="110">
        <f>TrRoad_act!H60</f>
        <v>2601444</v>
      </c>
      <c r="I6" s="110">
        <f>TrRoad_act!I60</f>
        <v>2738834.9999999995</v>
      </c>
      <c r="J6" s="110">
        <f>TrRoad_act!J60</f>
        <v>2798240.0000000005</v>
      </c>
      <c r="K6" s="110">
        <f>TrRoad_act!K60</f>
        <v>2791500</v>
      </c>
      <c r="L6" s="110">
        <f>TrRoad_act!L60</f>
        <v>2854852.0000000005</v>
      </c>
      <c r="M6" s="110">
        <f>TrRoad_act!M60</f>
        <v>2923657</v>
      </c>
      <c r="N6" s="110">
        <f>TrRoad_act!N60</f>
        <v>2981556</v>
      </c>
      <c r="O6" s="110">
        <f>TrRoad_act!O60</f>
        <v>3044908.0000000005</v>
      </c>
      <c r="P6" s="110">
        <f>TrRoad_act!P60</f>
        <v>3108260</v>
      </c>
      <c r="Q6" s="110">
        <f>TrRoad_act!Q60</f>
        <v>3173323.0000000005</v>
      </c>
      <c r="R6" s="110">
        <f>TrRoad_act!R60</f>
        <v>3217127</v>
      </c>
      <c r="S6" s="110">
        <f>TrRoad_act!S60</f>
        <v>3179103</v>
      </c>
      <c r="T6" s="110">
        <f>TrRoad_act!T60</f>
        <v>3218599</v>
      </c>
      <c r="U6" s="110">
        <f>TrRoad_act!U60</f>
        <v>3223244</v>
      </c>
      <c r="V6" s="110">
        <f>TrRoad_act!V60</f>
        <v>3230599</v>
      </c>
      <c r="W6" s="110">
        <f>TrRoad_act!W60</f>
        <v>3236850</v>
      </c>
      <c r="X6" s="110">
        <f>TrRoad_act!X60</f>
        <v>3225980</v>
      </c>
      <c r="Y6" s="110">
        <f>TrRoad_act!Y60</f>
        <v>3237890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1548238</v>
      </c>
      <c r="C7" s="84">
        <f>TrRoad_act!C61</f>
        <v>1548237.9999999998</v>
      </c>
      <c r="D7" s="84">
        <f>TrRoad_act!D61</f>
        <v>1548238.0000000005</v>
      </c>
      <c r="E7" s="84">
        <f>TrRoad_act!E61</f>
        <v>1548238</v>
      </c>
      <c r="F7" s="84">
        <f>TrRoad_act!F61</f>
        <v>1550532</v>
      </c>
      <c r="G7" s="84">
        <f>TrRoad_act!G61</f>
        <v>1554926</v>
      </c>
      <c r="H7" s="84">
        <f>TrRoad_act!H61</f>
        <v>1493935</v>
      </c>
      <c r="I7" s="84">
        <f>TrRoad_act!I61</f>
        <v>1537180.9999999995</v>
      </c>
      <c r="J7" s="84">
        <f>TrRoad_act!J61</f>
        <v>1545111.0000000005</v>
      </c>
      <c r="K7" s="84">
        <f>TrRoad_act!K61</f>
        <v>1498604</v>
      </c>
      <c r="L7" s="84">
        <f>TrRoad_act!L61</f>
        <v>1519546.0000000005</v>
      </c>
      <c r="M7" s="84">
        <f>TrRoad_act!M61</f>
        <v>1440011</v>
      </c>
      <c r="N7" s="84">
        <f>TrRoad_act!N61</f>
        <v>1427572</v>
      </c>
      <c r="O7" s="84">
        <f>TrRoad_act!O61</f>
        <v>1424838.0000000005</v>
      </c>
      <c r="P7" s="84">
        <f>TrRoad_act!P61</f>
        <v>1405601</v>
      </c>
      <c r="Q7" s="84">
        <f>TrRoad_act!Q61</f>
        <v>1402348.0000000005</v>
      </c>
      <c r="R7" s="84">
        <f>TrRoad_act!R61</f>
        <v>1388324</v>
      </c>
      <c r="S7" s="84">
        <f>TrRoad_act!S61</f>
        <v>1360558</v>
      </c>
      <c r="T7" s="84">
        <f>TrRoad_act!T61</f>
        <v>1346953</v>
      </c>
      <c r="U7" s="84">
        <f>TrRoad_act!U61</f>
        <v>1326749</v>
      </c>
      <c r="V7" s="84">
        <f>TrRoad_act!V61</f>
        <v>1313482</v>
      </c>
      <c r="W7" s="84">
        <f>TrRoad_act!W61</f>
        <v>1299644</v>
      </c>
      <c r="X7" s="84">
        <f>TrRoad_act!X61</f>
        <v>1286647</v>
      </c>
      <c r="Y7" s="84">
        <f>TrRoad_act!Y61</f>
        <v>1273782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194462</v>
      </c>
      <c r="C8" s="84">
        <f>TrRoad_act!C62</f>
        <v>196877</v>
      </c>
      <c r="D8" s="84">
        <f>TrRoad_act!D62</f>
        <v>227363</v>
      </c>
      <c r="E8" s="84">
        <f>TrRoad_act!E62</f>
        <v>331952</v>
      </c>
      <c r="F8" s="84">
        <f>TrRoad_act!F62</f>
        <v>428702</v>
      </c>
      <c r="G8" s="84">
        <f>TrRoad_act!G62</f>
        <v>424728</v>
      </c>
      <c r="H8" s="84">
        <f>TrRoad_act!H62</f>
        <v>516538</v>
      </c>
      <c r="I8" s="84">
        <f>TrRoad_act!I62</f>
        <v>623553</v>
      </c>
      <c r="J8" s="84">
        <f>TrRoad_act!J62</f>
        <v>707742</v>
      </c>
      <c r="K8" s="84">
        <f>TrRoad_act!K62</f>
        <v>769726</v>
      </c>
      <c r="L8" s="84">
        <f>TrRoad_act!L62</f>
        <v>758419</v>
      </c>
      <c r="M8" s="84">
        <f>TrRoad_act!M62</f>
        <v>949545</v>
      </c>
      <c r="N8" s="84">
        <f>TrRoad_act!N62</f>
        <v>982678</v>
      </c>
      <c r="O8" s="84">
        <f>TrRoad_act!O62</f>
        <v>1001978</v>
      </c>
      <c r="P8" s="84">
        <f>TrRoad_act!P62</f>
        <v>1001444</v>
      </c>
      <c r="Q8" s="84">
        <f>TrRoad_act!Q62</f>
        <v>1036781</v>
      </c>
      <c r="R8" s="84">
        <f>TrRoad_act!R62</f>
        <v>1055445</v>
      </c>
      <c r="S8" s="84">
        <f>TrRoad_act!S62</f>
        <v>1065999</v>
      </c>
      <c r="T8" s="84">
        <f>TrRoad_act!T62</f>
        <v>1144884</v>
      </c>
      <c r="U8" s="84">
        <f>TrRoad_act!U62</f>
        <v>1190680</v>
      </c>
      <c r="V8" s="84">
        <f>TrRoad_act!V62</f>
        <v>1238312</v>
      </c>
      <c r="W8" s="84">
        <f>TrRoad_act!W62</f>
        <v>1287156</v>
      </c>
      <c r="X8" s="84">
        <f>TrRoad_act!X62</f>
        <v>1338642</v>
      </c>
      <c r="Y8" s="84">
        <f>TrRoad_act!Y62</f>
        <v>1392188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250000</v>
      </c>
      <c r="C9" s="84">
        <f>TrRoad_act!C63</f>
        <v>340585</v>
      </c>
      <c r="D9" s="84">
        <f>TrRoad_act!D63</f>
        <v>398499</v>
      </c>
      <c r="E9" s="84">
        <f>TrRoad_act!E63</f>
        <v>429110</v>
      </c>
      <c r="F9" s="84">
        <f>TrRoad_act!F63</f>
        <v>453466</v>
      </c>
      <c r="G9" s="84">
        <f>TrRoad_act!G63</f>
        <v>537808</v>
      </c>
      <c r="H9" s="84">
        <f>TrRoad_act!H63</f>
        <v>565110</v>
      </c>
      <c r="I9" s="84">
        <f>TrRoad_act!I63</f>
        <v>541466</v>
      </c>
      <c r="J9" s="84">
        <f>TrRoad_act!J63</f>
        <v>511162</v>
      </c>
      <c r="K9" s="84">
        <f>TrRoad_act!K63</f>
        <v>474837</v>
      </c>
      <c r="L9" s="84">
        <f>TrRoad_act!L63</f>
        <v>505675</v>
      </c>
      <c r="M9" s="84">
        <f>TrRoad_act!M63</f>
        <v>469799</v>
      </c>
      <c r="N9" s="84">
        <f>TrRoad_act!N63</f>
        <v>500770</v>
      </c>
      <c r="O9" s="84">
        <f>TrRoad_act!O63</f>
        <v>541779</v>
      </c>
      <c r="P9" s="84">
        <f>TrRoad_act!P63</f>
        <v>596347</v>
      </c>
      <c r="Q9" s="84">
        <f>TrRoad_act!Q63</f>
        <v>639677</v>
      </c>
      <c r="R9" s="84">
        <f>TrRoad_act!R63</f>
        <v>684454</v>
      </c>
      <c r="S9" s="84">
        <f>TrRoad_act!S63</f>
        <v>662551</v>
      </c>
      <c r="T9" s="84">
        <f>TrRoad_act!T63</f>
        <v>632736</v>
      </c>
      <c r="U9" s="84">
        <f>TrRoad_act!U63</f>
        <v>604896</v>
      </c>
      <c r="V9" s="84">
        <f>TrRoad_act!V63</f>
        <v>574651</v>
      </c>
      <c r="W9" s="84">
        <f>TrRoad_act!W63</f>
        <v>545918</v>
      </c>
      <c r="X9" s="84">
        <f>TrRoad_act!X63</f>
        <v>518622</v>
      </c>
      <c r="Y9" s="84">
        <f>TrRoad_act!Y63</f>
        <v>492691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5700</v>
      </c>
      <c r="G10" s="84">
        <f>TrRoad_act!G64</f>
        <v>20630</v>
      </c>
      <c r="H10" s="84">
        <f>TrRoad_act!H64</f>
        <v>25861</v>
      </c>
      <c r="I10" s="84">
        <f>TrRoad_act!I64</f>
        <v>36635</v>
      </c>
      <c r="J10" s="84">
        <f>TrRoad_act!J64</f>
        <v>34225</v>
      </c>
      <c r="K10" s="84">
        <f>TrRoad_act!K64</f>
        <v>48333</v>
      </c>
      <c r="L10" s="84">
        <f>TrRoad_act!L64</f>
        <v>71212</v>
      </c>
      <c r="M10" s="84">
        <f>TrRoad_act!M64</f>
        <v>64302</v>
      </c>
      <c r="N10" s="84">
        <f>TrRoad_act!N64</f>
        <v>70532</v>
      </c>
      <c r="O10" s="84">
        <f>TrRoad_act!O64</f>
        <v>76309</v>
      </c>
      <c r="P10" s="84">
        <f>TrRoad_act!P64</f>
        <v>104862</v>
      </c>
      <c r="Q10" s="84">
        <f>TrRoad_act!Q64</f>
        <v>94493</v>
      </c>
      <c r="R10" s="84">
        <f>TrRoad_act!R64</f>
        <v>88823</v>
      </c>
      <c r="S10" s="84">
        <f>TrRoad_act!S64</f>
        <v>89711</v>
      </c>
      <c r="T10" s="84">
        <f>TrRoad_act!T64</f>
        <v>93299</v>
      </c>
      <c r="U10" s="84">
        <f>TrRoad_act!U64</f>
        <v>99460</v>
      </c>
      <c r="V10" s="84">
        <f>TrRoad_act!V64</f>
        <v>101797</v>
      </c>
      <c r="W10" s="84">
        <f>TrRoad_act!W64</f>
        <v>99470</v>
      </c>
      <c r="X10" s="84">
        <f>TrRoad_act!X64</f>
        <v>75769</v>
      </c>
      <c r="Y10" s="84">
        <f>TrRoad_act!Y64</f>
        <v>71634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</v>
      </c>
      <c r="O11" s="84">
        <f>TrRoad_act!O65</f>
        <v>4</v>
      </c>
      <c r="P11" s="84">
        <f>TrRoad_act!P65</f>
        <v>6</v>
      </c>
      <c r="Q11" s="84">
        <f>TrRoad_act!Q65</f>
        <v>24</v>
      </c>
      <c r="R11" s="84">
        <f>TrRoad_act!R65</f>
        <v>40</v>
      </c>
      <c r="S11" s="84">
        <f>TrRoad_act!S65</f>
        <v>133</v>
      </c>
      <c r="T11" s="84">
        <f>TrRoad_act!T65</f>
        <v>252</v>
      </c>
      <c r="U11" s="84">
        <f>TrRoad_act!U65</f>
        <v>662</v>
      </c>
      <c r="V11" s="84">
        <f>TrRoad_act!V65</f>
        <v>953</v>
      </c>
      <c r="W11" s="84">
        <f>TrRoad_act!W65</f>
        <v>1293</v>
      </c>
      <c r="X11" s="84">
        <f>TrRoad_act!X65</f>
        <v>1889</v>
      </c>
      <c r="Y11" s="84">
        <f>TrRoad_act!Y65</f>
        <v>2232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0</v>
      </c>
      <c r="P12" s="84">
        <f>TrRoad_act!P66</f>
        <v>0</v>
      </c>
      <c r="Q12" s="84">
        <f>TrRoad_act!Q66</f>
        <v>0</v>
      </c>
      <c r="R12" s="84">
        <f>TrRoad_act!R66</f>
        <v>41</v>
      </c>
      <c r="S12" s="84">
        <f>TrRoad_act!S66</f>
        <v>151</v>
      </c>
      <c r="T12" s="84">
        <f>TrRoad_act!T66</f>
        <v>475</v>
      </c>
      <c r="U12" s="84">
        <f>TrRoad_act!U66</f>
        <v>797</v>
      </c>
      <c r="V12" s="84">
        <f>TrRoad_act!V66</f>
        <v>1404</v>
      </c>
      <c r="W12" s="84">
        <f>TrRoad_act!W66</f>
        <v>3369</v>
      </c>
      <c r="X12" s="84">
        <f>TrRoad_act!X66</f>
        <v>4411</v>
      </c>
      <c r="Y12" s="84">
        <f>TrRoad_act!Y66</f>
        <v>5363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12005</v>
      </c>
      <c r="C13" s="110">
        <f>TrRoad_act!C67</f>
        <v>12566</v>
      </c>
      <c r="D13" s="110">
        <f>TrRoad_act!D67</f>
        <v>14660</v>
      </c>
      <c r="E13" s="110">
        <f>TrRoad_act!E67</f>
        <v>13848</v>
      </c>
      <c r="F13" s="110">
        <f>TrRoad_act!F67</f>
        <v>13130</v>
      </c>
      <c r="G13" s="110">
        <f>TrRoad_act!G67</f>
        <v>14276</v>
      </c>
      <c r="H13" s="110">
        <f>TrRoad_act!H67</f>
        <v>13755</v>
      </c>
      <c r="I13" s="110">
        <f>TrRoad_act!I67</f>
        <v>14383</v>
      </c>
      <c r="J13" s="110">
        <f>TrRoad_act!J67</f>
        <v>13249</v>
      </c>
      <c r="K13" s="110">
        <f>TrRoad_act!K67</f>
        <v>14091</v>
      </c>
      <c r="L13" s="110">
        <f>TrRoad_act!L67</f>
        <v>14457</v>
      </c>
      <c r="M13" s="110">
        <f>TrRoad_act!M67</f>
        <v>14651</v>
      </c>
      <c r="N13" s="110">
        <f>TrRoad_act!N67</f>
        <v>14789</v>
      </c>
      <c r="O13" s="110">
        <f>TrRoad_act!O67</f>
        <v>15259</v>
      </c>
      <c r="P13" s="110">
        <f>TrRoad_act!P67</f>
        <v>15403</v>
      </c>
      <c r="Q13" s="110">
        <f>TrRoad_act!Q67</f>
        <v>15810</v>
      </c>
      <c r="R13" s="110">
        <f>TrRoad_act!R67</f>
        <v>15365</v>
      </c>
      <c r="S13" s="110">
        <f>TrRoad_act!S67</f>
        <v>14018</v>
      </c>
      <c r="T13" s="110">
        <f>TrRoad_act!T67</f>
        <v>13618</v>
      </c>
      <c r="U13" s="110">
        <f>TrRoad_act!U67</f>
        <v>13487</v>
      </c>
      <c r="V13" s="110">
        <f>TrRoad_act!V67</f>
        <v>14250</v>
      </c>
      <c r="W13" s="110">
        <f>TrRoad_act!W67</f>
        <v>14531</v>
      </c>
      <c r="X13" s="110">
        <f>TrRoad_act!X67</f>
        <v>14963</v>
      </c>
      <c r="Y13" s="110">
        <f>TrRoad_act!Y67</f>
        <v>15392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1508</v>
      </c>
      <c r="S14" s="102">
        <f>TrRoad_act!S68</f>
        <v>1505</v>
      </c>
      <c r="T14" s="102">
        <f>TrRoad_act!T68</f>
        <v>1495</v>
      </c>
      <c r="U14" s="102">
        <f>TrRoad_act!U68</f>
        <v>1479</v>
      </c>
      <c r="V14" s="102">
        <f>TrRoad_act!V68</f>
        <v>1456</v>
      </c>
      <c r="W14" s="102">
        <f>TrRoad_act!W68</f>
        <v>1426</v>
      </c>
      <c r="X14" s="102">
        <f>TrRoad_act!X68</f>
        <v>1389</v>
      </c>
      <c r="Y14" s="102">
        <f>TrRoad_act!Y68</f>
        <v>1345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12005</v>
      </c>
      <c r="C15" s="102">
        <f>TrRoad_act!C69</f>
        <v>12566</v>
      </c>
      <c r="D15" s="102">
        <f>TrRoad_act!D69</f>
        <v>14660</v>
      </c>
      <c r="E15" s="102">
        <f>TrRoad_act!E69</f>
        <v>13848</v>
      </c>
      <c r="F15" s="102">
        <f>TrRoad_act!F69</f>
        <v>13030</v>
      </c>
      <c r="G15" s="102">
        <f>TrRoad_act!G69</f>
        <v>14017</v>
      </c>
      <c r="H15" s="102">
        <f>TrRoad_act!H69</f>
        <v>13285</v>
      </c>
      <c r="I15" s="102">
        <f>TrRoad_act!I69</f>
        <v>13683</v>
      </c>
      <c r="J15" s="102">
        <f>TrRoad_act!J69</f>
        <v>12540</v>
      </c>
      <c r="K15" s="102">
        <f>TrRoad_act!K69</f>
        <v>13124</v>
      </c>
      <c r="L15" s="102">
        <f>TrRoad_act!L69</f>
        <v>13124</v>
      </c>
      <c r="M15" s="102">
        <f>TrRoad_act!M69</f>
        <v>13366</v>
      </c>
      <c r="N15" s="102">
        <f>TrRoad_act!N69</f>
        <v>13469</v>
      </c>
      <c r="O15" s="102">
        <f>TrRoad_act!O69</f>
        <v>12638</v>
      </c>
      <c r="P15" s="102">
        <f>TrRoad_act!P69</f>
        <v>12504</v>
      </c>
      <c r="Q15" s="102">
        <f>TrRoad_act!Q69</f>
        <v>12812</v>
      </c>
      <c r="R15" s="102">
        <f>TrRoad_act!R69</f>
        <v>10951</v>
      </c>
      <c r="S15" s="102">
        <f>TrRoad_act!S69</f>
        <v>9595</v>
      </c>
      <c r="T15" s="102">
        <f>TrRoad_act!T69</f>
        <v>9100</v>
      </c>
      <c r="U15" s="102">
        <f>TrRoad_act!U69</f>
        <v>8704</v>
      </c>
      <c r="V15" s="102">
        <f>TrRoad_act!V69</f>
        <v>9231</v>
      </c>
      <c r="W15" s="102">
        <f>TrRoad_act!W69</f>
        <v>9159</v>
      </c>
      <c r="X15" s="102">
        <f>TrRoad_act!X69</f>
        <v>10617</v>
      </c>
      <c r="Y15" s="102">
        <f>TrRoad_act!Y69</f>
        <v>11638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31</v>
      </c>
      <c r="S16" s="102">
        <f>TrRoad_act!S70</f>
        <v>31</v>
      </c>
      <c r="T16" s="102">
        <f>TrRoad_act!T70</f>
        <v>34</v>
      </c>
      <c r="U16" s="102">
        <f>TrRoad_act!U70</f>
        <v>34</v>
      </c>
      <c r="V16" s="102">
        <f>TrRoad_act!V70</f>
        <v>11</v>
      </c>
      <c r="W16" s="102">
        <f>TrRoad_act!W70</f>
        <v>30</v>
      </c>
      <c r="X16" s="102">
        <f>TrRoad_act!X70</f>
        <v>29</v>
      </c>
      <c r="Y16" s="102">
        <f>TrRoad_act!Y70</f>
        <v>26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100</v>
      </c>
      <c r="G17" s="102">
        <f>TrRoad_act!G71</f>
        <v>259</v>
      </c>
      <c r="H17" s="102">
        <f>TrRoad_act!H71</f>
        <v>470</v>
      </c>
      <c r="I17" s="102">
        <f>TrRoad_act!I71</f>
        <v>700</v>
      </c>
      <c r="J17" s="102">
        <f>TrRoad_act!J71</f>
        <v>700</v>
      </c>
      <c r="K17" s="102">
        <f>TrRoad_act!K71</f>
        <v>942</v>
      </c>
      <c r="L17" s="102">
        <f>TrRoad_act!L71</f>
        <v>1283</v>
      </c>
      <c r="M17" s="102">
        <f>TrRoad_act!M71</f>
        <v>1230</v>
      </c>
      <c r="N17" s="102">
        <f>TrRoad_act!N71</f>
        <v>1261</v>
      </c>
      <c r="O17" s="102">
        <f>TrRoad_act!O71</f>
        <v>2154</v>
      </c>
      <c r="P17" s="102">
        <f>TrRoad_act!P71</f>
        <v>2284</v>
      </c>
      <c r="Q17" s="102">
        <f>TrRoad_act!Q71</f>
        <v>2341</v>
      </c>
      <c r="R17" s="102">
        <f>TrRoad_act!R71</f>
        <v>2224</v>
      </c>
      <c r="S17" s="102">
        <f>TrRoad_act!S71</f>
        <v>2246</v>
      </c>
      <c r="T17" s="102">
        <f>TrRoad_act!T71</f>
        <v>2347</v>
      </c>
      <c r="U17" s="102">
        <f>TrRoad_act!U71</f>
        <v>2605</v>
      </c>
      <c r="V17" s="102">
        <f>TrRoad_act!V71</f>
        <v>2892</v>
      </c>
      <c r="W17" s="102">
        <f>TrRoad_act!W71</f>
        <v>3210</v>
      </c>
      <c r="X17" s="102">
        <f>TrRoad_act!X71</f>
        <v>2247</v>
      </c>
      <c r="Y17" s="102">
        <f>TrRoad_act!Y71</f>
        <v>1573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9</v>
      </c>
      <c r="K18" s="102">
        <f>TrRoad_act!K72</f>
        <v>25</v>
      </c>
      <c r="L18" s="102">
        <f>TrRoad_act!L72</f>
        <v>50</v>
      </c>
      <c r="M18" s="102">
        <f>TrRoad_act!M72</f>
        <v>55</v>
      </c>
      <c r="N18" s="102">
        <f>TrRoad_act!N72</f>
        <v>59</v>
      </c>
      <c r="O18" s="102">
        <f>TrRoad_act!O72</f>
        <v>467</v>
      </c>
      <c r="P18" s="102">
        <f>TrRoad_act!P72</f>
        <v>615</v>
      </c>
      <c r="Q18" s="102">
        <f>TrRoad_act!Q72</f>
        <v>657</v>
      </c>
      <c r="R18" s="102">
        <f>TrRoad_act!R72</f>
        <v>651</v>
      </c>
      <c r="S18" s="102">
        <f>TrRoad_act!S72</f>
        <v>641</v>
      </c>
      <c r="T18" s="102">
        <f>TrRoad_act!T72</f>
        <v>642</v>
      </c>
      <c r="U18" s="102">
        <f>TrRoad_act!U72</f>
        <v>665</v>
      </c>
      <c r="V18" s="102">
        <f>TrRoad_act!V72</f>
        <v>660</v>
      </c>
      <c r="W18" s="102">
        <f>TrRoad_act!W72</f>
        <v>706</v>
      </c>
      <c r="X18" s="102">
        <f>TrRoad_act!X72</f>
        <v>681</v>
      </c>
      <c r="Y18" s="102">
        <f>TrRoad_act!Y72</f>
        <v>810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159980</v>
      </c>
      <c r="C19" s="28">
        <f>TrRoad_act!C73</f>
        <v>152983</v>
      </c>
      <c r="D19" s="28">
        <f>TrRoad_act!D73</f>
        <v>153293</v>
      </c>
      <c r="E19" s="28">
        <f>TrRoad_act!E73</f>
        <v>169302</v>
      </c>
      <c r="F19" s="28">
        <f>TrRoad_act!F73</f>
        <v>194236</v>
      </c>
      <c r="G19" s="28">
        <f>TrRoad_act!G73</f>
        <v>193260</v>
      </c>
      <c r="H19" s="28">
        <f>TrRoad_act!H73</f>
        <v>218165</v>
      </c>
      <c r="I19" s="28">
        <f>TrRoad_act!I73</f>
        <v>237079</v>
      </c>
      <c r="J19" s="28">
        <f>TrRoad_act!J73</f>
        <v>250889</v>
      </c>
      <c r="K19" s="28">
        <f>TrRoad_act!K73</f>
        <v>255265</v>
      </c>
      <c r="L19" s="28">
        <f>TrRoad_act!L73</f>
        <v>250089</v>
      </c>
      <c r="M19" s="28">
        <f>TrRoad_act!M73</f>
        <v>270228</v>
      </c>
      <c r="N19" s="28">
        <f>TrRoad_act!N73</f>
        <v>272101</v>
      </c>
      <c r="O19" s="28">
        <f>TrRoad_act!O73</f>
        <v>272086</v>
      </c>
      <c r="P19" s="28">
        <f>TrRoad_act!P73</f>
        <v>271734</v>
      </c>
      <c r="Q19" s="28">
        <f>TrRoad_act!Q73</f>
        <v>290414</v>
      </c>
      <c r="R19" s="28">
        <f>TrRoad_act!R73</f>
        <v>290765</v>
      </c>
      <c r="S19" s="28">
        <f>TrRoad_act!S73</f>
        <v>253755</v>
      </c>
      <c r="T19" s="28">
        <f>TrRoad_act!T73</f>
        <v>259798</v>
      </c>
      <c r="U19" s="28">
        <f>TrRoad_act!U73</f>
        <v>258884</v>
      </c>
      <c r="V19" s="28">
        <f>TrRoad_act!V73</f>
        <v>243813</v>
      </c>
      <c r="W19" s="28">
        <f>TrRoad_act!W73</f>
        <v>235093</v>
      </c>
      <c r="X19" s="28">
        <f>TrRoad_act!X73</f>
        <v>224226</v>
      </c>
      <c r="Y19" s="28">
        <f>TrRoad_act!Y73</f>
        <v>212857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140840</v>
      </c>
      <c r="C20" s="137">
        <f>TrRoad_act!C74</f>
        <v>132389</v>
      </c>
      <c r="D20" s="137">
        <f>TrRoad_act!D74</f>
        <v>130545</v>
      </c>
      <c r="E20" s="137">
        <f>TrRoad_act!E74</f>
        <v>137342</v>
      </c>
      <c r="F20" s="137">
        <f>TrRoad_act!F74</f>
        <v>155406</v>
      </c>
      <c r="G20" s="137">
        <f>TrRoad_act!G74</f>
        <v>151772</v>
      </c>
      <c r="H20" s="137">
        <f>TrRoad_act!H74</f>
        <v>172381</v>
      </c>
      <c r="I20" s="137">
        <f>TrRoad_act!I74</f>
        <v>192982</v>
      </c>
      <c r="J20" s="137">
        <f>TrRoad_act!J74</f>
        <v>202549</v>
      </c>
      <c r="K20" s="137">
        <f>TrRoad_act!K74</f>
        <v>209527</v>
      </c>
      <c r="L20" s="137">
        <f>TrRoad_act!L74</f>
        <v>205416</v>
      </c>
      <c r="M20" s="137">
        <f>TrRoad_act!M74</f>
        <v>225347</v>
      </c>
      <c r="N20" s="137">
        <f>TrRoad_act!N74</f>
        <v>228773</v>
      </c>
      <c r="O20" s="137">
        <f>TrRoad_act!O74</f>
        <v>228726</v>
      </c>
      <c r="P20" s="137">
        <f>TrRoad_act!P74</f>
        <v>230166</v>
      </c>
      <c r="Q20" s="137">
        <f>TrRoad_act!Q74</f>
        <v>247713</v>
      </c>
      <c r="R20" s="137">
        <f>TrRoad_act!R74</f>
        <v>241601</v>
      </c>
      <c r="S20" s="137">
        <f>TrRoad_act!S74</f>
        <v>202442</v>
      </c>
      <c r="T20" s="137">
        <f>TrRoad_act!T74</f>
        <v>196535</v>
      </c>
      <c r="U20" s="137">
        <f>TrRoad_act!U74</f>
        <v>186437</v>
      </c>
      <c r="V20" s="137">
        <f>TrRoad_act!V74</f>
        <v>173589</v>
      </c>
      <c r="W20" s="137">
        <f>TrRoad_act!W74</f>
        <v>161229</v>
      </c>
      <c r="X20" s="137">
        <f>TrRoad_act!X74</f>
        <v>145216</v>
      </c>
      <c r="Y20" s="137">
        <f>TrRoad_act!Y74</f>
        <v>129267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38366</v>
      </c>
      <c r="C21" s="84">
        <f>TrRoad_act!C75</f>
        <v>38366</v>
      </c>
      <c r="D21" s="84">
        <f>TrRoad_act!D75</f>
        <v>38364</v>
      </c>
      <c r="E21" s="84">
        <f>TrRoad_act!E75</f>
        <v>38343</v>
      </c>
      <c r="F21" s="84">
        <f>TrRoad_act!F75</f>
        <v>38135</v>
      </c>
      <c r="G21" s="84">
        <f>TrRoad_act!G75</f>
        <v>36120</v>
      </c>
      <c r="H21" s="84">
        <f>TrRoad_act!H75</f>
        <v>32617</v>
      </c>
      <c r="I21" s="84">
        <f>TrRoad_act!I75</f>
        <v>28912</v>
      </c>
      <c r="J21" s="84">
        <f>TrRoad_act!J75</f>
        <v>24665</v>
      </c>
      <c r="K21" s="84">
        <f>TrRoad_act!K75</f>
        <v>21421</v>
      </c>
      <c r="L21" s="84">
        <f>TrRoad_act!L75</f>
        <v>16463</v>
      </c>
      <c r="M21" s="84">
        <f>TrRoad_act!M75</f>
        <v>17649</v>
      </c>
      <c r="N21" s="84">
        <f>TrRoad_act!N75</f>
        <v>16629</v>
      </c>
      <c r="O21" s="84">
        <f>TrRoad_act!O75</f>
        <v>15608</v>
      </c>
      <c r="P21" s="84">
        <f>TrRoad_act!P75</f>
        <v>14588</v>
      </c>
      <c r="Q21" s="84">
        <f>TrRoad_act!Q75</f>
        <v>17568</v>
      </c>
      <c r="R21" s="84">
        <f>TrRoad_act!R75</f>
        <v>17583</v>
      </c>
      <c r="S21" s="84">
        <f>TrRoad_act!S75</f>
        <v>17564</v>
      </c>
      <c r="T21" s="84">
        <f>TrRoad_act!T75</f>
        <v>18029</v>
      </c>
      <c r="U21" s="84">
        <f>TrRoad_act!U75</f>
        <v>17606</v>
      </c>
      <c r="V21" s="84">
        <f>TrRoad_act!V75</f>
        <v>16969</v>
      </c>
      <c r="W21" s="84">
        <f>TrRoad_act!W75</f>
        <v>16279</v>
      </c>
      <c r="X21" s="84">
        <f>TrRoad_act!X75</f>
        <v>15369</v>
      </c>
      <c r="Y21" s="84">
        <f>TrRoad_act!Y75</f>
        <v>14580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102474</v>
      </c>
      <c r="C22" s="84">
        <f>TrRoad_act!C76</f>
        <v>94023</v>
      </c>
      <c r="D22" s="84">
        <f>TrRoad_act!D76</f>
        <v>92181</v>
      </c>
      <c r="E22" s="84">
        <f>TrRoad_act!E76</f>
        <v>98999</v>
      </c>
      <c r="F22" s="84">
        <f>TrRoad_act!F76</f>
        <v>117271</v>
      </c>
      <c r="G22" s="84">
        <f>TrRoad_act!G76</f>
        <v>115652</v>
      </c>
      <c r="H22" s="84">
        <f>TrRoad_act!H76</f>
        <v>139764</v>
      </c>
      <c r="I22" s="84">
        <f>TrRoad_act!I76</f>
        <v>164070</v>
      </c>
      <c r="J22" s="84">
        <f>TrRoad_act!J76</f>
        <v>177884</v>
      </c>
      <c r="K22" s="84">
        <f>TrRoad_act!K76</f>
        <v>188106</v>
      </c>
      <c r="L22" s="84">
        <f>TrRoad_act!L76</f>
        <v>188953</v>
      </c>
      <c r="M22" s="84">
        <f>TrRoad_act!M76</f>
        <v>207698</v>
      </c>
      <c r="N22" s="84">
        <f>TrRoad_act!N76</f>
        <v>212112</v>
      </c>
      <c r="O22" s="84">
        <f>TrRoad_act!O76</f>
        <v>213085</v>
      </c>
      <c r="P22" s="84">
        <f>TrRoad_act!P76</f>
        <v>215544</v>
      </c>
      <c r="Q22" s="84">
        <f>TrRoad_act!Q76</f>
        <v>230102</v>
      </c>
      <c r="R22" s="84">
        <f>TrRoad_act!R76</f>
        <v>223669</v>
      </c>
      <c r="S22" s="84">
        <f>TrRoad_act!S76</f>
        <v>183972</v>
      </c>
      <c r="T22" s="84">
        <f>TrRoad_act!T76</f>
        <v>176842</v>
      </c>
      <c r="U22" s="84">
        <f>TrRoad_act!U76</f>
        <v>166190</v>
      </c>
      <c r="V22" s="84">
        <f>TrRoad_act!V76</f>
        <v>153385</v>
      </c>
      <c r="W22" s="84">
        <f>TrRoad_act!W76</f>
        <v>140851</v>
      </c>
      <c r="X22" s="84">
        <f>TrRoad_act!X76</f>
        <v>125796</v>
      </c>
      <c r="Y22" s="84">
        <f>TrRoad_act!Y76</f>
        <v>110544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210</v>
      </c>
      <c r="S23" s="84">
        <f>TrRoad_act!S77</f>
        <v>690</v>
      </c>
      <c r="T23" s="84">
        <f>TrRoad_act!T77</f>
        <v>1364</v>
      </c>
      <c r="U23" s="84">
        <f>TrRoad_act!U77</f>
        <v>2205</v>
      </c>
      <c r="V23" s="84">
        <f>TrRoad_act!V77</f>
        <v>2706</v>
      </c>
      <c r="W23" s="84">
        <f>TrRoad_act!W77</f>
        <v>3498</v>
      </c>
      <c r="X23" s="84">
        <f>TrRoad_act!X77</f>
        <v>3448</v>
      </c>
      <c r="Y23" s="84">
        <f>TrRoad_act!Y77</f>
        <v>3411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81</v>
      </c>
      <c r="S24" s="84">
        <f>TrRoad_act!S78</f>
        <v>152</v>
      </c>
      <c r="T24" s="84">
        <f>TrRoad_act!T78</f>
        <v>223</v>
      </c>
      <c r="U24" s="84">
        <f>TrRoad_act!U78</f>
        <v>331</v>
      </c>
      <c r="V24" s="84">
        <f>TrRoad_act!V78</f>
        <v>411</v>
      </c>
      <c r="W24" s="84">
        <f>TrRoad_act!W78</f>
        <v>474</v>
      </c>
      <c r="X24" s="84">
        <f>TrRoad_act!X78</f>
        <v>472</v>
      </c>
      <c r="Y24" s="84">
        <f>TrRoad_act!Y78</f>
        <v>460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32</v>
      </c>
      <c r="O25" s="84">
        <f>TrRoad_act!O79</f>
        <v>33</v>
      </c>
      <c r="P25" s="84">
        <f>TrRoad_act!P79</f>
        <v>34</v>
      </c>
      <c r="Q25" s="84">
        <f>TrRoad_act!Q79</f>
        <v>43</v>
      </c>
      <c r="R25" s="84">
        <f>TrRoad_act!R79</f>
        <v>58</v>
      </c>
      <c r="S25" s="84">
        <f>TrRoad_act!S79</f>
        <v>64</v>
      </c>
      <c r="T25" s="84">
        <f>TrRoad_act!T79</f>
        <v>77</v>
      </c>
      <c r="U25" s="84">
        <f>TrRoad_act!U79</f>
        <v>105</v>
      </c>
      <c r="V25" s="84">
        <f>TrRoad_act!V79</f>
        <v>118</v>
      </c>
      <c r="W25" s="84">
        <f>TrRoad_act!W79</f>
        <v>127</v>
      </c>
      <c r="X25" s="84">
        <f>TrRoad_act!X79</f>
        <v>131</v>
      </c>
      <c r="Y25" s="84">
        <f>TrRoad_act!Y79</f>
        <v>272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19140</v>
      </c>
      <c r="C26" s="110">
        <f>TrRoad_act!C80</f>
        <v>20594</v>
      </c>
      <c r="D26" s="110">
        <f>TrRoad_act!D80</f>
        <v>22748</v>
      </c>
      <c r="E26" s="110">
        <f>TrRoad_act!E80</f>
        <v>31960</v>
      </c>
      <c r="F26" s="110">
        <f>TrRoad_act!F80</f>
        <v>38830</v>
      </c>
      <c r="G26" s="110">
        <f>TrRoad_act!G80</f>
        <v>41488</v>
      </c>
      <c r="H26" s="110">
        <f>TrRoad_act!H80</f>
        <v>45784</v>
      </c>
      <c r="I26" s="110">
        <f>TrRoad_act!I80</f>
        <v>44097</v>
      </c>
      <c r="J26" s="110">
        <f>TrRoad_act!J80</f>
        <v>48340</v>
      </c>
      <c r="K26" s="110">
        <f>TrRoad_act!K80</f>
        <v>45738</v>
      </c>
      <c r="L26" s="110">
        <f>TrRoad_act!L80</f>
        <v>44673</v>
      </c>
      <c r="M26" s="110">
        <f>TrRoad_act!M80</f>
        <v>44881</v>
      </c>
      <c r="N26" s="110">
        <f>TrRoad_act!N80</f>
        <v>43328</v>
      </c>
      <c r="O26" s="110">
        <f>TrRoad_act!O80</f>
        <v>43360</v>
      </c>
      <c r="P26" s="110">
        <f>TrRoad_act!P80</f>
        <v>41568</v>
      </c>
      <c r="Q26" s="110">
        <f>TrRoad_act!Q80</f>
        <v>42701</v>
      </c>
      <c r="R26" s="110">
        <f>TrRoad_act!R80</f>
        <v>49164</v>
      </c>
      <c r="S26" s="110">
        <f>TrRoad_act!S80</f>
        <v>51313</v>
      </c>
      <c r="T26" s="110">
        <f>TrRoad_act!T80</f>
        <v>63263</v>
      </c>
      <c r="U26" s="110">
        <f>TrRoad_act!U80</f>
        <v>72447</v>
      </c>
      <c r="V26" s="110">
        <f>TrRoad_act!V80</f>
        <v>70224</v>
      </c>
      <c r="W26" s="110">
        <f>TrRoad_act!W80</f>
        <v>73864</v>
      </c>
      <c r="X26" s="110">
        <f>TrRoad_act!X80</f>
        <v>79010</v>
      </c>
      <c r="Y26" s="110">
        <f>TrRoad_act!Y80</f>
        <v>83590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15590</v>
      </c>
      <c r="C27" s="102">
        <f>TrRoad_act!C81</f>
        <v>16788</v>
      </c>
      <c r="D27" s="102">
        <f>TrRoad_act!D81</f>
        <v>18743</v>
      </c>
      <c r="E27" s="102">
        <f>TrRoad_act!E81</f>
        <v>27867</v>
      </c>
      <c r="F27" s="102">
        <f>TrRoad_act!F81</f>
        <v>33990</v>
      </c>
      <c r="G27" s="102">
        <f>TrRoad_act!G81</f>
        <v>36478</v>
      </c>
      <c r="H27" s="102">
        <f>TrRoad_act!H81</f>
        <v>41469</v>
      </c>
      <c r="I27" s="102">
        <f>TrRoad_act!I81</f>
        <v>40305</v>
      </c>
      <c r="J27" s="102">
        <f>TrRoad_act!J81</f>
        <v>46102</v>
      </c>
      <c r="K27" s="102">
        <f>TrRoad_act!K81</f>
        <v>43647</v>
      </c>
      <c r="L27" s="102">
        <f>TrRoad_act!L81</f>
        <v>42371</v>
      </c>
      <c r="M27" s="102">
        <f>TrRoad_act!M81</f>
        <v>42208</v>
      </c>
      <c r="N27" s="102">
        <f>TrRoad_act!N81</f>
        <v>40838</v>
      </c>
      <c r="O27" s="102">
        <f>TrRoad_act!O81</f>
        <v>40221</v>
      </c>
      <c r="P27" s="102">
        <f>TrRoad_act!P81</f>
        <v>38641</v>
      </c>
      <c r="Q27" s="102">
        <f>TrRoad_act!Q81</f>
        <v>39335</v>
      </c>
      <c r="R27" s="102">
        <f>TrRoad_act!R81</f>
        <v>45913</v>
      </c>
      <c r="S27" s="102">
        <f>TrRoad_act!S81</f>
        <v>48200</v>
      </c>
      <c r="T27" s="102">
        <f>TrRoad_act!T81</f>
        <v>60428</v>
      </c>
      <c r="U27" s="102">
        <f>TrRoad_act!U81</f>
        <v>69948</v>
      </c>
      <c r="V27" s="102">
        <f>TrRoad_act!V81</f>
        <v>67173</v>
      </c>
      <c r="W27" s="102">
        <f>TrRoad_act!W81</f>
        <v>70308</v>
      </c>
      <c r="X27" s="102">
        <f>TrRoad_act!X81</f>
        <v>74800</v>
      </c>
      <c r="Y27" s="102">
        <f>TrRoad_act!Y81</f>
        <v>79278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3550</v>
      </c>
      <c r="C28" s="86">
        <f>TrRoad_act!C82</f>
        <v>3806</v>
      </c>
      <c r="D28" s="86">
        <f>TrRoad_act!D82</f>
        <v>4005</v>
      </c>
      <c r="E28" s="86">
        <f>TrRoad_act!E82</f>
        <v>4093</v>
      </c>
      <c r="F28" s="86">
        <f>TrRoad_act!F82</f>
        <v>4840</v>
      </c>
      <c r="G28" s="86">
        <f>TrRoad_act!G82</f>
        <v>5010</v>
      </c>
      <c r="H28" s="86">
        <f>TrRoad_act!H82</f>
        <v>4315</v>
      </c>
      <c r="I28" s="86">
        <f>TrRoad_act!I82</f>
        <v>3792</v>
      </c>
      <c r="J28" s="86">
        <f>TrRoad_act!J82</f>
        <v>2238</v>
      </c>
      <c r="K28" s="86">
        <f>TrRoad_act!K82</f>
        <v>2091</v>
      </c>
      <c r="L28" s="86">
        <f>TrRoad_act!L82</f>
        <v>2302</v>
      </c>
      <c r="M28" s="86">
        <f>TrRoad_act!M82</f>
        <v>2673</v>
      </c>
      <c r="N28" s="86">
        <f>TrRoad_act!N82</f>
        <v>2490</v>
      </c>
      <c r="O28" s="86">
        <f>TrRoad_act!O82</f>
        <v>3139</v>
      </c>
      <c r="P28" s="86">
        <f>TrRoad_act!P82</f>
        <v>2927</v>
      </c>
      <c r="Q28" s="86">
        <f>TrRoad_act!Q82</f>
        <v>3366</v>
      </c>
      <c r="R28" s="86">
        <f>TrRoad_act!R82</f>
        <v>3251</v>
      </c>
      <c r="S28" s="86">
        <f>TrRoad_act!S82</f>
        <v>3113</v>
      </c>
      <c r="T28" s="86">
        <f>TrRoad_act!T82</f>
        <v>2835</v>
      </c>
      <c r="U28" s="86">
        <f>TrRoad_act!U82</f>
        <v>2499</v>
      </c>
      <c r="V28" s="86">
        <f>TrRoad_act!V82</f>
        <v>3051</v>
      </c>
      <c r="W28" s="86">
        <f>TrRoad_act!W82</f>
        <v>3556</v>
      </c>
      <c r="X28" s="86">
        <f>TrRoad_act!X82</f>
        <v>4210</v>
      </c>
      <c r="Y28" s="86">
        <f>TrRoad_act!Y82</f>
        <v>4312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108434</v>
      </c>
      <c r="C30" s="54">
        <f>TrRoad_act!C111</f>
        <v>136855</v>
      </c>
      <c r="D30" s="54">
        <f>TrRoad_act!D111</f>
        <v>154530</v>
      </c>
      <c r="E30" s="54">
        <f>TrRoad_act!E111</f>
        <v>244060</v>
      </c>
      <c r="F30" s="54">
        <f>TrRoad_act!F111</f>
        <v>249943</v>
      </c>
      <c r="G30" s="54">
        <f>TrRoad_act!G111</f>
        <v>184648.99999999997</v>
      </c>
      <c r="H30" s="54">
        <f>TrRoad_act!H111</f>
        <v>271960</v>
      </c>
      <c r="I30" s="54">
        <f>TrRoad_act!I111</f>
        <v>404596</v>
      </c>
      <c r="J30" s="54">
        <f>TrRoad_act!J111</f>
        <v>379686</v>
      </c>
      <c r="K30" s="54">
        <f>TrRoad_act!K111</f>
        <v>244852</v>
      </c>
      <c r="L30" s="54">
        <f>TrRoad_act!L111</f>
        <v>222587</v>
      </c>
      <c r="M30" s="54">
        <f>TrRoad_act!M111</f>
        <v>365418</v>
      </c>
      <c r="N30" s="54">
        <f>TrRoad_act!N111</f>
        <v>242857</v>
      </c>
      <c r="O30" s="54">
        <f>TrRoad_act!O111</f>
        <v>251302.99999999997</v>
      </c>
      <c r="P30" s="54">
        <f>TrRoad_act!P111</f>
        <v>254699</v>
      </c>
      <c r="Q30" s="54">
        <f>TrRoad_act!Q111</f>
        <v>325801</v>
      </c>
      <c r="R30" s="54">
        <f>TrRoad_act!R111</f>
        <v>229830</v>
      </c>
      <c r="S30" s="54">
        <f>TrRoad_act!S111</f>
        <v>178256</v>
      </c>
      <c r="T30" s="54">
        <f>TrRoad_act!T111</f>
        <v>228000</v>
      </c>
      <c r="U30" s="54">
        <f>TrRoad_act!U111</f>
        <v>208405</v>
      </c>
      <c r="V30" s="54">
        <f>TrRoad_act!V111</f>
        <v>184606</v>
      </c>
      <c r="W30" s="54">
        <f>TrRoad_act!W111</f>
        <v>177663</v>
      </c>
      <c r="X30" s="54">
        <f>TrRoad_act!X111</f>
        <v>173363</v>
      </c>
      <c r="Y30" s="54">
        <f>TrRoad_act!Y111</f>
        <v>178659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108079</v>
      </c>
      <c r="C31" s="28">
        <f>TrRoad_act!C112</f>
        <v>131604</v>
      </c>
      <c r="D31" s="28">
        <f>TrRoad_act!D112</f>
        <v>148335</v>
      </c>
      <c r="E31" s="28">
        <f>TrRoad_act!E112</f>
        <v>218433</v>
      </c>
      <c r="F31" s="28">
        <f>TrRoad_act!F112</f>
        <v>211987</v>
      </c>
      <c r="G31" s="28">
        <f>TrRoad_act!G112</f>
        <v>171928.99999999997</v>
      </c>
      <c r="H31" s="28">
        <f>TrRoad_act!H112</f>
        <v>234450</v>
      </c>
      <c r="I31" s="28">
        <f>TrRoad_act!I112</f>
        <v>370382</v>
      </c>
      <c r="J31" s="28">
        <f>TrRoad_act!J112</f>
        <v>350171</v>
      </c>
      <c r="K31" s="28">
        <f>TrRoad_act!K112</f>
        <v>222082</v>
      </c>
      <c r="L31" s="28">
        <f>TrRoad_act!L112</f>
        <v>209209</v>
      </c>
      <c r="M31" s="28">
        <f>TrRoad_act!M112</f>
        <v>330948</v>
      </c>
      <c r="N31" s="28">
        <f>TrRoad_act!N112</f>
        <v>222854</v>
      </c>
      <c r="O31" s="28">
        <f>TrRoad_act!O112</f>
        <v>233717.99999999997</v>
      </c>
      <c r="P31" s="28">
        <f>TrRoad_act!P112</f>
        <v>236448</v>
      </c>
      <c r="Q31" s="28">
        <f>TrRoad_act!Q112</f>
        <v>287968</v>
      </c>
      <c r="R31" s="28">
        <f>TrRoad_act!R112</f>
        <v>193762</v>
      </c>
      <c r="S31" s="28">
        <f>TrRoad_act!S112</f>
        <v>148507</v>
      </c>
      <c r="T31" s="28">
        <f>TrRoad_act!T112</f>
        <v>187891</v>
      </c>
      <c r="U31" s="28">
        <f>TrRoad_act!U112</f>
        <v>180373</v>
      </c>
      <c r="V31" s="28">
        <f>TrRoad_act!V112</f>
        <v>164713</v>
      </c>
      <c r="W31" s="28">
        <f>TrRoad_act!W112</f>
        <v>157542</v>
      </c>
      <c r="X31" s="28">
        <f>TrRoad_act!X112</f>
        <v>155216</v>
      </c>
      <c r="Y31" s="28">
        <f>TrRoad_act!Y112</f>
        <v>162665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1514</v>
      </c>
      <c r="C32" s="137">
        <f>TrRoad_act!C113</f>
        <v>2923</v>
      </c>
      <c r="D32" s="137">
        <f>TrRoad_act!D113</f>
        <v>3901</v>
      </c>
      <c r="E32" s="137">
        <f>TrRoad_act!E113</f>
        <v>4899</v>
      </c>
      <c r="F32" s="137">
        <f>TrRoad_act!F113</f>
        <v>1002</v>
      </c>
      <c r="G32" s="137">
        <f>TrRoad_act!G113</f>
        <v>1759</v>
      </c>
      <c r="H32" s="137">
        <f>TrRoad_act!H113</f>
        <v>1939</v>
      </c>
      <c r="I32" s="137">
        <f>TrRoad_act!I113</f>
        <v>19922</v>
      </c>
      <c r="J32" s="137">
        <f>TrRoad_act!J113</f>
        <v>23512</v>
      </c>
      <c r="K32" s="137">
        <f>TrRoad_act!K113</f>
        <v>16097</v>
      </c>
      <c r="L32" s="137">
        <f>TrRoad_act!L113</f>
        <v>12535</v>
      </c>
      <c r="M32" s="137">
        <f>TrRoad_act!M113</f>
        <v>10848</v>
      </c>
      <c r="N32" s="137">
        <f>TrRoad_act!N113</f>
        <v>13070</v>
      </c>
      <c r="O32" s="137">
        <f>TrRoad_act!O113</f>
        <v>13358</v>
      </c>
      <c r="P32" s="137">
        <f>TrRoad_act!P113</f>
        <v>11946</v>
      </c>
      <c r="Q32" s="137">
        <f>TrRoad_act!Q113</f>
        <v>14177</v>
      </c>
      <c r="R32" s="137">
        <f>TrRoad_act!R113</f>
        <v>14214</v>
      </c>
      <c r="S32" s="137">
        <f>TrRoad_act!S113</f>
        <v>15427</v>
      </c>
      <c r="T32" s="137">
        <f>TrRoad_act!T113</f>
        <v>15476</v>
      </c>
      <c r="U32" s="137">
        <f>TrRoad_act!U113</f>
        <v>15655</v>
      </c>
      <c r="V32" s="137">
        <f>TrRoad_act!V113</f>
        <v>13345</v>
      </c>
      <c r="W32" s="137">
        <f>TrRoad_act!W113</f>
        <v>12700</v>
      </c>
      <c r="X32" s="137">
        <f>TrRoad_act!X113</f>
        <v>16760</v>
      </c>
      <c r="Y32" s="137">
        <f>TrRoad_act!Y113</f>
        <v>25685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106553</v>
      </c>
      <c r="C33" s="110">
        <f>TrRoad_act!C114</f>
        <v>127333</v>
      </c>
      <c r="D33" s="110">
        <f>TrRoad_act!D114</f>
        <v>141512</v>
      </c>
      <c r="E33" s="110">
        <f>TrRoad_act!E114</f>
        <v>213480</v>
      </c>
      <c r="F33" s="110">
        <f>TrRoad_act!F114</f>
        <v>210803</v>
      </c>
      <c r="G33" s="110">
        <f>TrRoad_act!G114</f>
        <v>168101.99999999997</v>
      </c>
      <c r="H33" s="110">
        <f>TrRoad_act!H114</f>
        <v>232095</v>
      </c>
      <c r="I33" s="110">
        <f>TrRoad_act!I114</f>
        <v>348887</v>
      </c>
      <c r="J33" s="110">
        <f>TrRoad_act!J114</f>
        <v>326595</v>
      </c>
      <c r="K33" s="110">
        <f>TrRoad_act!K114</f>
        <v>204454</v>
      </c>
      <c r="L33" s="110">
        <f>TrRoad_act!L114</f>
        <v>195380</v>
      </c>
      <c r="M33" s="110">
        <f>TrRoad_act!M114</f>
        <v>318955</v>
      </c>
      <c r="N33" s="110">
        <f>TrRoad_act!N114</f>
        <v>208768</v>
      </c>
      <c r="O33" s="110">
        <f>TrRoad_act!O114</f>
        <v>219018.99999999997</v>
      </c>
      <c r="P33" s="110">
        <f>TrRoad_act!P114</f>
        <v>223486</v>
      </c>
      <c r="Q33" s="110">
        <f>TrRoad_act!Q114</f>
        <v>272521</v>
      </c>
      <c r="R33" s="110">
        <f>TrRoad_act!R114</f>
        <v>178006</v>
      </c>
      <c r="S33" s="110">
        <f>TrRoad_act!S114</f>
        <v>132803</v>
      </c>
      <c r="T33" s="110">
        <f>TrRoad_act!T114</f>
        <v>171982</v>
      </c>
      <c r="U33" s="110">
        <f>TrRoad_act!U114</f>
        <v>164103</v>
      </c>
      <c r="V33" s="110">
        <f>TrRoad_act!V114</f>
        <v>150441</v>
      </c>
      <c r="W33" s="110">
        <f>TrRoad_act!W114</f>
        <v>144111</v>
      </c>
      <c r="X33" s="110">
        <f>TrRoad_act!X114</f>
        <v>136998</v>
      </c>
      <c r="Y33" s="110">
        <f>TrRoad_act!Y114</f>
        <v>135622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28553</v>
      </c>
      <c r="C34" s="84">
        <f>TrRoad_act!C115</f>
        <v>985</v>
      </c>
      <c r="D34" s="84">
        <f>TrRoad_act!D115</f>
        <v>21761</v>
      </c>
      <c r="E34" s="84">
        <f>TrRoad_act!E115</f>
        <v>49538</v>
      </c>
      <c r="F34" s="84">
        <f>TrRoad_act!F115</f>
        <v>55920</v>
      </c>
      <c r="G34" s="84">
        <f>TrRoad_act!G115</f>
        <v>28690.999999999971</v>
      </c>
      <c r="H34" s="84">
        <f>TrRoad_act!H115</f>
        <v>72028</v>
      </c>
      <c r="I34" s="84">
        <f>TrRoad_act!I115</f>
        <v>192741</v>
      </c>
      <c r="J34" s="84">
        <f>TrRoad_act!J115</f>
        <v>184126</v>
      </c>
      <c r="K34" s="84">
        <f>TrRoad_act!K115</f>
        <v>76157</v>
      </c>
      <c r="L34" s="84">
        <f>TrRoad_act!L115</f>
        <v>57548</v>
      </c>
      <c r="M34" s="84">
        <f>TrRoad_act!M115</f>
        <v>90508</v>
      </c>
      <c r="N34" s="84">
        <f>TrRoad_act!N115</f>
        <v>56519</v>
      </c>
      <c r="O34" s="84">
        <f>TrRoad_act!O115</f>
        <v>59859.999999999971</v>
      </c>
      <c r="P34" s="84">
        <f>TrRoad_act!P115</f>
        <v>35244</v>
      </c>
      <c r="Q34" s="84">
        <f>TrRoad_act!Q115</f>
        <v>56404</v>
      </c>
      <c r="R34" s="84">
        <f>TrRoad_act!R115</f>
        <v>49364</v>
      </c>
      <c r="S34" s="84">
        <f>TrRoad_act!S115</f>
        <v>37885</v>
      </c>
      <c r="T34" s="84">
        <f>TrRoad_act!T115</f>
        <v>54136</v>
      </c>
      <c r="U34" s="84">
        <f>TrRoad_act!U115</f>
        <v>50897</v>
      </c>
      <c r="V34" s="84">
        <f>TrRoad_act!V115</f>
        <v>47951</v>
      </c>
      <c r="W34" s="84">
        <f>TrRoad_act!W115</f>
        <v>48427</v>
      </c>
      <c r="X34" s="84">
        <f>TrRoad_act!X115</f>
        <v>48093</v>
      </c>
      <c r="Y34" s="84">
        <f>TrRoad_act!Y115</f>
        <v>49774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30000</v>
      </c>
      <c r="C35" s="84">
        <f>TrRoad_act!C116</f>
        <v>10763</v>
      </c>
      <c r="D35" s="84">
        <f>TrRoad_act!D116</f>
        <v>36837</v>
      </c>
      <c r="E35" s="84">
        <f>TrRoad_act!E116</f>
        <v>108331</v>
      </c>
      <c r="F35" s="84">
        <f>TrRoad_act!F116</f>
        <v>101489</v>
      </c>
      <c r="G35" s="84">
        <f>TrRoad_act!G116</f>
        <v>18332</v>
      </c>
      <c r="H35" s="84">
        <f>TrRoad_act!H116</f>
        <v>106250</v>
      </c>
      <c r="I35" s="84">
        <f>TrRoad_act!I116</f>
        <v>145225</v>
      </c>
      <c r="J35" s="84">
        <f>TrRoad_act!J116</f>
        <v>142469</v>
      </c>
      <c r="K35" s="84">
        <f>TrRoad_act!K116</f>
        <v>110805</v>
      </c>
      <c r="L35" s="84">
        <f>TrRoad_act!L116</f>
        <v>35148</v>
      </c>
      <c r="M35" s="84">
        <f>TrRoad_act!M116</f>
        <v>207678</v>
      </c>
      <c r="N35" s="84">
        <f>TrRoad_act!N116</f>
        <v>54049</v>
      </c>
      <c r="O35" s="84">
        <f>TrRoad_act!O116</f>
        <v>50228</v>
      </c>
      <c r="P35" s="84">
        <f>TrRoad_act!P116</f>
        <v>46793</v>
      </c>
      <c r="Q35" s="84">
        <f>TrRoad_act!Q116</f>
        <v>121103</v>
      </c>
      <c r="R35" s="84">
        <f>TrRoad_act!R116</f>
        <v>77572</v>
      </c>
      <c r="S35" s="84">
        <f>TrRoad_act!S116</f>
        <v>59715</v>
      </c>
      <c r="T35" s="84">
        <f>TrRoad_act!T116</f>
        <v>85467</v>
      </c>
      <c r="U35" s="84">
        <f>TrRoad_act!U116</f>
        <v>79808</v>
      </c>
      <c r="V35" s="84">
        <f>TrRoad_act!V116</f>
        <v>74457</v>
      </c>
      <c r="W35" s="84">
        <f>TrRoad_act!W116</f>
        <v>70142</v>
      </c>
      <c r="X35" s="84">
        <f>TrRoad_act!X116</f>
        <v>65737</v>
      </c>
      <c r="Y35" s="84">
        <f>TrRoad_act!Y116</f>
        <v>62462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48000</v>
      </c>
      <c r="C36" s="84">
        <f>TrRoad_act!C117</f>
        <v>115585</v>
      </c>
      <c r="D36" s="84">
        <f>TrRoad_act!D117</f>
        <v>82914</v>
      </c>
      <c r="E36" s="84">
        <f>TrRoad_act!E117</f>
        <v>55611</v>
      </c>
      <c r="F36" s="84">
        <f>TrRoad_act!F117</f>
        <v>47694</v>
      </c>
      <c r="G36" s="84">
        <f>TrRoad_act!G117</f>
        <v>106139</v>
      </c>
      <c r="H36" s="84">
        <f>TrRoad_act!H117</f>
        <v>48527</v>
      </c>
      <c r="I36" s="84">
        <f>TrRoad_act!I117</f>
        <v>0</v>
      </c>
      <c r="J36" s="84">
        <f>TrRoad_act!J117</f>
        <v>0</v>
      </c>
      <c r="K36" s="84">
        <f>TrRoad_act!K117</f>
        <v>3275</v>
      </c>
      <c r="L36" s="84">
        <f>TrRoad_act!L117</f>
        <v>79521</v>
      </c>
      <c r="M36" s="84">
        <f>TrRoad_act!M117</f>
        <v>20180</v>
      </c>
      <c r="N36" s="84">
        <f>TrRoad_act!N117</f>
        <v>91954</v>
      </c>
      <c r="O36" s="84">
        <f>TrRoad_act!O117</f>
        <v>103029</v>
      </c>
      <c r="P36" s="84">
        <f>TrRoad_act!P117</f>
        <v>112776</v>
      </c>
      <c r="Q36" s="84">
        <f>TrRoad_act!Q117</f>
        <v>94252</v>
      </c>
      <c r="R36" s="84">
        <f>TrRoad_act!R117</f>
        <v>50896</v>
      </c>
      <c r="S36" s="84">
        <f>TrRoad_act!S117</f>
        <v>34100</v>
      </c>
      <c r="T36" s="84">
        <f>TrRoad_act!T117</f>
        <v>28303</v>
      </c>
      <c r="U36" s="84">
        <f>TrRoad_act!U117</f>
        <v>26322</v>
      </c>
      <c r="V36" s="84">
        <f>TrRoad_act!V117</f>
        <v>24479</v>
      </c>
      <c r="W36" s="84">
        <f>TrRoad_act!W117</f>
        <v>22765</v>
      </c>
      <c r="X36" s="84">
        <f>TrRoad_act!X117</f>
        <v>21171</v>
      </c>
      <c r="Y36" s="84">
        <f>TrRoad_act!Y117</f>
        <v>19689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5700</v>
      </c>
      <c r="G37" s="84">
        <f>TrRoad_act!G118</f>
        <v>14940</v>
      </c>
      <c r="H37" s="84">
        <f>TrRoad_act!H118</f>
        <v>5290</v>
      </c>
      <c r="I37" s="84">
        <f>TrRoad_act!I118</f>
        <v>10921</v>
      </c>
      <c r="J37" s="84">
        <f>TrRoad_act!J118</f>
        <v>0</v>
      </c>
      <c r="K37" s="84">
        <f>TrRoad_act!K118</f>
        <v>14217</v>
      </c>
      <c r="L37" s="84">
        <f>TrRoad_act!L118</f>
        <v>23163</v>
      </c>
      <c r="M37" s="84">
        <f>TrRoad_act!M118</f>
        <v>589</v>
      </c>
      <c r="N37" s="84">
        <f>TrRoad_act!N118</f>
        <v>6242</v>
      </c>
      <c r="O37" s="84">
        <f>TrRoad_act!O118</f>
        <v>5902</v>
      </c>
      <c r="P37" s="84">
        <f>TrRoad_act!P118</f>
        <v>28671</v>
      </c>
      <c r="Q37" s="84">
        <f>TrRoad_act!Q118</f>
        <v>744</v>
      </c>
      <c r="R37" s="84">
        <f>TrRoad_act!R118</f>
        <v>93</v>
      </c>
      <c r="S37" s="84">
        <f>TrRoad_act!S118</f>
        <v>893</v>
      </c>
      <c r="T37" s="84">
        <f>TrRoad_act!T118</f>
        <v>3633</v>
      </c>
      <c r="U37" s="84">
        <f>TrRoad_act!U118</f>
        <v>6343</v>
      </c>
      <c r="V37" s="84">
        <f>TrRoad_act!V118</f>
        <v>2654</v>
      </c>
      <c r="W37" s="84">
        <f>TrRoad_act!W118</f>
        <v>329</v>
      </c>
      <c r="X37" s="84">
        <f>TrRoad_act!X118</f>
        <v>96</v>
      </c>
      <c r="Y37" s="84">
        <f>TrRoad_act!Y118</f>
        <v>83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</v>
      </c>
      <c r="O38" s="84">
        <f>TrRoad_act!O119</f>
        <v>0</v>
      </c>
      <c r="P38" s="84">
        <f>TrRoad_act!P119</f>
        <v>2</v>
      </c>
      <c r="Q38" s="84">
        <f>TrRoad_act!Q119</f>
        <v>18</v>
      </c>
      <c r="R38" s="84">
        <f>TrRoad_act!R119</f>
        <v>40</v>
      </c>
      <c r="S38" s="84">
        <f>TrRoad_act!S119</f>
        <v>100</v>
      </c>
      <c r="T38" s="84">
        <f>TrRoad_act!T119</f>
        <v>119</v>
      </c>
      <c r="U38" s="84">
        <f>TrRoad_act!U119</f>
        <v>411</v>
      </c>
      <c r="V38" s="84">
        <f>TrRoad_act!V119</f>
        <v>292</v>
      </c>
      <c r="W38" s="84">
        <f>TrRoad_act!W119</f>
        <v>481</v>
      </c>
      <c r="X38" s="84">
        <f>TrRoad_act!X119</f>
        <v>820</v>
      </c>
      <c r="Y38" s="84">
        <f>TrRoad_act!Y119</f>
        <v>1232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0</v>
      </c>
      <c r="P39" s="84">
        <f>TrRoad_act!P120</f>
        <v>0</v>
      </c>
      <c r="Q39" s="84">
        <f>TrRoad_act!Q120</f>
        <v>0</v>
      </c>
      <c r="R39" s="84">
        <f>TrRoad_act!R120</f>
        <v>41</v>
      </c>
      <c r="S39" s="84">
        <f>TrRoad_act!S120</f>
        <v>110</v>
      </c>
      <c r="T39" s="84">
        <f>TrRoad_act!T120</f>
        <v>324</v>
      </c>
      <c r="U39" s="84">
        <f>TrRoad_act!U120</f>
        <v>322</v>
      </c>
      <c r="V39" s="84">
        <f>TrRoad_act!V120</f>
        <v>608</v>
      </c>
      <c r="W39" s="84">
        <f>TrRoad_act!W120</f>
        <v>1967</v>
      </c>
      <c r="X39" s="84">
        <f>TrRoad_act!X120</f>
        <v>1081</v>
      </c>
      <c r="Y39" s="84">
        <f>TrRoad_act!Y120</f>
        <v>2382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12</v>
      </c>
      <c r="C40" s="110">
        <f>TrRoad_act!C121</f>
        <v>1348</v>
      </c>
      <c r="D40" s="110">
        <f>TrRoad_act!D121</f>
        <v>2922</v>
      </c>
      <c r="E40" s="110">
        <f>TrRoad_act!E121</f>
        <v>54</v>
      </c>
      <c r="F40" s="110">
        <f>TrRoad_act!F121</f>
        <v>182</v>
      </c>
      <c r="G40" s="110">
        <f>TrRoad_act!G121</f>
        <v>2068</v>
      </c>
      <c r="H40" s="110">
        <f>TrRoad_act!H121</f>
        <v>416</v>
      </c>
      <c r="I40" s="110">
        <f>TrRoad_act!I121</f>
        <v>1573</v>
      </c>
      <c r="J40" s="110">
        <f>TrRoad_act!J121</f>
        <v>64</v>
      </c>
      <c r="K40" s="110">
        <f>TrRoad_act!K121</f>
        <v>1531</v>
      </c>
      <c r="L40" s="110">
        <f>TrRoad_act!L121</f>
        <v>1294</v>
      </c>
      <c r="M40" s="110">
        <f>TrRoad_act!M121</f>
        <v>1145</v>
      </c>
      <c r="N40" s="110">
        <f>TrRoad_act!N121</f>
        <v>1016</v>
      </c>
      <c r="O40" s="110">
        <f>TrRoad_act!O121</f>
        <v>1341</v>
      </c>
      <c r="P40" s="110">
        <f>TrRoad_act!P121</f>
        <v>1016</v>
      </c>
      <c r="Q40" s="110">
        <f>TrRoad_act!Q121</f>
        <v>1270</v>
      </c>
      <c r="R40" s="110">
        <f>TrRoad_act!R121</f>
        <v>1542</v>
      </c>
      <c r="S40" s="110">
        <f>TrRoad_act!S121</f>
        <v>277</v>
      </c>
      <c r="T40" s="110">
        <f>TrRoad_act!T121</f>
        <v>433</v>
      </c>
      <c r="U40" s="110">
        <f>TrRoad_act!U121</f>
        <v>615</v>
      </c>
      <c r="V40" s="110">
        <f>TrRoad_act!V121</f>
        <v>927</v>
      </c>
      <c r="W40" s="110">
        <f>TrRoad_act!W121</f>
        <v>731</v>
      </c>
      <c r="X40" s="110">
        <f>TrRoad_act!X121</f>
        <v>1458</v>
      </c>
      <c r="Y40" s="110">
        <f>TrRoad_act!Y121</f>
        <v>1358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1508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12</v>
      </c>
      <c r="C42" s="102">
        <f>TrRoad_act!C123</f>
        <v>1348</v>
      </c>
      <c r="D42" s="102">
        <f>TrRoad_act!D123</f>
        <v>2922</v>
      </c>
      <c r="E42" s="102">
        <f>TrRoad_act!E123</f>
        <v>54</v>
      </c>
      <c r="F42" s="102">
        <f>TrRoad_act!F123</f>
        <v>82</v>
      </c>
      <c r="G42" s="102">
        <f>TrRoad_act!G123</f>
        <v>1909</v>
      </c>
      <c r="H42" s="102">
        <f>TrRoad_act!H123</f>
        <v>204</v>
      </c>
      <c r="I42" s="102">
        <f>TrRoad_act!I123</f>
        <v>1340</v>
      </c>
      <c r="J42" s="102">
        <f>TrRoad_act!J123</f>
        <v>50</v>
      </c>
      <c r="K42" s="102">
        <f>TrRoad_act!K123</f>
        <v>1265</v>
      </c>
      <c r="L42" s="102">
        <f>TrRoad_act!L123</f>
        <v>916</v>
      </c>
      <c r="M42" s="102">
        <f>TrRoad_act!M123</f>
        <v>1140</v>
      </c>
      <c r="N42" s="102">
        <f>TrRoad_act!N123</f>
        <v>980</v>
      </c>
      <c r="O42" s="102">
        <f>TrRoad_act!O123</f>
        <v>24</v>
      </c>
      <c r="P42" s="102">
        <f>TrRoad_act!P123</f>
        <v>700</v>
      </c>
      <c r="Q42" s="102">
        <f>TrRoad_act!Q123</f>
        <v>1119</v>
      </c>
      <c r="R42" s="102">
        <f>TrRoad_act!R123</f>
        <v>2</v>
      </c>
      <c r="S42" s="102">
        <f>TrRoad_act!S123</f>
        <v>247</v>
      </c>
      <c r="T42" s="102">
        <f>TrRoad_act!T123</f>
        <v>236</v>
      </c>
      <c r="U42" s="102">
        <f>TrRoad_act!U123</f>
        <v>230</v>
      </c>
      <c r="V42" s="102">
        <f>TrRoad_act!V123</f>
        <v>527</v>
      </c>
      <c r="W42" s="102">
        <f>TrRoad_act!W123</f>
        <v>215</v>
      </c>
      <c r="X42" s="102">
        <f>TrRoad_act!X123</f>
        <v>1458</v>
      </c>
      <c r="Y42" s="102">
        <f>TrRoad_act!Y123</f>
        <v>1229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31</v>
      </c>
      <c r="S43" s="102">
        <f>TrRoad_act!S124</f>
        <v>0</v>
      </c>
      <c r="T43" s="102">
        <f>TrRoad_act!T124</f>
        <v>3</v>
      </c>
      <c r="U43" s="102">
        <f>TrRoad_act!U124</f>
        <v>0</v>
      </c>
      <c r="V43" s="102">
        <f>TrRoad_act!V124</f>
        <v>0</v>
      </c>
      <c r="W43" s="102">
        <f>TrRoad_act!W124</f>
        <v>19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100</v>
      </c>
      <c r="G44" s="102">
        <f>TrRoad_act!G125</f>
        <v>159</v>
      </c>
      <c r="H44" s="102">
        <f>TrRoad_act!H125</f>
        <v>212</v>
      </c>
      <c r="I44" s="102">
        <f>TrRoad_act!I125</f>
        <v>233</v>
      </c>
      <c r="J44" s="102">
        <f>TrRoad_act!J125</f>
        <v>5</v>
      </c>
      <c r="K44" s="102">
        <f>TrRoad_act!K125</f>
        <v>250</v>
      </c>
      <c r="L44" s="102">
        <f>TrRoad_act!L125</f>
        <v>353</v>
      </c>
      <c r="M44" s="102">
        <f>TrRoad_act!M125</f>
        <v>0</v>
      </c>
      <c r="N44" s="102">
        <f>TrRoad_act!N125</f>
        <v>31</v>
      </c>
      <c r="O44" s="102">
        <f>TrRoad_act!O125</f>
        <v>909</v>
      </c>
      <c r="P44" s="102">
        <f>TrRoad_act!P125</f>
        <v>166</v>
      </c>
      <c r="Q44" s="102">
        <f>TrRoad_act!Q125</f>
        <v>104</v>
      </c>
      <c r="R44" s="102">
        <f>TrRoad_act!R125</f>
        <v>0</v>
      </c>
      <c r="S44" s="102">
        <f>TrRoad_act!S125</f>
        <v>30</v>
      </c>
      <c r="T44" s="102">
        <f>TrRoad_act!T125</f>
        <v>180</v>
      </c>
      <c r="U44" s="102">
        <f>TrRoad_act!U125</f>
        <v>346</v>
      </c>
      <c r="V44" s="102">
        <f>TrRoad_act!V125</f>
        <v>386</v>
      </c>
      <c r="W44" s="102">
        <f>TrRoad_act!W125</f>
        <v>428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9</v>
      </c>
      <c r="K45" s="102">
        <f>TrRoad_act!K126</f>
        <v>16</v>
      </c>
      <c r="L45" s="102">
        <f>TrRoad_act!L126</f>
        <v>25</v>
      </c>
      <c r="M45" s="102">
        <f>TrRoad_act!M126</f>
        <v>5</v>
      </c>
      <c r="N45" s="102">
        <f>TrRoad_act!N126</f>
        <v>5</v>
      </c>
      <c r="O45" s="102">
        <f>TrRoad_act!O126</f>
        <v>408</v>
      </c>
      <c r="P45" s="102">
        <f>TrRoad_act!P126</f>
        <v>150</v>
      </c>
      <c r="Q45" s="102">
        <f>TrRoad_act!Q126</f>
        <v>47</v>
      </c>
      <c r="R45" s="102">
        <f>TrRoad_act!R126</f>
        <v>1</v>
      </c>
      <c r="S45" s="102">
        <f>TrRoad_act!S126</f>
        <v>0</v>
      </c>
      <c r="T45" s="102">
        <f>TrRoad_act!T126</f>
        <v>14</v>
      </c>
      <c r="U45" s="102">
        <f>TrRoad_act!U126</f>
        <v>39</v>
      </c>
      <c r="V45" s="102">
        <f>TrRoad_act!V126</f>
        <v>14</v>
      </c>
      <c r="W45" s="102">
        <f>TrRoad_act!W126</f>
        <v>69</v>
      </c>
      <c r="X45" s="102">
        <f>TrRoad_act!X126</f>
        <v>0</v>
      </c>
      <c r="Y45" s="102">
        <f>TrRoad_act!Y126</f>
        <v>129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355</v>
      </c>
      <c r="C46" s="28">
        <f>TrRoad_act!C127</f>
        <v>5251</v>
      </c>
      <c r="D46" s="28">
        <f>TrRoad_act!D127</f>
        <v>6195</v>
      </c>
      <c r="E46" s="28">
        <f>TrRoad_act!E127</f>
        <v>25627</v>
      </c>
      <c r="F46" s="28">
        <f>TrRoad_act!F127</f>
        <v>37956</v>
      </c>
      <c r="G46" s="28">
        <f>TrRoad_act!G127</f>
        <v>12720</v>
      </c>
      <c r="H46" s="28">
        <f>TrRoad_act!H127</f>
        <v>37510</v>
      </c>
      <c r="I46" s="28">
        <f>TrRoad_act!I127</f>
        <v>34214</v>
      </c>
      <c r="J46" s="28">
        <f>TrRoad_act!J127</f>
        <v>29515</v>
      </c>
      <c r="K46" s="28">
        <f>TrRoad_act!K127</f>
        <v>22770</v>
      </c>
      <c r="L46" s="28">
        <f>TrRoad_act!L127</f>
        <v>13378</v>
      </c>
      <c r="M46" s="28">
        <f>TrRoad_act!M127</f>
        <v>34470</v>
      </c>
      <c r="N46" s="28">
        <f>TrRoad_act!N127</f>
        <v>20003</v>
      </c>
      <c r="O46" s="28">
        <f>TrRoad_act!O127</f>
        <v>17585</v>
      </c>
      <c r="P46" s="28">
        <f>TrRoad_act!P127</f>
        <v>18251</v>
      </c>
      <c r="Q46" s="28">
        <f>TrRoad_act!Q127</f>
        <v>37833</v>
      </c>
      <c r="R46" s="28">
        <f>TrRoad_act!R127</f>
        <v>36068</v>
      </c>
      <c r="S46" s="28">
        <f>TrRoad_act!S127</f>
        <v>29749</v>
      </c>
      <c r="T46" s="28">
        <f>TrRoad_act!T127</f>
        <v>40109</v>
      </c>
      <c r="U46" s="28">
        <f>TrRoad_act!U127</f>
        <v>28032</v>
      </c>
      <c r="V46" s="28">
        <f>TrRoad_act!V127</f>
        <v>19893</v>
      </c>
      <c r="W46" s="28">
        <f>TrRoad_act!W127</f>
        <v>20121</v>
      </c>
      <c r="X46" s="28">
        <f>TrRoad_act!X127</f>
        <v>18147</v>
      </c>
      <c r="Y46" s="28">
        <f>TrRoad_act!Y127</f>
        <v>15994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2039</v>
      </c>
      <c r="D47" s="137">
        <f>TrRoad_act!D128</f>
        <v>3650</v>
      </c>
      <c r="E47" s="137">
        <f>TrRoad_act!E128</f>
        <v>16193</v>
      </c>
      <c r="F47" s="137">
        <f>TrRoad_act!F128</f>
        <v>28247</v>
      </c>
      <c r="G47" s="137">
        <f>TrRoad_act!G128</f>
        <v>7280</v>
      </c>
      <c r="H47" s="137">
        <f>TrRoad_act!H128</f>
        <v>32519</v>
      </c>
      <c r="I47" s="137">
        <f>TrRoad_act!I128</f>
        <v>33164</v>
      </c>
      <c r="J47" s="137">
        <f>TrRoad_act!J128</f>
        <v>23175</v>
      </c>
      <c r="K47" s="137">
        <f>TrRoad_act!K128</f>
        <v>20118</v>
      </c>
      <c r="L47" s="137">
        <f>TrRoad_act!L128</f>
        <v>11281</v>
      </c>
      <c r="M47" s="137">
        <f>TrRoad_act!M128</f>
        <v>30879</v>
      </c>
      <c r="N47" s="137">
        <f>TrRoad_act!N128</f>
        <v>17546</v>
      </c>
      <c r="O47" s="137">
        <f>TrRoad_act!O128</f>
        <v>14107</v>
      </c>
      <c r="P47" s="137">
        <f>TrRoad_act!P128</f>
        <v>16727</v>
      </c>
      <c r="Q47" s="137">
        <f>TrRoad_act!Q128</f>
        <v>31753</v>
      </c>
      <c r="R47" s="137">
        <f>TrRoad_act!R128</f>
        <v>27479</v>
      </c>
      <c r="S47" s="137">
        <f>TrRoad_act!S128</f>
        <v>25766</v>
      </c>
      <c r="T47" s="137">
        <f>TrRoad_act!T128</f>
        <v>27881</v>
      </c>
      <c r="U47" s="137">
        <f>TrRoad_act!U128</f>
        <v>17892</v>
      </c>
      <c r="V47" s="137">
        <f>TrRoad_act!V128</f>
        <v>10912</v>
      </c>
      <c r="W47" s="137">
        <f>TrRoad_act!W128</f>
        <v>13722</v>
      </c>
      <c r="X47" s="137">
        <f>TrRoad_act!X128</f>
        <v>9603</v>
      </c>
      <c r="Y47" s="137">
        <f>TrRoad_act!Y128</f>
        <v>9641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2039</v>
      </c>
      <c r="D48" s="84">
        <f>TrRoad_act!D129</f>
        <v>2318</v>
      </c>
      <c r="E48" s="84">
        <f>TrRoad_act!E129</f>
        <v>2558</v>
      </c>
      <c r="F48" s="84">
        <f>TrRoad_act!F129</f>
        <v>2599</v>
      </c>
      <c r="G48" s="84">
        <f>TrRoad_act!G129</f>
        <v>982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1186</v>
      </c>
      <c r="N48" s="84">
        <f>TrRoad_act!N129</f>
        <v>1617</v>
      </c>
      <c r="O48" s="84">
        <f>TrRoad_act!O129</f>
        <v>1060</v>
      </c>
      <c r="P48" s="84">
        <f>TrRoad_act!P129</f>
        <v>1594</v>
      </c>
      <c r="Q48" s="84">
        <f>TrRoad_act!Q129</f>
        <v>3900</v>
      </c>
      <c r="R48" s="84">
        <f>TrRoad_act!R129</f>
        <v>3211</v>
      </c>
      <c r="S48" s="84">
        <f>TrRoad_act!S129</f>
        <v>2750</v>
      </c>
      <c r="T48" s="84">
        <f>TrRoad_act!T129</f>
        <v>3289</v>
      </c>
      <c r="U48" s="84">
        <f>TrRoad_act!U129</f>
        <v>1573</v>
      </c>
      <c r="V48" s="84">
        <f>TrRoad_act!V129</f>
        <v>746</v>
      </c>
      <c r="W48" s="84">
        <f>TrRoad_act!W129</f>
        <v>773</v>
      </c>
      <c r="X48" s="84">
        <f>TrRoad_act!X129</f>
        <v>877</v>
      </c>
      <c r="Y48" s="84">
        <f>TrRoad_act!Y129</f>
        <v>1019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0</v>
      </c>
      <c r="D49" s="84">
        <f>TrRoad_act!D130</f>
        <v>1332</v>
      </c>
      <c r="E49" s="84">
        <f>TrRoad_act!E130</f>
        <v>13635</v>
      </c>
      <c r="F49" s="84">
        <f>TrRoad_act!F130</f>
        <v>25648</v>
      </c>
      <c r="G49" s="84">
        <f>TrRoad_act!G130</f>
        <v>6298</v>
      </c>
      <c r="H49" s="84">
        <f>TrRoad_act!H130</f>
        <v>32519</v>
      </c>
      <c r="I49" s="84">
        <f>TrRoad_act!I130</f>
        <v>33164</v>
      </c>
      <c r="J49" s="84">
        <f>TrRoad_act!J130</f>
        <v>23175</v>
      </c>
      <c r="K49" s="84">
        <f>TrRoad_act!K130</f>
        <v>20118</v>
      </c>
      <c r="L49" s="84">
        <f>TrRoad_act!L130</f>
        <v>11281</v>
      </c>
      <c r="M49" s="84">
        <f>TrRoad_act!M130</f>
        <v>29693</v>
      </c>
      <c r="N49" s="84">
        <f>TrRoad_act!N130</f>
        <v>15897</v>
      </c>
      <c r="O49" s="84">
        <f>TrRoad_act!O130</f>
        <v>13046</v>
      </c>
      <c r="P49" s="84">
        <f>TrRoad_act!P130</f>
        <v>15132</v>
      </c>
      <c r="Q49" s="84">
        <f>TrRoad_act!Q130</f>
        <v>27844</v>
      </c>
      <c r="R49" s="84">
        <f>TrRoad_act!R130</f>
        <v>23962</v>
      </c>
      <c r="S49" s="84">
        <f>TrRoad_act!S130</f>
        <v>22458</v>
      </c>
      <c r="T49" s="84">
        <f>TrRoad_act!T130</f>
        <v>23829</v>
      </c>
      <c r="U49" s="84">
        <f>TrRoad_act!U130</f>
        <v>15327</v>
      </c>
      <c r="V49" s="84">
        <f>TrRoad_act!V130</f>
        <v>9544</v>
      </c>
      <c r="W49" s="84">
        <f>TrRoad_act!W130</f>
        <v>12020</v>
      </c>
      <c r="X49" s="84">
        <f>TrRoad_act!X130</f>
        <v>8651</v>
      </c>
      <c r="Y49" s="84">
        <f>TrRoad_act!Y130</f>
        <v>8425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210</v>
      </c>
      <c r="S50" s="84">
        <f>TrRoad_act!S131</f>
        <v>481</v>
      </c>
      <c r="T50" s="84">
        <f>TrRoad_act!T131</f>
        <v>677</v>
      </c>
      <c r="U50" s="84">
        <f>TrRoad_act!U131</f>
        <v>852</v>
      </c>
      <c r="V50" s="84">
        <f>TrRoad_act!V131</f>
        <v>524</v>
      </c>
      <c r="W50" s="84">
        <f>TrRoad_act!W131</f>
        <v>833</v>
      </c>
      <c r="X50" s="84">
        <f>TrRoad_act!X131</f>
        <v>13</v>
      </c>
      <c r="Y50" s="84">
        <f>TrRoad_act!Y131</f>
        <v>53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81</v>
      </c>
      <c r="S51" s="84">
        <f>TrRoad_act!S132</f>
        <v>71</v>
      </c>
      <c r="T51" s="84">
        <f>TrRoad_act!T132</f>
        <v>72</v>
      </c>
      <c r="U51" s="84">
        <f>TrRoad_act!U132</f>
        <v>111</v>
      </c>
      <c r="V51" s="84">
        <f>TrRoad_act!V132</f>
        <v>84</v>
      </c>
      <c r="W51" s="84">
        <f>TrRoad_act!W132</f>
        <v>70</v>
      </c>
      <c r="X51" s="84">
        <f>TrRoad_act!X132</f>
        <v>8</v>
      </c>
      <c r="Y51" s="84">
        <f>TrRoad_act!Y132</f>
        <v>2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32</v>
      </c>
      <c r="O52" s="84">
        <f>TrRoad_act!O133</f>
        <v>1</v>
      </c>
      <c r="P52" s="84">
        <f>TrRoad_act!P133</f>
        <v>1</v>
      </c>
      <c r="Q52" s="84">
        <f>TrRoad_act!Q133</f>
        <v>9</v>
      </c>
      <c r="R52" s="84">
        <f>TrRoad_act!R133</f>
        <v>15</v>
      </c>
      <c r="S52" s="84">
        <f>TrRoad_act!S133</f>
        <v>6</v>
      </c>
      <c r="T52" s="84">
        <f>TrRoad_act!T133</f>
        <v>14</v>
      </c>
      <c r="U52" s="84">
        <f>TrRoad_act!U133</f>
        <v>29</v>
      </c>
      <c r="V52" s="84">
        <f>TrRoad_act!V133</f>
        <v>14</v>
      </c>
      <c r="W52" s="84">
        <f>TrRoad_act!W133</f>
        <v>26</v>
      </c>
      <c r="X52" s="84">
        <f>TrRoad_act!X133</f>
        <v>54</v>
      </c>
      <c r="Y52" s="84">
        <f>TrRoad_act!Y133</f>
        <v>142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355</v>
      </c>
      <c r="C53" s="110">
        <f>TrRoad_act!C134</f>
        <v>3212</v>
      </c>
      <c r="D53" s="110">
        <f>TrRoad_act!D134</f>
        <v>2545</v>
      </c>
      <c r="E53" s="110">
        <f>TrRoad_act!E134</f>
        <v>9434</v>
      </c>
      <c r="F53" s="110">
        <f>TrRoad_act!F134</f>
        <v>9709</v>
      </c>
      <c r="G53" s="110">
        <f>TrRoad_act!G134</f>
        <v>5440</v>
      </c>
      <c r="H53" s="110">
        <f>TrRoad_act!H134</f>
        <v>4991</v>
      </c>
      <c r="I53" s="110">
        <f>TrRoad_act!I134</f>
        <v>1050</v>
      </c>
      <c r="J53" s="110">
        <f>TrRoad_act!J134</f>
        <v>6340</v>
      </c>
      <c r="K53" s="110">
        <f>TrRoad_act!K134</f>
        <v>2652</v>
      </c>
      <c r="L53" s="110">
        <f>TrRoad_act!L134</f>
        <v>2097</v>
      </c>
      <c r="M53" s="110">
        <f>TrRoad_act!M134</f>
        <v>3591</v>
      </c>
      <c r="N53" s="110">
        <f>TrRoad_act!N134</f>
        <v>2457</v>
      </c>
      <c r="O53" s="110">
        <f>TrRoad_act!O134</f>
        <v>3478</v>
      </c>
      <c r="P53" s="110">
        <f>TrRoad_act!P134</f>
        <v>1524</v>
      </c>
      <c r="Q53" s="110">
        <f>TrRoad_act!Q134</f>
        <v>6080</v>
      </c>
      <c r="R53" s="110">
        <f>TrRoad_act!R134</f>
        <v>8589</v>
      </c>
      <c r="S53" s="110">
        <f>TrRoad_act!S134</f>
        <v>3983</v>
      </c>
      <c r="T53" s="110">
        <f>TrRoad_act!T134</f>
        <v>12228</v>
      </c>
      <c r="U53" s="110">
        <f>TrRoad_act!U134</f>
        <v>10140</v>
      </c>
      <c r="V53" s="110">
        <f>TrRoad_act!V134</f>
        <v>8981</v>
      </c>
      <c r="W53" s="110">
        <f>TrRoad_act!W134</f>
        <v>6399</v>
      </c>
      <c r="X53" s="110">
        <f>TrRoad_act!X134</f>
        <v>8544</v>
      </c>
      <c r="Y53" s="110">
        <f>TrRoad_act!Y134</f>
        <v>6353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2801</v>
      </c>
      <c r="D54" s="102">
        <f>TrRoad_act!D135</f>
        <v>2157</v>
      </c>
      <c r="E54" s="102">
        <f>TrRoad_act!E135</f>
        <v>9124</v>
      </c>
      <c r="F54" s="102">
        <f>TrRoad_act!F135</f>
        <v>8708</v>
      </c>
      <c r="G54" s="102">
        <f>TrRoad_act!G135</f>
        <v>4978</v>
      </c>
      <c r="H54" s="102">
        <f>TrRoad_act!H135</f>
        <v>4991</v>
      </c>
      <c r="I54" s="102">
        <f>TrRoad_act!I135</f>
        <v>1050</v>
      </c>
      <c r="J54" s="102">
        <f>TrRoad_act!J135</f>
        <v>6340</v>
      </c>
      <c r="K54" s="102">
        <f>TrRoad_act!K135</f>
        <v>2631</v>
      </c>
      <c r="L54" s="102">
        <f>TrRoad_act!L135</f>
        <v>1711</v>
      </c>
      <c r="M54" s="102">
        <f>TrRoad_act!M135</f>
        <v>3041</v>
      </c>
      <c r="N54" s="102">
        <f>TrRoad_act!N135</f>
        <v>2454</v>
      </c>
      <c r="O54" s="102">
        <f>TrRoad_act!O135</f>
        <v>2634</v>
      </c>
      <c r="P54" s="102">
        <f>TrRoad_act!P135</f>
        <v>1524</v>
      </c>
      <c r="Q54" s="102">
        <f>TrRoad_act!Q135</f>
        <v>5421</v>
      </c>
      <c r="R54" s="102">
        <f>TrRoad_act!R135</f>
        <v>8472</v>
      </c>
      <c r="S54" s="102">
        <f>TrRoad_act!S135</f>
        <v>3881</v>
      </c>
      <c r="T54" s="102">
        <f>TrRoad_act!T135</f>
        <v>12228</v>
      </c>
      <c r="U54" s="102">
        <f>TrRoad_act!U135</f>
        <v>10140</v>
      </c>
      <c r="V54" s="102">
        <f>TrRoad_act!V135</f>
        <v>8194</v>
      </c>
      <c r="W54" s="102">
        <f>TrRoad_act!W135</f>
        <v>5659</v>
      </c>
      <c r="X54" s="102">
        <f>TrRoad_act!X135</f>
        <v>7653</v>
      </c>
      <c r="Y54" s="102">
        <f>TrRoad_act!Y135</f>
        <v>6001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355</v>
      </c>
      <c r="C55" s="86">
        <f>TrRoad_act!C136</f>
        <v>411</v>
      </c>
      <c r="D55" s="86">
        <f>TrRoad_act!D136</f>
        <v>388</v>
      </c>
      <c r="E55" s="86">
        <f>TrRoad_act!E136</f>
        <v>310</v>
      </c>
      <c r="F55" s="86">
        <f>TrRoad_act!F136</f>
        <v>1001</v>
      </c>
      <c r="G55" s="86">
        <f>TrRoad_act!G136</f>
        <v>462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21</v>
      </c>
      <c r="L55" s="86">
        <f>TrRoad_act!L136</f>
        <v>386</v>
      </c>
      <c r="M55" s="86">
        <f>TrRoad_act!M136</f>
        <v>550</v>
      </c>
      <c r="N55" s="86">
        <f>TrRoad_act!N136</f>
        <v>3</v>
      </c>
      <c r="O55" s="86">
        <f>TrRoad_act!O136</f>
        <v>844</v>
      </c>
      <c r="P55" s="86">
        <f>TrRoad_act!P136</f>
        <v>0</v>
      </c>
      <c r="Q55" s="86">
        <f>TrRoad_act!Q136</f>
        <v>659</v>
      </c>
      <c r="R55" s="86">
        <f>TrRoad_act!R136</f>
        <v>117</v>
      </c>
      <c r="S55" s="86">
        <f>TrRoad_act!S136</f>
        <v>102</v>
      </c>
      <c r="T55" s="86">
        <f>TrRoad_act!T136</f>
        <v>0</v>
      </c>
      <c r="U55" s="86">
        <f>TrRoad_act!U136</f>
        <v>0</v>
      </c>
      <c r="V55" s="86">
        <f>TrRoad_act!V136</f>
        <v>787</v>
      </c>
      <c r="W55" s="86">
        <f>TrRoad_act!W136</f>
        <v>740</v>
      </c>
      <c r="X55" s="86">
        <f>TrRoad_act!X136</f>
        <v>891</v>
      </c>
      <c r="Y55" s="86">
        <f>TrRoad_act!Y136</f>
        <v>352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140990</v>
      </c>
      <c r="C59" s="54">
        <f t="shared" si="0"/>
        <v>402</v>
      </c>
      <c r="D59" s="54">
        <f t="shared" si="0"/>
        <v>10982</v>
      </c>
      <c r="E59" s="54">
        <f t="shared" si="0"/>
        <v>26784</v>
      </c>
      <c r="F59" s="54">
        <f t="shared" si="0"/>
        <v>30800</v>
      </c>
      <c r="G59" s="54">
        <f t="shared" si="0"/>
        <v>18545</v>
      </c>
      <c r="H59" s="54">
        <f t="shared" si="0"/>
        <v>107902</v>
      </c>
      <c r="I59" s="54">
        <f t="shared" si="0"/>
        <v>248173</v>
      </c>
      <c r="J59" s="54">
        <f t="shared" si="0"/>
        <v>257113</v>
      </c>
      <c r="K59" s="54">
        <f t="shared" si="0"/>
        <v>168356</v>
      </c>
      <c r="L59" s="54">
        <f t="shared" ref="L59" si="1">L60+L75</f>
        <v>101180</v>
      </c>
      <c r="M59" s="54">
        <f t="shared" ref="M59:V59" si="2">M60+M75</f>
        <v>266536</v>
      </c>
      <c r="N59" s="54">
        <f t="shared" si="2"/>
        <v>137411</v>
      </c>
      <c r="O59" s="54">
        <f t="shared" si="2"/>
        <v>191772</v>
      </c>
      <c r="P59" s="54">
        <f t="shared" si="2"/>
        <v>204516</v>
      </c>
      <c r="Q59" s="54">
        <f t="shared" si="2"/>
        <v>272864</v>
      </c>
      <c r="R59" s="54">
        <f t="shared" si="2"/>
        <v>209038</v>
      </c>
      <c r="S59" s="54">
        <f t="shared" si="2"/>
        <v>171037</v>
      </c>
      <c r="T59" s="54">
        <f t="shared" si="2"/>
        <v>222895</v>
      </c>
      <c r="U59" s="54">
        <f t="shared" si="2"/>
        <v>205604</v>
      </c>
      <c r="V59" s="54">
        <f t="shared" si="2"/>
        <v>182975</v>
      </c>
      <c r="W59" s="54">
        <f t="shared" ref="W59:Y59" si="3">W60+W75</f>
        <v>177059</v>
      </c>
      <c r="X59" s="54">
        <f t="shared" si="3"/>
        <v>173315</v>
      </c>
      <c r="Y59" s="54">
        <f t="shared" si="3"/>
        <v>178659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140990</v>
      </c>
      <c r="C60" s="28">
        <f t="shared" si="4"/>
        <v>402</v>
      </c>
      <c r="D60" s="28">
        <f t="shared" si="4"/>
        <v>10982</v>
      </c>
      <c r="E60" s="28">
        <f t="shared" si="4"/>
        <v>26784</v>
      </c>
      <c r="F60" s="28">
        <f t="shared" si="4"/>
        <v>30800</v>
      </c>
      <c r="G60" s="28">
        <f t="shared" si="4"/>
        <v>18545</v>
      </c>
      <c r="H60" s="28">
        <f t="shared" si="4"/>
        <v>107902</v>
      </c>
      <c r="I60" s="28">
        <f t="shared" si="4"/>
        <v>248173</v>
      </c>
      <c r="J60" s="28">
        <f t="shared" si="4"/>
        <v>256268</v>
      </c>
      <c r="K60" s="28">
        <f t="shared" si="4"/>
        <v>166637</v>
      </c>
      <c r="L60" s="28">
        <f t="shared" ref="L60" si="5">L61+L62+L69</f>
        <v>99846</v>
      </c>
      <c r="M60" s="28">
        <f t="shared" ref="M60:V60" si="6">M61+M62+M69</f>
        <v>263739</v>
      </c>
      <c r="N60" s="28">
        <f t="shared" si="6"/>
        <v>135307</v>
      </c>
      <c r="O60" s="28">
        <f t="shared" si="6"/>
        <v>188818</v>
      </c>
      <c r="P60" s="28">
        <f t="shared" si="6"/>
        <v>203093</v>
      </c>
      <c r="Q60" s="28">
        <f t="shared" si="6"/>
        <v>265777</v>
      </c>
      <c r="R60" s="28">
        <f t="shared" si="6"/>
        <v>184098</v>
      </c>
      <c r="S60" s="28">
        <f t="shared" si="6"/>
        <v>143782</v>
      </c>
      <c r="T60" s="28">
        <f t="shared" si="6"/>
        <v>184111</v>
      </c>
      <c r="U60" s="28">
        <f t="shared" si="6"/>
        <v>177930</v>
      </c>
      <c r="V60" s="28">
        <f t="shared" si="6"/>
        <v>163222</v>
      </c>
      <c r="W60" s="28">
        <f t="shared" ref="W60:Y60" si="7">W61+W62+W69</f>
        <v>156985</v>
      </c>
      <c r="X60" s="28">
        <f t="shared" si="7"/>
        <v>155195</v>
      </c>
      <c r="Y60" s="28">
        <f t="shared" si="7"/>
        <v>162665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1136</v>
      </c>
      <c r="E61" s="137">
        <v>2157</v>
      </c>
      <c r="F61" s="137">
        <v>491</v>
      </c>
      <c r="G61" s="137">
        <v>950</v>
      </c>
      <c r="H61" s="137">
        <v>1143</v>
      </c>
      <c r="I61" s="137">
        <v>12702</v>
      </c>
      <c r="J61" s="137">
        <v>16084</v>
      </c>
      <c r="K61" s="137">
        <v>11723</v>
      </c>
      <c r="L61" s="137">
        <v>9648</v>
      </c>
      <c r="M61" s="137">
        <v>8766</v>
      </c>
      <c r="N61" s="137">
        <v>11021</v>
      </c>
      <c r="O61" s="137">
        <v>11685</v>
      </c>
      <c r="P61" s="137">
        <v>10783</v>
      </c>
      <c r="Q61" s="137">
        <v>13140</v>
      </c>
      <c r="R61" s="137">
        <v>13466</v>
      </c>
      <c r="S61" s="137">
        <v>14876</v>
      </c>
      <c r="T61" s="137">
        <v>15131</v>
      </c>
      <c r="U61" s="137">
        <v>15464</v>
      </c>
      <c r="V61" s="137">
        <v>13275</v>
      </c>
      <c r="W61" s="137">
        <v>12683</v>
      </c>
      <c r="X61" s="137">
        <v>16760</v>
      </c>
      <c r="Y61" s="137">
        <v>25685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140990</v>
      </c>
      <c r="C62" s="110">
        <f t="shared" si="8"/>
        <v>402</v>
      </c>
      <c r="D62" s="110">
        <f t="shared" si="8"/>
        <v>9846</v>
      </c>
      <c r="E62" s="110">
        <f t="shared" si="8"/>
        <v>24627</v>
      </c>
      <c r="F62" s="110">
        <f t="shared" si="8"/>
        <v>30309</v>
      </c>
      <c r="G62" s="110">
        <f t="shared" si="8"/>
        <v>16831</v>
      </c>
      <c r="H62" s="110">
        <f t="shared" si="8"/>
        <v>106629</v>
      </c>
      <c r="I62" s="110">
        <f t="shared" si="8"/>
        <v>234499</v>
      </c>
      <c r="J62" s="110">
        <f t="shared" si="8"/>
        <v>240140</v>
      </c>
      <c r="K62" s="110">
        <f t="shared" si="8"/>
        <v>153840</v>
      </c>
      <c r="L62" s="110">
        <f t="shared" ref="L62" si="9">SUM(L63:L68)</f>
        <v>89376</v>
      </c>
      <c r="M62" s="110">
        <f t="shared" ref="M62:V62" si="10">SUM(M63:M68)</f>
        <v>253933</v>
      </c>
      <c r="N62" s="110">
        <f t="shared" si="10"/>
        <v>123370</v>
      </c>
      <c r="O62" s="110">
        <f t="shared" si="10"/>
        <v>176753</v>
      </c>
      <c r="P62" s="110">
        <f t="shared" si="10"/>
        <v>191395</v>
      </c>
      <c r="Q62" s="110">
        <f t="shared" si="10"/>
        <v>251425</v>
      </c>
      <c r="R62" s="110">
        <f t="shared" si="10"/>
        <v>169280</v>
      </c>
      <c r="S62" s="110">
        <f t="shared" si="10"/>
        <v>128635</v>
      </c>
      <c r="T62" s="110">
        <f t="shared" si="10"/>
        <v>168556</v>
      </c>
      <c r="U62" s="110">
        <f t="shared" si="10"/>
        <v>161859</v>
      </c>
      <c r="V62" s="110">
        <f t="shared" si="10"/>
        <v>149024</v>
      </c>
      <c r="W62" s="110">
        <f t="shared" ref="W62:Y62" si="11">SUM(W63:W68)</f>
        <v>143571</v>
      </c>
      <c r="X62" s="110">
        <f t="shared" si="11"/>
        <v>136978</v>
      </c>
      <c r="Y62" s="110">
        <f t="shared" si="11"/>
        <v>135622</v>
      </c>
      <c r="DA62" s="176" t="s">
        <v>841</v>
      </c>
    </row>
    <row r="63" spans="1:105" ht="11.45" customHeight="1" x14ac:dyDescent="0.25">
      <c r="A63" s="111" t="s">
        <v>110</v>
      </c>
      <c r="B63" s="84">
        <v>140990</v>
      </c>
      <c r="C63" s="84">
        <v>402</v>
      </c>
      <c r="D63" s="84">
        <v>9846</v>
      </c>
      <c r="E63" s="84">
        <v>24627</v>
      </c>
      <c r="F63" s="84">
        <v>30309</v>
      </c>
      <c r="G63" s="84">
        <v>16831</v>
      </c>
      <c r="H63" s="84">
        <v>45415</v>
      </c>
      <c r="I63" s="84">
        <v>129755</v>
      </c>
      <c r="J63" s="84">
        <v>131520</v>
      </c>
      <c r="K63" s="84">
        <v>57376</v>
      </c>
      <c r="L63" s="84">
        <v>45473</v>
      </c>
      <c r="M63" s="84">
        <v>74612</v>
      </c>
      <c r="N63" s="84">
        <v>48365</v>
      </c>
      <c r="O63" s="84">
        <v>52923</v>
      </c>
      <c r="P63" s="84">
        <v>32051</v>
      </c>
      <c r="Q63" s="84">
        <v>52540</v>
      </c>
      <c r="R63" s="84">
        <v>46916</v>
      </c>
      <c r="S63" s="84">
        <v>36602</v>
      </c>
      <c r="T63" s="84">
        <v>52985</v>
      </c>
      <c r="U63" s="84">
        <v>50302</v>
      </c>
      <c r="V63" s="84">
        <v>47708</v>
      </c>
      <c r="W63" s="84">
        <v>48367</v>
      </c>
      <c r="X63" s="84">
        <v>48093</v>
      </c>
      <c r="Y63" s="84">
        <v>49774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61214</v>
      </c>
      <c r="I64" s="84">
        <v>104331</v>
      </c>
      <c r="J64" s="84">
        <v>108620</v>
      </c>
      <c r="K64" s="84">
        <v>88517</v>
      </c>
      <c r="L64" s="84">
        <v>29237</v>
      </c>
      <c r="M64" s="84">
        <v>178910</v>
      </c>
      <c r="N64" s="84">
        <v>47992</v>
      </c>
      <c r="O64" s="84">
        <v>45776</v>
      </c>
      <c r="P64" s="84">
        <v>43601</v>
      </c>
      <c r="Q64" s="84">
        <v>114973</v>
      </c>
      <c r="R64" s="84">
        <v>74794</v>
      </c>
      <c r="S64" s="84">
        <v>58296</v>
      </c>
      <c r="T64" s="84">
        <v>84240</v>
      </c>
      <c r="U64" s="84">
        <v>79206</v>
      </c>
      <c r="V64" s="84">
        <v>74219</v>
      </c>
      <c r="W64" s="84">
        <v>70074</v>
      </c>
      <c r="X64" s="84">
        <v>65726</v>
      </c>
      <c r="Y64" s="84">
        <v>62462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22296</v>
      </c>
      <c r="O65" s="84">
        <v>73300</v>
      </c>
      <c r="P65" s="84">
        <v>91417</v>
      </c>
      <c r="Q65" s="84">
        <v>83254</v>
      </c>
      <c r="R65" s="84">
        <v>47485</v>
      </c>
      <c r="S65" s="84">
        <v>32896</v>
      </c>
      <c r="T65" s="84">
        <v>27838</v>
      </c>
      <c r="U65" s="84">
        <v>26155</v>
      </c>
      <c r="V65" s="84">
        <v>24433</v>
      </c>
      <c r="W65" s="84">
        <v>22757</v>
      </c>
      <c r="X65" s="84">
        <v>21171</v>
      </c>
      <c r="Y65" s="84">
        <v>19689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413</v>
      </c>
      <c r="J66" s="84">
        <v>0</v>
      </c>
      <c r="K66" s="84">
        <v>7947</v>
      </c>
      <c r="L66" s="84">
        <v>14666</v>
      </c>
      <c r="M66" s="84">
        <v>411</v>
      </c>
      <c r="N66" s="84">
        <v>4717</v>
      </c>
      <c r="O66" s="84">
        <v>4754</v>
      </c>
      <c r="P66" s="84">
        <v>24326</v>
      </c>
      <c r="Q66" s="84">
        <v>658</v>
      </c>
      <c r="R66" s="84">
        <v>85</v>
      </c>
      <c r="S66" s="84">
        <v>841</v>
      </c>
      <c r="T66" s="84">
        <v>3493</v>
      </c>
      <c r="U66" s="84">
        <v>6196</v>
      </c>
      <c r="V66" s="84">
        <v>2621</v>
      </c>
      <c r="W66" s="84">
        <v>327</v>
      </c>
      <c r="X66" s="84">
        <v>96</v>
      </c>
      <c r="Y66" s="84">
        <v>83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185</v>
      </c>
      <c r="X67" s="84">
        <v>815</v>
      </c>
      <c r="Y67" s="84">
        <v>1232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43</v>
      </c>
      <c r="W68" s="84">
        <v>1861</v>
      </c>
      <c r="X68" s="84">
        <v>1077</v>
      </c>
      <c r="Y68" s="84">
        <v>2382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764</v>
      </c>
      <c r="H69" s="110">
        <f t="shared" si="12"/>
        <v>130</v>
      </c>
      <c r="I69" s="110">
        <f t="shared" si="12"/>
        <v>972</v>
      </c>
      <c r="J69" s="110">
        <f t="shared" si="12"/>
        <v>44</v>
      </c>
      <c r="K69" s="110">
        <f t="shared" si="12"/>
        <v>1074</v>
      </c>
      <c r="L69" s="110">
        <f t="shared" ref="L69" si="13">SUM(L70:L74)</f>
        <v>822</v>
      </c>
      <c r="M69" s="110">
        <f t="shared" ref="M69:V69" si="14">SUM(M70:M74)</f>
        <v>1040</v>
      </c>
      <c r="N69" s="110">
        <f t="shared" si="14"/>
        <v>916</v>
      </c>
      <c r="O69" s="110">
        <f t="shared" si="14"/>
        <v>380</v>
      </c>
      <c r="P69" s="110">
        <f t="shared" si="14"/>
        <v>915</v>
      </c>
      <c r="Q69" s="110">
        <f t="shared" si="14"/>
        <v>1212</v>
      </c>
      <c r="R69" s="110">
        <f t="shared" si="14"/>
        <v>1352</v>
      </c>
      <c r="S69" s="110">
        <f t="shared" si="14"/>
        <v>271</v>
      </c>
      <c r="T69" s="110">
        <f t="shared" si="14"/>
        <v>424</v>
      </c>
      <c r="U69" s="110">
        <f t="shared" si="14"/>
        <v>607</v>
      </c>
      <c r="V69" s="110">
        <f t="shared" si="14"/>
        <v>923</v>
      </c>
      <c r="W69" s="110">
        <f t="shared" ref="W69:Y69" si="15">SUM(W70:W74)</f>
        <v>731</v>
      </c>
      <c r="X69" s="110">
        <f t="shared" si="15"/>
        <v>1457</v>
      </c>
      <c r="Y69" s="110">
        <f t="shared" si="15"/>
        <v>1358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1345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764</v>
      </c>
      <c r="H71" s="102">
        <v>130</v>
      </c>
      <c r="I71" s="102">
        <v>972</v>
      </c>
      <c r="J71" s="102">
        <v>39</v>
      </c>
      <c r="K71" s="102">
        <v>1065</v>
      </c>
      <c r="L71" s="102">
        <v>805</v>
      </c>
      <c r="M71" s="102">
        <v>1036</v>
      </c>
      <c r="N71" s="102">
        <v>912</v>
      </c>
      <c r="O71" s="102">
        <v>23</v>
      </c>
      <c r="P71" s="102">
        <v>672</v>
      </c>
      <c r="Q71" s="102">
        <v>1087</v>
      </c>
      <c r="R71" s="102">
        <v>2</v>
      </c>
      <c r="S71" s="102">
        <v>243</v>
      </c>
      <c r="T71" s="102">
        <v>234</v>
      </c>
      <c r="U71" s="102">
        <v>228</v>
      </c>
      <c r="V71" s="102">
        <v>525</v>
      </c>
      <c r="W71" s="102">
        <v>215</v>
      </c>
      <c r="X71" s="102">
        <v>1457</v>
      </c>
      <c r="Y71" s="102">
        <v>1229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4</v>
      </c>
      <c r="S72" s="102">
        <v>0</v>
      </c>
      <c r="T72" s="102">
        <v>3</v>
      </c>
      <c r="U72" s="102">
        <v>0</v>
      </c>
      <c r="V72" s="102">
        <v>0</v>
      </c>
      <c r="W72" s="102">
        <v>19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22</v>
      </c>
      <c r="P73" s="102">
        <v>114</v>
      </c>
      <c r="Q73" s="102">
        <v>83</v>
      </c>
      <c r="R73" s="102">
        <v>0</v>
      </c>
      <c r="S73" s="102">
        <v>28</v>
      </c>
      <c r="T73" s="102">
        <v>173</v>
      </c>
      <c r="U73" s="102">
        <v>341</v>
      </c>
      <c r="V73" s="102">
        <v>384</v>
      </c>
      <c r="W73" s="102">
        <v>428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5</v>
      </c>
      <c r="K74" s="102">
        <v>9</v>
      </c>
      <c r="L74" s="102">
        <v>17</v>
      </c>
      <c r="M74" s="102">
        <v>4</v>
      </c>
      <c r="N74" s="102">
        <v>4</v>
      </c>
      <c r="O74" s="102">
        <v>335</v>
      </c>
      <c r="P74" s="102">
        <v>129</v>
      </c>
      <c r="Q74" s="102">
        <v>42</v>
      </c>
      <c r="R74" s="102">
        <v>1</v>
      </c>
      <c r="S74" s="102">
        <v>0</v>
      </c>
      <c r="T74" s="102">
        <v>14</v>
      </c>
      <c r="U74" s="102">
        <v>38</v>
      </c>
      <c r="V74" s="102">
        <v>14</v>
      </c>
      <c r="W74" s="102">
        <v>69</v>
      </c>
      <c r="X74" s="102">
        <v>0</v>
      </c>
      <c r="Y74" s="102">
        <v>129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845</v>
      </c>
      <c r="K75" s="28">
        <f t="shared" si="16"/>
        <v>1719</v>
      </c>
      <c r="L75" s="28">
        <f t="shared" ref="L75" si="17">L76+L82</f>
        <v>1334</v>
      </c>
      <c r="M75" s="28">
        <f t="shared" ref="M75:V75" si="18">M76+M82</f>
        <v>2797</v>
      </c>
      <c r="N75" s="28">
        <f t="shared" si="18"/>
        <v>2104</v>
      </c>
      <c r="O75" s="28">
        <f t="shared" si="18"/>
        <v>2954</v>
      </c>
      <c r="P75" s="28">
        <f t="shared" si="18"/>
        <v>1423</v>
      </c>
      <c r="Q75" s="28">
        <f t="shared" si="18"/>
        <v>7087</v>
      </c>
      <c r="R75" s="28">
        <f t="shared" si="18"/>
        <v>24940</v>
      </c>
      <c r="S75" s="28">
        <f t="shared" si="18"/>
        <v>27255</v>
      </c>
      <c r="T75" s="28">
        <f t="shared" si="18"/>
        <v>38784</v>
      </c>
      <c r="U75" s="28">
        <f t="shared" si="18"/>
        <v>27674</v>
      </c>
      <c r="V75" s="28">
        <f t="shared" si="18"/>
        <v>19753</v>
      </c>
      <c r="W75" s="28">
        <f t="shared" ref="W75:Y75" si="19">W76+W82</f>
        <v>20074</v>
      </c>
      <c r="X75" s="28">
        <f t="shared" si="19"/>
        <v>18120</v>
      </c>
      <c r="Y75" s="28">
        <f t="shared" si="19"/>
        <v>15994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0</v>
      </c>
      <c r="O76" s="137">
        <f t="shared" si="22"/>
        <v>0</v>
      </c>
      <c r="P76" s="137">
        <f t="shared" si="22"/>
        <v>0</v>
      </c>
      <c r="Q76" s="137">
        <f t="shared" si="22"/>
        <v>1401</v>
      </c>
      <c r="R76" s="137">
        <f t="shared" si="22"/>
        <v>16572</v>
      </c>
      <c r="S76" s="137">
        <f t="shared" si="22"/>
        <v>23336</v>
      </c>
      <c r="T76" s="137">
        <f t="shared" si="22"/>
        <v>26609</v>
      </c>
      <c r="U76" s="137">
        <f t="shared" si="22"/>
        <v>17547</v>
      </c>
      <c r="V76" s="137">
        <f t="shared" si="22"/>
        <v>10843</v>
      </c>
      <c r="W76" s="137">
        <f t="shared" ref="W76:Y76" si="23">SUM(W77:W81)</f>
        <v>13716</v>
      </c>
      <c r="X76" s="137">
        <f t="shared" si="23"/>
        <v>9602</v>
      </c>
      <c r="Y76" s="137">
        <f t="shared" si="23"/>
        <v>9641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1401</v>
      </c>
      <c r="R77" s="84">
        <v>2604</v>
      </c>
      <c r="S77" s="84">
        <v>2478</v>
      </c>
      <c r="T77" s="84">
        <v>3140</v>
      </c>
      <c r="U77" s="84">
        <v>1546</v>
      </c>
      <c r="V77" s="84">
        <v>742</v>
      </c>
      <c r="W77" s="84">
        <v>773</v>
      </c>
      <c r="X77" s="84">
        <v>877</v>
      </c>
      <c r="Y77" s="84">
        <v>1019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13739</v>
      </c>
      <c r="S78" s="84">
        <v>20387</v>
      </c>
      <c r="T78" s="84">
        <v>22778</v>
      </c>
      <c r="U78" s="84">
        <v>15055</v>
      </c>
      <c r="V78" s="84">
        <v>9492</v>
      </c>
      <c r="W78" s="84">
        <v>12018</v>
      </c>
      <c r="X78" s="84">
        <v>8650</v>
      </c>
      <c r="Y78" s="84">
        <v>8425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162</v>
      </c>
      <c r="S79" s="84">
        <v>409</v>
      </c>
      <c r="T79" s="84">
        <v>617</v>
      </c>
      <c r="U79" s="84">
        <v>813</v>
      </c>
      <c r="V79" s="84">
        <v>514</v>
      </c>
      <c r="W79" s="84">
        <v>830</v>
      </c>
      <c r="X79" s="84">
        <v>13</v>
      </c>
      <c r="Y79" s="84">
        <v>53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67</v>
      </c>
      <c r="S80" s="84">
        <v>62</v>
      </c>
      <c r="T80" s="84">
        <v>66</v>
      </c>
      <c r="U80" s="84">
        <v>105</v>
      </c>
      <c r="V80" s="84">
        <v>81</v>
      </c>
      <c r="W80" s="84">
        <v>69</v>
      </c>
      <c r="X80" s="84">
        <v>8</v>
      </c>
      <c r="Y80" s="84">
        <v>2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8</v>
      </c>
      <c r="U81" s="84">
        <v>28</v>
      </c>
      <c r="V81" s="84">
        <v>14</v>
      </c>
      <c r="W81" s="84">
        <v>26</v>
      </c>
      <c r="X81" s="84">
        <v>54</v>
      </c>
      <c r="Y81" s="84">
        <v>142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845</v>
      </c>
      <c r="K82" s="110">
        <f t="shared" si="24"/>
        <v>1719</v>
      </c>
      <c r="L82" s="110">
        <f t="shared" ref="L82" si="25">SUM(L83:L84)</f>
        <v>1334</v>
      </c>
      <c r="M82" s="110">
        <f t="shared" ref="M82:V82" si="26">SUM(M83:M84)</f>
        <v>2797</v>
      </c>
      <c r="N82" s="110">
        <f t="shared" si="26"/>
        <v>2104</v>
      </c>
      <c r="O82" s="110">
        <f t="shared" si="26"/>
        <v>2954</v>
      </c>
      <c r="P82" s="110">
        <f t="shared" si="26"/>
        <v>1423</v>
      </c>
      <c r="Q82" s="110">
        <f t="shared" si="26"/>
        <v>5686</v>
      </c>
      <c r="R82" s="110">
        <f t="shared" si="26"/>
        <v>8368</v>
      </c>
      <c r="S82" s="110">
        <f t="shared" si="26"/>
        <v>3919</v>
      </c>
      <c r="T82" s="110">
        <f t="shared" si="26"/>
        <v>12175</v>
      </c>
      <c r="U82" s="110">
        <f t="shared" si="26"/>
        <v>10127</v>
      </c>
      <c r="V82" s="110">
        <f t="shared" si="26"/>
        <v>8910</v>
      </c>
      <c r="W82" s="110">
        <f t="shared" ref="W82:Y82" si="27">SUM(W83:W84)</f>
        <v>6358</v>
      </c>
      <c r="X82" s="110">
        <f t="shared" si="27"/>
        <v>8518</v>
      </c>
      <c r="Y82" s="110">
        <f t="shared" si="27"/>
        <v>6353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845</v>
      </c>
      <c r="K83" s="102">
        <v>1719</v>
      </c>
      <c r="L83" s="102">
        <v>1257</v>
      </c>
      <c r="M83" s="102">
        <v>2438</v>
      </c>
      <c r="N83" s="102">
        <v>2101</v>
      </c>
      <c r="O83" s="102">
        <v>2371</v>
      </c>
      <c r="P83" s="102">
        <v>1423</v>
      </c>
      <c r="Q83" s="102">
        <v>5201</v>
      </c>
      <c r="R83" s="102">
        <v>8279</v>
      </c>
      <c r="S83" s="102">
        <v>3838</v>
      </c>
      <c r="T83" s="102">
        <v>12175</v>
      </c>
      <c r="U83" s="102">
        <v>10127</v>
      </c>
      <c r="V83" s="102">
        <v>8191</v>
      </c>
      <c r="W83" s="102">
        <v>5659</v>
      </c>
      <c r="X83" s="102">
        <v>7653</v>
      </c>
      <c r="Y83" s="102">
        <v>6001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77</v>
      </c>
      <c r="M84" s="86">
        <v>359</v>
      </c>
      <c r="N84" s="86">
        <v>3</v>
      </c>
      <c r="O84" s="86">
        <v>583</v>
      </c>
      <c r="P84" s="86">
        <v>0</v>
      </c>
      <c r="Q84" s="86">
        <v>485</v>
      </c>
      <c r="R84" s="86">
        <v>89</v>
      </c>
      <c r="S84" s="86">
        <v>81</v>
      </c>
      <c r="T84" s="86">
        <v>0</v>
      </c>
      <c r="U84" s="86">
        <v>0</v>
      </c>
      <c r="V84" s="86">
        <v>719</v>
      </c>
      <c r="W84" s="86">
        <v>699</v>
      </c>
      <c r="X84" s="86">
        <v>865</v>
      </c>
      <c r="Y84" s="86">
        <v>352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4.0813519595062617</v>
      </c>
      <c r="C90" s="141">
        <v>4.066478341857338</v>
      </c>
      <c r="D90" s="141">
        <v>4.0466826584218394</v>
      </c>
      <c r="E90" s="141">
        <v>4.0212415360415541</v>
      </c>
      <c r="F90" s="141">
        <v>4.0154038886016563</v>
      </c>
      <c r="G90" s="141">
        <v>4.0051117588202167</v>
      </c>
      <c r="H90" s="141">
        <v>3.9926255111650844</v>
      </c>
      <c r="I90" s="141">
        <v>3.8863432310623902</v>
      </c>
      <c r="J90" s="141">
        <v>3.7692887885109836</v>
      </c>
      <c r="K90" s="141">
        <v>3.6863914009150744</v>
      </c>
      <c r="L90" s="141">
        <v>3.6212151520985958</v>
      </c>
      <c r="M90" s="141">
        <v>3.5531751015826134</v>
      </c>
      <c r="N90" s="141">
        <v>3.4771357046523081</v>
      </c>
      <c r="O90" s="141">
        <v>3.4021284028044292</v>
      </c>
      <c r="P90" s="141">
        <v>3.3543510302827175</v>
      </c>
      <c r="Q90" s="141">
        <v>3.2781239460388112</v>
      </c>
      <c r="R90" s="141">
        <v>3.2045549552847485</v>
      </c>
      <c r="S90" s="141">
        <v>3.1522044623891827</v>
      </c>
      <c r="T90" s="141">
        <v>3.0807241144334818</v>
      </c>
      <c r="U90" s="141">
        <v>3.0134613781974879</v>
      </c>
      <c r="V90" s="141">
        <v>2.9780865202934619</v>
      </c>
      <c r="W90" s="141">
        <v>2.9452221141071493</v>
      </c>
      <c r="X90" s="141">
        <v>2.9057549907195623</v>
      </c>
      <c r="Y90" s="141">
        <v>2.8381280854615483</v>
      </c>
      <c r="DA90" s="174" t="s">
        <v>864</v>
      </c>
    </row>
    <row r="91" spans="1:105" ht="11.45" customHeight="1" x14ac:dyDescent="0.25">
      <c r="A91" s="109" t="s">
        <v>20</v>
      </c>
      <c r="B91" s="130">
        <v>7.9990207504421393</v>
      </c>
      <c r="C91" s="130">
        <v>7.8778957119300514</v>
      </c>
      <c r="D91" s="130">
        <v>7.8194300949755213</v>
      </c>
      <c r="E91" s="130">
        <v>7.7383955670213567</v>
      </c>
      <c r="F91" s="130">
        <v>7.6798474314227168</v>
      </c>
      <c r="G91" s="130">
        <v>7.6740307798563361</v>
      </c>
      <c r="H91" s="130">
        <v>7.6236307979274178</v>
      </c>
      <c r="I91" s="130">
        <v>7.5763943596943681</v>
      </c>
      <c r="J91" s="130">
        <v>7.5051515426799469</v>
      </c>
      <c r="K91" s="130">
        <v>7.455926427954136</v>
      </c>
      <c r="L91" s="130">
        <v>7.4518473260847351</v>
      </c>
      <c r="M91" s="130">
        <v>7.3741049848871567</v>
      </c>
      <c r="N91" s="130">
        <v>7.3728110325746536</v>
      </c>
      <c r="O91" s="130">
        <v>7.3530273334905143</v>
      </c>
      <c r="P91" s="130">
        <v>7.3101419125945837</v>
      </c>
      <c r="Q91" s="130">
        <v>7.1907725116322716</v>
      </c>
      <c r="R91" s="130">
        <v>7.1426979350542519</v>
      </c>
      <c r="S91" s="130">
        <v>7.0949225680681236</v>
      </c>
      <c r="T91" s="130">
        <v>6.9954206830974588</v>
      </c>
      <c r="U91" s="130">
        <v>6.8915659980319397</v>
      </c>
      <c r="V91" s="130">
        <v>6.7915014857768421</v>
      </c>
      <c r="W91" s="130">
        <v>6.6845350945278623</v>
      </c>
      <c r="X91" s="130">
        <v>6.5769675490846966</v>
      </c>
      <c r="Y91" s="130">
        <v>6.4789929675244595</v>
      </c>
      <c r="DA91" s="176" t="s">
        <v>865</v>
      </c>
    </row>
    <row r="92" spans="1:105" ht="11.45" customHeight="1" x14ac:dyDescent="0.25">
      <c r="A92" s="111" t="s">
        <v>110</v>
      </c>
      <c r="B92" s="96">
        <v>7.967642282657887</v>
      </c>
      <c r="C92" s="96">
        <v>7.9655891292803114</v>
      </c>
      <c r="D92" s="96">
        <v>7.9639412653088275</v>
      </c>
      <c r="E92" s="96">
        <v>7.9596682588960235</v>
      </c>
      <c r="F92" s="96">
        <v>7.9549278014728824</v>
      </c>
      <c r="G92" s="96">
        <v>7.9522289308080829</v>
      </c>
      <c r="H92" s="96">
        <v>7.9435326946860352</v>
      </c>
      <c r="I92" s="96">
        <v>7.9145326623507382</v>
      </c>
      <c r="J92" s="96">
        <v>7.8692229070406254</v>
      </c>
      <c r="K92" s="96">
        <v>7.8457417264366471</v>
      </c>
      <c r="L92" s="96">
        <v>7.8251825916469677</v>
      </c>
      <c r="M92" s="96">
        <v>7.7727052694581946</v>
      </c>
      <c r="N92" s="96">
        <v>7.7334326380190488</v>
      </c>
      <c r="O92" s="96">
        <v>7.6751470883738815</v>
      </c>
      <c r="P92" s="96">
        <v>7.6216472163442601</v>
      </c>
      <c r="Q92" s="96">
        <v>7.5355091815226514</v>
      </c>
      <c r="R92" s="96">
        <v>7.4291144486844436</v>
      </c>
      <c r="S92" s="96">
        <v>7.3373790792618614</v>
      </c>
      <c r="T92" s="96">
        <v>7.2037225955287081</v>
      </c>
      <c r="U92" s="96">
        <v>7.0745973145471543</v>
      </c>
      <c r="V92" s="96">
        <v>6.953027088348712</v>
      </c>
      <c r="W92" s="96">
        <v>6.8234490902183884</v>
      </c>
      <c r="X92" s="96">
        <v>6.6941451567780872</v>
      </c>
      <c r="Y92" s="96">
        <v>6.5570947659897367</v>
      </c>
      <c r="DA92" s="171" t="s">
        <v>866</v>
      </c>
    </row>
    <row r="93" spans="1:105" ht="11.45" customHeight="1" x14ac:dyDescent="0.25">
      <c r="A93" s="111" t="s">
        <v>111</v>
      </c>
      <c r="B93" s="96">
        <v>7.4695163904535571</v>
      </c>
      <c r="C93" s="96">
        <v>7.2152647467406448</v>
      </c>
      <c r="D93" s="96">
        <v>7.0717384120166598</v>
      </c>
      <c r="E93" s="96">
        <v>6.8737202168702325</v>
      </c>
      <c r="F93" s="96">
        <v>6.7926952682641897</v>
      </c>
      <c r="G93" s="96">
        <v>6.7626385289629969</v>
      </c>
      <c r="H93" s="96">
        <v>6.7279870086698201</v>
      </c>
      <c r="I93" s="96">
        <v>6.6830885152025941</v>
      </c>
      <c r="J93" s="96">
        <v>6.6383905858709973</v>
      </c>
      <c r="K93" s="96">
        <v>6.6204587326692454</v>
      </c>
      <c r="L93" s="96">
        <v>6.6171144035424012</v>
      </c>
      <c r="M93" s="96">
        <v>6.6345296760421579</v>
      </c>
      <c r="N93" s="96">
        <v>6.6333808214275578</v>
      </c>
      <c r="O93" s="96">
        <v>6.6126248068079585</v>
      </c>
      <c r="P93" s="96">
        <v>6.5785196255965239</v>
      </c>
      <c r="Q93" s="96">
        <v>6.4688953425339211</v>
      </c>
      <c r="R93" s="96">
        <v>6.4437975112513834</v>
      </c>
      <c r="S93" s="96">
        <v>6.4171496440872602</v>
      </c>
      <c r="T93" s="96">
        <v>6.3630590904323547</v>
      </c>
      <c r="U93" s="96">
        <v>6.2908405348404814</v>
      </c>
      <c r="V93" s="96">
        <v>6.2123192974564851</v>
      </c>
      <c r="W93" s="96">
        <v>6.1272960528748763</v>
      </c>
      <c r="X93" s="96">
        <v>6.0597166540765359</v>
      </c>
      <c r="Y93" s="96">
        <v>6.0111496088869556</v>
      </c>
      <c r="DA93" s="171" t="s">
        <v>867</v>
      </c>
    </row>
    <row r="94" spans="1:105" ht="11.45" customHeight="1" x14ac:dyDescent="0.25">
      <c r="A94" s="111" t="s">
        <v>112</v>
      </c>
      <c r="B94" s="96">
        <v>8.6052200026719596</v>
      </c>
      <c r="C94" s="96">
        <v>7.6924863713286369</v>
      </c>
      <c r="D94" s="96">
        <v>7.523932689615104</v>
      </c>
      <c r="E94" s="96">
        <v>7.4493674756594626</v>
      </c>
      <c r="F94" s="96">
        <v>7.4099611725355858</v>
      </c>
      <c r="G94" s="96">
        <v>7.4274562842487883</v>
      </c>
      <c r="H94" s="96">
        <v>7.4412862468264107</v>
      </c>
      <c r="I94" s="96">
        <v>7.4496911808082187</v>
      </c>
      <c r="J94" s="96">
        <v>7.4154769349488765</v>
      </c>
      <c r="K94" s="96">
        <v>7.3735887670383278</v>
      </c>
      <c r="L94" s="96">
        <v>7.4640082170064472</v>
      </c>
      <c r="M94" s="96">
        <v>7.5241575442355888</v>
      </c>
      <c r="N94" s="96">
        <v>7.6838858694860894</v>
      </c>
      <c r="O94" s="96">
        <v>7.724168631561029</v>
      </c>
      <c r="P94" s="96">
        <v>7.6345427138925404</v>
      </c>
      <c r="Q94" s="96">
        <v>7.3352961892665158</v>
      </c>
      <c r="R94" s="96">
        <v>7.3506651930839446</v>
      </c>
      <c r="S94" s="96">
        <v>7.3445544074586193</v>
      </c>
      <c r="T94" s="96">
        <v>7.2614789209723121</v>
      </c>
      <c r="U94" s="96">
        <v>7.159371196706422</v>
      </c>
      <c r="V94" s="96">
        <v>7.0224762236877831</v>
      </c>
      <c r="W94" s="96">
        <v>6.8738622002208016</v>
      </c>
      <c r="X94" s="96">
        <v>6.7363849066299863</v>
      </c>
      <c r="Y94" s="96">
        <v>6.5980262021825959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9.4400302482943861</v>
      </c>
      <c r="G95" s="96">
        <v>9.3470094126703245</v>
      </c>
      <c r="H95" s="96">
        <v>9.2998134289443399</v>
      </c>
      <c r="I95" s="96">
        <v>9.2027962833872969</v>
      </c>
      <c r="J95" s="96">
        <v>9.1918096354900189</v>
      </c>
      <c r="K95" s="96">
        <v>8.8368273550039476</v>
      </c>
      <c r="L95" s="96">
        <v>7.7799101873128782</v>
      </c>
      <c r="M95" s="96">
        <v>7.6166446533967775</v>
      </c>
      <c r="N95" s="96">
        <v>7.5175970359513506</v>
      </c>
      <c r="O95" s="96">
        <v>7.4708453998086428</v>
      </c>
      <c r="P95" s="96">
        <v>7.2069292117134713</v>
      </c>
      <c r="Q95" s="96">
        <v>7.038551508550265</v>
      </c>
      <c r="R95" s="96">
        <v>6.9496346784703276</v>
      </c>
      <c r="S95" s="96">
        <v>6.9232548070201281</v>
      </c>
      <c r="T95" s="96">
        <v>6.8414773742839632</v>
      </c>
      <c r="U95" s="96">
        <v>6.7016479739059545</v>
      </c>
      <c r="V95" s="96">
        <v>6.6395483738292222</v>
      </c>
      <c r="W95" s="96">
        <v>6.6248572769386449</v>
      </c>
      <c r="X95" s="96">
        <v>6.3083110353596235</v>
      </c>
      <c r="Y95" s="96">
        <v>6.2977049453808664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2.6450945307222993</v>
      </c>
      <c r="O96" s="96">
        <v>2.6450945307222993</v>
      </c>
      <c r="P96" s="96">
        <v>3.0336427561595851</v>
      </c>
      <c r="Q96" s="96">
        <v>3.2494051866232545</v>
      </c>
      <c r="R96" s="96">
        <v>3.1526913632533957</v>
      </c>
      <c r="S96" s="96">
        <v>3.219028579446797</v>
      </c>
      <c r="T96" s="96">
        <v>3.1936025519628792</v>
      </c>
      <c r="U96" s="96">
        <v>3.5660371557392136</v>
      </c>
      <c r="V96" s="96">
        <v>3.4503459723351324</v>
      </c>
      <c r="W96" s="96">
        <v>3.1836842687144258</v>
      </c>
      <c r="X96" s="96">
        <v>3.0316771779048222</v>
      </c>
      <c r="Y96" s="96">
        <v>2.8778312252631193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0</v>
      </c>
      <c r="P97" s="96">
        <v>0</v>
      </c>
      <c r="Q97" s="96">
        <v>0</v>
      </c>
      <c r="R97" s="96">
        <v>1.1129587088241777</v>
      </c>
      <c r="S97" s="96">
        <v>1.0654181036067099</v>
      </c>
      <c r="T97" s="96">
        <v>1.1349994011049331</v>
      </c>
      <c r="U97" s="96">
        <v>1.2554418988908405</v>
      </c>
      <c r="V97" s="96">
        <v>1.3197115475926606</v>
      </c>
      <c r="W97" s="96">
        <v>1.4057407040807612</v>
      </c>
      <c r="X97" s="96">
        <v>1.4237633492243604</v>
      </c>
      <c r="Y97" s="96">
        <v>1.5023441273927016</v>
      </c>
      <c r="DA97" s="171" t="s">
        <v>871</v>
      </c>
    </row>
    <row r="98" spans="1:105" ht="11.45" customHeight="1" x14ac:dyDescent="0.25">
      <c r="A98" s="109" t="s">
        <v>21</v>
      </c>
      <c r="B98" s="130">
        <v>52.915462043411537</v>
      </c>
      <c r="C98" s="130">
        <v>52.39404472848625</v>
      </c>
      <c r="D98" s="130">
        <v>51.493688555172326</v>
      </c>
      <c r="E98" s="130">
        <v>51.390657215757336</v>
      </c>
      <c r="F98" s="130">
        <v>51.164251989539814</v>
      </c>
      <c r="G98" s="130">
        <v>50.442146179427631</v>
      </c>
      <c r="H98" s="130">
        <v>50.038655449845507</v>
      </c>
      <c r="I98" s="130">
        <v>49.398468198474966</v>
      </c>
      <c r="J98" s="130">
        <v>49.058657519815533</v>
      </c>
      <c r="K98" s="130">
        <v>48.364447630461527</v>
      </c>
      <c r="L98" s="130">
        <v>47.584234509260256</v>
      </c>
      <c r="M98" s="130">
        <v>47.050419706729429</v>
      </c>
      <c r="N98" s="130">
        <v>46.497222466457522</v>
      </c>
      <c r="O98" s="130">
        <v>44.92411894538985</v>
      </c>
      <c r="P98" s="130">
        <v>44.259093246563168</v>
      </c>
      <c r="Q98" s="130">
        <v>43.902626709569873</v>
      </c>
      <c r="R98" s="130">
        <v>40.191711634619878</v>
      </c>
      <c r="S98" s="130">
        <v>39.351850289339957</v>
      </c>
      <c r="T98" s="130">
        <v>38.876357856897506</v>
      </c>
      <c r="U98" s="130">
        <v>38.362819926892911</v>
      </c>
      <c r="V98" s="130">
        <v>38.268119383668214</v>
      </c>
      <c r="W98" s="130">
        <v>37.925322874779738</v>
      </c>
      <c r="X98" s="130">
        <v>37.762748583334478</v>
      </c>
      <c r="Y98" s="130">
        <v>37.32221420409067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10.590293788823612</v>
      </c>
      <c r="S99" s="97">
        <v>10.590293788823612</v>
      </c>
      <c r="T99" s="97">
        <v>10.590293788823612</v>
      </c>
      <c r="U99" s="97">
        <v>10.59029378882361</v>
      </c>
      <c r="V99" s="97">
        <v>10.590293788823613</v>
      </c>
      <c r="W99" s="97">
        <v>10.590293788823612</v>
      </c>
      <c r="X99" s="97">
        <v>10.590293788823612</v>
      </c>
      <c r="Y99" s="97">
        <v>10.590293788823613</v>
      </c>
      <c r="DA99" s="175" t="s">
        <v>873</v>
      </c>
    </row>
    <row r="100" spans="1:105" ht="11.45" customHeight="1" x14ac:dyDescent="0.25">
      <c r="A100" s="111" t="s">
        <v>111</v>
      </c>
      <c r="B100" s="97">
        <v>52.915462043411537</v>
      </c>
      <c r="C100" s="97">
        <v>52.051413737522623</v>
      </c>
      <c r="D100" s="97">
        <v>50.809907218168895</v>
      </c>
      <c r="E100" s="97">
        <v>50.688323935522128</v>
      </c>
      <c r="F100" s="97">
        <v>50.541131931515764</v>
      </c>
      <c r="G100" s="97">
        <v>49.859455772798903</v>
      </c>
      <c r="H100" s="97">
        <v>49.657349439967049</v>
      </c>
      <c r="I100" s="97">
        <v>49.180277877772255</v>
      </c>
      <c r="J100" s="97">
        <v>48.948850265780592</v>
      </c>
      <c r="K100" s="97">
        <v>48.435606379190716</v>
      </c>
      <c r="L100" s="97">
        <v>47.995382344899774</v>
      </c>
      <c r="M100" s="97">
        <v>47.432636291219239</v>
      </c>
      <c r="N100" s="97">
        <v>46.964937701900418</v>
      </c>
      <c r="O100" s="97">
        <v>46.774052589956618</v>
      </c>
      <c r="P100" s="97">
        <v>46.40623207341838</v>
      </c>
      <c r="Q100" s="97">
        <v>45.967746355826939</v>
      </c>
      <c r="R100" s="97">
        <v>45.714943145975539</v>
      </c>
      <c r="S100" s="97">
        <v>45.309244139133092</v>
      </c>
      <c r="T100" s="97">
        <v>44.993199021065678</v>
      </c>
      <c r="U100" s="97">
        <v>44.643131899621643</v>
      </c>
      <c r="V100" s="97">
        <v>44.094374899776497</v>
      </c>
      <c r="W100" s="97">
        <v>43.75287600302196</v>
      </c>
      <c r="X100" s="97">
        <v>42.003340214951308</v>
      </c>
      <c r="Y100" s="97">
        <v>40.643089240212483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35.591417128308599</v>
      </c>
      <c r="S101" s="97">
        <v>35.591417128308599</v>
      </c>
      <c r="T101" s="97">
        <v>35.518144650323713</v>
      </c>
      <c r="U101" s="97">
        <v>35.51814465032372</v>
      </c>
      <c r="V101" s="97">
        <v>35.368063117470925</v>
      </c>
      <c r="W101" s="97">
        <v>34.253295814919618</v>
      </c>
      <c r="X101" s="97">
        <v>34.21282665421333</v>
      </c>
      <c r="Y101" s="97">
        <v>34.075266618294066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38.285053520594701</v>
      </c>
      <c r="G102" s="97">
        <v>38.203960595366496</v>
      </c>
      <c r="H102" s="97">
        <v>38.090439769388311</v>
      </c>
      <c r="I102" s="97">
        <v>37.995482184194536</v>
      </c>
      <c r="J102" s="97">
        <v>37.988838692773129</v>
      </c>
      <c r="K102" s="97">
        <v>37.646344053181274</v>
      </c>
      <c r="L102" s="97">
        <v>37.287613079197271</v>
      </c>
      <c r="M102" s="97">
        <v>37.256572977473063</v>
      </c>
      <c r="N102" s="97">
        <v>37.204195589275045</v>
      </c>
      <c r="O102" s="97">
        <v>36.234788469404734</v>
      </c>
      <c r="P102" s="97">
        <v>36.100881749122919</v>
      </c>
      <c r="Q102" s="97">
        <v>35.991694609597644</v>
      </c>
      <c r="R102" s="97">
        <v>35.914310957641291</v>
      </c>
      <c r="S102" s="97">
        <v>35.885125364182763</v>
      </c>
      <c r="T102" s="97">
        <v>35.66032919363078</v>
      </c>
      <c r="U102" s="97">
        <v>35.323563439181029</v>
      </c>
      <c r="V102" s="97">
        <v>35.024272206337379</v>
      </c>
      <c r="W102" s="97">
        <v>34.756999092385115</v>
      </c>
      <c r="X102" s="97">
        <v>34.240390132560321</v>
      </c>
      <c r="Y102" s="97">
        <v>33.945931830641406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27.185760697477914</v>
      </c>
      <c r="K103" s="97">
        <v>27.009480036199012</v>
      </c>
      <c r="L103" s="97">
        <v>26.822576105237125</v>
      </c>
      <c r="M103" s="97">
        <v>26.779877000680894</v>
      </c>
      <c r="N103" s="97">
        <v>26.712134658268969</v>
      </c>
      <c r="O103" s="97">
        <v>25.950993143078467</v>
      </c>
      <c r="P103" s="97">
        <v>25.859882412803469</v>
      </c>
      <c r="Q103" s="97">
        <v>25.817216887641308</v>
      </c>
      <c r="R103" s="97">
        <v>25.813055190686324</v>
      </c>
      <c r="S103" s="97">
        <v>25.81045428350766</v>
      </c>
      <c r="T103" s="97">
        <v>25.762821728246447</v>
      </c>
      <c r="U103" s="97">
        <v>25.597451829962701</v>
      </c>
      <c r="V103" s="97">
        <v>25.518355968688223</v>
      </c>
      <c r="W103" s="97">
        <v>25.097341661443579</v>
      </c>
      <c r="X103" s="97">
        <v>25.074096743893648</v>
      </c>
      <c r="Y103" s="97">
        <v>24.207627440580332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9.3009384025037516</v>
      </c>
      <c r="C105" s="141">
        <v>9.3108918272061345</v>
      </c>
      <c r="D105" s="141">
        <v>9.2643947395075354</v>
      </c>
      <c r="E105" s="141">
        <v>8.9877393469974471</v>
      </c>
      <c r="F105" s="141">
        <v>8.5695734661095386</v>
      </c>
      <c r="G105" s="141">
        <v>8.439706014739178</v>
      </c>
      <c r="H105" s="141">
        <v>8.0343441798841848</v>
      </c>
      <c r="I105" s="141">
        <v>7.7084753277779283</v>
      </c>
      <c r="J105" s="141">
        <v>7.4780998403136696</v>
      </c>
      <c r="K105" s="141">
        <v>7.3003930908818644</v>
      </c>
      <c r="L105" s="141">
        <v>7.1406337129278361</v>
      </c>
      <c r="M105" s="141">
        <v>7.0397397290061345</v>
      </c>
      <c r="N105" s="141">
        <v>6.913198864377696</v>
      </c>
      <c r="O105" s="141">
        <v>6.8022424753877564</v>
      </c>
      <c r="P105" s="141">
        <v>6.6713056172255909</v>
      </c>
      <c r="Q105" s="141">
        <v>6.5412701757828655</v>
      </c>
      <c r="R105" s="141">
        <v>6.319216781091999</v>
      </c>
      <c r="S105" s="141">
        <v>6.096122243496926</v>
      </c>
      <c r="T105" s="141">
        <v>5.8922894866876883</v>
      </c>
      <c r="U105" s="141">
        <v>5.7549296227017583</v>
      </c>
      <c r="V105" s="141">
        <v>5.6648889657682835</v>
      </c>
      <c r="W105" s="141">
        <v>5.6211441083640796</v>
      </c>
      <c r="X105" s="141">
        <v>5.5924559174856219</v>
      </c>
      <c r="Y105" s="141">
        <v>5.5705473962081529</v>
      </c>
      <c r="DA105" s="174" t="s">
        <v>878</v>
      </c>
    </row>
    <row r="106" spans="1:105" ht="11.45" customHeight="1" x14ac:dyDescent="0.25">
      <c r="A106" s="111" t="s">
        <v>110</v>
      </c>
      <c r="B106" s="96">
        <v>10.923155343227663</v>
      </c>
      <c r="C106" s="96">
        <v>10.789281018357121</v>
      </c>
      <c r="D106" s="96">
        <v>10.640276284136876</v>
      </c>
      <c r="E106" s="96">
        <v>10.478008457858046</v>
      </c>
      <c r="F106" s="96">
        <v>10.321458001792385</v>
      </c>
      <c r="G106" s="96">
        <v>10.23682973390796</v>
      </c>
      <c r="H106" s="96">
        <v>10.186553588149025</v>
      </c>
      <c r="I106" s="96">
        <v>10.12692890563102</v>
      </c>
      <c r="J106" s="96">
        <v>10.048140499232284</v>
      </c>
      <c r="K106" s="96">
        <v>9.9799732162122812</v>
      </c>
      <c r="L106" s="96">
        <v>9.7886189472762748</v>
      </c>
      <c r="M106" s="96">
        <v>9.6439813854556338</v>
      </c>
      <c r="N106" s="96">
        <v>9.2054024046660796</v>
      </c>
      <c r="O106" s="96">
        <v>8.8470232131643325</v>
      </c>
      <c r="P106" s="96">
        <v>8.1837806675900726</v>
      </c>
      <c r="Q106" s="96">
        <v>7.6371371899685307</v>
      </c>
      <c r="R106" s="96">
        <v>7.0226443449509945</v>
      </c>
      <c r="S106" s="96">
        <v>6.563605548394948</v>
      </c>
      <c r="T106" s="96">
        <v>6.1072112804711658</v>
      </c>
      <c r="U106" s="96">
        <v>5.9074177424575485</v>
      </c>
      <c r="V106" s="96">
        <v>5.8436285485627151</v>
      </c>
      <c r="W106" s="96">
        <v>5.7957347468036495</v>
      </c>
      <c r="X106" s="96">
        <v>5.7377338756124958</v>
      </c>
      <c r="Y106" s="96">
        <v>5.656529589779419</v>
      </c>
      <c r="DA106" s="171" t="s">
        <v>879</v>
      </c>
    </row>
    <row r="107" spans="1:105" ht="11.45" customHeight="1" x14ac:dyDescent="0.25">
      <c r="A107" s="111" t="s">
        <v>111</v>
      </c>
      <c r="B107" s="96">
        <v>8.6935845844834407</v>
      </c>
      <c r="C107" s="96">
        <v>8.6935845844834407</v>
      </c>
      <c r="D107" s="96">
        <v>8.649901140452716</v>
      </c>
      <c r="E107" s="96">
        <v>8.2537848528043174</v>
      </c>
      <c r="F107" s="96">
        <v>7.7598776566998495</v>
      </c>
      <c r="G107" s="96">
        <v>7.6306732247437834</v>
      </c>
      <c r="H107" s="96">
        <v>7.2937417566657174</v>
      </c>
      <c r="I107" s="96">
        <v>7.0775581303762074</v>
      </c>
      <c r="J107" s="96">
        <v>6.9484808684202619</v>
      </c>
      <c r="K107" s="96">
        <v>6.8505476688027649</v>
      </c>
      <c r="L107" s="96">
        <v>6.7924529926270285</v>
      </c>
      <c r="M107" s="96">
        <v>6.7222722835805842</v>
      </c>
      <c r="N107" s="96">
        <v>6.6409092980511506</v>
      </c>
      <c r="O107" s="96">
        <v>6.5636230271879841</v>
      </c>
      <c r="P107" s="96">
        <v>6.4813705738400911</v>
      </c>
      <c r="Q107" s="96">
        <v>6.3606307734709198</v>
      </c>
      <c r="R107" s="96">
        <v>6.1965555614958863</v>
      </c>
      <c r="S107" s="96">
        <v>5.9935862010540459</v>
      </c>
      <c r="T107" s="96">
        <v>5.8245528479712974</v>
      </c>
      <c r="U107" s="96">
        <v>5.7002994347383238</v>
      </c>
      <c r="V107" s="96">
        <v>5.6164977301162473</v>
      </c>
      <c r="W107" s="96">
        <v>5.5754521170832581</v>
      </c>
      <c r="X107" s="96">
        <v>5.5515328821028849</v>
      </c>
      <c r="Y107" s="96">
        <v>5.5449546250684261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7.6867742802032435</v>
      </c>
      <c r="S108" s="96">
        <v>6.9049810634355815</v>
      </c>
      <c r="T108" s="96">
        <v>6.7578996040678829</v>
      </c>
      <c r="U108" s="96">
        <v>6.7950119661353536</v>
      </c>
      <c r="V108" s="96">
        <v>6.6467816216405771</v>
      </c>
      <c r="W108" s="96">
        <v>6.4910290511169277</v>
      </c>
      <c r="X108" s="96">
        <v>6.4906128594708976</v>
      </c>
      <c r="Y108" s="96">
        <v>6.4576506833596978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4.3757513562171573</v>
      </c>
      <c r="S109" s="96">
        <v>4.5324462476533656</v>
      </c>
      <c r="T109" s="96">
        <v>4.7501133614559192</v>
      </c>
      <c r="U109" s="96">
        <v>4.7660693642931387</v>
      </c>
      <c r="V109" s="96">
        <v>5.2649377176147247</v>
      </c>
      <c r="W109" s="96">
        <v>5.5334016986782704</v>
      </c>
      <c r="X109" s="96">
        <v>5.5130188335191512</v>
      </c>
      <c r="Y109" s="96">
        <v>5.5286978909828051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1.2406928838497286</v>
      </c>
      <c r="O110" s="96">
        <v>1.2406784297113127</v>
      </c>
      <c r="P110" s="96">
        <v>1.2409987919112904</v>
      </c>
      <c r="Q110" s="96">
        <v>1.2589503307430143</v>
      </c>
      <c r="R110" s="96">
        <v>1.2797921114132544</v>
      </c>
      <c r="S110" s="96">
        <v>1.2896318550954795</v>
      </c>
      <c r="T110" s="96">
        <v>1.2783433681385123</v>
      </c>
      <c r="U110" s="96">
        <v>1.3326306476437986</v>
      </c>
      <c r="V110" s="96">
        <v>1.3900503172337073</v>
      </c>
      <c r="W110" s="96">
        <v>1.6108272070683969</v>
      </c>
      <c r="X110" s="96">
        <v>1.9833385691559808</v>
      </c>
      <c r="Y110" s="96">
        <v>1.9327468436610917</v>
      </c>
      <c r="DA110" s="171" t="s">
        <v>883</v>
      </c>
    </row>
    <row r="111" spans="1:105" ht="11.45" customHeight="1" x14ac:dyDescent="0.25">
      <c r="A111" s="109" t="s">
        <v>154</v>
      </c>
      <c r="B111" s="130">
        <v>30.681391054693012</v>
      </c>
      <c r="C111" s="130">
        <v>30.412685603020769</v>
      </c>
      <c r="D111" s="130">
        <v>30.162880184570408</v>
      </c>
      <c r="E111" s="130">
        <v>29.398257951030832</v>
      </c>
      <c r="F111" s="130">
        <v>28.9823020803221</v>
      </c>
      <c r="G111" s="130">
        <v>28.724816208588077</v>
      </c>
      <c r="H111" s="130">
        <v>28.406514248734986</v>
      </c>
      <c r="I111" s="130">
        <v>28.229168716917822</v>
      </c>
      <c r="J111" s="130">
        <v>27.703333215089149</v>
      </c>
      <c r="K111" s="130">
        <v>27.395919307967461</v>
      </c>
      <c r="L111" s="130">
        <v>27.24794191603895</v>
      </c>
      <c r="M111" s="130">
        <v>27.075536321349489</v>
      </c>
      <c r="N111" s="130">
        <v>26.867998885581255</v>
      </c>
      <c r="O111" s="130">
        <v>26.667345232198098</v>
      </c>
      <c r="P111" s="130">
        <v>26.471645795352927</v>
      </c>
      <c r="Q111" s="130">
        <v>25.92076893662065</v>
      </c>
      <c r="R111" s="130">
        <v>25.255556759987979</v>
      </c>
      <c r="S111" s="130">
        <v>24.938405215762813</v>
      </c>
      <c r="T111" s="130">
        <v>24.318546591021374</v>
      </c>
      <c r="U111" s="130">
        <v>23.889065237775924</v>
      </c>
      <c r="V111" s="130">
        <v>23.116552316864137</v>
      </c>
      <c r="W111" s="130">
        <v>22.825488669994925</v>
      </c>
      <c r="X111" s="130">
        <v>22.504288636284429</v>
      </c>
      <c r="Y111" s="130">
        <v>22.294298638448456</v>
      </c>
      <c r="DA111" s="176" t="s">
        <v>884</v>
      </c>
    </row>
    <row r="112" spans="1:105" ht="11.45" customHeight="1" x14ac:dyDescent="0.25">
      <c r="A112" s="128" t="s">
        <v>27</v>
      </c>
      <c r="B112" s="97">
        <v>29.301268328460061</v>
      </c>
      <c r="C112" s="97">
        <v>29.061281002551837</v>
      </c>
      <c r="D112" s="97">
        <v>28.904391815144216</v>
      </c>
      <c r="E112" s="97">
        <v>28.45871061882692</v>
      </c>
      <c r="F112" s="97">
        <v>28.105905164052608</v>
      </c>
      <c r="G112" s="97">
        <v>27.885371822059678</v>
      </c>
      <c r="H112" s="97">
        <v>27.755542551983606</v>
      </c>
      <c r="I112" s="97">
        <v>27.639130637703456</v>
      </c>
      <c r="J112" s="97">
        <v>27.415472735240403</v>
      </c>
      <c r="K112" s="97">
        <v>27.105016960824521</v>
      </c>
      <c r="L112" s="97">
        <v>26.944647234729295</v>
      </c>
      <c r="M112" s="97">
        <v>26.757001179997253</v>
      </c>
      <c r="N112" s="97">
        <v>26.553992077981874</v>
      </c>
      <c r="O112" s="97">
        <v>26.316279155831729</v>
      </c>
      <c r="P112" s="97">
        <v>26.121981456310515</v>
      </c>
      <c r="Q112" s="97">
        <v>25.539735540404628</v>
      </c>
      <c r="R112" s="97">
        <v>24.908796019959301</v>
      </c>
      <c r="S112" s="97">
        <v>24.616623787786658</v>
      </c>
      <c r="T112" s="97">
        <v>24.062312979394374</v>
      </c>
      <c r="U112" s="97">
        <v>23.685633610687816</v>
      </c>
      <c r="V112" s="97">
        <v>22.884979591202036</v>
      </c>
      <c r="W112" s="97">
        <v>22.598098037720007</v>
      </c>
      <c r="X112" s="97">
        <v>22.274215681861946</v>
      </c>
      <c r="Y112" s="97">
        <v>22.077154690806871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36.373636846497511</v>
      </c>
      <c r="D113" s="98">
        <v>36.052480061762687</v>
      </c>
      <c r="E113" s="98">
        <v>35.79512223310423</v>
      </c>
      <c r="F113" s="98">
        <v>35.136998605941926</v>
      </c>
      <c r="G113" s="98">
        <v>34.836842622117608</v>
      </c>
      <c r="H113" s="98">
        <v>34.662631350144743</v>
      </c>
      <c r="I113" s="98">
        <v>34.500657319959778</v>
      </c>
      <c r="J113" s="98">
        <v>33.633156200784782</v>
      </c>
      <c r="K113" s="98">
        <v>33.4681406115293</v>
      </c>
      <c r="L113" s="98">
        <v>32.830434940266358</v>
      </c>
      <c r="M113" s="98">
        <v>32.105364696282159</v>
      </c>
      <c r="N113" s="98">
        <v>32.017962744514378</v>
      </c>
      <c r="O113" s="98">
        <v>31.16566592590048</v>
      </c>
      <c r="P113" s="98">
        <v>31.087764594443371</v>
      </c>
      <c r="Q113" s="98">
        <v>30.373516601551454</v>
      </c>
      <c r="R113" s="98">
        <v>30.152765574794689</v>
      </c>
      <c r="S113" s="98">
        <v>29.920693949605027</v>
      </c>
      <c r="T113" s="98">
        <v>29.780163763295189</v>
      </c>
      <c r="U113" s="98">
        <v>29.583197071132794</v>
      </c>
      <c r="V113" s="98">
        <v>28.215023211947859</v>
      </c>
      <c r="W113" s="98">
        <v>27.321377470328162</v>
      </c>
      <c r="X113" s="98">
        <v>26.592045641225461</v>
      </c>
      <c r="Y113" s="98">
        <v>26.286584788988701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1.1275000000068987</v>
      </c>
      <c r="C117" s="150">
        <f>IF(TrRoad_act!C59=0,0,TrRoad_ene!C62/TrRoad_tech!C90)</f>
        <v>1.1276533214993294</v>
      </c>
      <c r="D117" s="150">
        <f>IF(TrRoad_act!D59=0,0,TrRoad_ene!D62/TrRoad_tech!D90)</f>
        <v>1.12811517603427</v>
      </c>
      <c r="E117" s="150">
        <f>IF(TrRoad_act!E59=0,0,TrRoad_ene!E62/TrRoad_tech!E90)</f>
        <v>1.129060550943054</v>
      </c>
      <c r="F117" s="150">
        <f>IF(TrRoad_act!F59=0,0,TrRoad_ene!F62/TrRoad_tech!F90)</f>
        <v>1.0742754775259606</v>
      </c>
      <c r="G117" s="150">
        <f>IF(TrRoad_act!G59=0,0,TrRoad_ene!G62/TrRoad_tech!G90)</f>
        <v>1.0749548119892975</v>
      </c>
      <c r="H117" s="150">
        <f>IF(TrRoad_act!H59=0,0,TrRoad_ene!H62/TrRoad_tech!H90)</f>
        <v>1.075923672819977</v>
      </c>
      <c r="I117" s="150">
        <f>IF(TrRoad_act!I59=0,0,TrRoad_ene!I62/TrRoad_tech!I90)</f>
        <v>1.0864035371298402</v>
      </c>
      <c r="J117" s="150">
        <f>IF(TrRoad_act!J59=0,0,TrRoad_ene!J62/TrRoad_tech!J90)</f>
        <v>1.0980053987990042</v>
      </c>
      <c r="K117" s="150">
        <f>IF(TrRoad_act!K59=0,0,TrRoad_ene!K62/TrRoad_tech!K90)</f>
        <v>1.1061493373245603</v>
      </c>
      <c r="L117" s="150">
        <f>IF(TrRoad_act!L59=0,0,TrRoad_ene!L62/TrRoad_tech!L90)</f>
        <v>1.1131852656349777</v>
      </c>
      <c r="M117" s="150">
        <f>IF(TrRoad_act!M59=0,0,TrRoad_ene!M62/TrRoad_tech!M90)</f>
        <v>1.1198429677875403</v>
      </c>
      <c r="N117" s="150">
        <f>IF(TrRoad_act!N59=0,0,TrRoad_ene!N62/TrRoad_tech!N90)</f>
        <v>1.1285783155986653</v>
      </c>
      <c r="O117" s="150">
        <f>IF(TrRoad_act!O59=0,0,TrRoad_ene!O62/TrRoad_tech!O90)</f>
        <v>1.1382635343672343</v>
      </c>
      <c r="P117" s="150">
        <f>IF(TrRoad_act!P59=0,0,TrRoad_ene!P62/TrRoad_tech!P90)</f>
        <v>1.1458127121463628</v>
      </c>
      <c r="Q117" s="150">
        <f>IF(TrRoad_act!Q59=0,0,TrRoad_ene!Q62/TrRoad_tech!Q90)</f>
        <v>1.1577300487149853</v>
      </c>
      <c r="R117" s="150">
        <f>IF(TrRoad_act!R59=0,0,TrRoad_ene!R62/TrRoad_tech!R90)</f>
        <v>1.169666759537324</v>
      </c>
      <c r="S117" s="150">
        <f>IF(TrRoad_act!S59=0,0,TrRoad_ene!S62/TrRoad_tech!S90)</f>
        <v>1.1798242315177259</v>
      </c>
      <c r="T117" s="150">
        <f>IF(TrRoad_act!T59=0,0,TrRoad_ene!T62/TrRoad_tech!T90)</f>
        <v>1.1938046869600056</v>
      </c>
      <c r="U117" s="150">
        <f>IF(TrRoad_act!U59=0,0,TrRoad_ene!U62/TrRoad_tech!U90)</f>
        <v>1.2087236532317074</v>
      </c>
      <c r="V117" s="150">
        <f>IF(TrRoad_act!V59=0,0,TrRoad_ene!V62/TrRoad_tech!V90)</f>
        <v>1.2191533440774442</v>
      </c>
      <c r="W117" s="150">
        <f>IF(TrRoad_act!W59=0,0,TrRoad_ene!W62/TrRoad_tech!W90)</f>
        <v>1.2293462839855414</v>
      </c>
      <c r="X117" s="150">
        <f>IF(TrRoad_act!X59=0,0,TrRoad_ene!X62/TrRoad_tech!X90)</f>
        <v>1.2420394089943003</v>
      </c>
      <c r="Y117" s="150">
        <f>IF(TrRoad_act!Y59=0,0,TrRoad_ene!Y62/TrRoad_tech!Y90)</f>
        <v>1.2629517145497666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1.0197558802801143</v>
      </c>
      <c r="C118" s="151">
        <f>IF(TrRoad_act!C60=0,0,TrRoad_ene!C63/TrRoad_tech!C91)</f>
        <v>1.0335901480927419</v>
      </c>
      <c r="D118" s="151">
        <f>IF(TrRoad_act!D60=0,0,TrRoad_ene!D63/TrRoad_tech!D91)</f>
        <v>1.0122300332633503</v>
      </c>
      <c r="E118" s="151">
        <f>IF(TrRoad_act!E60=0,0,TrRoad_ene!E63/TrRoad_tech!E91)</f>
        <v>1.0549325815564101</v>
      </c>
      <c r="F118" s="151">
        <f>IF(TrRoad_act!F60=0,0,TrRoad_ene!F63/TrRoad_tech!F91)</f>
        <v>1.0318966438512036</v>
      </c>
      <c r="G118" s="151">
        <f>IF(TrRoad_act!G60=0,0,TrRoad_ene!G63/TrRoad_tech!G91)</f>
        <v>1.0439610054928072</v>
      </c>
      <c r="H118" s="151">
        <f>IF(TrRoad_act!H60=0,0,TrRoad_ene!H63/TrRoad_tech!H91)</f>
        <v>1.0215278128854901</v>
      </c>
      <c r="I118" s="151">
        <f>IF(TrRoad_act!I60=0,0,TrRoad_ene!I63/TrRoad_tech!I91)</f>
        <v>0.98315908707129496</v>
      </c>
      <c r="J118" s="151">
        <f>IF(TrRoad_act!J60=0,0,TrRoad_ene!J63/TrRoad_tech!J91)</f>
        <v>0.99100765719745398</v>
      </c>
      <c r="K118" s="151">
        <f>IF(TrRoad_act!K60=0,0,TrRoad_ene!K63/TrRoad_tech!K91)</f>
        <v>0.97679032457211767</v>
      </c>
      <c r="L118" s="151">
        <f>IF(TrRoad_act!L60=0,0,TrRoad_ene!L63/TrRoad_tech!L91)</f>
        <v>0.96484012862965507</v>
      </c>
      <c r="M118" s="151">
        <f>IF(TrRoad_act!M60=0,0,TrRoad_ene!M63/TrRoad_tech!M91)</f>
        <v>0.95467723371816238</v>
      </c>
      <c r="N118" s="151">
        <f>IF(TrRoad_act!N60=0,0,TrRoad_ene!N63/TrRoad_tech!N91)</f>
        <v>0.97755262366992834</v>
      </c>
      <c r="O118" s="151">
        <f>IF(TrRoad_act!O60=0,0,TrRoad_ene!O63/TrRoad_tech!O91)</f>
        <v>0.85241228532328905</v>
      </c>
      <c r="P118" s="151">
        <f>IF(TrRoad_act!P60=0,0,TrRoad_ene!P63/TrRoad_tech!P91)</f>
        <v>0.96206909869533419</v>
      </c>
      <c r="Q118" s="151">
        <f>IF(TrRoad_act!Q60=0,0,TrRoad_ene!Q63/TrRoad_tech!Q91)</f>
        <v>0.96392469167346517</v>
      </c>
      <c r="R118" s="151">
        <f>IF(TrRoad_act!R60=0,0,TrRoad_ene!R63/TrRoad_tech!R91)</f>
        <v>0.98059005719460379</v>
      </c>
      <c r="S118" s="151">
        <f>IF(TrRoad_act!S60=0,0,TrRoad_ene!S63/TrRoad_tech!S91)</f>
        <v>1.0054753969587247</v>
      </c>
      <c r="T118" s="151">
        <f>IF(TrRoad_act!T60=0,0,TrRoad_ene!T63/TrRoad_tech!T91)</f>
        <v>1.0532858344621032</v>
      </c>
      <c r="U118" s="151">
        <f>IF(TrRoad_act!U60=0,0,TrRoad_ene!U63/TrRoad_tech!U91)</f>
        <v>1.1014193022556003</v>
      </c>
      <c r="V118" s="151">
        <f>IF(TrRoad_act!V60=0,0,TrRoad_ene!V63/TrRoad_tech!V91)</f>
        <v>1.0516876988278625</v>
      </c>
      <c r="W118" s="151">
        <f>IF(TrRoad_act!W60=0,0,TrRoad_ene!W63/TrRoad_tech!W91)</f>
        <v>1.0559185618168114</v>
      </c>
      <c r="X118" s="151">
        <f>IF(TrRoad_act!X60=0,0,TrRoad_ene!X63/TrRoad_tech!X91)</f>
        <v>1.0511849205726802</v>
      </c>
      <c r="Y118" s="151">
        <f>IF(TrRoad_act!Y60=0,0,TrRoad_ene!Y63/TrRoad_tech!Y91)</f>
        <v>1.05310584170708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1.0429711789242795</v>
      </c>
      <c r="C119" s="91">
        <f>IF(TrRoad_act!C61=0,0,TrRoad_ene!C64/TrRoad_tech!C92)</f>
        <v>1.0116069078328886</v>
      </c>
      <c r="D119" s="91">
        <f>IF(TrRoad_act!D61=0,0,TrRoad_ene!D64/TrRoad_tech!D92)</f>
        <v>1.0197116693182811</v>
      </c>
      <c r="E119" s="91">
        <f>IF(TrRoad_act!E61=0,0,TrRoad_ene!E64/TrRoad_tech!E92)</f>
        <v>1.0168306663772397</v>
      </c>
      <c r="F119" s="91">
        <f>IF(TrRoad_act!F61=0,0,TrRoad_ene!F64/TrRoad_tech!F92)</f>
        <v>1.0390387894605184</v>
      </c>
      <c r="G119" s="91">
        <f>IF(TrRoad_act!G61=0,0,TrRoad_ene!G64/TrRoad_tech!G92)</f>
        <v>1.0506230864889885</v>
      </c>
      <c r="H119" s="91">
        <f>IF(TrRoad_act!H61=0,0,TrRoad_ene!H64/TrRoad_tech!H92)</f>
        <v>1.0720566193494154</v>
      </c>
      <c r="I119" s="91">
        <f>IF(TrRoad_act!I61=0,0,TrRoad_ene!I64/TrRoad_tech!I92)</f>
        <v>1.0740486319671454</v>
      </c>
      <c r="J119" s="91">
        <f>IF(TrRoad_act!J61=0,0,TrRoad_ene!J64/TrRoad_tech!J92)</f>
        <v>1.0736679432284664</v>
      </c>
      <c r="K119" s="91">
        <f>IF(TrRoad_act!K61=0,0,TrRoad_ene!K64/TrRoad_tech!K92)</f>
        <v>1.0475219237773818</v>
      </c>
      <c r="L119" s="91">
        <f>IF(TrRoad_act!L61=0,0,TrRoad_ene!L64/TrRoad_tech!L92)</f>
        <v>1.0586307796207517</v>
      </c>
      <c r="M119" s="91">
        <f>IF(TrRoad_act!M61=0,0,TrRoad_ene!M64/TrRoad_tech!M92)</f>
        <v>1.0395148046506104</v>
      </c>
      <c r="N119" s="91">
        <f>IF(TrRoad_act!N61=0,0,TrRoad_ene!N64/TrRoad_tech!N92)</f>
        <v>1.0493171572843221</v>
      </c>
      <c r="O119" s="91">
        <f>IF(TrRoad_act!O61=0,0,TrRoad_ene!O64/TrRoad_tech!O92)</f>
        <v>0.89482726937304169</v>
      </c>
      <c r="P119" s="91">
        <f>IF(TrRoad_act!P61=0,0,TrRoad_ene!P64/TrRoad_tech!P92)</f>
        <v>1.042006672769259</v>
      </c>
      <c r="Q119" s="91">
        <f>IF(TrRoad_act!Q61=0,0,TrRoad_ene!Q64/TrRoad_tech!Q92)</f>
        <v>1.060053022048479</v>
      </c>
      <c r="R119" s="91">
        <f>IF(TrRoad_act!R61=0,0,TrRoad_ene!R64/TrRoad_tech!R92)</f>
        <v>1.0293336546794256</v>
      </c>
      <c r="S119" s="91">
        <f>IF(TrRoad_act!S61=0,0,TrRoad_ene!S64/TrRoad_tech!S92)</f>
        <v>1.03107775589193</v>
      </c>
      <c r="T119" s="91">
        <f>IF(TrRoad_act!T61=0,0,TrRoad_ene!T64/TrRoad_tech!T92)</f>
        <v>1.0330194764921528</v>
      </c>
      <c r="U119" s="91">
        <f>IF(TrRoad_act!U61=0,0,TrRoad_ene!U64/TrRoad_tech!U92)</f>
        <v>1.0352387345776264</v>
      </c>
      <c r="V119" s="91">
        <f>IF(TrRoad_act!V61=0,0,TrRoad_ene!V64/TrRoad_tech!V92)</f>
        <v>1.0383567617984195</v>
      </c>
      <c r="W119" s="91">
        <f>IF(TrRoad_act!W61=0,0,TrRoad_ene!W64/TrRoad_tech!W92)</f>
        <v>1.0414401255807604</v>
      </c>
      <c r="X119" s="91">
        <f>IF(TrRoad_act!X61=0,0,TrRoad_ene!X64/TrRoad_tech!X92)</f>
        <v>1.0490974475435877</v>
      </c>
      <c r="Y119" s="91">
        <f>IF(TrRoad_act!Y61=0,0,TrRoad_ene!Y64/TrRoad_tech!Y92)</f>
        <v>1.0519369632262561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0.91390971089143458</v>
      </c>
      <c r="C120" s="91">
        <f>IF(TrRoad_act!C62=0,0,TrRoad_ene!C65/TrRoad_tech!C93)</f>
        <v>0.99293021187648978</v>
      </c>
      <c r="D120" s="91">
        <f>IF(TrRoad_act!D62=0,0,TrRoad_ene!D65/TrRoad_tech!D93)</f>
        <v>0.90067219026607925</v>
      </c>
      <c r="E120" s="91">
        <f>IF(TrRoad_act!E62=0,0,TrRoad_ene!E65/TrRoad_tech!E93)</f>
        <v>1.1169719416634694</v>
      </c>
      <c r="F120" s="91">
        <f>IF(TrRoad_act!F62=0,0,TrRoad_ene!F65/TrRoad_tech!F93)</f>
        <v>1.0677713077074651</v>
      </c>
      <c r="G120" s="91">
        <f>IF(TrRoad_act!G62=0,0,TrRoad_ene!G65/TrRoad_tech!G93)</f>
        <v>1.1385555565896939</v>
      </c>
      <c r="H120" s="91">
        <f>IF(TrRoad_act!H62=0,0,TrRoad_ene!H65/TrRoad_tech!H93)</f>
        <v>1.0850632544237062</v>
      </c>
      <c r="I120" s="91">
        <f>IF(TrRoad_act!I62=0,0,TrRoad_ene!I65/TrRoad_tech!I93)</f>
        <v>0.99060657301988075</v>
      </c>
      <c r="J120" s="91">
        <f>IF(TrRoad_act!J62=0,0,TrRoad_ene!J65/TrRoad_tech!J93)</f>
        <v>1.0342086216153077</v>
      </c>
      <c r="K120" s="91">
        <f>IF(TrRoad_act!K62=0,0,TrRoad_ene!K65/TrRoad_tech!K93)</f>
        <v>0.96966662652800617</v>
      </c>
      <c r="L120" s="91">
        <f>IF(TrRoad_act!L62=0,0,TrRoad_ene!L65/TrRoad_tech!L93)</f>
        <v>0.96914484879077367</v>
      </c>
      <c r="M120" s="91">
        <f>IF(TrRoad_act!M62=0,0,TrRoad_ene!M65/TrRoad_tech!M93)</f>
        <v>0.93438987494394377</v>
      </c>
      <c r="N120" s="91">
        <f>IF(TrRoad_act!N62=0,0,TrRoad_ene!N65/TrRoad_tech!N93)</f>
        <v>1.006172410293241</v>
      </c>
      <c r="O120" s="91">
        <f>IF(TrRoad_act!O62=0,0,TrRoad_ene!O65/TrRoad_tech!O93)</f>
        <v>0.820618809447349</v>
      </c>
      <c r="P120" s="91">
        <f>IF(TrRoad_act!P62=0,0,TrRoad_ene!P65/TrRoad_tech!P93)</f>
        <v>0.96995739271335846</v>
      </c>
      <c r="Q120" s="91">
        <f>IF(TrRoad_act!Q62=0,0,TrRoad_ene!Q65/TrRoad_tech!Q93)</f>
        <v>0.99908290739165728</v>
      </c>
      <c r="R120" s="91">
        <f>IF(TrRoad_act!R62=0,0,TrRoad_ene!R65/TrRoad_tech!R93)</f>
        <v>1.0476264965855868</v>
      </c>
      <c r="S120" s="91">
        <f>IF(TrRoad_act!S62=0,0,TrRoad_ene!S65/TrRoad_tech!S93)</f>
        <v>1.0923577903644315</v>
      </c>
      <c r="T120" s="91">
        <f>IF(TrRoad_act!T62=0,0,TrRoad_ene!T65/TrRoad_tech!T93)</f>
        <v>1.1661269924454047</v>
      </c>
      <c r="U120" s="91">
        <f>IF(TrRoad_act!U62=0,0,TrRoad_ene!U65/TrRoad_tech!U93)</f>
        <v>1.2498976402447455</v>
      </c>
      <c r="V120" s="91">
        <f>IF(TrRoad_act!V62=0,0,TrRoad_ene!V65/TrRoad_tech!V93)</f>
        <v>1.134758599076034</v>
      </c>
      <c r="W120" s="91">
        <f>IF(TrRoad_act!W62=0,0,TrRoad_ene!W65/TrRoad_tech!W93)</f>
        <v>1.1555910604510546</v>
      </c>
      <c r="X120" s="91">
        <f>IF(TrRoad_act!X62=0,0,TrRoad_ene!X65/TrRoad_tech!X93)</f>
        <v>1.1126506703902921</v>
      </c>
      <c r="Y120" s="91">
        <f>IF(TrRoad_act!Y62=0,0,TrRoad_ene!Y65/TrRoad_tech!Y93)</f>
        <v>1.0927527356377689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1.0484456977202739</v>
      </c>
      <c r="C121" s="91">
        <f>IF(TrRoad_act!C63=0,0,TrRoad_ene!C66/TrRoad_tech!C94)</f>
        <v>1.2042699041965246</v>
      </c>
      <c r="D121" s="91">
        <f>IF(TrRoad_act!D63=0,0,TrRoad_ene!D66/TrRoad_tech!D94)</f>
        <v>1.1746537932906995</v>
      </c>
      <c r="E121" s="91">
        <f>IF(TrRoad_act!E63=0,0,TrRoad_ene!E66/TrRoad_tech!E94)</f>
        <v>1.184415919906592</v>
      </c>
      <c r="F121" s="91">
        <f>IF(TrRoad_act!F63=0,0,TrRoad_ene!F66/TrRoad_tech!F94)</f>
        <v>1.1305440607753829</v>
      </c>
      <c r="G121" s="91">
        <f>IF(TrRoad_act!G63=0,0,TrRoad_ene!G66/TrRoad_tech!G94)</f>
        <v>1.0748679090382085</v>
      </c>
      <c r="H121" s="91">
        <f>IF(TrRoad_act!H63=0,0,TrRoad_ene!H66/TrRoad_tech!H94)</f>
        <v>1.013183319846797</v>
      </c>
      <c r="I121" s="91">
        <f>IF(TrRoad_act!I63=0,0,TrRoad_ene!I66/TrRoad_tech!I94)</f>
        <v>0.98004608811712268</v>
      </c>
      <c r="J121" s="91">
        <f>IF(TrRoad_act!J63=0,0,TrRoad_ene!J66/TrRoad_tech!J94)</f>
        <v>0.95567599046241369</v>
      </c>
      <c r="K121" s="91">
        <f>IF(TrRoad_act!K63=0,0,TrRoad_ene!K66/TrRoad_tech!K94)</f>
        <v>1.0238188775554331</v>
      </c>
      <c r="L121" s="91">
        <f>IF(TrRoad_act!L63=0,0,TrRoad_ene!L66/TrRoad_tech!L94)</f>
        <v>0.96719132474140723</v>
      </c>
      <c r="M121" s="91">
        <f>IF(TrRoad_act!M63=0,0,TrRoad_ene!M66/TrRoad_tech!M94)</f>
        <v>1.0127144477350858</v>
      </c>
      <c r="N121" s="91">
        <f>IF(TrRoad_act!N63=0,0,TrRoad_ene!N66/TrRoad_tech!N94)</f>
        <v>0.96632992725482281</v>
      </c>
      <c r="O121" s="91">
        <f>IF(TrRoad_act!O63=0,0,TrRoad_ene!O66/TrRoad_tech!O94)</f>
        <v>0.98422178658541382</v>
      </c>
      <c r="P121" s="91">
        <f>IF(TrRoad_act!P63=0,0,TrRoad_ene!P66/TrRoad_tech!P94)</f>
        <v>0.9929283769949685</v>
      </c>
      <c r="Q121" s="91">
        <f>IF(TrRoad_act!Q63=0,0,TrRoad_ene!Q66/TrRoad_tech!Q94)</f>
        <v>0.95430938928468756</v>
      </c>
      <c r="R121" s="91">
        <f>IF(TrRoad_act!R63=0,0,TrRoad_ene!R66/TrRoad_tech!R94)</f>
        <v>0.95171389681317109</v>
      </c>
      <c r="S121" s="91">
        <f>IF(TrRoad_act!S63=0,0,TrRoad_ene!S66/TrRoad_tech!S94)</f>
        <v>0.95483155392104169</v>
      </c>
      <c r="T121" s="91">
        <f>IF(TrRoad_act!T63=0,0,TrRoad_ene!T66/TrRoad_tech!T94)</f>
        <v>0.9867037912832215</v>
      </c>
      <c r="U121" s="91">
        <f>IF(TrRoad_act!U63=0,0,TrRoad_ene!U66/TrRoad_tech!U94)</f>
        <v>0.98913806877684529</v>
      </c>
      <c r="V121" s="91">
        <f>IF(TrRoad_act!V63=0,0,TrRoad_ene!V66/TrRoad_tech!V94)</f>
        <v>1.0542522451754859</v>
      </c>
      <c r="W121" s="91">
        <f>IF(TrRoad_act!W63=0,0,TrRoad_ene!W66/TrRoad_tech!W94)</f>
        <v>1.0123644999831496</v>
      </c>
      <c r="X121" s="91">
        <f>IF(TrRoad_act!X63=0,0,TrRoad_ene!X66/TrRoad_tech!X94)</f>
        <v>1.1163937202878798</v>
      </c>
      <c r="Y121" s="91">
        <f>IF(TrRoad_act!Y63=0,0,TrRoad_ene!Y66/TrRoad_tech!Y94)</f>
        <v>1.1884237732311302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1.0363339299971668</v>
      </c>
      <c r="H122" s="91">
        <f>IF(TrRoad_act!H64=0,0,TrRoad_ene!H67/TrRoad_tech!H95)</f>
        <v>1.0370991507453067</v>
      </c>
      <c r="I122" s="91">
        <f>IF(TrRoad_act!I64=0,0,TrRoad_ene!I67/TrRoad_tech!I95)</f>
        <v>1.0390135386260479</v>
      </c>
      <c r="J122" s="91">
        <f>IF(TrRoad_act!J64=0,0,TrRoad_ene!J67/TrRoad_tech!J95)</f>
        <v>1.0392267218533628</v>
      </c>
      <c r="K122" s="91">
        <f>IF(TrRoad_act!K64=0,0,TrRoad_ene!K67/TrRoad_tech!K95)</f>
        <v>1.042712977269449</v>
      </c>
      <c r="L122" s="91">
        <f>IF(TrRoad_act!L64=0,0,TrRoad_ene!L67/TrRoad_tech!L95)</f>
        <v>1.0461085316240004</v>
      </c>
      <c r="M122" s="91">
        <f>IF(TrRoad_act!M64=0,0,TrRoad_ene!M67/TrRoad_tech!M95)</f>
        <v>1.0473642465920567</v>
      </c>
      <c r="N122" s="91">
        <f>IF(TrRoad_act!N64=0,0,TrRoad_ene!N67/TrRoad_tech!N95)</f>
        <v>1.0489772187771671</v>
      </c>
      <c r="O122" s="91">
        <f>IF(TrRoad_act!O64=0,0,TrRoad_ene!O67/TrRoad_tech!O95)</f>
        <v>1.0508344933550295</v>
      </c>
      <c r="P122" s="91">
        <f>IF(TrRoad_act!P64=0,0,TrRoad_ene!P67/TrRoad_tech!P95)</f>
        <v>1.0583558093340004</v>
      </c>
      <c r="Q122" s="91">
        <f>IF(TrRoad_act!Q64=0,0,TrRoad_ene!Q67/TrRoad_tech!Q95)</f>
        <v>1.060838847299268</v>
      </c>
      <c r="R122" s="91">
        <f>IF(TrRoad_act!R64=0,0,TrRoad_ene!R67/TrRoad_tech!R95)</f>
        <v>1.0621337946415439</v>
      </c>
      <c r="S122" s="91">
        <f>IF(TrRoad_act!S64=0,0,TrRoad_ene!S67/TrRoad_tech!S95)</f>
        <v>1.0623881479101391</v>
      </c>
      <c r="T122" s="91">
        <f>IF(TrRoad_act!T64=0,0,TrRoad_ene!T67/TrRoad_tech!T95)</f>
        <v>1.0636088032449647</v>
      </c>
      <c r="U122" s="91">
        <f>IF(TrRoad_act!U64=0,0,TrRoad_ene!U67/TrRoad_tech!U95)</f>
        <v>1.0656838204166119</v>
      </c>
      <c r="V122" s="91">
        <f>IF(TrRoad_act!V64=0,0,TrRoad_ene!V67/TrRoad_tech!V95)</f>
        <v>1.0665236470178696</v>
      </c>
      <c r="W122" s="91">
        <f>IF(TrRoad_act!W64=0,0,TrRoad_ene!W67/TrRoad_tech!W95)</f>
        <v>1.0667746676196901</v>
      </c>
      <c r="X122" s="91">
        <f>IF(TrRoad_act!X64=0,0,TrRoad_ene!X67/TrRoad_tech!X95)</f>
        <v>1.0723335828587044</v>
      </c>
      <c r="Y122" s="91">
        <f>IF(TrRoad_act!Y64=0,0,TrRoad_ene!Y67/TrRoad_tech!Y95)</f>
        <v>1.0724796855416368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1.0767489834049295</v>
      </c>
      <c r="O123" s="91">
        <f>IF(TrRoad_act!O65=0,0,TrRoad_ene!O68/TrRoad_tech!O96)</f>
        <v>0.97277753202559769</v>
      </c>
      <c r="P123" s="91">
        <f>IF(TrRoad_act!P65=0,0,TrRoad_ene!P68/TrRoad_tech!P96)</f>
        <v>1.0758170016268682</v>
      </c>
      <c r="Q123" s="91">
        <f>IF(TrRoad_act!Q65=0,0,TrRoad_ene!Q68/TrRoad_tech!Q96)</f>
        <v>1.097436436890969</v>
      </c>
      <c r="R123" s="91">
        <f>IF(TrRoad_act!R65=0,0,TrRoad_ene!R68/TrRoad_tech!R96)</f>
        <v>1.0831145936986686</v>
      </c>
      <c r="S123" s="91">
        <f>IF(TrRoad_act!S65=0,0,TrRoad_ene!S68/TrRoad_tech!S96)</f>
        <v>1.0861745363032427</v>
      </c>
      <c r="T123" s="91">
        <f>IF(TrRoad_act!T65=0,0,TrRoad_ene!T68/TrRoad_tech!T96)</f>
        <v>1.0877725207695748</v>
      </c>
      <c r="U123" s="91">
        <f>IF(TrRoad_act!U65=0,0,TrRoad_ene!U68/TrRoad_tech!U96)</f>
        <v>1.0901399804121623</v>
      </c>
      <c r="V123" s="91">
        <f>IF(TrRoad_act!V65=0,0,TrRoad_ene!V68/TrRoad_tech!V96)</f>
        <v>1.0917425762875963</v>
      </c>
      <c r="W123" s="91">
        <f>IF(TrRoad_act!W65=0,0,TrRoad_ene!W68/TrRoad_tech!W96)</f>
        <v>1.0939888560354043</v>
      </c>
      <c r="X123" s="91">
        <f>IF(TrRoad_act!X65=0,0,TrRoad_ene!X68/TrRoad_tech!X96)</f>
        <v>1.0982846964828976</v>
      </c>
      <c r="Y123" s="91">
        <f>IF(TrRoad_act!Y65=0,0,TrRoad_ene!Y68/TrRoad_tech!Y96)</f>
        <v>1.0997595438562935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0</v>
      </c>
      <c r="P124" s="91">
        <f>IF(TrRoad_act!P66=0,0,TrRoad_ene!P69/TrRoad_tech!P97)</f>
        <v>0</v>
      </c>
      <c r="Q124" s="91">
        <f>IF(TrRoad_act!Q66=0,0,TrRoad_ene!Q69/TrRoad_tech!Q97)</f>
        <v>0</v>
      </c>
      <c r="R124" s="91">
        <f>IF(TrRoad_act!R66=0,0,TrRoad_ene!R69/TrRoad_tech!R97)</f>
        <v>1.0883796989241801</v>
      </c>
      <c r="S124" s="91">
        <f>IF(TrRoad_act!S66=0,0,TrRoad_ene!S69/TrRoad_tech!S97)</f>
        <v>1.0908940937592226</v>
      </c>
      <c r="T124" s="91">
        <f>IF(TrRoad_act!T66=0,0,TrRoad_ene!T69/TrRoad_tech!T97)</f>
        <v>1.0934333442051143</v>
      </c>
      <c r="U124" s="91">
        <f>IF(TrRoad_act!U66=0,0,TrRoad_ene!U69/TrRoad_tech!U97)</f>
        <v>1.0948484810224182</v>
      </c>
      <c r="V124" s="91">
        <f>IF(TrRoad_act!V66=0,0,TrRoad_ene!V69/TrRoad_tech!V97)</f>
        <v>1.0963071260428641</v>
      </c>
      <c r="W124" s="91">
        <f>IF(TrRoad_act!W66=0,0,TrRoad_ene!W69/TrRoad_tech!W97)</f>
        <v>1.0980019164454646</v>
      </c>
      <c r="X124" s="91">
        <f>IF(TrRoad_act!X66=0,0,TrRoad_ene!X69/TrRoad_tech!X97)</f>
        <v>1.0985212151552159</v>
      </c>
      <c r="Y124" s="91">
        <f>IF(TrRoad_act!Y66=0,0,TrRoad_ene!Y69/TrRoad_tech!Y97)</f>
        <v>1.0998543309605389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1.0934595056607499</v>
      </c>
      <c r="D125" s="151">
        <f>IF(TrRoad_act!D67=0,0,TrRoad_ene!D70/TrRoad_tech!D98)</f>
        <v>1.0884883891300929</v>
      </c>
      <c r="E125" s="151">
        <f>IF(TrRoad_act!E67=0,0,TrRoad_ene!E70/TrRoad_tech!E98)</f>
        <v>1.0882919666369451</v>
      </c>
      <c r="F125" s="151">
        <f>IF(TrRoad_act!F67=0,0,TrRoad_ene!F70/TrRoad_tech!F98)</f>
        <v>1.0883564247941013</v>
      </c>
      <c r="G125" s="151">
        <f>IF(TrRoad_act!G67=0,0,TrRoad_ene!G70/TrRoad_tech!G98)</f>
        <v>1.0919792311048491</v>
      </c>
      <c r="H125" s="151">
        <f>IF(TrRoad_act!H67=0,0,TrRoad_ene!H70/TrRoad_tech!H98)</f>
        <v>1.0927003116809504</v>
      </c>
      <c r="I125" s="151">
        <f>IF(TrRoad_act!I67=0,0,TrRoad_ene!I70/TrRoad_tech!I98)</f>
        <v>1.1017010609384938</v>
      </c>
      <c r="J125" s="151">
        <f>IF(TrRoad_act!J67=0,0,TrRoad_ene!J70/TrRoad_tech!J98)</f>
        <v>1.1048640867166351</v>
      </c>
      <c r="K125" s="151">
        <f>IF(TrRoad_act!K67=0,0,TrRoad_ene!K70/TrRoad_tech!K98)</f>
        <v>1.1147886145005264</v>
      </c>
      <c r="L125" s="151">
        <f>IF(TrRoad_act!L67=0,0,TrRoad_ene!L70/TrRoad_tech!L98)</f>
        <v>1.1311867741071839</v>
      </c>
      <c r="M125" s="151">
        <f>IF(TrRoad_act!M67=0,0,TrRoad_ene!M70/TrRoad_tech!M98)</f>
        <v>1.1388116290738208</v>
      </c>
      <c r="N125" s="151">
        <f>IF(TrRoad_act!N67=0,0,TrRoad_ene!N70/TrRoad_tech!N98)</f>
        <v>1.1592336534719292</v>
      </c>
      <c r="O125" s="151">
        <f>IF(TrRoad_act!O67=0,0,TrRoad_ene!O70/TrRoad_tech!O98)</f>
        <v>1.1321859096361555</v>
      </c>
      <c r="P125" s="151">
        <f>IF(TrRoad_act!P67=0,0,TrRoad_ene!P70/TrRoad_tech!P98)</f>
        <v>1.0899367498094272</v>
      </c>
      <c r="Q125" s="151">
        <f>IF(TrRoad_act!Q67=0,0,TrRoad_ene!Q70/TrRoad_tech!Q98)</f>
        <v>1.1490361632554584</v>
      </c>
      <c r="R125" s="151">
        <f>IF(TrRoad_act!R67=0,0,TrRoad_ene!R70/TrRoad_tech!R98)</f>
        <v>1.22508259554862</v>
      </c>
      <c r="S125" s="151">
        <f>IF(TrRoad_act!S67=0,0,TrRoad_ene!S70/TrRoad_tech!S98)</f>
        <v>1.2414404995285617</v>
      </c>
      <c r="T125" s="151">
        <f>IF(TrRoad_act!T67=0,0,TrRoad_ene!T70/TrRoad_tech!T98)</f>
        <v>1.2517827196187434</v>
      </c>
      <c r="U125" s="151">
        <f>IF(TrRoad_act!U67=0,0,TrRoad_ene!U70/TrRoad_tech!U98)</f>
        <v>1.2682429471540226</v>
      </c>
      <c r="V125" s="151">
        <f>IF(TrRoad_act!V67=0,0,TrRoad_ene!V70/TrRoad_tech!V98)</f>
        <v>1.2521552008186956</v>
      </c>
      <c r="W125" s="151">
        <f>IF(TrRoad_act!W67=0,0,TrRoad_ene!W70/TrRoad_tech!W98)</f>
        <v>1.2796824020342448</v>
      </c>
      <c r="X125" s="151">
        <f>IF(TrRoad_act!X67=0,0,TrRoad_ene!X70/TrRoad_tech!X98)</f>
        <v>1.2755703399831775</v>
      </c>
      <c r="Y125" s="151">
        <f>IF(TrRoad_act!Y67=0,0,TrRoad_ene!Y70/TrRoad_tech!Y98)</f>
        <v>1.2795465023302663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1.317263573193203</v>
      </c>
      <c r="S126" s="93">
        <f>IF(TrRoad_act!S68=0,0,TrRoad_ene!S71/TrRoad_tech!S99)</f>
        <v>1.3172635731932032</v>
      </c>
      <c r="T126" s="93">
        <f>IF(TrRoad_act!T68=0,0,TrRoad_ene!T71/TrRoad_tech!T99)</f>
        <v>1.3172635731932032</v>
      </c>
      <c r="U126" s="93">
        <f>IF(TrRoad_act!U68=0,0,TrRoad_ene!U71/TrRoad_tech!U99)</f>
        <v>1.3172635731932034</v>
      </c>
      <c r="V126" s="93">
        <f>IF(TrRoad_act!V68=0,0,TrRoad_ene!V71/TrRoad_tech!V99)</f>
        <v>1.3172635731932028</v>
      </c>
      <c r="W126" s="93">
        <f>IF(TrRoad_act!W68=0,0,TrRoad_ene!W71/TrRoad_tech!W99)</f>
        <v>1.3172635731932032</v>
      </c>
      <c r="X126" s="93">
        <f>IF(TrRoad_act!X68=0,0,TrRoad_ene!X71/TrRoad_tech!X99)</f>
        <v>1.3172635731932032</v>
      </c>
      <c r="Y126" s="93">
        <f>IF(TrRoad_act!Y68=0,0,TrRoad_ene!Y71/TrRoad_tech!Y99)</f>
        <v>1.317263573193203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1.1006572566362063</v>
      </c>
      <c r="D127" s="93">
        <f>IF(TrRoad_act!D69=0,0,TrRoad_ene!D72/TrRoad_tech!D100)</f>
        <v>1.1031368718135239</v>
      </c>
      <c r="E127" s="93">
        <f>IF(TrRoad_act!E69=0,0,TrRoad_ene!E72/TrRoad_tech!E100)</f>
        <v>1.1033712513210083</v>
      </c>
      <c r="F127" s="93">
        <f>IF(TrRoad_act!F69=0,0,TrRoad_ene!F72/TrRoad_tech!F100)</f>
        <v>1.1037523072590316</v>
      </c>
      <c r="G127" s="93">
        <f>IF(TrRoad_act!G69=0,0,TrRoad_ene!G72/TrRoad_tech!G100)</f>
        <v>1.1096151531155041</v>
      </c>
      <c r="H127" s="93">
        <f>IF(TrRoad_act!H69=0,0,TrRoad_ene!H72/TrRoad_tech!H100)</f>
        <v>1.110859730616069</v>
      </c>
      <c r="I127" s="93">
        <f>IF(TrRoad_act!I69=0,0,TrRoad_ene!I72/TrRoad_tech!I100)</f>
        <v>1.1174692226809968</v>
      </c>
      <c r="J127" s="93">
        <f>IF(TrRoad_act!J69=0,0,TrRoad_ene!J72/TrRoad_tech!J100)</f>
        <v>1.1188602038955524</v>
      </c>
      <c r="K127" s="93">
        <f>IF(TrRoad_act!K69=0,0,TrRoad_ene!K72/TrRoad_tech!K100)</f>
        <v>1.1278105282230115</v>
      </c>
      <c r="L127" s="93">
        <f>IF(TrRoad_act!L69=0,0,TrRoad_ene!L72/TrRoad_tech!L100)</f>
        <v>1.135519260236717</v>
      </c>
      <c r="M127" s="93">
        <f>IF(TrRoad_act!M69=0,0,TrRoad_ene!M72/TrRoad_tech!M100)</f>
        <v>1.1455981743178556</v>
      </c>
      <c r="N127" s="93">
        <f>IF(TrRoad_act!N69=0,0,TrRoad_ene!N72/TrRoad_tech!N100)</f>
        <v>1.1553124850648515</v>
      </c>
      <c r="O127" s="93">
        <f>IF(TrRoad_act!O69=0,0,TrRoad_ene!O72/TrRoad_tech!O100)</f>
        <v>1.1575466211394063</v>
      </c>
      <c r="P127" s="93">
        <f>IF(TrRoad_act!P69=0,0,TrRoad_ene!P72/TrRoad_tech!P100)</f>
        <v>1.1680622461275287</v>
      </c>
      <c r="Q127" s="93">
        <f>IF(TrRoad_act!Q69=0,0,TrRoad_ene!Q72/TrRoad_tech!Q100)</f>
        <v>1.1848363432601776</v>
      </c>
      <c r="R127" s="93">
        <f>IF(TrRoad_act!R69=0,0,TrRoad_ene!R72/TrRoad_tech!R100)</f>
        <v>1.1942266998585889</v>
      </c>
      <c r="S127" s="93">
        <f>IF(TrRoad_act!S69=0,0,TrRoad_ene!S72/TrRoad_tech!S100)</f>
        <v>1.2083687382152304</v>
      </c>
      <c r="T127" s="93">
        <f>IF(TrRoad_act!T69=0,0,TrRoad_ene!T72/TrRoad_tech!T100)</f>
        <v>1.2179079657467409</v>
      </c>
      <c r="U127" s="93">
        <f>IF(TrRoad_act!U69=0,0,TrRoad_ene!U72/TrRoad_tech!U100)</f>
        <v>1.2268912914271175</v>
      </c>
      <c r="V127" s="93">
        <f>IF(TrRoad_act!V69=0,0,TrRoad_ene!V72/TrRoad_tech!V100)</f>
        <v>1.2352333293223681</v>
      </c>
      <c r="W127" s="93">
        <f>IF(TrRoad_act!W69=0,0,TrRoad_ene!W72/TrRoad_tech!W100)</f>
        <v>1.2408460062856488</v>
      </c>
      <c r="X127" s="93">
        <f>IF(TrRoad_act!X69=0,0,TrRoad_ene!X72/TrRoad_tech!X100)</f>
        <v>1.2591233473863299</v>
      </c>
      <c r="Y127" s="93">
        <f>IF(TrRoad_act!Y69=0,0,TrRoad_ene!Y72/TrRoad_tech!Y100)</f>
        <v>1.2713667202154411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1.3172635731932032</v>
      </c>
      <c r="S128" s="93">
        <f>IF(TrRoad_act!S70=0,0,TrRoad_ene!S73/TrRoad_tech!S101)</f>
        <v>1.3172635731932032</v>
      </c>
      <c r="T128" s="93">
        <f>IF(TrRoad_act!T70=0,0,TrRoad_ene!T73/TrRoad_tech!T101)</f>
        <v>1.3193909486997411</v>
      </c>
      <c r="U128" s="93">
        <f>IF(TrRoad_act!U70=0,0,TrRoad_ene!U73/TrRoad_tech!U101)</f>
        <v>1.3193909486997408</v>
      </c>
      <c r="V128" s="93">
        <f>IF(TrRoad_act!V70=0,0,TrRoad_ene!V73/TrRoad_tech!V101)</f>
        <v>1.3237758975913443</v>
      </c>
      <c r="W128" s="93">
        <f>IF(TrRoad_act!W70=0,0,TrRoad_ene!W73/TrRoad_tech!W101)</f>
        <v>1.3461083361595891</v>
      </c>
      <c r="X128" s="93">
        <f>IF(TrRoad_act!X70=0,0,TrRoad_ene!X73/TrRoad_tech!X101)</f>
        <v>1.347015847388624</v>
      </c>
      <c r="Y128" s="93">
        <f>IF(TrRoad_act!Y70=0,0,TrRoad_ene!Y73/TrRoad_tech!Y101)</f>
        <v>1.350116714772452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1.0732101272450953</v>
      </c>
      <c r="G129" s="93">
        <f>IF(TrRoad_act!G71=0,0,TrRoad_ene!G74/TrRoad_tech!G102)</f>
        <v>1.0158734090961328</v>
      </c>
      <c r="H129" s="93">
        <f>IF(TrRoad_act!H71=0,0,TrRoad_ene!H74/TrRoad_tech!H102)</f>
        <v>0.98873699574429164</v>
      </c>
      <c r="I129" s="93">
        <f>IF(TrRoad_act!I71=0,0,TrRoad_ene!I74/TrRoad_tech!I102)</f>
        <v>1.0964557106839323</v>
      </c>
      <c r="J129" s="93">
        <f>IF(TrRoad_act!J71=0,0,TrRoad_ene!J74/TrRoad_tech!J102)</f>
        <v>1.1083863219608863</v>
      </c>
      <c r="K129" s="93">
        <f>IF(TrRoad_act!K71=0,0,TrRoad_ene!K74/TrRoad_tech!K102)</f>
        <v>1.1579893740005323</v>
      </c>
      <c r="L129" s="93">
        <f>IF(TrRoad_act!L71=0,0,TrRoad_ene!L74/TrRoad_tech!L102)</f>
        <v>1.2798741634285895</v>
      </c>
      <c r="M129" s="93">
        <f>IF(TrRoad_act!M71=0,0,TrRoad_ene!M74/TrRoad_tech!M102)</f>
        <v>1.2397199247046731</v>
      </c>
      <c r="N129" s="93">
        <f>IF(TrRoad_act!N71=0,0,TrRoad_ene!N74/TrRoad_tech!N102)</f>
        <v>1.3735067825340341</v>
      </c>
      <c r="O129" s="93">
        <f>IF(TrRoad_act!O71=0,0,TrRoad_ene!O74/TrRoad_tech!O102)</f>
        <v>0.98714455628158981</v>
      </c>
      <c r="P129" s="93">
        <f>IF(TrRoad_act!P71=0,0,TrRoad_ene!P74/TrRoad_tech!P102)</f>
        <v>0.5459790863291385</v>
      </c>
      <c r="Q129" s="93">
        <f>IF(TrRoad_act!Q71=0,0,TrRoad_ene!Q74/TrRoad_tech!Q102)</f>
        <v>0.87164226777278986</v>
      </c>
      <c r="R129" s="93">
        <f>IF(TrRoad_act!R71=0,0,TrRoad_ene!R74/TrRoad_tech!R102)</f>
        <v>1.086825521877562</v>
      </c>
      <c r="S129" s="93">
        <f>IF(TrRoad_act!S71=0,0,TrRoad_ene!S74/TrRoad_tech!S102)</f>
        <v>1.0721401664940018</v>
      </c>
      <c r="T129" s="93">
        <f>IF(TrRoad_act!T71=0,0,TrRoad_ene!T74/TrRoad_tech!T102)</f>
        <v>1.0656064032912926</v>
      </c>
      <c r="U129" s="93">
        <f>IF(TrRoad_act!U71=0,0,TrRoad_ene!U74/TrRoad_tech!U102)</f>
        <v>1.1115186017731082</v>
      </c>
      <c r="V129" s="93">
        <f>IF(TrRoad_act!V71=0,0,TrRoad_ene!V74/TrRoad_tech!V102)</f>
        <v>1.0003963692999938</v>
      </c>
      <c r="W129" s="93">
        <f>IF(TrRoad_act!W71=0,0,TrRoad_ene!W74/TrRoad_tech!W102)</f>
        <v>1.1705904294498832</v>
      </c>
      <c r="X129" s="93">
        <f>IF(TrRoad_act!X71=0,0,TrRoad_ene!X74/TrRoad_tech!X102)</f>
        <v>1.1255392861612667</v>
      </c>
      <c r="Y129" s="93">
        <f>IF(TrRoad_act!Y71=0,0,TrRoad_ene!Y74/TrRoad_tech!Y102)</f>
        <v>1.1621133849056926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1.1788099881970593</v>
      </c>
      <c r="L130" s="93">
        <f>IF(TrRoad_act!L72=0,0,TrRoad_ene!L75/TrRoad_tech!L103)</f>
        <v>1.1895971262973228</v>
      </c>
      <c r="M130" s="93">
        <f>IF(TrRoad_act!M72=0,0,TrRoad_ene!M75/TrRoad_tech!M103)</f>
        <v>1.1922229612686519</v>
      </c>
      <c r="N130" s="93">
        <f>IF(TrRoad_act!N72=0,0,TrRoad_ene!N75/TrRoad_tech!N103)</f>
        <v>1.1965357013808671</v>
      </c>
      <c r="O130" s="93">
        <f>IF(TrRoad_act!O72=0,0,TrRoad_ene!O75/TrRoad_tech!O103)</f>
        <v>1.2490430503249523</v>
      </c>
      <c r="P130" s="93">
        <f>IF(TrRoad_act!P72=0,0,TrRoad_ene!P75/TrRoad_tech!P103)</f>
        <v>1.2562016688971016</v>
      </c>
      <c r="Q130" s="93">
        <f>IF(TrRoad_act!Q72=0,0,TrRoad_ene!Q75/TrRoad_tech!Q103)</f>
        <v>1.2596948341180727</v>
      </c>
      <c r="R130" s="93">
        <f>IF(TrRoad_act!R72=0,0,TrRoad_ene!R75/TrRoad_tech!R103)</f>
        <v>1.2599901942013236</v>
      </c>
      <c r="S130" s="93">
        <f>IF(TrRoad_act!S72=0,0,TrRoad_ene!S75/TrRoad_tech!S103)</f>
        <v>1.2601813662637629</v>
      </c>
      <c r="T130" s="93">
        <f>IF(TrRoad_act!T72=0,0,TrRoad_ene!T75/TrRoad_tech!T103)</f>
        <v>1.262244985581003</v>
      </c>
      <c r="U130" s="93">
        <f>IF(TrRoad_act!U72=0,0,TrRoad_ene!U75/TrRoad_tech!U103)</f>
        <v>1.267957379859693</v>
      </c>
      <c r="V130" s="93">
        <f>IF(TrRoad_act!V72=0,0,TrRoad_ene!V75/TrRoad_tech!V103)</f>
        <v>1.2702415454185174</v>
      </c>
      <c r="W130" s="93">
        <f>IF(TrRoad_act!W72=0,0,TrRoad_ene!W75/TrRoad_tech!W103)</f>
        <v>1.2803913580987394</v>
      </c>
      <c r="X130" s="93">
        <f>IF(TrRoad_act!X72=0,0,TrRoad_ene!X75/TrRoad_tech!X103)</f>
        <v>1.281163242836018</v>
      </c>
      <c r="Y130" s="93">
        <f>IF(TrRoad_act!Y72=0,0,TrRoad_ene!Y75/TrRoad_tech!Y103)</f>
        <v>1.2956093428248239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1.0797776125316181</v>
      </c>
      <c r="C132" s="150">
        <f>IF(TrRoad_act!C74=0,0,TrRoad_ene!C77/TrRoad_tech!C105)</f>
        <v>1.078599357293951</v>
      </c>
      <c r="D132" s="150">
        <f>IF(TrRoad_act!D74=0,0,TrRoad_ene!D77/TrRoad_tech!D105)</f>
        <v>1.0767370197480663</v>
      </c>
      <c r="E132" s="150">
        <f>IF(TrRoad_act!E74=0,0,TrRoad_ene!E77/TrRoad_tech!E105)</f>
        <v>1.0644111773154143</v>
      </c>
      <c r="F132" s="150">
        <f>IF(TrRoad_act!F74=0,0,TrRoad_ene!F77/TrRoad_tech!F105)</f>
        <v>1.0545212895019913</v>
      </c>
      <c r="G132" s="150">
        <f>IF(TrRoad_act!G74=0,0,TrRoad_ene!G77/TrRoad_tech!G105)</f>
        <v>1.0539581922596122</v>
      </c>
      <c r="H132" s="150">
        <f>IF(TrRoad_act!H74=0,0,TrRoad_ene!H77/TrRoad_tech!H105)</f>
        <v>1.0557657980978381</v>
      </c>
      <c r="I132" s="150">
        <f>IF(TrRoad_act!I74=0,0,TrRoad_ene!I77/TrRoad_tech!I105)</f>
        <v>1.0631941358667671</v>
      </c>
      <c r="J132" s="150">
        <f>IF(TrRoad_act!J74=0,0,TrRoad_ene!J77/TrRoad_tech!J105)</f>
        <v>1.0715364427695191</v>
      </c>
      <c r="K132" s="150">
        <f>IF(TrRoad_act!K74=0,0,TrRoad_ene!K77/TrRoad_tech!K105)</f>
        <v>1.0800122303282091</v>
      </c>
      <c r="L132" s="150">
        <f>IF(TrRoad_act!L74=0,0,TrRoad_ene!L77/TrRoad_tech!L105)</f>
        <v>1.0884357427453688</v>
      </c>
      <c r="M132" s="150">
        <f>IF(TrRoad_act!M74=0,0,TrRoad_ene!M77/TrRoad_tech!M105)</f>
        <v>1.0965426510625225</v>
      </c>
      <c r="N132" s="150">
        <f>IF(TrRoad_act!N74=0,0,TrRoad_ene!N77/TrRoad_tech!N105)</f>
        <v>1.1046758732561479</v>
      </c>
      <c r="O132" s="150">
        <f>IF(TrRoad_act!O74=0,0,TrRoad_ene!O77/TrRoad_tech!O105)</f>
        <v>1.1130236912085085</v>
      </c>
      <c r="P132" s="150">
        <f>IF(TrRoad_act!P74=0,0,TrRoad_ene!P77/TrRoad_tech!P105)</f>
        <v>1.1236376393096925</v>
      </c>
      <c r="Q132" s="150">
        <f>IF(TrRoad_act!Q74=0,0,TrRoad_ene!Q77/TrRoad_tech!Q105)</f>
        <v>1.1357547819115987</v>
      </c>
      <c r="R132" s="150">
        <f>IF(TrRoad_act!R74=0,0,TrRoad_ene!R77/TrRoad_tech!R105)</f>
        <v>1.1583406477615552</v>
      </c>
      <c r="S132" s="150">
        <f>IF(TrRoad_act!S74=0,0,TrRoad_ene!S77/TrRoad_tech!S105)</f>
        <v>1.1875573412301073</v>
      </c>
      <c r="T132" s="150">
        <f>IF(TrRoad_act!T74=0,0,TrRoad_ene!T77/TrRoad_tech!T105)</f>
        <v>1.2141035232225572</v>
      </c>
      <c r="U132" s="150">
        <f>IF(TrRoad_act!U74=0,0,TrRoad_ene!U77/TrRoad_tech!U105)</f>
        <v>1.2357417905858217</v>
      </c>
      <c r="V132" s="150">
        <f>IF(TrRoad_act!V74=0,0,TrRoad_ene!V77/TrRoad_tech!V105)</f>
        <v>1.2536634916810698</v>
      </c>
      <c r="W132" s="150">
        <f>IF(TrRoad_act!W74=0,0,TrRoad_ene!W77/TrRoad_tech!W105)</f>
        <v>1.2697306751664827</v>
      </c>
      <c r="X132" s="150">
        <f>IF(TrRoad_act!X74=0,0,TrRoad_ene!X77/TrRoad_tech!X105)</f>
        <v>1.2833856866586051</v>
      </c>
      <c r="Y132" s="150">
        <f>IF(TrRoad_act!Y74=0,0,TrRoad_ene!Y77/TrRoad_tech!Y105)</f>
        <v>1.3001466267105795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1.1001665151145612</v>
      </c>
      <c r="D133" s="91">
        <f>IF(TrRoad_act!D75=0,0,TrRoad_ene!D78/TrRoad_tech!D106)</f>
        <v>1.1006111625570767</v>
      </c>
      <c r="E133" s="91">
        <f>IF(TrRoad_act!E75=0,0,TrRoad_ene!E78/TrRoad_tech!E106)</f>
        <v>1.1014484552730817</v>
      </c>
      <c r="F133" s="91">
        <f>IF(TrRoad_act!F75=0,0,TrRoad_ene!F78/TrRoad_tech!F106)</f>
        <v>1.1027381714986992</v>
      </c>
      <c r="G133" s="91">
        <f>IF(TrRoad_act!G75=0,0,TrRoad_ene!G78/TrRoad_tech!G106)</f>
        <v>1.1035676603943052</v>
      </c>
      <c r="H133" s="91">
        <f>IF(TrRoad_act!H75=0,0,TrRoad_ene!H78/TrRoad_tech!H106)</f>
        <v>1.1038660131248172</v>
      </c>
      <c r="I133" s="91">
        <f>IF(TrRoad_act!I75=0,0,TrRoad_ene!I78/TrRoad_tech!I106)</f>
        <v>1.1042287699140885</v>
      </c>
      <c r="J133" s="91">
        <f>IF(TrRoad_act!J75=0,0,TrRoad_ene!J78/TrRoad_tech!J106)</f>
        <v>1.104722105217558</v>
      </c>
      <c r="K133" s="91">
        <f>IF(TrRoad_act!K75=0,0,TrRoad_ene!K78/TrRoad_tech!K106)</f>
        <v>1.1051633988600003</v>
      </c>
      <c r="L133" s="91">
        <f>IF(TrRoad_act!L75=0,0,TrRoad_ene!L78/TrRoad_tech!L106)</f>
        <v>1.1063911137289846</v>
      </c>
      <c r="M133" s="91">
        <f>IF(TrRoad_act!M75=0,0,TrRoad_ene!M78/TrRoad_tech!M106)</f>
        <v>1.1095697574526771</v>
      </c>
      <c r="N133" s="91">
        <f>IF(TrRoad_act!N75=0,0,TrRoad_ene!N78/TrRoad_tech!N106)</f>
        <v>1.1230342465198391</v>
      </c>
      <c r="O133" s="91">
        <f>IF(TrRoad_act!O75=0,0,TrRoad_ene!O78/TrRoad_tech!O106)</f>
        <v>1.1347699388599233</v>
      </c>
      <c r="P133" s="91">
        <f>IF(TrRoad_act!P75=0,0,TrRoad_ene!P78/TrRoad_tech!P106)</f>
        <v>1.1547447841733374</v>
      </c>
      <c r="Q133" s="91">
        <f>IF(TrRoad_act!Q75=0,0,TrRoad_ene!Q78/TrRoad_tech!Q106)</f>
        <v>1.1788473694258497</v>
      </c>
      <c r="R133" s="91">
        <f>IF(TrRoad_act!R75=0,0,TrRoad_ene!R78/TrRoad_tech!R106)</f>
        <v>1.2075320173537631</v>
      </c>
      <c r="S133" s="91">
        <f>IF(TrRoad_act!S75=0,0,TrRoad_ene!S78/TrRoad_tech!S106)</f>
        <v>1.2337197158298598</v>
      </c>
      <c r="T133" s="91">
        <f>IF(TrRoad_act!T75=0,0,TrRoad_ene!T78/TrRoad_tech!T106)</f>
        <v>1.2623388130242066</v>
      </c>
      <c r="U133" s="91">
        <f>IF(TrRoad_act!U75=0,0,TrRoad_ene!U78/TrRoad_tech!U106)</f>
        <v>1.2747686125970277</v>
      </c>
      <c r="V133" s="91">
        <f>IF(TrRoad_act!V75=0,0,TrRoad_ene!V78/TrRoad_tech!V106)</f>
        <v>1.2791033340129576</v>
      </c>
      <c r="W133" s="91">
        <f>IF(TrRoad_act!W75=0,0,TrRoad_ene!W78/TrRoad_tech!W106)</f>
        <v>1.2835432695489595</v>
      </c>
      <c r="X133" s="91">
        <f>IF(TrRoad_act!X75=0,0,TrRoad_ene!X78/TrRoad_tech!X106)</f>
        <v>1.2895875631176221</v>
      </c>
      <c r="Y133" s="91">
        <f>IF(TrRoad_act!Y75=0,0,TrRoad_ene!Y78/TrRoad_tech!Y106)</f>
        <v>1.2990797053596703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1.10000000000673</v>
      </c>
      <c r="D134" s="91">
        <f>IF(TrRoad_act!D76=0,0,TrRoad_ene!D79/TrRoad_tech!D107)</f>
        <v>1.1000363731267091</v>
      </c>
      <c r="E134" s="91">
        <f>IF(TrRoad_act!E76=0,0,TrRoad_ene!E79/TrRoad_tech!E107)</f>
        <v>1.100634854907685</v>
      </c>
      <c r="F134" s="91">
        <f>IF(TrRoad_act!F76=0,0,TrRoad_ene!F79/TrRoad_tech!F107)</f>
        <v>1.1019579091907621</v>
      </c>
      <c r="G134" s="91">
        <f>IF(TrRoad_act!G76=0,0,TrRoad_ene!G79/TrRoad_tech!G107)</f>
        <v>1.1024573813281247</v>
      </c>
      <c r="H134" s="91">
        <f>IF(TrRoad_act!H76=0,0,TrRoad_ene!H79/TrRoad_tech!H107)</f>
        <v>1.1055412897740333</v>
      </c>
      <c r="I134" s="91">
        <f>IF(TrRoad_act!I76=0,0,TrRoad_ene!I79/TrRoad_tech!I107)</f>
        <v>1.1091667333765287</v>
      </c>
      <c r="J134" s="91">
        <f>IF(TrRoad_act!J76=0,0,TrRoad_ene!J79/TrRoad_tech!J107)</f>
        <v>1.1123741656048269</v>
      </c>
      <c r="K134" s="91">
        <f>IF(TrRoad_act!K76=0,0,TrRoad_ene!K79/TrRoad_tech!K107)</f>
        <v>1.1159331854255117</v>
      </c>
      <c r="L134" s="91">
        <f>IF(TrRoad_act!L76=0,0,TrRoad_ene!L79/TrRoad_tech!L107)</f>
        <v>1.1177074327939747</v>
      </c>
      <c r="M134" s="91">
        <f>IF(TrRoad_act!M76=0,0,TrRoad_ene!M79/TrRoad_tech!M107)</f>
        <v>1.1225922207702166</v>
      </c>
      <c r="N134" s="91">
        <f>IF(TrRoad_act!N76=0,0,TrRoad_ene!N79/TrRoad_tech!N107)</f>
        <v>1.1285037486709946</v>
      </c>
      <c r="O134" s="91">
        <f>IF(TrRoad_act!O76=0,0,TrRoad_ene!O79/TrRoad_tech!O107)</f>
        <v>1.13477367681784</v>
      </c>
      <c r="P134" s="91">
        <f>IF(TrRoad_act!P76=0,0,TrRoad_ene!P79/TrRoad_tech!P107)</f>
        <v>1.1428648285044682</v>
      </c>
      <c r="Q134" s="91">
        <f>IF(TrRoad_act!Q76=0,0,TrRoad_ene!Q79/TrRoad_tech!Q107)</f>
        <v>1.1554730137500921</v>
      </c>
      <c r="R134" s="91">
        <f>IF(TrRoad_act!R76=0,0,TrRoad_ene!R79/TrRoad_tech!R107)</f>
        <v>1.1712211871685048</v>
      </c>
      <c r="S134" s="91">
        <f>IF(TrRoad_act!S76=0,0,TrRoad_ene!S79/TrRoad_tech!S107)</f>
        <v>1.1981924448463039</v>
      </c>
      <c r="T134" s="91">
        <f>IF(TrRoad_act!T76=0,0,TrRoad_ene!T79/TrRoad_tech!T107)</f>
        <v>1.2204603743151825</v>
      </c>
      <c r="U134" s="91">
        <f>IF(TrRoad_act!U76=0,0,TrRoad_ene!U79/TrRoad_tech!U107)</f>
        <v>1.2399119541343797</v>
      </c>
      <c r="V134" s="91">
        <f>IF(TrRoad_act!V76=0,0,TrRoad_ene!V79/TrRoad_tech!V107)</f>
        <v>1.2564090924581472</v>
      </c>
      <c r="W134" s="91">
        <f>IF(TrRoad_act!W76=0,0,TrRoad_ene!W79/TrRoad_tech!W107)</f>
        <v>1.2719587210823293</v>
      </c>
      <c r="X134" s="91">
        <f>IF(TrRoad_act!X76=0,0,TrRoad_ene!X79/TrRoad_tech!X107)</f>
        <v>1.2853814251540492</v>
      </c>
      <c r="Y134" s="91">
        <f>IF(TrRoad_act!Y76=0,0,TrRoad_ene!Y79/TrRoad_tech!Y107)</f>
        <v>1.3006725571705482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1.3172635731932034</v>
      </c>
      <c r="S135" s="91">
        <f>IF(TrRoad_act!S77=0,0,TrRoad_ene!S80/TrRoad_tech!S108)</f>
        <v>1.3260574063064965</v>
      </c>
      <c r="T135" s="91">
        <f>IF(TrRoad_act!T77=0,0,TrRoad_ene!T80/TrRoad_tech!T108)</f>
        <v>1.3331419693427735</v>
      </c>
      <c r="U135" s="91">
        <f>IF(TrRoad_act!U77=0,0,TrRoad_ene!U80/TrRoad_tech!U108)</f>
        <v>1.3390770187763028</v>
      </c>
      <c r="V135" s="91">
        <f>IF(TrRoad_act!V77=0,0,TrRoad_ene!V80/TrRoad_tech!V108)</f>
        <v>1.3418102711567104</v>
      </c>
      <c r="W135" s="91">
        <f>IF(TrRoad_act!W77=0,0,TrRoad_ene!W80/TrRoad_tech!W108)</f>
        <v>1.345652031818404</v>
      </c>
      <c r="X135" s="91">
        <f>IF(TrRoad_act!X77=0,0,TrRoad_ene!X80/TrRoad_tech!X108)</f>
        <v>1.3458589658242888</v>
      </c>
      <c r="Y135" s="91">
        <f>IF(TrRoad_act!Y77=0,0,TrRoad_ene!Y80/TrRoad_tech!Y108)</f>
        <v>1.3464439731401234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1.3172635731932032</v>
      </c>
      <c r="S136" s="91">
        <f>IF(TrRoad_act!S78=0,0,TrRoad_ene!S81/TrRoad_tech!S109)</f>
        <v>1.3237389069949164</v>
      </c>
      <c r="T136" s="91">
        <f>IF(TrRoad_act!T78=0,0,TrRoad_ene!T81/TrRoad_tech!T109)</f>
        <v>1.3298081798974499</v>
      </c>
      <c r="U136" s="91">
        <f>IF(TrRoad_act!U78=0,0,TrRoad_ene!U81/TrRoad_tech!U109)</f>
        <v>1.3362493297719535</v>
      </c>
      <c r="V136" s="91">
        <f>IF(TrRoad_act!V78=0,0,TrRoad_ene!V81/TrRoad_tech!V109)</f>
        <v>1.3413138633357524</v>
      </c>
      <c r="W136" s="91">
        <f>IF(TrRoad_act!W78=0,0,TrRoad_ene!W81/TrRoad_tech!W109)</f>
        <v>1.3447185039674181</v>
      </c>
      <c r="X136" s="91">
        <f>IF(TrRoad_act!X78=0,0,TrRoad_ene!X81/TrRoad_tech!X109)</f>
        <v>1.3450907567877024</v>
      </c>
      <c r="Y136" s="91">
        <f>IF(TrRoad_act!Y78=0,0,TrRoad_ene!Y81/TrRoad_tech!Y109)</f>
        <v>1.3453344901945636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1.2366278287896999</v>
      </c>
      <c r="P137" s="91">
        <f>IF(TrRoad_act!P79=0,0,TrRoad_ene!P82/TrRoad_tech!P110)</f>
        <v>1.2379223189873394</v>
      </c>
      <c r="Q137" s="91">
        <f>IF(TrRoad_act!Q79=0,0,TrRoad_ene!Q82/TrRoad_tech!Q110)</f>
        <v>1.252732542783624</v>
      </c>
      <c r="R137" s="91">
        <f>IF(TrRoad_act!R79=0,0,TrRoad_ene!R82/TrRoad_tech!R110)</f>
        <v>1.2717084308234998</v>
      </c>
      <c r="S137" s="91">
        <f>IF(TrRoad_act!S79=0,0,TrRoad_ene!S82/TrRoad_tech!S110)</f>
        <v>1.2782610977396702</v>
      </c>
      <c r="T137" s="91">
        <f>IF(TrRoad_act!T79=0,0,TrRoad_ene!T82/TrRoad_tech!T110)</f>
        <v>1.2909831755454662</v>
      </c>
      <c r="U137" s="91">
        <f>IF(TrRoad_act!U79=0,0,TrRoad_ene!U82/TrRoad_tech!U110)</f>
        <v>1.3104860574320549</v>
      </c>
      <c r="V137" s="91">
        <f>IF(TrRoad_act!V79=0,0,TrRoad_ene!V82/TrRoad_tech!V110)</f>
        <v>1.3182536924669455</v>
      </c>
      <c r="W137" s="91">
        <f>IF(TrRoad_act!W79=0,0,TrRoad_ene!W82/TrRoad_tech!W110)</f>
        <v>1.3371561447970999</v>
      </c>
      <c r="X137" s="91">
        <f>IF(TrRoad_act!X79=0,0,TrRoad_ene!X82/TrRoad_tech!X110)</f>
        <v>1.3566817572958159</v>
      </c>
      <c r="Y137" s="91">
        <f>IF(TrRoad_act!Y79=0,0,TrRoad_ene!Y82/TrRoad_tech!Y110)</f>
        <v>1.3601788475165657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1.0498697293098285</v>
      </c>
      <c r="C138" s="151">
        <f>IF(TrRoad_act!C80=0,0,TrRoad_ene!C83/TrRoad_tech!C111)</f>
        <v>1.1378699262599643</v>
      </c>
      <c r="D138" s="151">
        <f>IF(TrRoad_act!D80=0,0,TrRoad_ene!D83/TrRoad_tech!D111)</f>
        <v>1.0370428392431692</v>
      </c>
      <c r="E138" s="151">
        <f>IF(TrRoad_act!E80=0,0,TrRoad_ene!E83/TrRoad_tech!E111)</f>
        <v>1.2726579234900468</v>
      </c>
      <c r="F138" s="151">
        <f>IF(TrRoad_act!F80=0,0,TrRoad_ene!F83/TrRoad_tech!F111)</f>
        <v>1.222365565271109</v>
      </c>
      <c r="G138" s="151">
        <f>IF(TrRoad_act!G80=0,0,TrRoad_ene!G83/TrRoad_tech!G111)</f>
        <v>1.3039955322494026</v>
      </c>
      <c r="H138" s="151">
        <f>IF(TrRoad_act!H80=0,0,TrRoad_ene!H83/TrRoad_tech!H111)</f>
        <v>1.2327647300503239</v>
      </c>
      <c r="I138" s="151">
        <f>IF(TrRoad_act!I80=0,0,TrRoad_ene!I83/TrRoad_tech!I111)</f>
        <v>1.1239898683312197</v>
      </c>
      <c r="J138" s="151">
        <f>IF(TrRoad_act!J80=0,0,TrRoad_ene!J83/TrRoad_tech!J111)</f>
        <v>1.1558083623681832</v>
      </c>
      <c r="K138" s="151">
        <f>IF(TrRoad_act!K80=0,0,TrRoad_ene!K83/TrRoad_tech!K111)</f>
        <v>1.0911675374494094</v>
      </c>
      <c r="L138" s="151">
        <f>IF(TrRoad_act!L80=0,0,TrRoad_ene!L83/TrRoad_tech!L111)</f>
        <v>1.0975824864138826</v>
      </c>
      <c r="M138" s="151">
        <f>IF(TrRoad_act!M80=0,0,TrRoad_ene!M83/TrRoad_tech!M111)</f>
        <v>1.0646197696991777</v>
      </c>
      <c r="N138" s="151">
        <f>IF(TrRoad_act!N80=0,0,TrRoad_ene!N83/TrRoad_tech!N111)</f>
        <v>1.1514485757997528</v>
      </c>
      <c r="O138" s="151">
        <f>IF(TrRoad_act!O80=0,0,TrRoad_ene!O83/TrRoad_tech!O111)</f>
        <v>0.94959673924806443</v>
      </c>
      <c r="P138" s="151">
        <f>IF(TrRoad_act!P80=0,0,TrRoad_ene!P83/TrRoad_tech!P111)</f>
        <v>1.1276732952438357</v>
      </c>
      <c r="Q138" s="151">
        <f>IF(TrRoad_act!Q80=0,0,TrRoad_ene!Q83/TrRoad_tech!Q111)</f>
        <v>1.1811468717441553</v>
      </c>
      <c r="R138" s="151">
        <f>IF(TrRoad_act!R80=0,0,TrRoad_ene!R83/TrRoad_tech!R111)</f>
        <v>1.2614463218799454</v>
      </c>
      <c r="S138" s="151">
        <f>IF(TrRoad_act!S80=0,0,TrRoad_ene!S83/TrRoad_tech!S111)</f>
        <v>1.3224910727645214</v>
      </c>
      <c r="T138" s="151">
        <f>IF(TrRoad_act!T80=0,0,TrRoad_ene!T83/TrRoad_tech!T111)</f>
        <v>1.4410994922622629</v>
      </c>
      <c r="U138" s="151">
        <f>IF(TrRoad_act!U80=0,0,TrRoad_ene!U83/TrRoad_tech!U111)</f>
        <v>1.5737304046343374</v>
      </c>
      <c r="V138" s="151">
        <f>IF(TrRoad_act!V80=0,0,TrRoad_ene!V83/TrRoad_tech!V111)</f>
        <v>1.4637722007397571</v>
      </c>
      <c r="W138" s="151">
        <f>IF(TrRoad_act!W80=0,0,TrRoad_ene!W83/TrRoad_tech!W111)</f>
        <v>1.5028159735429203</v>
      </c>
      <c r="X138" s="151">
        <f>IF(TrRoad_act!X80=0,0,TrRoad_ene!X83/TrRoad_tech!X111)</f>
        <v>1.4816695224593626</v>
      </c>
      <c r="Y138" s="151">
        <f>IF(TrRoad_act!Y80=0,0,TrRoad_ene!Y83/TrRoad_tech!Y111)</f>
        <v>1.461277198385629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0.80342075101404575</v>
      </c>
      <c r="C139" s="93">
        <f>IF(TrRoad_act!C81=0,0,TrRoad_ene!C84/TrRoad_tech!C112)</f>
        <v>1.0122079866324953</v>
      </c>
      <c r="D139" s="93">
        <f>IF(TrRoad_act!D81=0,0,TrRoad_ene!D84/TrRoad_tech!D112)</f>
        <v>0.76905010497441928</v>
      </c>
      <c r="E139" s="93">
        <f>IF(TrRoad_act!E81=0,0,TrRoad_ene!E84/TrRoad_tech!E112)</f>
        <v>1.2866176318076372</v>
      </c>
      <c r="F139" s="93">
        <f>IF(TrRoad_act!F81=0,0,TrRoad_ene!F84/TrRoad_tech!F112)</f>
        <v>1.1927307286901205</v>
      </c>
      <c r="G139" s="93">
        <f>IF(TrRoad_act!G81=0,0,TrRoad_ene!G84/TrRoad_tech!G112)</f>
        <v>1.3361371717297228</v>
      </c>
      <c r="H139" s="93">
        <f>IF(TrRoad_act!H81=0,0,TrRoad_ene!H84/TrRoad_tech!H112)</f>
        <v>1.2170866610517554</v>
      </c>
      <c r="I139" s="93">
        <f>IF(TrRoad_act!I81=0,0,TrRoad_ene!I84/TrRoad_tech!I112)</f>
        <v>1.0545799099628539</v>
      </c>
      <c r="J139" s="93">
        <f>IF(TrRoad_act!J81=0,0,TrRoad_ene!J84/TrRoad_tech!J112)</f>
        <v>1.132264076765495</v>
      </c>
      <c r="K139" s="93">
        <f>IF(TrRoad_act!K81=0,0,TrRoad_ene!K84/TrRoad_tech!K112)</f>
        <v>1.0466428334417071</v>
      </c>
      <c r="L139" s="93">
        <f>IF(TrRoad_act!L81=0,0,TrRoad_ene!L84/TrRoad_tech!L112)</f>
        <v>1.0464849196924981</v>
      </c>
      <c r="M139" s="93">
        <f>IF(TrRoad_act!M81=0,0,TrRoad_ene!M84/TrRoad_tech!M112)</f>
        <v>0.99420896113512314</v>
      </c>
      <c r="N139" s="93">
        <f>IF(TrRoad_act!N81=0,0,TrRoad_ene!N84/TrRoad_tech!N112)</f>
        <v>1.1094815592741001</v>
      </c>
      <c r="O139" s="93">
        <f>IF(TrRoad_act!O81=0,0,TrRoad_ene!O84/TrRoad_tech!O112)</f>
        <v>0.81773102947302123</v>
      </c>
      <c r="P139" s="93">
        <f>IF(TrRoad_act!P81=0,0,TrRoad_ene!P84/TrRoad_tech!P112)</f>
        <v>1.0614082669914255</v>
      </c>
      <c r="Q139" s="93">
        <f>IF(TrRoad_act!Q81=0,0,TrRoad_ene!Q84/TrRoad_tech!Q112)</f>
        <v>1.1225005879313483</v>
      </c>
      <c r="R139" s="93">
        <f>IF(TrRoad_act!R81=0,0,TrRoad_ene!R84/TrRoad_tech!R112)</f>
        <v>1.221946540281116</v>
      </c>
      <c r="S139" s="93">
        <f>IF(TrRoad_act!S81=0,0,TrRoad_ene!S84/TrRoad_tech!S112)</f>
        <v>1.3032259849038894</v>
      </c>
      <c r="T139" s="93">
        <f>IF(TrRoad_act!T81=0,0,TrRoad_ene!T84/TrRoad_tech!T112)</f>
        <v>1.448636599963397</v>
      </c>
      <c r="U139" s="93">
        <f>IF(TrRoad_act!U81=0,0,TrRoad_ene!U84/TrRoad_tech!U112)</f>
        <v>1.6211857063534287</v>
      </c>
      <c r="V139" s="93">
        <f>IF(TrRoad_act!V81=0,0,TrRoad_ene!V84/TrRoad_tech!V112)</f>
        <v>1.4532594803205181</v>
      </c>
      <c r="W139" s="93">
        <f>IF(TrRoad_act!W81=0,0,TrRoad_ene!W84/TrRoad_tech!W112)</f>
        <v>1.501538429382236</v>
      </c>
      <c r="X139" s="93">
        <f>IF(TrRoad_act!X81=0,0,TrRoad_ene!X84/TrRoad_tech!X112)</f>
        <v>1.451419190597359</v>
      </c>
      <c r="Y139" s="93">
        <f>IF(TrRoad_act!Y81=0,0,TrRoad_ene!Y84/TrRoad_tech!Y112)</f>
        <v>1.4176322491706346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1.1243739213519246</v>
      </c>
      <c r="C140" s="94">
        <f>IF(TrRoad_act!C82=0,0,TrRoad_ene!C85/TrRoad_tech!C113)</f>
        <v>1.1078599289635134</v>
      </c>
      <c r="D140" s="94">
        <f>IF(TrRoad_act!D82=0,0,TrRoad_ene!D85/TrRoad_tech!D113)</f>
        <v>1.1284512418903883</v>
      </c>
      <c r="E140" s="94">
        <f>IF(TrRoad_act!E82=0,0,TrRoad_ene!E85/TrRoad_tech!E113)</f>
        <v>1.0831841697857088</v>
      </c>
      <c r="F140" s="94">
        <f>IF(TrRoad_act!F82=0,0,TrRoad_ene!F85/TrRoad_tech!F113)</f>
        <v>1.0979956845461727</v>
      </c>
      <c r="G140" s="94">
        <f>IF(TrRoad_act!G82=0,0,TrRoad_ene!G85/TrRoad_tech!G113)</f>
        <v>1.0852312589081448</v>
      </c>
      <c r="H140" s="94">
        <f>IF(TrRoad_act!H82=0,0,TrRoad_ene!H85/TrRoad_tech!H113)</f>
        <v>1.0976005513024545</v>
      </c>
      <c r="I140" s="94">
        <f>IF(TrRoad_act!I82=0,0,TrRoad_ene!I85/TrRoad_tech!I113)</f>
        <v>1.1188548978427475</v>
      </c>
      <c r="J140" s="94">
        <f>IF(TrRoad_act!J82=0,0,TrRoad_ene!J85/TrRoad_tech!J113)</f>
        <v>1.1134893751683939</v>
      </c>
      <c r="K140" s="94">
        <f>IF(TrRoad_act!K82=0,0,TrRoad_ene!K85/TrRoad_tech!K113)</f>
        <v>1.1289480836995236</v>
      </c>
      <c r="L140" s="94">
        <f>IF(TrRoad_act!L82=0,0,TrRoad_ene!L85/TrRoad_tech!L113)</f>
        <v>1.1433105611440129</v>
      </c>
      <c r="M140" s="94">
        <f>IF(TrRoad_act!M82=0,0,TrRoad_ene!M85/TrRoad_tech!M113)</f>
        <v>1.169980187339464</v>
      </c>
      <c r="N140" s="94">
        <f>IF(TrRoad_act!N82=0,0,TrRoad_ene!N85/TrRoad_tech!N113)</f>
        <v>1.1561734768034491</v>
      </c>
      <c r="O140" s="94">
        <f>IF(TrRoad_act!O82=0,0,TrRoad_ene!O85/TrRoad_tech!O113)</f>
        <v>1.2274532200723778</v>
      </c>
      <c r="P140" s="94">
        <f>IF(TrRoad_act!P82=0,0,TrRoad_ene!P85/TrRoad_tech!P113)</f>
        <v>1.1965756484932994</v>
      </c>
      <c r="Q140" s="94">
        <f>IF(TrRoad_act!Q82=0,0,TrRoad_ene!Q85/TrRoad_tech!Q113)</f>
        <v>1.2153426003811145</v>
      </c>
      <c r="R140" s="94">
        <f>IF(TrRoad_act!R82=0,0,TrRoad_ene!R85/TrRoad_tech!R113)</f>
        <v>1.2123037132879273</v>
      </c>
      <c r="S140" s="94">
        <f>IF(TrRoad_act!S82=0,0,TrRoad_ene!S85/TrRoad_tech!S113)</f>
        <v>1.2105783823198015</v>
      </c>
      <c r="T140" s="94">
        <f>IF(TrRoad_act!T82=0,0,TrRoad_ene!T85/TrRoad_tech!T113)</f>
        <v>1.1991126945647563</v>
      </c>
      <c r="U140" s="94">
        <f>IF(TrRoad_act!U82=0,0,TrRoad_ene!U85/TrRoad_tech!U113)</f>
        <v>1.1874150228954394</v>
      </c>
      <c r="V140" s="94">
        <f>IF(TrRoad_act!V82=0,0,TrRoad_ene!V85/TrRoad_tech!V113)</f>
        <v>1.2657183380015686</v>
      </c>
      <c r="W140" s="94">
        <f>IF(TrRoad_act!W82=0,0,TrRoad_ene!W85/TrRoad_tech!W113)</f>
        <v>1.3013338727614654</v>
      </c>
      <c r="X140" s="94">
        <f>IF(TrRoad_act!X82=0,0,TrRoad_ene!X85/TrRoad_tech!X113)</f>
        <v>1.3493317017301283</v>
      </c>
      <c r="Y140" s="94">
        <f>IF(TrRoad_act!Y82=0,0,TrRoad_ene!Y85/TrRoad_tech!Y113)</f>
        <v>1.3701536517026014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3.7371133839571824</v>
      </c>
      <c r="C144" s="141">
        <v>3.7217365189874139</v>
      </c>
      <c r="D144" s="141">
        <v>3.7047253079571205</v>
      </c>
      <c r="E144" s="141">
        <v>3.6697274724200248</v>
      </c>
      <c r="F144" s="141">
        <v>3.6659038515921152</v>
      </c>
      <c r="G144" s="141">
        <v>3.6287601064067032</v>
      </c>
      <c r="H144" s="141">
        <v>3.5739028524879117</v>
      </c>
      <c r="I144" s="141">
        <v>3.534808280349484</v>
      </c>
      <c r="J144" s="141">
        <v>3.4073022307004015</v>
      </c>
      <c r="K144" s="141">
        <v>3.2697689305128201</v>
      </c>
      <c r="L144" s="141">
        <v>3.1838935280410849</v>
      </c>
      <c r="M144" s="141">
        <v>2.9824733862333179</v>
      </c>
      <c r="N144" s="141">
        <v>2.9423857784673415</v>
      </c>
      <c r="O144" s="141">
        <v>2.8794589604596643</v>
      </c>
      <c r="P144" s="141">
        <v>2.8227381201281991</v>
      </c>
      <c r="Q144" s="141">
        <v>2.753466826482716</v>
      </c>
      <c r="R144" s="141">
        <v>2.6966300228606759</v>
      </c>
      <c r="S144" s="141">
        <v>2.6511605799630438</v>
      </c>
      <c r="T144" s="141">
        <v>2.6147850256449381</v>
      </c>
      <c r="U144" s="141">
        <v>2.5856845821904533</v>
      </c>
      <c r="V144" s="141">
        <v>2.5624042274268657</v>
      </c>
      <c r="W144" s="141">
        <v>2.5437799436159954</v>
      </c>
      <c r="X144" s="141">
        <v>2.5288805165672992</v>
      </c>
      <c r="Y144" s="141">
        <v>2.5169609749283421</v>
      </c>
      <c r="DA144" s="174" t="s">
        <v>887</v>
      </c>
    </row>
    <row r="145" spans="1:105" ht="11.45" customHeight="1" x14ac:dyDescent="0.25">
      <c r="A145" s="109" t="s">
        <v>20</v>
      </c>
      <c r="B145" s="130">
        <v>7.5505108668675192</v>
      </c>
      <c r="C145" s="130">
        <v>7.7441714055319437</v>
      </c>
      <c r="D145" s="130">
        <v>7.5338317974177755</v>
      </c>
      <c r="E145" s="130">
        <v>7.2326426230451535</v>
      </c>
      <c r="F145" s="130">
        <v>7.2669800110139962</v>
      </c>
      <c r="G145" s="130">
        <v>7.7993565253796548</v>
      </c>
      <c r="H145" s="130">
        <v>7.2415607596849281</v>
      </c>
      <c r="I145" s="130">
        <v>7.1153004665377706</v>
      </c>
      <c r="J145" s="130">
        <v>6.7174909790807904</v>
      </c>
      <c r="K145" s="130">
        <v>6.4430620427746037</v>
      </c>
      <c r="L145" s="130">
        <v>5.9766038516835955</v>
      </c>
      <c r="M145" s="130">
        <v>6.3371696276595078</v>
      </c>
      <c r="N145" s="130">
        <v>6.7078040733757138</v>
      </c>
      <c r="O145" s="130">
        <v>5.9905237674355831</v>
      </c>
      <c r="P145" s="130">
        <v>5.9044001505837755</v>
      </c>
      <c r="Q145" s="130">
        <v>5.3756464602155702</v>
      </c>
      <c r="R145" s="130">
        <v>5.1448780396267644</v>
      </c>
      <c r="S145" s="130">
        <v>5.2422444983596677</v>
      </c>
      <c r="T145" s="130">
        <v>5.284078895099996</v>
      </c>
      <c r="U145" s="130">
        <v>5.4651620596223687</v>
      </c>
      <c r="V145" s="130">
        <v>5.05512017999986</v>
      </c>
      <c r="W145" s="130">
        <v>4.8695344101278586</v>
      </c>
      <c r="X145" s="130">
        <v>4.8609617553938929</v>
      </c>
      <c r="Y145" s="130">
        <v>4.8309391524591581</v>
      </c>
      <c r="DA145" s="176" t="s">
        <v>888</v>
      </c>
    </row>
    <row r="146" spans="1:105" ht="11.45" customHeight="1" x14ac:dyDescent="0.25">
      <c r="A146" s="111" t="s">
        <v>110</v>
      </c>
      <c r="B146" s="96">
        <v>7.8958743959298614</v>
      </c>
      <c r="C146" s="96">
        <v>7.8987355246433069</v>
      </c>
      <c r="D146" s="96">
        <v>7.8509706329824978</v>
      </c>
      <c r="E146" s="96">
        <v>7.7527020370656459</v>
      </c>
      <c r="F146" s="96">
        <v>7.7419658916923435</v>
      </c>
      <c r="G146" s="96">
        <v>7.6376719080659852</v>
      </c>
      <c r="H146" s="96">
        <v>7.483641087710251</v>
      </c>
      <c r="I146" s="96">
        <v>7.3738694788934334</v>
      </c>
      <c r="J146" s="96">
        <v>7.0158518964449668</v>
      </c>
      <c r="K146" s="96">
        <v>6.6296793205175364</v>
      </c>
      <c r="L146" s="96">
        <v>6.3885542596335272</v>
      </c>
      <c r="M146" s="96">
        <v>5.8224967406385266</v>
      </c>
      <c r="N146" s="96">
        <v>5.7100965540701178</v>
      </c>
      <c r="O146" s="96">
        <v>5.5337483253330726</v>
      </c>
      <c r="P146" s="96">
        <v>5.3744848379471026</v>
      </c>
      <c r="Q146" s="96">
        <v>5.181970198070978</v>
      </c>
      <c r="R146" s="96">
        <v>5.1419847190412895</v>
      </c>
      <c r="S146" s="96">
        <v>5.1067201707179093</v>
      </c>
      <c r="T146" s="96">
        <v>5.0781180988892975</v>
      </c>
      <c r="U146" s="96">
        <v>5.2911882365987939</v>
      </c>
      <c r="V146" s="96">
        <v>5.1953177666382366</v>
      </c>
      <c r="W146" s="96">
        <v>4.9203918087828775</v>
      </c>
      <c r="X146" s="96">
        <v>4.8628843368559869</v>
      </c>
      <c r="Y146" s="96">
        <v>4.849415747132956</v>
      </c>
      <c r="DA146" s="171" t="s">
        <v>889</v>
      </c>
    </row>
    <row r="147" spans="1:105" ht="11.45" customHeight="1" x14ac:dyDescent="0.25">
      <c r="A147" s="111" t="s">
        <v>111</v>
      </c>
      <c r="B147" s="96">
        <v>6.6261645768689936</v>
      </c>
      <c r="C147" s="96">
        <v>6.6627835240082005</v>
      </c>
      <c r="D147" s="96">
        <v>6.6591056665834838</v>
      </c>
      <c r="E147" s="96">
        <v>6.6742768284604406</v>
      </c>
      <c r="F147" s="96">
        <v>6.6302574724083598</v>
      </c>
      <c r="G147" s="96">
        <v>6.6500259560662114</v>
      </c>
      <c r="H147" s="96">
        <v>6.6926661155840241</v>
      </c>
      <c r="I147" s="96">
        <v>6.6310620037200145</v>
      </c>
      <c r="J147" s="96">
        <v>6.3318912888282011</v>
      </c>
      <c r="K147" s="96">
        <v>6.0830612474371994</v>
      </c>
      <c r="L147" s="96">
        <v>5.8494023679231972</v>
      </c>
      <c r="M147" s="96">
        <v>6.4385773030690645</v>
      </c>
      <c r="N147" s="96">
        <v>6.3871879070056155</v>
      </c>
      <c r="O147" s="96">
        <v>5.9196793300158168</v>
      </c>
      <c r="P147" s="96">
        <v>5.6311636103679525</v>
      </c>
      <c r="Q147" s="96">
        <v>5.3539235736193271</v>
      </c>
      <c r="R147" s="96">
        <v>5.0756712150267687</v>
      </c>
      <c r="S147" s="96">
        <v>5.1493842411572457</v>
      </c>
      <c r="T147" s="96">
        <v>5.3203581525610346</v>
      </c>
      <c r="U147" s="96">
        <v>5.3025193329854883</v>
      </c>
      <c r="V147" s="96">
        <v>5.0644195606242519</v>
      </c>
      <c r="W147" s="96">
        <v>5.0924848060965395</v>
      </c>
      <c r="X147" s="96">
        <v>5.0934127275273413</v>
      </c>
      <c r="Y147" s="96">
        <v>5.1166415245648773</v>
      </c>
      <c r="DA147" s="171" t="s">
        <v>890</v>
      </c>
    </row>
    <row r="148" spans="1:105" ht="11.45" customHeight="1" x14ac:dyDescent="0.25">
      <c r="A148" s="111" t="s">
        <v>112</v>
      </c>
      <c r="B148" s="96">
        <v>7.6336406505170213</v>
      </c>
      <c r="C148" s="96">
        <v>7.8435504954788691</v>
      </c>
      <c r="D148" s="96">
        <v>7.8392208545229547</v>
      </c>
      <c r="E148" s="96">
        <v>7.8570806234661035</v>
      </c>
      <c r="F148" s="96">
        <v>7.8052602332749981</v>
      </c>
      <c r="G148" s="96">
        <v>7.8285320534130376</v>
      </c>
      <c r="H148" s="96">
        <v>7.8787288282456727</v>
      </c>
      <c r="I148" s="96">
        <v>0</v>
      </c>
      <c r="J148" s="96">
        <v>0</v>
      </c>
      <c r="K148" s="96">
        <v>7.1610908398028341</v>
      </c>
      <c r="L148" s="96">
        <v>5.7747516675551136</v>
      </c>
      <c r="M148" s="96">
        <v>7.5796108358757062</v>
      </c>
      <c r="N148" s="96">
        <v>7.5149005212521205</v>
      </c>
      <c r="O148" s="96">
        <v>6.2332376655376311</v>
      </c>
      <c r="P148" s="96">
        <v>6.0002041295439588</v>
      </c>
      <c r="Q148" s="96">
        <v>5.5094122694794105</v>
      </c>
      <c r="R148" s="96">
        <v>5.2579839754368169</v>
      </c>
      <c r="S148" s="96">
        <v>5.586228306941921</v>
      </c>
      <c r="T148" s="96">
        <v>5.6268401223044728</v>
      </c>
      <c r="U148" s="96">
        <v>6.4489662122446658</v>
      </c>
      <c r="V148" s="96">
        <v>4.8804300261754925</v>
      </c>
      <c r="W148" s="96">
        <v>4.4199872048319646</v>
      </c>
      <c r="X148" s="96">
        <v>4.3856018258487079</v>
      </c>
      <c r="Y148" s="96">
        <v>4.3976073499738098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9.4400302482943879</v>
      </c>
      <c r="G149" s="96">
        <v>9.3128612095875081</v>
      </c>
      <c r="H149" s="96">
        <v>9.1250464318334483</v>
      </c>
      <c r="I149" s="96">
        <v>8.9911983469760024</v>
      </c>
      <c r="J149" s="96">
        <v>0</v>
      </c>
      <c r="K149" s="96">
        <v>8.0837831369593882</v>
      </c>
      <c r="L149" s="96">
        <v>5.8391192084417378</v>
      </c>
      <c r="M149" s="96">
        <v>7.1001693950381242</v>
      </c>
      <c r="N149" s="96">
        <v>6.6307323864026531</v>
      </c>
      <c r="O149" s="96">
        <v>6.9892330455481497</v>
      </c>
      <c r="P149" s="96">
        <v>6.6250517052190014</v>
      </c>
      <c r="Q149" s="96">
        <v>6.6985108281931103</v>
      </c>
      <c r="R149" s="96">
        <v>5.141589070612393</v>
      </c>
      <c r="S149" s="96">
        <v>4.8068388284569554</v>
      </c>
      <c r="T149" s="96">
        <v>5.2659985452965055</v>
      </c>
      <c r="U149" s="96">
        <v>5.1392821261244306</v>
      </c>
      <c r="V149" s="96">
        <v>4.9140709002971086</v>
      </c>
      <c r="W149" s="96">
        <v>4.4749393543081277</v>
      </c>
      <c r="X149" s="96">
        <v>4.4645236782710853</v>
      </c>
      <c r="Y149" s="96">
        <v>4.6761570373594701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2.6450945307222993</v>
      </c>
      <c r="O150" s="96">
        <v>0</v>
      </c>
      <c r="P150" s="96">
        <v>3.7556255134025966</v>
      </c>
      <c r="Q150" s="96">
        <v>3.3154509578499036</v>
      </c>
      <c r="R150" s="96">
        <v>3.1526913632533953</v>
      </c>
      <c r="S150" s="96">
        <v>3.2401292925486045</v>
      </c>
      <c r="T150" s="96">
        <v>3.1664569096498019</v>
      </c>
      <c r="U150" s="96">
        <v>3.7802093183026195</v>
      </c>
      <c r="V150" s="96">
        <v>3.2022911797214846</v>
      </c>
      <c r="W150" s="96">
        <v>2.7163120597698382</v>
      </c>
      <c r="X150" s="96">
        <v>2.90476061429026</v>
      </c>
      <c r="Y150" s="96">
        <v>2.8831940086587728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0</v>
      </c>
      <c r="P151" s="96">
        <v>0</v>
      </c>
      <c r="Q151" s="96">
        <v>0</v>
      </c>
      <c r="R151" s="96">
        <v>1.1129587088241777</v>
      </c>
      <c r="S151" s="96">
        <v>1.0483383410869695</v>
      </c>
      <c r="T151" s="96">
        <v>1.1659501289767842</v>
      </c>
      <c r="U151" s="96">
        <v>1.4242163683264282</v>
      </c>
      <c r="V151" s="96">
        <v>1.398200232355123</v>
      </c>
      <c r="W151" s="96">
        <v>1.4625216667349079</v>
      </c>
      <c r="X151" s="96">
        <v>1.4686359405159579</v>
      </c>
      <c r="Y151" s="96">
        <v>1.5476239560227023</v>
      </c>
      <c r="DA151" s="171" t="s">
        <v>894</v>
      </c>
    </row>
    <row r="152" spans="1:105" ht="11.45" customHeight="1" x14ac:dyDescent="0.25">
      <c r="A152" s="109" t="s">
        <v>21</v>
      </c>
      <c r="B152" s="130">
        <v>48.104965494010486</v>
      </c>
      <c r="C152" s="130">
        <v>48.097654906350449</v>
      </c>
      <c r="D152" s="130">
        <v>48.024610106985897</v>
      </c>
      <c r="E152" s="130">
        <v>47.872908047697031</v>
      </c>
      <c r="F152" s="130">
        <v>42.597380977584756</v>
      </c>
      <c r="G152" s="130">
        <v>46.960109399843617</v>
      </c>
      <c r="H152" s="130">
        <v>42.613162793741665</v>
      </c>
      <c r="I152" s="130">
        <v>45.872940381712034</v>
      </c>
      <c r="J152" s="130">
        <v>43.207492683977627</v>
      </c>
      <c r="K152" s="130">
        <v>44.305849115624532</v>
      </c>
      <c r="L152" s="130">
        <v>42.725382661355653</v>
      </c>
      <c r="M152" s="130">
        <v>44.418302553250911</v>
      </c>
      <c r="N152" s="130">
        <v>43.919624448011426</v>
      </c>
      <c r="O152" s="130">
        <v>32.473770502725415</v>
      </c>
      <c r="P152" s="130">
        <v>39.52156794814266</v>
      </c>
      <c r="Q152" s="130">
        <v>41.831471305915358</v>
      </c>
      <c r="R152" s="130">
        <v>11.143627261889311</v>
      </c>
      <c r="S152" s="130">
        <v>40.73776229412988</v>
      </c>
      <c r="T152" s="130">
        <v>37.164486481060941</v>
      </c>
      <c r="U152" s="130">
        <v>35.162560499758015</v>
      </c>
      <c r="V152" s="130">
        <v>35.773704181819781</v>
      </c>
      <c r="W152" s="130">
        <v>33.297091476984399</v>
      </c>
      <c r="X152" s="130">
        <v>34.358678040785605</v>
      </c>
      <c r="Y152" s="130">
        <v>31.564617407905512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10.590293788823612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48.104965494010486</v>
      </c>
      <c r="C154" s="97">
        <v>48.097654906350449</v>
      </c>
      <c r="D154" s="97">
        <v>48.024610106985897</v>
      </c>
      <c r="E154" s="97">
        <v>47.872908047697024</v>
      </c>
      <c r="F154" s="97">
        <v>47.856316900743366</v>
      </c>
      <c r="G154" s="97">
        <v>47.693500755759061</v>
      </c>
      <c r="H154" s="97">
        <v>47.449346151489642</v>
      </c>
      <c r="I154" s="97">
        <v>47.273411438962938</v>
      </c>
      <c r="J154" s="97">
        <v>46.677920101801249</v>
      </c>
      <c r="K154" s="97">
        <v>46.007940304828054</v>
      </c>
      <c r="L154" s="97">
        <v>45.57787555265709</v>
      </c>
      <c r="M154" s="97">
        <v>44.497425299453752</v>
      </c>
      <c r="N154" s="97">
        <v>44.2792254905509</v>
      </c>
      <c r="O154" s="97">
        <v>43.92857291250143</v>
      </c>
      <c r="P154" s="97">
        <v>43.605529453478312</v>
      </c>
      <c r="Q154" s="97">
        <v>43.199999999908329</v>
      </c>
      <c r="R154" s="97">
        <v>42.495543053285765</v>
      </c>
      <c r="S154" s="97">
        <v>41.536388096825867</v>
      </c>
      <c r="T154" s="97">
        <v>40.366139008561063</v>
      </c>
      <c r="U154" s="97">
        <v>39.026402390087533</v>
      </c>
      <c r="V154" s="97">
        <v>37.555830152793042</v>
      </c>
      <c r="W154" s="97">
        <v>35.989515638649458</v>
      </c>
      <c r="X154" s="97">
        <v>34.358678040785605</v>
      </c>
      <c r="Y154" s="97">
        <v>32.690571854096049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35.591417128308599</v>
      </c>
      <c r="S155" s="97">
        <v>0</v>
      </c>
      <c r="T155" s="97">
        <v>34.814694675567708</v>
      </c>
      <c r="U155" s="97">
        <v>0</v>
      </c>
      <c r="V155" s="97">
        <v>0</v>
      </c>
      <c r="W155" s="97">
        <v>33.70514277144558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38.285053520594694</v>
      </c>
      <c r="G156" s="97">
        <v>38.154800604607253</v>
      </c>
      <c r="H156" s="97">
        <v>37.959476921191715</v>
      </c>
      <c r="I156" s="97">
        <v>37.818729151170352</v>
      </c>
      <c r="J156" s="97">
        <v>37.342336081440997</v>
      </c>
      <c r="K156" s="97">
        <v>36.806352243862442</v>
      </c>
      <c r="L156" s="97">
        <v>36.462300442125681</v>
      </c>
      <c r="M156" s="97">
        <v>0</v>
      </c>
      <c r="N156" s="97">
        <v>35.423380392440713</v>
      </c>
      <c r="O156" s="97">
        <v>35.142858330001147</v>
      </c>
      <c r="P156" s="97">
        <v>34.884423562782651</v>
      </c>
      <c r="Q156" s="97">
        <v>34.559999999926667</v>
      </c>
      <c r="R156" s="97">
        <v>0</v>
      </c>
      <c r="S156" s="97">
        <v>34.162409851932921</v>
      </c>
      <c r="T156" s="97">
        <v>34.026741915966113</v>
      </c>
      <c r="U156" s="97">
        <v>33.911654302716684</v>
      </c>
      <c r="V156" s="97">
        <v>33.80894587398361</v>
      </c>
      <c r="W156" s="97">
        <v>33.713722722254374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27.185760697477914</v>
      </c>
      <c r="K157" s="97">
        <v>26.913903090503133</v>
      </c>
      <c r="L157" s="97">
        <v>26.644764059598103</v>
      </c>
      <c r="M157" s="97">
        <v>26.378316419002122</v>
      </c>
      <c r="N157" s="97">
        <v>26.114533254812102</v>
      </c>
      <c r="O157" s="97">
        <v>25.85338792226398</v>
      </c>
      <c r="P157" s="97">
        <v>25.594854043041341</v>
      </c>
      <c r="Q157" s="97">
        <v>25.338905502610928</v>
      </c>
      <c r="R157" s="97">
        <v>24.985187203173478</v>
      </c>
      <c r="S157" s="97">
        <v>0</v>
      </c>
      <c r="T157" s="97">
        <v>24.039729384169334</v>
      </c>
      <c r="U157" s="97">
        <v>23.473583817719799</v>
      </c>
      <c r="V157" s="97">
        <v>22.860584190523578</v>
      </c>
      <c r="W157" s="97">
        <v>22.210970573675706</v>
      </c>
      <c r="X157" s="97">
        <v>0</v>
      </c>
      <c r="Y157" s="97">
        <v>20.837501017454581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9.0521287747304093</v>
      </c>
      <c r="D159" s="141">
        <v>8.1343282040414362</v>
      </c>
      <c r="E159" s="141">
        <v>6.9398067138305262</v>
      </c>
      <c r="F159" s="141">
        <v>6.7980673528018087</v>
      </c>
      <c r="G159" s="141">
        <v>6.9090554458003313</v>
      </c>
      <c r="H159" s="141">
        <v>6.5936163570094966</v>
      </c>
      <c r="I159" s="141">
        <v>6.5789748250533933</v>
      </c>
      <c r="J159" s="141">
        <v>6.5307008139375196</v>
      </c>
      <c r="K159" s="141">
        <v>6.5075870497887749</v>
      </c>
      <c r="L159" s="141">
        <v>6.5918006216960254</v>
      </c>
      <c r="M159" s="141">
        <v>6.6286842052764863</v>
      </c>
      <c r="N159" s="141">
        <v>6.1554286280509825</v>
      </c>
      <c r="O159" s="141">
        <v>5.9585727628770933</v>
      </c>
      <c r="P159" s="141">
        <v>5.8355591656095385</v>
      </c>
      <c r="Q159" s="141">
        <v>5.8616171958892496</v>
      </c>
      <c r="R159" s="141">
        <v>5.6488241565869863</v>
      </c>
      <c r="S159" s="141">
        <v>5.5036433021419633</v>
      </c>
      <c r="T159" s="141">
        <v>5.4105418122465938</v>
      </c>
      <c r="U159" s="141">
        <v>5.5043202346159612</v>
      </c>
      <c r="V159" s="141">
        <v>5.6505001026537007</v>
      </c>
      <c r="W159" s="141">
        <v>5.68373822204875</v>
      </c>
      <c r="X159" s="141">
        <v>5.6549343562037944</v>
      </c>
      <c r="Y159" s="141">
        <v>5.6662897124472309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9.2790120104340161</v>
      </c>
      <c r="D160" s="96">
        <v>9.2229003705373582</v>
      </c>
      <c r="E160" s="96">
        <v>9.1074596801995007</v>
      </c>
      <c r="F160" s="96">
        <v>9.0948474308649345</v>
      </c>
      <c r="G160" s="96">
        <v>8.9723284373291019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6.8405456002469514</v>
      </c>
      <c r="N160" s="96">
        <v>6.7083162482462413</v>
      </c>
      <c r="O160" s="96">
        <v>6.515459400660184</v>
      </c>
      <c r="P160" s="96">
        <v>5.7089487579539844</v>
      </c>
      <c r="Q160" s="96">
        <v>5.8803278593917465</v>
      </c>
      <c r="R160" s="96">
        <v>5.4939410376254258</v>
      </c>
      <c r="S160" s="96">
        <v>5.099978228831695</v>
      </c>
      <c r="T160" s="96">
        <v>4.7380196518852369</v>
      </c>
      <c r="U160" s="96">
        <v>4.9056428072275828</v>
      </c>
      <c r="V160" s="96">
        <v>5.03615421333794</v>
      </c>
      <c r="W160" s="96">
        <v>5.2854367136867992</v>
      </c>
      <c r="X160" s="96">
        <v>5.3302335391856364</v>
      </c>
      <c r="Y160" s="96">
        <v>5.8242556726762604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0</v>
      </c>
      <c r="D161" s="96">
        <v>6.6348160053423015</v>
      </c>
      <c r="E161" s="96">
        <v>6.612900261357284</v>
      </c>
      <c r="F161" s="96">
        <v>6.6227512900550254</v>
      </c>
      <c r="G161" s="96">
        <v>6.5918006216960245</v>
      </c>
      <c r="H161" s="96">
        <v>6.5613926490543539</v>
      </c>
      <c r="I161" s="96">
        <v>6.4116706877834284</v>
      </c>
      <c r="J161" s="96">
        <v>6.2844254386055427</v>
      </c>
      <c r="K161" s="96">
        <v>6.1625468167132746</v>
      </c>
      <c r="L161" s="96">
        <v>5.9899937475319618</v>
      </c>
      <c r="M161" s="96">
        <v>5.7322783498293868</v>
      </c>
      <c r="N161" s="96">
        <v>5.665320375664268</v>
      </c>
      <c r="O161" s="96">
        <v>5.5337416727446964</v>
      </c>
      <c r="P161" s="96">
        <v>5.4982745528243706</v>
      </c>
      <c r="Q161" s="96">
        <v>5.31015734975903</v>
      </c>
      <c r="R161" s="96">
        <v>5.2365448812212971</v>
      </c>
      <c r="S161" s="96">
        <v>5.0106099824967494</v>
      </c>
      <c r="T161" s="96">
        <v>5.0644865638405783</v>
      </c>
      <c r="U161" s="96">
        <v>5.4225090978904964</v>
      </c>
      <c r="V161" s="96">
        <v>6.1642342680406337</v>
      </c>
      <c r="W161" s="96">
        <v>6.3225520361968117</v>
      </c>
      <c r="X161" s="96">
        <v>6.6646545732139284</v>
      </c>
      <c r="Y161" s="96">
        <v>6.6240929968210187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7.6867742802032435</v>
      </c>
      <c r="S162" s="96">
        <v>6.5775506188560211</v>
      </c>
      <c r="T162" s="96">
        <v>6.6172806915803948</v>
      </c>
      <c r="U162" s="96">
        <v>6.853098190872922</v>
      </c>
      <c r="V162" s="96">
        <v>6.0737273821599818</v>
      </c>
      <c r="W162" s="96">
        <v>6.0444140811454732</v>
      </c>
      <c r="X162" s="96">
        <v>7.3986032345540327</v>
      </c>
      <c r="Y162" s="96">
        <v>5.1535806897228431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4.3757513562171573</v>
      </c>
      <c r="S163" s="96">
        <v>4.7047550477240696</v>
      </c>
      <c r="T163" s="96">
        <v>5.1796833869121883</v>
      </c>
      <c r="U163" s="96">
        <v>4.7863790494692093</v>
      </c>
      <c r="V163" s="96">
        <v>7.0479407850641822</v>
      </c>
      <c r="W163" s="96">
        <v>6.8780688776188956</v>
      </c>
      <c r="X163" s="96">
        <v>3.8796492567166778</v>
      </c>
      <c r="Y163" s="96">
        <v>7.0967459566923408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1.2406928838497286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1.3736027515047291</v>
      </c>
      <c r="T164" s="96">
        <v>1.2317282889079966</v>
      </c>
      <c r="U164" s="96">
        <v>1.4534823731728288</v>
      </c>
      <c r="V164" s="96">
        <v>1.7540842648323303</v>
      </c>
      <c r="W164" s="96">
        <v>2.2904127257093725</v>
      </c>
      <c r="X164" s="96">
        <v>2.2502149613069649</v>
      </c>
      <c r="Y164" s="96">
        <v>1.8857431350430318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28.571666495430392</v>
      </c>
      <c r="D165" s="130">
        <v>28.562377704620015</v>
      </c>
      <c r="E165" s="130">
        <v>27.723933642302772</v>
      </c>
      <c r="F165" s="130">
        <v>27.895949100656996</v>
      </c>
      <c r="G165" s="130">
        <v>27.548235530954994</v>
      </c>
      <c r="H165" s="130">
        <v>26.806652126450658</v>
      </c>
      <c r="I165" s="130">
        <v>26.495002715851946</v>
      </c>
      <c r="J165" s="130">
        <v>26.151493479126071</v>
      </c>
      <c r="K165" s="130">
        <v>25.818850311620697</v>
      </c>
      <c r="L165" s="130">
        <v>26.337268809602492</v>
      </c>
      <c r="M165" s="130">
        <v>25.733447756625175</v>
      </c>
      <c r="N165" s="130">
        <v>24.4826789113113</v>
      </c>
      <c r="O165" s="130">
        <v>25.219376266023591</v>
      </c>
      <c r="P165" s="130">
        <v>23.472079507109509</v>
      </c>
      <c r="Q165" s="130">
        <v>23.468698743969334</v>
      </c>
      <c r="R165" s="130">
        <v>22.56159811319203</v>
      </c>
      <c r="S165" s="130">
        <v>22.307378360547805</v>
      </c>
      <c r="T165" s="130">
        <v>21.877345612326337</v>
      </c>
      <c r="U165" s="130">
        <v>21.488256827295629</v>
      </c>
      <c r="V165" s="130">
        <v>21.652720009292931</v>
      </c>
      <c r="W165" s="130">
        <v>21.303434300925574</v>
      </c>
      <c r="X165" s="130">
        <v>21.142059382146513</v>
      </c>
      <c r="Y165" s="130">
        <v>20.743182809156501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27.862886597882664</v>
      </c>
      <c r="D166" s="97">
        <v>27.720485175130609</v>
      </c>
      <c r="E166" s="97">
        <v>27.543168897808172</v>
      </c>
      <c r="F166" s="97">
        <v>27.331388329915754</v>
      </c>
      <c r="G166" s="97">
        <v>27.085677811485262</v>
      </c>
      <c r="H166" s="97">
        <v>26.806652126450658</v>
      </c>
      <c r="I166" s="97">
        <v>26.495002715851946</v>
      </c>
      <c r="J166" s="97">
        <v>26.151493479126071</v>
      </c>
      <c r="K166" s="97">
        <v>25.776956209565583</v>
      </c>
      <c r="L166" s="97">
        <v>25.372285714220684</v>
      </c>
      <c r="M166" s="97">
        <v>24.938434669302026</v>
      </c>
      <c r="N166" s="97">
        <v>24.476408264120909</v>
      </c>
      <c r="O166" s="97">
        <v>23.987258687222891</v>
      </c>
      <c r="P166" s="97">
        <v>23.472079507109509</v>
      </c>
      <c r="Q166" s="97">
        <v>22.931999999951334</v>
      </c>
      <c r="R166" s="97">
        <v>22.498877048154622</v>
      </c>
      <c r="S166" s="97">
        <v>22.195690981896924</v>
      </c>
      <c r="T166" s="97">
        <v>21.877345612326341</v>
      </c>
      <c r="U166" s="97">
        <v>21.488256827295629</v>
      </c>
      <c r="V166" s="97">
        <v>21.34281446236994</v>
      </c>
      <c r="W166" s="97">
        <v>20.852949508872133</v>
      </c>
      <c r="X166" s="97">
        <v>20.738062807622619</v>
      </c>
      <c r="Y166" s="97">
        <v>20.530682179546393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0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0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0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118.41848438154146</v>
      </c>
      <c r="C171" s="152">
        <v>117.98693344529994</v>
      </c>
      <c r="D171" s="152">
        <v>117.41257111316426</v>
      </c>
      <c r="E171" s="152">
        <v>116.67440905727456</v>
      </c>
      <c r="F171" s="152">
        <v>116.50503249552611</v>
      </c>
      <c r="G171" s="152">
        <v>116.20641124897141</v>
      </c>
      <c r="H171" s="152">
        <v>115.84412871671161</v>
      </c>
      <c r="I171" s="152">
        <v>112.76039894989728</v>
      </c>
      <c r="J171" s="152">
        <v>109.36412001718287</v>
      </c>
      <c r="K171" s="152">
        <v>106.95889177524406</v>
      </c>
      <c r="L171" s="152">
        <v>105.06783393972835</v>
      </c>
      <c r="M171" s="152">
        <v>103.09368426107116</v>
      </c>
      <c r="N171" s="152">
        <v>100.88743735389131</v>
      </c>
      <c r="O171" s="152">
        <v>98.71113619425077</v>
      </c>
      <c r="P171" s="152">
        <v>97.324898472562623</v>
      </c>
      <c r="Q171" s="152">
        <v>95.113205907317791</v>
      </c>
      <c r="R171" s="152">
        <v>92.978636659428275</v>
      </c>
      <c r="S171" s="152">
        <v>91.459712026898046</v>
      </c>
      <c r="T171" s="152">
        <v>89.385743755609013</v>
      </c>
      <c r="U171" s="152">
        <v>87.434147480784091</v>
      </c>
      <c r="V171" s="152">
        <v>86.407762817131143</v>
      </c>
      <c r="W171" s="152">
        <v>85.454217715092611</v>
      </c>
      <c r="X171" s="152">
        <v>84.309097916352528</v>
      </c>
      <c r="Y171" s="152">
        <v>82.346935450698155</v>
      </c>
      <c r="DA171" s="174" t="s">
        <v>910</v>
      </c>
    </row>
    <row r="172" spans="1:105" ht="11.45" customHeight="1" x14ac:dyDescent="0.25">
      <c r="A172" s="109" t="s">
        <v>20</v>
      </c>
      <c r="B172" s="116">
        <v>214.22445030712709</v>
      </c>
      <c r="C172" s="116">
        <v>210.92368083558776</v>
      </c>
      <c r="D172" s="116">
        <v>218.1178500390227</v>
      </c>
      <c r="E172" s="116">
        <v>226.12380419273396</v>
      </c>
      <c r="F172" s="116">
        <v>223.27127041620915</v>
      </c>
      <c r="G172" s="116">
        <v>206.966929271173</v>
      </c>
      <c r="H172" s="116">
        <v>221.96633493704149</v>
      </c>
      <c r="I172" s="116">
        <v>224.07577660739912</v>
      </c>
      <c r="J172" s="116">
        <v>223.9602333230913</v>
      </c>
      <c r="K172" s="116">
        <v>220.05751952612405</v>
      </c>
      <c r="L172" s="116">
        <v>206.4713389763449</v>
      </c>
      <c r="M172" s="116">
        <v>222.22696462524178</v>
      </c>
      <c r="N172" s="116">
        <v>206.92239715460579</v>
      </c>
      <c r="O172" s="116">
        <v>206.07316709424003</v>
      </c>
      <c r="P172" s="116">
        <v>199.48707216949015</v>
      </c>
      <c r="Q172" s="116">
        <v>208.2782926756299</v>
      </c>
      <c r="R172" s="116">
        <v>207.95439324210938</v>
      </c>
      <c r="S172" s="116">
        <v>206.80227689291323</v>
      </c>
      <c r="T172" s="116">
        <v>205.89025819537912</v>
      </c>
      <c r="U172" s="116">
        <v>201.49113496836262</v>
      </c>
      <c r="V172" s="116">
        <v>200.08176102167477</v>
      </c>
      <c r="W172" s="116">
        <v>197.22440911914026</v>
      </c>
      <c r="X172" s="116">
        <v>194.2399640176688</v>
      </c>
      <c r="Y172" s="116">
        <v>190.43087293866927</v>
      </c>
      <c r="DA172" s="176" t="s">
        <v>911</v>
      </c>
    </row>
    <row r="173" spans="1:105" ht="11.45" customHeight="1" x14ac:dyDescent="0.25">
      <c r="A173" s="111" t="s">
        <v>110</v>
      </c>
      <c r="B173" s="87">
        <v>231.17734823359206</v>
      </c>
      <c r="C173" s="87">
        <v>231.11777696564275</v>
      </c>
      <c r="D173" s="87">
        <v>231.06996497689335</v>
      </c>
      <c r="E173" s="87">
        <v>230.94598572977691</v>
      </c>
      <c r="F173" s="87">
        <v>230.80844361410223</v>
      </c>
      <c r="G173" s="87">
        <v>230.73013716642546</v>
      </c>
      <c r="H173" s="87">
        <v>230.47782001475264</v>
      </c>
      <c r="I173" s="87">
        <v>229.6363978805594</v>
      </c>
      <c r="J173" s="87">
        <v>228.32175689768002</v>
      </c>
      <c r="K173" s="87">
        <v>227.64046161949756</v>
      </c>
      <c r="L173" s="87">
        <v>227.04394810972315</v>
      </c>
      <c r="M173" s="87">
        <v>225.52134358562128</v>
      </c>
      <c r="N173" s="87">
        <v>224.38186687818705</v>
      </c>
      <c r="O173" s="87">
        <v>222.69073939915413</v>
      </c>
      <c r="P173" s="87">
        <v>221.13846607815373</v>
      </c>
      <c r="Q173" s="87">
        <v>218.63921199950934</v>
      </c>
      <c r="R173" s="87">
        <v>215.55221947010156</v>
      </c>
      <c r="S173" s="87">
        <v>212.8905613923412</v>
      </c>
      <c r="T173" s="87">
        <v>209.01258213730998</v>
      </c>
      <c r="U173" s="87">
        <v>205.26607357326398</v>
      </c>
      <c r="V173" s="87">
        <v>201.73877132754382</v>
      </c>
      <c r="W173" s="87">
        <v>197.97912739091959</v>
      </c>
      <c r="X173" s="87">
        <v>194.22743531082156</v>
      </c>
      <c r="Y173" s="87">
        <v>190.25098345808362</v>
      </c>
      <c r="DA173" s="171" t="s">
        <v>912</v>
      </c>
    </row>
    <row r="174" spans="1:105" ht="11.45" customHeight="1" x14ac:dyDescent="0.25">
      <c r="A174" s="111" t="s">
        <v>111</v>
      </c>
      <c r="B174" s="87">
        <v>231.73568076651259</v>
      </c>
      <c r="C174" s="87">
        <v>223.84772997265418</v>
      </c>
      <c r="D174" s="87">
        <v>219.39494198122637</v>
      </c>
      <c r="E174" s="87">
        <v>213.25158826758289</v>
      </c>
      <c r="F174" s="87">
        <v>210.73785502933865</v>
      </c>
      <c r="G174" s="87">
        <v>209.80536909859151</v>
      </c>
      <c r="H174" s="87">
        <v>208.73033381853011</v>
      </c>
      <c r="I174" s="87">
        <v>207.33739451628614</v>
      </c>
      <c r="J174" s="87">
        <v>205.95067755349197</v>
      </c>
      <c r="K174" s="87">
        <v>205.3943563685724</v>
      </c>
      <c r="L174" s="87">
        <v>205.29060127300733</v>
      </c>
      <c r="M174" s="87">
        <v>205.830895961111</v>
      </c>
      <c r="N174" s="87">
        <v>205.79525367956299</v>
      </c>
      <c r="O174" s="87">
        <v>205.15131517987379</v>
      </c>
      <c r="P174" s="87">
        <v>204.09322962619615</v>
      </c>
      <c r="Q174" s="87">
        <v>200.69222525909674</v>
      </c>
      <c r="R174" s="87">
        <v>199.91358542299506</v>
      </c>
      <c r="S174" s="87">
        <v>199.08685698229627</v>
      </c>
      <c r="T174" s="87">
        <v>197.40874147668234</v>
      </c>
      <c r="U174" s="87">
        <v>195.16821943091165</v>
      </c>
      <c r="V174" s="87">
        <v>192.73216180031793</v>
      </c>
      <c r="W174" s="87">
        <v>190.09438467604812</v>
      </c>
      <c r="X174" s="87">
        <v>187.99778870280142</v>
      </c>
      <c r="Y174" s="87">
        <v>186.49103556223542</v>
      </c>
      <c r="DA174" s="171" t="s">
        <v>913</v>
      </c>
    </row>
    <row r="175" spans="1:105" ht="11.45" customHeight="1" x14ac:dyDescent="0.25">
      <c r="A175" s="111" t="s">
        <v>112</v>
      </c>
      <c r="B175" s="87">
        <v>227.33879452634977</v>
      </c>
      <c r="C175" s="87">
        <v>203.22555123811088</v>
      </c>
      <c r="D175" s="87">
        <v>198.7725807385961</v>
      </c>
      <c r="E175" s="87">
        <v>196.80266412414446</v>
      </c>
      <c r="F175" s="87">
        <v>195.76160050855532</v>
      </c>
      <c r="G175" s="87">
        <v>196.22379875633379</v>
      </c>
      <c r="H175" s="87">
        <v>196.58916849932291</v>
      </c>
      <c r="I175" s="87">
        <v>196.81121599594755</v>
      </c>
      <c r="J175" s="87">
        <v>195.90731982514941</v>
      </c>
      <c r="K175" s="87">
        <v>194.80068854846564</v>
      </c>
      <c r="L175" s="87">
        <v>197.18945359469399</v>
      </c>
      <c r="M175" s="87">
        <v>198.77852110715716</v>
      </c>
      <c r="N175" s="87">
        <v>202.99833709127915</v>
      </c>
      <c r="O175" s="87">
        <v>204.06255561997042</v>
      </c>
      <c r="P175" s="87">
        <v>201.69475467185461</v>
      </c>
      <c r="Q175" s="87">
        <v>193.78904811774487</v>
      </c>
      <c r="R175" s="87">
        <v>194.19507734184836</v>
      </c>
      <c r="S175" s="87">
        <v>194.03363828076229</v>
      </c>
      <c r="T175" s="87">
        <v>191.83889126132263</v>
      </c>
      <c r="U175" s="87">
        <v>189.14133710939757</v>
      </c>
      <c r="V175" s="87">
        <v>185.52474879055023</v>
      </c>
      <c r="W175" s="87">
        <v>181.59855829987094</v>
      </c>
      <c r="X175" s="87">
        <v>177.9665858238649</v>
      </c>
      <c r="Y175" s="87">
        <v>174.31132761181098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221.72693959036565</v>
      </c>
      <c r="G176" s="87">
        <v>219.54207104031116</v>
      </c>
      <c r="H176" s="87">
        <v>218.43353422874634</v>
      </c>
      <c r="I176" s="87">
        <v>216.15480055879408</v>
      </c>
      <c r="J176" s="87">
        <v>215.89674674428855</v>
      </c>
      <c r="K176" s="87">
        <v>207.5589413993103</v>
      </c>
      <c r="L176" s="87">
        <v>182.73412592427516</v>
      </c>
      <c r="M176" s="87">
        <v>178.89935355346154</v>
      </c>
      <c r="N176" s="87">
        <v>176.57292826537949</v>
      </c>
      <c r="O176" s="87">
        <v>175.47482826674465</v>
      </c>
      <c r="P176" s="87">
        <v>169.27597856440704</v>
      </c>
      <c r="Q176" s="87">
        <v>165.32113182815021</v>
      </c>
      <c r="R176" s="87">
        <v>163.23265794690778</v>
      </c>
      <c r="S176" s="87">
        <v>162.61304889803881</v>
      </c>
      <c r="T176" s="87">
        <v>160.6922648103583</v>
      </c>
      <c r="U176" s="87">
        <v>157.40795912540844</v>
      </c>
      <c r="V176" s="87">
        <v>155.94936694798537</v>
      </c>
      <c r="W176" s="87">
        <v>155.60430322815654</v>
      </c>
      <c r="X176" s="87">
        <v>148.16928156635302</v>
      </c>
      <c r="Y176" s="87">
        <v>147.92016627644864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49.770772850340919</v>
      </c>
      <c r="O177" s="87">
        <v>49.770772850340911</v>
      </c>
      <c r="P177" s="87">
        <v>59.173836488439882</v>
      </c>
      <c r="Q177" s="87">
        <v>62.65470318759823</v>
      </c>
      <c r="R177" s="87">
        <v>59.290919223708364</v>
      </c>
      <c r="S177" s="87">
        <v>58.776754155687044</v>
      </c>
      <c r="T177" s="87">
        <v>57.685324352732216</v>
      </c>
      <c r="U177" s="87">
        <v>65.130704420902362</v>
      </c>
      <c r="V177" s="87">
        <v>61.150792336072506</v>
      </c>
      <c r="W177" s="87">
        <v>50.450471402717334</v>
      </c>
      <c r="X177" s="87">
        <v>43.637115498558764</v>
      </c>
      <c r="Y177" s="87">
        <v>35.596828458588334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1641.6592425416636</v>
      </c>
      <c r="C179" s="116">
        <v>1625.4826937369664</v>
      </c>
      <c r="D179" s="116">
        <v>1597.5498745491145</v>
      </c>
      <c r="E179" s="116">
        <v>1594.3534109052118</v>
      </c>
      <c r="F179" s="116">
        <v>1396.9164923985857</v>
      </c>
      <c r="G179" s="116">
        <v>1541.1792870187194</v>
      </c>
      <c r="H179" s="116">
        <v>1381.2182831714181</v>
      </c>
      <c r="I179" s="116">
        <v>1487.0856557635502</v>
      </c>
      <c r="J179" s="116">
        <v>1362.3747101344404</v>
      </c>
      <c r="K179" s="116">
        <v>1441.4989274342115</v>
      </c>
      <c r="L179" s="116">
        <v>1374.9890296098677</v>
      </c>
      <c r="M179" s="116">
        <v>1455.9156509392037</v>
      </c>
      <c r="N179" s="116">
        <v>1429.694003318142</v>
      </c>
      <c r="O179" s="116">
        <v>807.78373424028905</v>
      </c>
      <c r="P179" s="116">
        <v>1193.7136104312053</v>
      </c>
      <c r="Q179" s="116">
        <v>1309.1259246969103</v>
      </c>
      <c r="R179" s="116">
        <v>1158.1483409112459</v>
      </c>
      <c r="S179" s="116">
        <v>1193.9244674254467</v>
      </c>
      <c r="T179" s="116">
        <v>1068.2097336022598</v>
      </c>
      <c r="U179" s="116">
        <v>982.92243312721155</v>
      </c>
      <c r="V179" s="116">
        <v>1062.2868270993888</v>
      </c>
      <c r="W179" s="116">
        <v>928.48517583150897</v>
      </c>
      <c r="X179" s="116">
        <v>1171.5586114461025</v>
      </c>
      <c r="Y179" s="116">
        <v>1085.2803145706293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307.27233330287362</v>
      </c>
      <c r="S180" s="101">
        <v>307.27233330287368</v>
      </c>
      <c r="T180" s="101">
        <v>307.27233330287362</v>
      </c>
      <c r="U180" s="101">
        <v>307.27233330287356</v>
      </c>
      <c r="V180" s="101">
        <v>307.27233330287368</v>
      </c>
      <c r="W180" s="101">
        <v>307.27233330287362</v>
      </c>
      <c r="X180" s="101">
        <v>307.27233330287362</v>
      </c>
      <c r="Y180" s="101">
        <v>307.27233330287368</v>
      </c>
      <c r="DA180" s="175" t="s">
        <v>919</v>
      </c>
    </row>
    <row r="181" spans="1:105" ht="11.45" customHeight="1" x14ac:dyDescent="0.25">
      <c r="A181" s="111" t="s">
        <v>111</v>
      </c>
      <c r="B181" s="101">
        <v>1641.6592425416638</v>
      </c>
      <c r="C181" s="101">
        <v>1614.8528454586847</v>
      </c>
      <c r="D181" s="101">
        <v>1576.3361137990287</v>
      </c>
      <c r="E181" s="101">
        <v>1572.5640911805385</v>
      </c>
      <c r="F181" s="101">
        <v>1567.9975787761482</v>
      </c>
      <c r="G181" s="101">
        <v>1546.8491294729986</v>
      </c>
      <c r="H181" s="101">
        <v>1540.5789446072324</v>
      </c>
      <c r="I181" s="101">
        <v>1525.7781867722476</v>
      </c>
      <c r="J181" s="101">
        <v>1518.5983330294271</v>
      </c>
      <c r="K181" s="101">
        <v>1502.6753582020121</v>
      </c>
      <c r="L181" s="101">
        <v>1489.0177650000514</v>
      </c>
      <c r="M181" s="101">
        <v>1471.5590256344085</v>
      </c>
      <c r="N181" s="101">
        <v>1457.0490566720466</v>
      </c>
      <c r="O181" s="101">
        <v>1451.127001072701</v>
      </c>
      <c r="P181" s="101">
        <v>1439.7156682173616</v>
      </c>
      <c r="Q181" s="101">
        <v>1426.1120048794901</v>
      </c>
      <c r="R181" s="101">
        <v>1418.2689905700565</v>
      </c>
      <c r="S181" s="101">
        <v>1405.6825083103633</v>
      </c>
      <c r="T181" s="101">
        <v>1395.8774651509577</v>
      </c>
      <c r="U181" s="101">
        <v>1385.016916962659</v>
      </c>
      <c r="V181" s="101">
        <v>1367.9921766331472</v>
      </c>
      <c r="W181" s="101">
        <v>1357.3974506584418</v>
      </c>
      <c r="X181" s="101">
        <v>1303.1195234566098</v>
      </c>
      <c r="Y181" s="101">
        <v>1260.9188414891294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940.27925641898355</v>
      </c>
      <c r="S182" s="101">
        <v>940.27925641898366</v>
      </c>
      <c r="T182" s="101">
        <v>938.34349221866444</v>
      </c>
      <c r="U182" s="101">
        <v>938.34349221866455</v>
      </c>
      <c r="V182" s="101">
        <v>934.37853202603412</v>
      </c>
      <c r="W182" s="101">
        <v>904.92782017198363</v>
      </c>
      <c r="X182" s="101">
        <v>903.85867723227898</v>
      </c>
      <c r="Y182" s="101">
        <v>900.22451881085851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899.2373462689452</v>
      </c>
      <c r="G183" s="101">
        <v>897.33263985801739</v>
      </c>
      <c r="H183" s="101">
        <v>894.66626860052475</v>
      </c>
      <c r="I183" s="101">
        <v>892.43590977728775</v>
      </c>
      <c r="J183" s="101">
        <v>892.27986779624337</v>
      </c>
      <c r="K183" s="101">
        <v>884.23537151123094</v>
      </c>
      <c r="L183" s="101">
        <v>875.80951704830545</v>
      </c>
      <c r="M183" s="101">
        <v>875.08044875309258</v>
      </c>
      <c r="N183" s="101">
        <v>873.85021138272191</v>
      </c>
      <c r="O183" s="101">
        <v>851.08082736037807</v>
      </c>
      <c r="P183" s="101">
        <v>847.93563327754828</v>
      </c>
      <c r="Q183" s="101">
        <v>845.37105142210999</v>
      </c>
      <c r="R183" s="101">
        <v>843.55346822890897</v>
      </c>
      <c r="S183" s="101">
        <v>842.8679585274059</v>
      </c>
      <c r="T183" s="101">
        <v>837.58795776288184</v>
      </c>
      <c r="U183" s="101">
        <v>829.67802123418528</v>
      </c>
      <c r="V183" s="101">
        <v>822.64828432029788</v>
      </c>
      <c r="W183" s="101">
        <v>816.37058731798891</v>
      </c>
      <c r="X183" s="101">
        <v>804.23650293329001</v>
      </c>
      <c r="Y183" s="101">
        <v>797.32028164965027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272.49340653355171</v>
      </c>
      <c r="C186" s="152">
        <v>276.92218170813402</v>
      </c>
      <c r="D186" s="152">
        <v>279.10570320702914</v>
      </c>
      <c r="E186" s="152">
        <v>277.79114958025502</v>
      </c>
      <c r="F186" s="152">
        <v>265.78327163057213</v>
      </c>
      <c r="G186" s="152">
        <v>259.01001349968755</v>
      </c>
      <c r="H186" s="152">
        <v>248.04084889514323</v>
      </c>
      <c r="I186" s="152">
        <v>233.06759456563094</v>
      </c>
      <c r="J186" s="152">
        <v>223.25308678213833</v>
      </c>
      <c r="K186" s="152">
        <v>214.48005595451903</v>
      </c>
      <c r="L186" s="152">
        <v>201.30728216733254</v>
      </c>
      <c r="M186" s="152">
        <v>189.70911753477779</v>
      </c>
      <c r="N186" s="152">
        <v>198.99309288624934</v>
      </c>
      <c r="O186" s="152">
        <v>197.4633557883773</v>
      </c>
      <c r="P186" s="152">
        <v>194.45973011216364</v>
      </c>
      <c r="Q186" s="152">
        <v>184.59794220434412</v>
      </c>
      <c r="R186" s="152">
        <v>181.39177128333733</v>
      </c>
      <c r="S186" s="152">
        <v>171.50229703272498</v>
      </c>
      <c r="T186" s="152">
        <v>168.8694052817068</v>
      </c>
      <c r="U186" s="152">
        <v>173.49943022963808</v>
      </c>
      <c r="V186" s="152">
        <v>186.7087822043114</v>
      </c>
      <c r="W186" s="152">
        <v>188.87602542627124</v>
      </c>
      <c r="X186" s="152">
        <v>198.5142818103397</v>
      </c>
      <c r="Y186" s="152">
        <v>194.88157151670492</v>
      </c>
      <c r="DA186" s="174" t="s">
        <v>924</v>
      </c>
    </row>
    <row r="187" spans="1:105" ht="11.45" customHeight="1" x14ac:dyDescent="0.25">
      <c r="A187" s="111" t="s">
        <v>110</v>
      </c>
      <c r="B187" s="87">
        <v>316.93015286180724</v>
      </c>
      <c r="C187" s="87">
        <v>313.04585304986716</v>
      </c>
      <c r="D187" s="87">
        <v>308.72255161272017</v>
      </c>
      <c r="E187" s="87">
        <v>304.01442787272532</v>
      </c>
      <c r="F187" s="87">
        <v>299.47219090799717</v>
      </c>
      <c r="G187" s="87">
        <v>297.01674199838618</v>
      </c>
      <c r="H187" s="87">
        <v>295.558003560636</v>
      </c>
      <c r="I187" s="87">
        <v>293.82802177872497</v>
      </c>
      <c r="J187" s="87">
        <v>291.5420136703471</v>
      </c>
      <c r="K187" s="87">
        <v>289.56417240114843</v>
      </c>
      <c r="L187" s="87">
        <v>284.01211937260217</v>
      </c>
      <c r="M187" s="87">
        <v>279.81552936385572</v>
      </c>
      <c r="N187" s="87">
        <v>267.09036899984164</v>
      </c>
      <c r="O187" s="87">
        <v>256.69216734691366</v>
      </c>
      <c r="P187" s="87">
        <v>237.44850059052823</v>
      </c>
      <c r="Q187" s="87">
        <v>221.58790028963455</v>
      </c>
      <c r="R187" s="87">
        <v>203.75868289004489</v>
      </c>
      <c r="S187" s="87">
        <v>190.43989071043836</v>
      </c>
      <c r="T187" s="87">
        <v>177.19782827030141</v>
      </c>
      <c r="U187" s="87">
        <v>171.40091386656036</v>
      </c>
      <c r="V187" s="87">
        <v>169.55010076935804</v>
      </c>
      <c r="W187" s="87">
        <v>168.16048490876844</v>
      </c>
      <c r="X187" s="87">
        <v>166.47761723957177</v>
      </c>
      <c r="Y187" s="87">
        <v>164.12151353936508</v>
      </c>
      <c r="DA187" s="171" t="s">
        <v>925</v>
      </c>
    </row>
    <row r="188" spans="1:105" ht="11.45" customHeight="1" x14ac:dyDescent="0.25">
      <c r="A188" s="111" t="s">
        <v>111</v>
      </c>
      <c r="B188" s="87">
        <v>269.71140254291618</v>
      </c>
      <c r="C188" s="87">
        <v>269.71140254291618</v>
      </c>
      <c r="D188" s="87">
        <v>268.35615916281949</v>
      </c>
      <c r="E188" s="87">
        <v>256.06697298495345</v>
      </c>
      <c r="F188" s="87">
        <v>240.7439032784556</v>
      </c>
      <c r="G188" s="87">
        <v>236.7354406910174</v>
      </c>
      <c r="H188" s="87">
        <v>226.28241548224747</v>
      </c>
      <c r="I188" s="87">
        <v>219.57549401772002</v>
      </c>
      <c r="J188" s="87">
        <v>215.57097677627348</v>
      </c>
      <c r="K188" s="87">
        <v>212.53267877989873</v>
      </c>
      <c r="L188" s="87">
        <v>210.73033862442355</v>
      </c>
      <c r="M188" s="87">
        <v>208.55303911299336</v>
      </c>
      <c r="N188" s="87">
        <v>206.02881855368693</v>
      </c>
      <c r="O188" s="87">
        <v>203.63107475660914</v>
      </c>
      <c r="P188" s="87">
        <v>201.07925918048286</v>
      </c>
      <c r="Q188" s="87">
        <v>197.33340491474721</v>
      </c>
      <c r="R188" s="87">
        <v>192.24310469229394</v>
      </c>
      <c r="S188" s="87">
        <v>185.94614509570653</v>
      </c>
      <c r="T188" s="87">
        <v>180.70202257139695</v>
      </c>
      <c r="U188" s="87">
        <v>176.84716131961551</v>
      </c>
      <c r="V188" s="87">
        <v>174.24728148069971</v>
      </c>
      <c r="W188" s="87">
        <v>172.97387466538899</v>
      </c>
      <c r="X188" s="87">
        <v>172.23179982254175</v>
      </c>
      <c r="Y188" s="87">
        <v>172.02771473959237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203.07464517059969</v>
      </c>
      <c r="S189" s="87">
        <v>182.42067846043415</v>
      </c>
      <c r="T189" s="87">
        <v>178.53497633318503</v>
      </c>
      <c r="U189" s="87">
        <v>179.51543698983582</v>
      </c>
      <c r="V189" s="87">
        <v>175.59938280188894</v>
      </c>
      <c r="W189" s="87">
        <v>171.48460112097521</v>
      </c>
      <c r="X189" s="87">
        <v>171.47360587540669</v>
      </c>
      <c r="Y189" s="87">
        <v>170.60278776968033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102.77742031575808</v>
      </c>
      <c r="S190" s="87">
        <v>106.45786177767738</v>
      </c>
      <c r="T190" s="87">
        <v>111.57041562798184</v>
      </c>
      <c r="U190" s="87">
        <v>111.94518939291029</v>
      </c>
      <c r="V190" s="87">
        <v>123.66258333457336</v>
      </c>
      <c r="W190" s="87">
        <v>129.96825136166689</v>
      </c>
      <c r="X190" s="87">
        <v>129.48949968471851</v>
      </c>
      <c r="Y190" s="87">
        <v>129.85776857111384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951.86524418231443</v>
      </c>
      <c r="C192" s="116">
        <v>943.52887573300973</v>
      </c>
      <c r="D192" s="116">
        <v>935.77886546758702</v>
      </c>
      <c r="E192" s="116">
        <v>912.05708154527531</v>
      </c>
      <c r="F192" s="116">
        <v>899.15238841270377</v>
      </c>
      <c r="G192" s="116">
        <v>891.16409832068382</v>
      </c>
      <c r="H192" s="116">
        <v>881.289038477433</v>
      </c>
      <c r="I192" s="116">
        <v>875.78703735737747</v>
      </c>
      <c r="J192" s="116">
        <v>859.47341789157031</v>
      </c>
      <c r="K192" s="116">
        <v>849.93615104321236</v>
      </c>
      <c r="L192" s="116">
        <v>845.34527261627272</v>
      </c>
      <c r="M192" s="116">
        <v>839.99652903437504</v>
      </c>
      <c r="N192" s="116">
        <v>833.55784861006327</v>
      </c>
      <c r="O192" s="116">
        <v>827.33273194461754</v>
      </c>
      <c r="P192" s="116">
        <v>821.26131582443873</v>
      </c>
      <c r="Q192" s="116">
        <v>804.17080859427915</v>
      </c>
      <c r="R192" s="116">
        <v>783.53314096653799</v>
      </c>
      <c r="S192" s="116">
        <v>773.69377183400604</v>
      </c>
      <c r="T192" s="116">
        <v>754.46316132660627</v>
      </c>
      <c r="U192" s="116">
        <v>741.13885108102488</v>
      </c>
      <c r="V192" s="116">
        <v>717.17226499022854</v>
      </c>
      <c r="W192" s="116">
        <v>708.14225168979249</v>
      </c>
      <c r="X192" s="116">
        <v>698.17728145835167</v>
      </c>
      <c r="Y192" s="116">
        <v>691.66251228736894</v>
      </c>
      <c r="DA192" s="176" t="s">
        <v>930</v>
      </c>
    </row>
    <row r="193" spans="1:105" ht="11.45" customHeight="1" x14ac:dyDescent="0.25">
      <c r="A193" s="128" t="s">
        <v>27</v>
      </c>
      <c r="B193" s="101">
        <v>850.16235314654432</v>
      </c>
      <c r="C193" s="101">
        <v>843.19923511928437</v>
      </c>
      <c r="D193" s="101">
        <v>838.64717002590544</v>
      </c>
      <c r="E193" s="101">
        <v>825.71594225900856</v>
      </c>
      <c r="F193" s="101">
        <v>815.47945992412826</v>
      </c>
      <c r="G193" s="101">
        <v>809.08078998007443</v>
      </c>
      <c r="H193" s="101">
        <v>805.31385550754976</v>
      </c>
      <c r="I193" s="101">
        <v>801.93621922678233</v>
      </c>
      <c r="J193" s="101">
        <v>795.44689164797842</v>
      </c>
      <c r="K193" s="101">
        <v>786.43916513025022</v>
      </c>
      <c r="L193" s="101">
        <v>781.78611386358671</v>
      </c>
      <c r="M193" s="101">
        <v>776.3416529050586</v>
      </c>
      <c r="N193" s="101">
        <v>770.45144044241511</v>
      </c>
      <c r="O193" s="101">
        <v>763.5543131575796</v>
      </c>
      <c r="P193" s="101">
        <v>757.91685789167639</v>
      </c>
      <c r="Q193" s="101">
        <v>741.02326979072302</v>
      </c>
      <c r="R193" s="101">
        <v>722.71685993221365</v>
      </c>
      <c r="S193" s="101">
        <v>714.23962168970695</v>
      </c>
      <c r="T193" s="101">
        <v>698.15655743614968</v>
      </c>
      <c r="U193" s="101">
        <v>687.22738485250829</v>
      </c>
      <c r="V193" s="101">
        <v>663.99678958844174</v>
      </c>
      <c r="W193" s="101">
        <v>655.67305786978011</v>
      </c>
      <c r="X193" s="101">
        <v>646.2757654825599</v>
      </c>
      <c r="Y193" s="101">
        <v>640.55813462812853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1055.3637592499865</v>
      </c>
      <c r="D194" s="88">
        <v>1046.0455480115349</v>
      </c>
      <c r="E194" s="88">
        <v>1038.5784331153363</v>
      </c>
      <c r="F194" s="88">
        <v>1019.4832893400686</v>
      </c>
      <c r="G194" s="88">
        <v>1010.7744063436543</v>
      </c>
      <c r="H194" s="88">
        <v>1005.7197492119271</v>
      </c>
      <c r="I194" s="88">
        <v>1001.0201498257487</v>
      </c>
      <c r="J194" s="88">
        <v>975.85001778341893</v>
      </c>
      <c r="K194" s="88">
        <v>971.0621690085917</v>
      </c>
      <c r="L194" s="88">
        <v>952.55944250479695</v>
      </c>
      <c r="M194" s="88">
        <v>931.52187450903136</v>
      </c>
      <c r="N194" s="88">
        <v>928.98594848181847</v>
      </c>
      <c r="O194" s="88">
        <v>904.2569619830216</v>
      </c>
      <c r="P194" s="88">
        <v>901.99669193182751</v>
      </c>
      <c r="Q194" s="88">
        <v>881.27312640011303</v>
      </c>
      <c r="R194" s="88">
        <v>874.86814043625429</v>
      </c>
      <c r="S194" s="88">
        <v>868.13469269746986</v>
      </c>
      <c r="T194" s="88">
        <v>864.05727623405869</v>
      </c>
      <c r="U194" s="88">
        <v>858.34238141711228</v>
      </c>
      <c r="V194" s="88">
        <v>818.64546814361825</v>
      </c>
      <c r="W194" s="88">
        <v>792.71676232589573</v>
      </c>
      <c r="X194" s="88">
        <v>771.55554646643157</v>
      </c>
      <c r="Y194" s="88">
        <v>762.69274523814761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1.1276533214993298</v>
      </c>
      <c r="D198" s="150">
        <f>IF(TrRoad_act!D59=0,0,TrRoad_emi!D56/TrRoad_tech!D171)</f>
        <v>1.12811517603427</v>
      </c>
      <c r="E198" s="150">
        <f>IF(TrRoad_act!E59=0,0,TrRoad_emi!E56/TrRoad_tech!E171)</f>
        <v>1.1290605509430536</v>
      </c>
      <c r="F198" s="150">
        <f>IF(TrRoad_act!F59=0,0,TrRoad_emi!F56/TrRoad_tech!F171)</f>
        <v>1.0742754775259606</v>
      </c>
      <c r="G198" s="150">
        <f>IF(TrRoad_act!G59=0,0,TrRoad_emi!G56/TrRoad_tech!G171)</f>
        <v>1.0749548119892978</v>
      </c>
      <c r="H198" s="150">
        <f>IF(TrRoad_act!H59=0,0,TrRoad_emi!H56/TrRoad_tech!H171)</f>
        <v>1.075923672819977</v>
      </c>
      <c r="I198" s="150">
        <f>IF(TrRoad_act!I59=0,0,TrRoad_emi!I56/TrRoad_tech!I171)</f>
        <v>1.0864035371298402</v>
      </c>
      <c r="J198" s="150">
        <f>IF(TrRoad_act!J59=0,0,TrRoad_emi!J56/TrRoad_tech!J171)</f>
        <v>1.0980053987990037</v>
      </c>
      <c r="K198" s="150">
        <f>IF(TrRoad_act!K59=0,0,TrRoad_emi!K56/TrRoad_tech!K171)</f>
        <v>1.1061493373245603</v>
      </c>
      <c r="L198" s="150">
        <f>IF(TrRoad_act!L59=0,0,TrRoad_emi!L56/TrRoad_tech!L171)</f>
        <v>1.1131852656349779</v>
      </c>
      <c r="M198" s="150">
        <f>IF(TrRoad_act!M59=0,0,TrRoad_emi!M56/TrRoad_tech!M171)</f>
        <v>1.1198429677875406</v>
      </c>
      <c r="N198" s="150">
        <f>IF(TrRoad_act!N59=0,0,TrRoad_emi!N56/TrRoad_tech!N171)</f>
        <v>1.1285783155986651</v>
      </c>
      <c r="O198" s="150">
        <f>IF(TrRoad_act!O59=0,0,TrRoad_emi!O56/TrRoad_tech!O171)</f>
        <v>1.1170963573237687</v>
      </c>
      <c r="P198" s="150">
        <f>IF(TrRoad_act!P59=0,0,TrRoad_emi!P56/TrRoad_tech!P171)</f>
        <v>1.1131503444081052</v>
      </c>
      <c r="Q198" s="150">
        <f>IF(TrRoad_act!Q59=0,0,TrRoad_emi!Q56/TrRoad_tech!Q171)</f>
        <v>1.09015825598843</v>
      </c>
      <c r="R198" s="150">
        <f>IF(TrRoad_act!R59=0,0,TrRoad_emi!R56/TrRoad_tech!R171)</f>
        <v>1.0964994862707673</v>
      </c>
      <c r="S198" s="150">
        <f>IF(TrRoad_act!S59=0,0,TrRoad_emi!S56/TrRoad_tech!S171)</f>
        <v>1.1206787720765687</v>
      </c>
      <c r="T198" s="150">
        <f>IF(TrRoad_act!T59=0,0,TrRoad_emi!T56/TrRoad_tech!T171)</f>
        <v>1.12635470723937</v>
      </c>
      <c r="U198" s="150">
        <f>IF(TrRoad_act!U59=0,0,TrRoad_emi!U56/TrRoad_tech!U171)</f>
        <v>1.1325100628159614</v>
      </c>
      <c r="V198" s="150">
        <f>IF(TrRoad_act!V59=0,0,TrRoad_emi!V56/TrRoad_tech!V171)</f>
        <v>1.1526237005315754</v>
      </c>
      <c r="W198" s="150">
        <f>IF(TrRoad_act!W59=0,0,TrRoad_emi!W56/TrRoad_tech!W171)</f>
        <v>1.1804862585963933</v>
      </c>
      <c r="X198" s="150">
        <f>IF(TrRoad_act!X59=0,0,TrRoad_emi!X56/TrRoad_tech!X171)</f>
        <v>1.1944241632685204</v>
      </c>
      <c r="Y198" s="150">
        <f>IF(TrRoad_act!Y59=0,0,TrRoad_emi!Y56/TrRoad_tech!Y171)</f>
        <v>1.2136982749469498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1.0963163686120925</v>
      </c>
      <c r="C199" s="151">
        <f>IF(TrRoad_act!C60=0,0,TrRoad_emi!C57/TrRoad_tech!C172)</f>
        <v>1.1083198675862398</v>
      </c>
      <c r="D199" s="151">
        <f>IF(TrRoad_act!D60=0,0,TrRoad_emi!D57/TrRoad_tech!D172)</f>
        <v>1.0382969870373095</v>
      </c>
      <c r="E199" s="151">
        <f>IF(TrRoad_act!E60=0,0,TrRoad_emi!E57/TrRoad_tech!E172)</f>
        <v>1.0408179414871104</v>
      </c>
      <c r="F199" s="151">
        <f>IF(TrRoad_act!F60=0,0,TrRoad_emi!F57/TrRoad_tech!F172)</f>
        <v>1.0285177869957829</v>
      </c>
      <c r="G199" s="151">
        <f>IF(TrRoad_act!G60=0,0,TrRoad_emi!G57/TrRoad_tech!G172)</f>
        <v>1.1212090509189219</v>
      </c>
      <c r="H199" s="151">
        <f>IF(TrRoad_act!H60=0,0,TrRoad_emi!H57/TrRoad_tech!H172)</f>
        <v>1.0145269813571087</v>
      </c>
      <c r="I199" s="151">
        <f>IF(TrRoad_act!I60=0,0,TrRoad_emi!I57/TrRoad_tech!I172)</f>
        <v>0.96383507740792629</v>
      </c>
      <c r="J199" s="151">
        <f>IF(TrRoad_act!J60=0,0,TrRoad_emi!J57/TrRoad_tech!J172)</f>
        <v>0.96867934734308658</v>
      </c>
      <c r="K199" s="151">
        <f>IF(TrRoad_act!K60=0,0,TrRoad_emi!K57/TrRoad_tech!K172)</f>
        <v>0.96212882049273774</v>
      </c>
      <c r="L199" s="151">
        <f>IF(TrRoad_act!L60=0,0,TrRoad_emi!L57/TrRoad_tech!L172)</f>
        <v>1.0092287790457657</v>
      </c>
      <c r="M199" s="151">
        <f>IF(TrRoad_act!M60=0,0,TrRoad_emi!M57/TrRoad_tech!M172)</f>
        <v>0.92053988380305685</v>
      </c>
      <c r="N199" s="151">
        <f>IF(TrRoad_act!N60=0,0,TrRoad_emi!N57/TrRoad_tech!N172)</f>
        <v>0.99366154689451969</v>
      </c>
      <c r="O199" s="151">
        <f>IF(TrRoad_act!O60=0,0,TrRoad_emi!O57/TrRoad_tech!O172)</f>
        <v>0.85267318901092304</v>
      </c>
      <c r="P199" s="151">
        <f>IF(TrRoad_act!P60=0,0,TrRoad_emi!P57/TrRoad_tech!P172)</f>
        <v>0.99040333367519851</v>
      </c>
      <c r="Q199" s="151">
        <f>IF(TrRoad_act!Q60=0,0,TrRoad_emi!Q57/TrRoad_tech!Q172)</f>
        <v>0.92917586755942028</v>
      </c>
      <c r="R199" s="151">
        <f>IF(TrRoad_act!R60=0,0,TrRoad_emi!R57/TrRoad_tech!R172)</f>
        <v>0.93707198729612695</v>
      </c>
      <c r="S199" s="151">
        <f>IF(TrRoad_act!S60=0,0,TrRoad_emi!S57/TrRoad_tech!S172)</f>
        <v>0.96176387991563395</v>
      </c>
      <c r="T199" s="151">
        <f>IF(TrRoad_act!T60=0,0,TrRoad_emi!T57/TrRoad_tech!T172)</f>
        <v>1.0032566185234257</v>
      </c>
      <c r="U199" s="151">
        <f>IF(TrRoad_act!U60=0,0,TrRoad_emi!U57/TrRoad_tech!U172)</f>
        <v>1.0560839336278602</v>
      </c>
      <c r="V199" s="151">
        <f>IF(TrRoad_act!V60=0,0,TrRoad_emi!V57/TrRoad_tech!V172)</f>
        <v>0.99820112965448682</v>
      </c>
      <c r="W199" s="151">
        <f>IF(TrRoad_act!W60=0,0,TrRoad_emi!W57/TrRoad_tech!W172)</f>
        <v>1.0111523409405963</v>
      </c>
      <c r="X199" s="151">
        <f>IF(TrRoad_act!X60=0,0,TrRoad_emi!X57/TrRoad_tech!X172)</f>
        <v>0.9986239586569895</v>
      </c>
      <c r="Y199" s="151">
        <f>IF(TrRoad_act!Y60=0,0,TrRoad_emi!Y57/TrRoad_tech!Y172)</f>
        <v>1.0098626026516175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1.0429711789242793</v>
      </c>
      <c r="C200" s="91">
        <f>IF(TrRoad_act!C61=0,0,TrRoad_emi!C58/TrRoad_tech!C173)</f>
        <v>1.0116069078328886</v>
      </c>
      <c r="D200" s="91">
        <f>IF(TrRoad_act!D61=0,0,TrRoad_emi!D58/TrRoad_tech!D173)</f>
        <v>1.0197116693182811</v>
      </c>
      <c r="E200" s="91">
        <f>IF(TrRoad_act!E61=0,0,TrRoad_emi!E58/TrRoad_tech!E173)</f>
        <v>1.0168306663772397</v>
      </c>
      <c r="F200" s="91">
        <f>IF(TrRoad_act!F61=0,0,TrRoad_emi!F58/TrRoad_tech!F173)</f>
        <v>1.0390387894605182</v>
      </c>
      <c r="G200" s="91">
        <f>IF(TrRoad_act!G61=0,0,TrRoad_emi!G58/TrRoad_tech!G173)</f>
        <v>1.0506230864889885</v>
      </c>
      <c r="H200" s="91">
        <f>IF(TrRoad_act!H61=0,0,TrRoad_emi!H58/TrRoad_tech!H173)</f>
        <v>1.0720566193494152</v>
      </c>
      <c r="I200" s="91">
        <f>IF(TrRoad_act!I61=0,0,TrRoad_emi!I58/TrRoad_tech!I173)</f>
        <v>1.0740486319671454</v>
      </c>
      <c r="J200" s="91">
        <f>IF(TrRoad_act!J61=0,0,TrRoad_emi!J58/TrRoad_tech!J173)</f>
        <v>1.0736679432284664</v>
      </c>
      <c r="K200" s="91">
        <f>IF(TrRoad_act!K61=0,0,TrRoad_emi!K58/TrRoad_tech!K173)</f>
        <v>1.0475219237773818</v>
      </c>
      <c r="L200" s="91">
        <f>IF(TrRoad_act!L61=0,0,TrRoad_emi!L58/TrRoad_tech!L173)</f>
        <v>1.0586307796207517</v>
      </c>
      <c r="M200" s="91">
        <f>IF(TrRoad_act!M61=0,0,TrRoad_emi!M58/TrRoad_tech!M173)</f>
        <v>1.0395148046506102</v>
      </c>
      <c r="N200" s="91">
        <f>IF(TrRoad_act!N61=0,0,TrRoad_emi!N58/TrRoad_tech!N173)</f>
        <v>1.0493171572843218</v>
      </c>
      <c r="O200" s="91">
        <f>IF(TrRoad_act!O61=0,0,TrRoad_emi!O58/TrRoad_tech!O173)</f>
        <v>0.87818703917830943</v>
      </c>
      <c r="P200" s="91">
        <f>IF(TrRoad_act!P61=0,0,TrRoad_emi!P58/TrRoad_tech!P173)</f>
        <v>1.0123033846394267</v>
      </c>
      <c r="Q200" s="91">
        <f>IF(TrRoad_act!Q61=0,0,TrRoad_emi!Q58/TrRoad_tech!Q173)</f>
        <v>0.99818222309623295</v>
      </c>
      <c r="R200" s="91">
        <f>IF(TrRoad_act!R61=0,0,TrRoad_emi!R58/TrRoad_tech!R173)</f>
        <v>0.9649447711104131</v>
      </c>
      <c r="S200" s="91">
        <f>IF(TrRoad_act!S61=0,0,TrRoad_emi!S58/TrRoad_tech!S173)</f>
        <v>0.97938906704940965</v>
      </c>
      <c r="T200" s="91">
        <f>IF(TrRoad_act!T61=0,0,TrRoad_emi!T58/TrRoad_tech!T173)</f>
        <v>0.97465386317072389</v>
      </c>
      <c r="U200" s="91">
        <f>IF(TrRoad_act!U61=0,0,TrRoad_emi!U58/TrRoad_tech!U173)</f>
        <v>0.96996387982595056</v>
      </c>
      <c r="V200" s="91">
        <f>IF(TrRoad_act!V61=0,0,TrRoad_emi!V58/TrRoad_tech!V173)</f>
        <v>0.98169325382258998</v>
      </c>
      <c r="W200" s="91">
        <f>IF(TrRoad_act!W61=0,0,TrRoad_emi!W58/TrRoad_tech!W173)</f>
        <v>1.000048378080467</v>
      </c>
      <c r="X200" s="91">
        <f>IF(TrRoad_act!X61=0,0,TrRoad_emi!X58/TrRoad_tech!X173)</f>
        <v>1.0088788905530941</v>
      </c>
      <c r="Y200" s="91">
        <f>IF(TrRoad_act!Y61=0,0,TrRoad_emi!Y58/TrRoad_tech!Y173)</f>
        <v>1.0109128186866483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0.91390971089143458</v>
      </c>
      <c r="C201" s="91">
        <f>IF(TrRoad_act!C62=0,0,TrRoad_emi!C59/TrRoad_tech!C174)</f>
        <v>0.99293021187648955</v>
      </c>
      <c r="D201" s="91">
        <f>IF(TrRoad_act!D62=0,0,TrRoad_emi!D59/TrRoad_tech!D174)</f>
        <v>0.90067219026607892</v>
      </c>
      <c r="E201" s="91">
        <f>IF(TrRoad_act!E62=0,0,TrRoad_emi!E59/TrRoad_tech!E174)</f>
        <v>1.1169719416634694</v>
      </c>
      <c r="F201" s="91">
        <f>IF(TrRoad_act!F62=0,0,TrRoad_emi!F59/TrRoad_tech!F174)</f>
        <v>1.0677713077074651</v>
      </c>
      <c r="G201" s="91">
        <f>IF(TrRoad_act!G62=0,0,TrRoad_emi!G59/TrRoad_tech!G174)</f>
        <v>1.1385555565896937</v>
      </c>
      <c r="H201" s="91">
        <f>IF(TrRoad_act!H62=0,0,TrRoad_emi!H59/TrRoad_tech!H174)</f>
        <v>1.0808853064210768</v>
      </c>
      <c r="I201" s="91">
        <f>IF(TrRoad_act!I62=0,0,TrRoad_emi!I59/TrRoad_tech!I174)</f>
        <v>0.98889439602946094</v>
      </c>
      <c r="J201" s="91">
        <f>IF(TrRoad_act!J62=0,0,TrRoad_emi!J59/TrRoad_tech!J174)</f>
        <v>1.0313047383624594</v>
      </c>
      <c r="K201" s="91">
        <f>IF(TrRoad_act!K62=0,0,TrRoad_emi!K59/TrRoad_tech!K174)</f>
        <v>0.96706844536209058</v>
      </c>
      <c r="L201" s="91">
        <f>IF(TrRoad_act!L62=0,0,TrRoad_emi!L59/TrRoad_tech!L174)</f>
        <v>0.95970582091993195</v>
      </c>
      <c r="M201" s="91">
        <f>IF(TrRoad_act!M62=0,0,TrRoad_emi!M59/TrRoad_tech!M174)</f>
        <v>0.92343794630307574</v>
      </c>
      <c r="N201" s="91">
        <f>IF(TrRoad_act!N62=0,0,TrRoad_emi!N59/TrRoad_tech!N174)</f>
        <v>0.9529655176190579</v>
      </c>
      <c r="O201" s="91">
        <f>IF(TrRoad_act!O62=0,0,TrRoad_emi!O59/TrRoad_tech!O174)</f>
        <v>0.7656211196228736</v>
      </c>
      <c r="P201" s="91">
        <f>IF(TrRoad_act!P62=0,0,TrRoad_emi!P59/TrRoad_tech!P174)</f>
        <v>0.91238035839052134</v>
      </c>
      <c r="Q201" s="91">
        <f>IF(TrRoad_act!Q62=0,0,TrRoad_emi!Q59/TrRoad_tech!Q174)</f>
        <v>0.93744046610726506</v>
      </c>
      <c r="R201" s="91">
        <f>IF(TrRoad_act!R62=0,0,TrRoad_emi!R59/TrRoad_tech!R174)</f>
        <v>0.97595123179623866</v>
      </c>
      <c r="S201" s="91">
        <f>IF(TrRoad_act!S62=0,0,TrRoad_emi!S59/TrRoad_tech!S174)</f>
        <v>1.0137993083988952</v>
      </c>
      <c r="T201" s="91">
        <f>IF(TrRoad_act!T62=0,0,TrRoad_emi!T59/TrRoad_tech!T174)</f>
        <v>1.0899968801156836</v>
      </c>
      <c r="U201" s="91">
        <f>IF(TrRoad_act!U62=0,0,TrRoad_emi!U59/TrRoad_tech!U174)</f>
        <v>1.1657183118705567</v>
      </c>
      <c r="V201" s="91">
        <f>IF(TrRoad_act!V62=0,0,TrRoad_emi!V59/TrRoad_tech!V174)</f>
        <v>1.0541782695681179</v>
      </c>
      <c r="W201" s="91">
        <f>IF(TrRoad_act!W62=0,0,TrRoad_emi!W59/TrRoad_tech!W174)</f>
        <v>1.0821227591620592</v>
      </c>
      <c r="X201" s="91">
        <f>IF(TrRoad_act!X62=0,0,TrRoad_emi!X59/TrRoad_tech!X174)</f>
        <v>1.0300015056599081</v>
      </c>
      <c r="Y201" s="91">
        <f>IF(TrRoad_act!Y62=0,0,TrRoad_emi!Y59/TrRoad_tech!Y174)</f>
        <v>1.0194671869249949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1.0484456977202741</v>
      </c>
      <c r="C202" s="91">
        <f>IF(TrRoad_act!C63=0,0,TrRoad_emi!C60/TrRoad_tech!C175)</f>
        <v>1.2042699041965244</v>
      </c>
      <c r="D202" s="91">
        <f>IF(TrRoad_act!D63=0,0,TrRoad_emi!D60/TrRoad_tech!D175)</f>
        <v>1.1746537932906993</v>
      </c>
      <c r="E202" s="91">
        <f>IF(TrRoad_act!E63=0,0,TrRoad_emi!E60/TrRoad_tech!E175)</f>
        <v>1.1844159199065922</v>
      </c>
      <c r="F202" s="91">
        <f>IF(TrRoad_act!F63=0,0,TrRoad_emi!F60/TrRoad_tech!F175)</f>
        <v>1.1305440607753829</v>
      </c>
      <c r="G202" s="91">
        <f>IF(TrRoad_act!G63=0,0,TrRoad_emi!G60/TrRoad_tech!G175)</f>
        <v>1.0748679090382083</v>
      </c>
      <c r="H202" s="91">
        <f>IF(TrRoad_act!H63=0,0,TrRoad_emi!H60/TrRoad_tech!H175)</f>
        <v>1.013183319846797</v>
      </c>
      <c r="I202" s="91">
        <f>IF(TrRoad_act!I63=0,0,TrRoad_emi!I60/TrRoad_tech!I175)</f>
        <v>0.98004608811712279</v>
      </c>
      <c r="J202" s="91">
        <f>IF(TrRoad_act!J63=0,0,TrRoad_emi!J60/TrRoad_tech!J175)</f>
        <v>0.95567599046241347</v>
      </c>
      <c r="K202" s="91">
        <f>IF(TrRoad_act!K63=0,0,TrRoad_emi!K60/TrRoad_tech!K175)</f>
        <v>1.0238188775554331</v>
      </c>
      <c r="L202" s="91">
        <f>IF(TrRoad_act!L63=0,0,TrRoad_emi!L60/TrRoad_tech!L175)</f>
        <v>0.96719132474140723</v>
      </c>
      <c r="M202" s="91">
        <f>IF(TrRoad_act!M63=0,0,TrRoad_emi!M60/TrRoad_tech!M175)</f>
        <v>1.0127144477350856</v>
      </c>
      <c r="N202" s="91">
        <f>IF(TrRoad_act!N63=0,0,TrRoad_emi!N60/TrRoad_tech!N175)</f>
        <v>0.9663299272548227</v>
      </c>
      <c r="O202" s="91">
        <f>IF(TrRoad_act!O63=0,0,TrRoad_emi!O60/TrRoad_tech!O175)</f>
        <v>0.98422178658541382</v>
      </c>
      <c r="P202" s="91">
        <f>IF(TrRoad_act!P63=0,0,TrRoad_emi!P60/TrRoad_tech!P175)</f>
        <v>0.9929283769949685</v>
      </c>
      <c r="Q202" s="91">
        <f>IF(TrRoad_act!Q63=0,0,TrRoad_emi!Q60/TrRoad_tech!Q175)</f>
        <v>0.95430938928468734</v>
      </c>
      <c r="R202" s="91">
        <f>IF(TrRoad_act!R63=0,0,TrRoad_emi!R60/TrRoad_tech!R175)</f>
        <v>0.9517138968131712</v>
      </c>
      <c r="S202" s="91">
        <f>IF(TrRoad_act!S63=0,0,TrRoad_emi!S60/TrRoad_tech!S175)</f>
        <v>0.95483155392104158</v>
      </c>
      <c r="T202" s="91">
        <f>IF(TrRoad_act!T63=0,0,TrRoad_emi!T60/TrRoad_tech!T175)</f>
        <v>0.98670379128322139</v>
      </c>
      <c r="U202" s="91">
        <f>IF(TrRoad_act!U63=0,0,TrRoad_emi!U60/TrRoad_tech!U175)</f>
        <v>0.98913806877684529</v>
      </c>
      <c r="V202" s="91">
        <f>IF(TrRoad_act!V63=0,0,TrRoad_emi!V60/TrRoad_tech!V175)</f>
        <v>1.0542522451754859</v>
      </c>
      <c r="W202" s="91">
        <f>IF(TrRoad_act!W63=0,0,TrRoad_emi!W60/TrRoad_tech!W175)</f>
        <v>1.0123644999831496</v>
      </c>
      <c r="X202" s="91">
        <f>IF(TrRoad_act!X63=0,0,TrRoad_emi!X60/TrRoad_tech!X175)</f>
        <v>1.11639372028788</v>
      </c>
      <c r="Y202" s="91">
        <f>IF(TrRoad_act!Y63=0,0,TrRoad_emi!Y60/TrRoad_tech!Y175)</f>
        <v>1.1884237732311302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1.0363339299971668</v>
      </c>
      <c r="H203" s="91">
        <f>IF(TrRoad_act!H64=0,0,TrRoad_emi!H61/TrRoad_tech!H176)</f>
        <v>1.0370991507453069</v>
      </c>
      <c r="I203" s="91">
        <f>IF(TrRoad_act!I64=0,0,TrRoad_emi!I61/TrRoad_tech!I176)</f>
        <v>1.0390135386260479</v>
      </c>
      <c r="J203" s="91">
        <f>IF(TrRoad_act!J64=0,0,TrRoad_emi!J61/TrRoad_tech!J176)</f>
        <v>1.0392267218533628</v>
      </c>
      <c r="K203" s="91">
        <f>IF(TrRoad_act!K64=0,0,TrRoad_emi!K61/TrRoad_tech!K176)</f>
        <v>1.0427129772694488</v>
      </c>
      <c r="L203" s="91">
        <f>IF(TrRoad_act!L64=0,0,TrRoad_emi!L61/TrRoad_tech!L176)</f>
        <v>1.0461085316240006</v>
      </c>
      <c r="M203" s="91">
        <f>IF(TrRoad_act!M64=0,0,TrRoad_emi!M61/TrRoad_tech!M176)</f>
        <v>1.0473642465920567</v>
      </c>
      <c r="N203" s="91">
        <f>IF(TrRoad_act!N64=0,0,TrRoad_emi!N61/TrRoad_tech!N176)</f>
        <v>1.0489772187771671</v>
      </c>
      <c r="O203" s="91">
        <f>IF(TrRoad_act!O64=0,0,TrRoad_emi!O61/TrRoad_tech!O176)</f>
        <v>1.0508344933550293</v>
      </c>
      <c r="P203" s="91">
        <f>IF(TrRoad_act!P64=0,0,TrRoad_emi!P61/TrRoad_tech!P176)</f>
        <v>1.0583558093340002</v>
      </c>
      <c r="Q203" s="91">
        <f>IF(TrRoad_act!Q64=0,0,TrRoad_emi!Q61/TrRoad_tech!Q176)</f>
        <v>1.0608388472992678</v>
      </c>
      <c r="R203" s="91">
        <f>IF(TrRoad_act!R64=0,0,TrRoad_emi!R61/TrRoad_tech!R176)</f>
        <v>1.0621337946415441</v>
      </c>
      <c r="S203" s="91">
        <f>IF(TrRoad_act!S64=0,0,TrRoad_emi!S61/TrRoad_tech!S176)</f>
        <v>1.0623881479101391</v>
      </c>
      <c r="T203" s="91">
        <f>IF(TrRoad_act!T64=0,0,TrRoad_emi!T61/TrRoad_tech!T176)</f>
        <v>1.0636088032449647</v>
      </c>
      <c r="U203" s="91">
        <f>IF(TrRoad_act!U64=0,0,TrRoad_emi!U61/TrRoad_tech!U176)</f>
        <v>1.0656838204166117</v>
      </c>
      <c r="V203" s="91">
        <f>IF(TrRoad_act!V64=0,0,TrRoad_emi!V61/TrRoad_tech!V176)</f>
        <v>1.0665236470178696</v>
      </c>
      <c r="W203" s="91">
        <f>IF(TrRoad_act!W64=0,0,TrRoad_emi!W61/TrRoad_tech!W176)</f>
        <v>1.0667746676196899</v>
      </c>
      <c r="X203" s="91">
        <f>IF(TrRoad_act!X64=0,0,TrRoad_emi!X61/TrRoad_tech!X176)</f>
        <v>1.0723335828587042</v>
      </c>
      <c r="Y203" s="91">
        <f>IF(TrRoad_act!Y64=0,0,TrRoad_emi!Y61/TrRoad_tech!Y176)</f>
        <v>1.0724796855416365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1.082815737410908</v>
      </c>
      <c r="O204" s="91">
        <f>IF(TrRoad_act!O65=0,0,TrRoad_emi!O62/TrRoad_tech!O177)</f>
        <v>0.9053378443352621</v>
      </c>
      <c r="P204" s="91">
        <f>IF(TrRoad_act!P65=0,0,TrRoad_emi!P62/TrRoad_tech!P177)</f>
        <v>1.047654364646029</v>
      </c>
      <c r="Q204" s="91">
        <f>IF(TrRoad_act!Q65=0,0,TrRoad_emi!Q62/TrRoad_tech!Q177)</f>
        <v>1.0414184733450396</v>
      </c>
      <c r="R204" s="91">
        <f>IF(TrRoad_act!R65=0,0,TrRoad_emi!R62/TrRoad_tech!R177)</f>
        <v>1.0126823897362818</v>
      </c>
      <c r="S204" s="91">
        <f>IF(TrRoad_act!S65=0,0,TrRoad_emi!S62/TrRoad_tech!S177)</f>
        <v>1.0290059047174704</v>
      </c>
      <c r="T204" s="91">
        <f>IF(TrRoad_act!T65=0,0,TrRoad_emi!T62/TrRoad_tech!T177)</f>
        <v>1.023506822362547</v>
      </c>
      <c r="U204" s="91">
        <f>IF(TrRoad_act!U65=0,0,TrRoad_emi!U62/TrRoad_tech!U177)</f>
        <v>1.0186106261365624</v>
      </c>
      <c r="V204" s="91">
        <f>IF(TrRoad_act!V65=0,0,TrRoad_emi!V62/TrRoad_tech!V177)</f>
        <v>1.0295956388007308</v>
      </c>
      <c r="W204" s="91">
        <f>IF(TrRoad_act!W65=0,0,TrRoad_emi!W62/TrRoad_tech!W177)</f>
        <v>1.0477855062132835</v>
      </c>
      <c r="X204" s="91">
        <f>IF(TrRoad_act!X65=0,0,TrRoad_emi!X62/TrRoad_tech!X177)</f>
        <v>1.0557591060182665</v>
      </c>
      <c r="Y204" s="91">
        <f>IF(TrRoad_act!Y65=0,0,TrRoad_emi!Y62/TrRoad_tech!Y177)</f>
        <v>1.0563881229668202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1.1000000000067305</v>
      </c>
      <c r="C206" s="151">
        <f>IF(TrRoad_act!C67=0,0,TrRoad_emi!C64/TrRoad_tech!C179)</f>
        <v>1.0934595056607497</v>
      </c>
      <c r="D206" s="151">
        <f>IF(TrRoad_act!D67=0,0,TrRoad_emi!D64/TrRoad_tech!D179)</f>
        <v>1.0884883891300929</v>
      </c>
      <c r="E206" s="151">
        <f>IF(TrRoad_act!E67=0,0,TrRoad_emi!E64/TrRoad_tech!E179)</f>
        <v>1.0882919666369455</v>
      </c>
      <c r="F206" s="151">
        <f>IF(TrRoad_act!F67=0,0,TrRoad_emi!F64/TrRoad_tech!F179)</f>
        <v>1.2352021968195033</v>
      </c>
      <c r="G206" s="151">
        <f>IF(TrRoad_act!G67=0,0,TrRoad_emi!G64/TrRoad_tech!G179)</f>
        <v>1.1060121891833239</v>
      </c>
      <c r="H206" s="151">
        <f>IF(TrRoad_act!H67=0,0,TrRoad_emi!H64/TrRoad_tech!H179)</f>
        <v>1.2177969653797669</v>
      </c>
      <c r="I206" s="151">
        <f>IF(TrRoad_act!I67=0,0,TrRoad_emi!I64/TrRoad_tech!I179)</f>
        <v>1.1249830719109144</v>
      </c>
      <c r="J206" s="151">
        <f>IF(TrRoad_act!J67=0,0,TrRoad_emi!J64/TrRoad_tech!J179)</f>
        <v>1.2204166179563603</v>
      </c>
      <c r="K206" s="151">
        <f>IF(TrRoad_act!K67=0,0,TrRoad_emi!K64/TrRoad_tech!K179)</f>
        <v>1.1424206132793904</v>
      </c>
      <c r="L206" s="151">
        <f>IF(TrRoad_act!L67=0,0,TrRoad_emi!L64/TrRoad_tech!L179)</f>
        <v>1.1781744687728972</v>
      </c>
      <c r="M206" s="151">
        <f>IF(TrRoad_act!M67=0,0,TrRoad_emi!M64/TrRoad_tech!M179)</f>
        <v>1.1070874788999472</v>
      </c>
      <c r="N206" s="151">
        <f>IF(TrRoad_act!N67=0,0,TrRoad_emi!N64/TrRoad_tech!N179)</f>
        <v>1.0873551897514591</v>
      </c>
      <c r="O206" s="151">
        <f>IF(TrRoad_act!O67=0,0,TrRoad_emi!O64/TrRoad_tech!O179)</f>
        <v>1.7499921554309714</v>
      </c>
      <c r="P206" s="151">
        <f>IF(TrRoad_act!P67=0,0,TrRoad_emi!P64/TrRoad_tech!P179)</f>
        <v>1.131650036348302</v>
      </c>
      <c r="Q206" s="151">
        <f>IF(TrRoad_act!Q67=0,0,TrRoad_emi!Q64/TrRoad_tech!Q179)</f>
        <v>1.072422862738148</v>
      </c>
      <c r="R206" s="151">
        <f>IF(TrRoad_act!R67=0,0,TrRoad_emi!R64/TrRoad_tech!R179)</f>
        <v>1.1685756927211544</v>
      </c>
      <c r="S206" s="151">
        <f>IF(TrRoad_act!S67=0,0,TrRoad_emi!S64/TrRoad_tech!S179)</f>
        <v>1.1170154815091848</v>
      </c>
      <c r="T206" s="151">
        <f>IF(TrRoad_act!T67=0,0,TrRoad_emi!T64/TrRoad_tech!T179)</f>
        <v>1.2503280730114339</v>
      </c>
      <c r="U206" s="151">
        <f>IF(TrRoad_act!U67=0,0,TrRoad_emi!U64/TrRoad_tech!U179)</f>
        <v>1.3536924467379921</v>
      </c>
      <c r="V206" s="151">
        <f>IF(TrRoad_act!V67=0,0,TrRoad_emi!V64/TrRoad_tech!V179)</f>
        <v>1.2326866233662805</v>
      </c>
      <c r="W206" s="151">
        <f>IF(TrRoad_act!W67=0,0,TrRoad_emi!W64/TrRoad_tech!W179)</f>
        <v>1.4260902342040278</v>
      </c>
      <c r="X206" s="151">
        <f>IF(TrRoad_act!X67=0,0,TrRoad_emi!X64/TrRoad_tech!X179)</f>
        <v>1.1234468168083307</v>
      </c>
      <c r="Y206" s="151">
        <f>IF(TrRoad_act!Y67=0,0,TrRoad_emi!Y64/TrRoad_tech!Y179)</f>
        <v>1.2112548936853686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1.2348635365690686</v>
      </c>
      <c r="S207" s="93">
        <f>IF(TrRoad_act!S68=0,0,TrRoad_emi!S65/TrRoad_tech!S180)</f>
        <v>1.2512281781230505</v>
      </c>
      <c r="T207" s="93">
        <f>IF(TrRoad_act!T68=0,0,TrRoad_emi!T65/TrRoad_tech!T180)</f>
        <v>1.2428381648587243</v>
      </c>
      <c r="U207" s="93">
        <f>IF(TrRoad_act!U68=0,0,TrRoad_emi!U65/TrRoad_tech!U180)</f>
        <v>1.2342062207797615</v>
      </c>
      <c r="V207" s="93">
        <f>IF(TrRoad_act!V68=0,0,TrRoad_emi!V65/TrRoad_tech!V180)</f>
        <v>1.2453800185884962</v>
      </c>
      <c r="W207" s="93">
        <f>IF(TrRoad_act!W68=0,0,TrRoad_emi!W65/TrRoad_tech!W180)</f>
        <v>1.2649092996505529</v>
      </c>
      <c r="X207" s="93">
        <f>IF(TrRoad_act!X68=0,0,TrRoad_emi!X65/TrRoad_tech!X180)</f>
        <v>1.2667645082931607</v>
      </c>
      <c r="Y207" s="93">
        <f>IF(TrRoad_act!Y68=0,0,TrRoad_emi!Y65/TrRoad_tech!Y180)</f>
        <v>1.2658920432322249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1.1006572566362061</v>
      </c>
      <c r="D208" s="93">
        <f>IF(TrRoad_act!D69=0,0,TrRoad_emi!D66/TrRoad_tech!D181)</f>
        <v>1.1031368718135239</v>
      </c>
      <c r="E208" s="93">
        <f>IF(TrRoad_act!E69=0,0,TrRoad_emi!E66/TrRoad_tech!E181)</f>
        <v>1.1033712513210083</v>
      </c>
      <c r="F208" s="93">
        <f>IF(TrRoad_act!F69=0,0,TrRoad_emi!F66/TrRoad_tech!F181)</f>
        <v>1.1037523072590318</v>
      </c>
      <c r="G208" s="93">
        <f>IF(TrRoad_act!G69=0,0,TrRoad_emi!G66/TrRoad_tech!G181)</f>
        <v>1.1096151531155041</v>
      </c>
      <c r="H208" s="93">
        <f>IF(TrRoad_act!H69=0,0,TrRoad_emi!H66/TrRoad_tech!H181)</f>
        <v>1.1065824553753796</v>
      </c>
      <c r="I208" s="93">
        <f>IF(TrRoad_act!I69=0,0,TrRoad_emi!I66/TrRoad_tech!I181)</f>
        <v>1.115537774674606</v>
      </c>
      <c r="J208" s="93">
        <f>IF(TrRoad_act!J69=0,0,TrRoad_emi!J66/TrRoad_tech!J181)</f>
        <v>1.1157186332873941</v>
      </c>
      <c r="K208" s="93">
        <f>IF(TrRoad_act!K69=0,0,TrRoad_emi!K66/TrRoad_tech!K181)</f>
        <v>1.1247886070874533</v>
      </c>
      <c r="L208" s="93">
        <f>IF(TrRoad_act!L69=0,0,TrRoad_emi!L66/TrRoad_tech!L181)</f>
        <v>1.1244598216413151</v>
      </c>
      <c r="M208" s="93">
        <f>IF(TrRoad_act!M69=0,0,TrRoad_emi!M66/TrRoad_tech!M181)</f>
        <v>1.1321706856509963</v>
      </c>
      <c r="N208" s="93">
        <f>IF(TrRoad_act!N69=0,0,TrRoad_emi!N66/TrRoad_tech!N181)</f>
        <v>1.0942189917737022</v>
      </c>
      <c r="O208" s="93">
        <f>IF(TrRoad_act!O69=0,0,TrRoad_emi!O66/TrRoad_tech!O181)</f>
        <v>1.0799681044226517</v>
      </c>
      <c r="P208" s="93">
        <f>IF(TrRoad_act!P69=0,0,TrRoad_emi!P66/TrRoad_tech!P181)</f>
        <v>1.0987256334662654</v>
      </c>
      <c r="Q208" s="93">
        <f>IF(TrRoad_act!Q69=0,0,TrRoad_emi!Q66/TrRoad_tech!Q181)</f>
        <v>1.1117330960915237</v>
      </c>
      <c r="R208" s="93">
        <f>IF(TrRoad_act!R69=0,0,TrRoad_emi!R66/TrRoad_tech!R181)</f>
        <v>1.11252151656106</v>
      </c>
      <c r="S208" s="93">
        <f>IF(TrRoad_act!S69=0,0,TrRoad_emi!S66/TrRoad_tech!S181)</f>
        <v>1.1214671620410637</v>
      </c>
      <c r="T208" s="93">
        <f>IF(TrRoad_act!T69=0,0,TrRoad_emi!T66/TrRoad_tech!T181)</f>
        <v>1.1383973542608288</v>
      </c>
      <c r="U208" s="93">
        <f>IF(TrRoad_act!U69=0,0,TrRoad_emi!U66/TrRoad_tech!U181)</f>
        <v>1.1442614171277692</v>
      </c>
      <c r="V208" s="93">
        <f>IF(TrRoad_act!V69=0,0,TrRoad_emi!V66/TrRoad_tech!V181)</f>
        <v>1.1475181899288418</v>
      </c>
      <c r="W208" s="93">
        <f>IF(TrRoad_act!W69=0,0,TrRoad_emi!W66/TrRoad_tech!W181)</f>
        <v>1.1619575038015111</v>
      </c>
      <c r="X208" s="93">
        <f>IF(TrRoad_act!X69=0,0,TrRoad_emi!X66/TrRoad_tech!X181)</f>
        <v>1.1655939983072505</v>
      </c>
      <c r="Y208" s="93">
        <f>IF(TrRoad_act!Y69=0,0,TrRoad_emi!Y66/TrRoad_tech!Y181)</f>
        <v>1.186102410488713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1.3172635731932034</v>
      </c>
      <c r="S209" s="93">
        <f>IF(TrRoad_act!S70=0,0,TrRoad_emi!S67/TrRoad_tech!S182)</f>
        <v>1.317263573193203</v>
      </c>
      <c r="T209" s="93">
        <f>IF(TrRoad_act!T70=0,0,TrRoad_emi!T67/TrRoad_tech!T182)</f>
        <v>1.3193909486997408</v>
      </c>
      <c r="U209" s="93">
        <f>IF(TrRoad_act!U70=0,0,TrRoad_emi!U67/TrRoad_tech!U182)</f>
        <v>1.3193909486997411</v>
      </c>
      <c r="V209" s="93">
        <f>IF(TrRoad_act!V70=0,0,TrRoad_emi!V67/TrRoad_tech!V182)</f>
        <v>1.3237758975913445</v>
      </c>
      <c r="W209" s="93">
        <f>IF(TrRoad_act!W70=0,0,TrRoad_emi!W67/TrRoad_tech!W182)</f>
        <v>1.3461083361595889</v>
      </c>
      <c r="X209" s="93">
        <f>IF(TrRoad_act!X70=0,0,TrRoad_emi!X67/TrRoad_tech!X182)</f>
        <v>1.347015847388624</v>
      </c>
      <c r="Y209" s="93">
        <f>IF(TrRoad_act!Y70=0,0,TrRoad_emi!Y67/TrRoad_tech!Y182)</f>
        <v>1.3501167147724522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1.0732101272450953</v>
      </c>
      <c r="G210" s="93">
        <f>IF(TrRoad_act!G71=0,0,TrRoad_emi!G68/TrRoad_tech!G183)</f>
        <v>1.0158734090961326</v>
      </c>
      <c r="H210" s="93">
        <f>IF(TrRoad_act!H71=0,0,TrRoad_emi!H68/TrRoad_tech!H183)</f>
        <v>0.98873699574429164</v>
      </c>
      <c r="I210" s="93">
        <f>IF(TrRoad_act!I71=0,0,TrRoad_emi!I68/TrRoad_tech!I183)</f>
        <v>1.0964557106839323</v>
      </c>
      <c r="J210" s="93">
        <f>IF(TrRoad_act!J71=0,0,TrRoad_emi!J68/TrRoad_tech!J183)</f>
        <v>1.1083863219608863</v>
      </c>
      <c r="K210" s="93">
        <f>IF(TrRoad_act!K71=0,0,TrRoad_emi!K68/TrRoad_tech!K183)</f>
        <v>1.1579893740005325</v>
      </c>
      <c r="L210" s="93">
        <f>IF(TrRoad_act!L71=0,0,TrRoad_emi!L68/TrRoad_tech!L183)</f>
        <v>1.2798741634285895</v>
      </c>
      <c r="M210" s="93">
        <f>IF(TrRoad_act!M71=0,0,TrRoad_emi!M68/TrRoad_tech!M183)</f>
        <v>1.2397199247046731</v>
      </c>
      <c r="N210" s="93">
        <f>IF(TrRoad_act!N71=0,0,TrRoad_emi!N68/TrRoad_tech!N183)</f>
        <v>1.3735067825340339</v>
      </c>
      <c r="O210" s="93">
        <f>IF(TrRoad_act!O71=0,0,TrRoad_emi!O68/TrRoad_tech!O183)</f>
        <v>0.98714455628158959</v>
      </c>
      <c r="P210" s="93">
        <f>IF(TrRoad_act!P71=0,0,TrRoad_emi!P68/TrRoad_tech!P183)</f>
        <v>0.54597908632913839</v>
      </c>
      <c r="Q210" s="93">
        <f>IF(TrRoad_act!Q71=0,0,TrRoad_emi!Q68/TrRoad_tech!Q183)</f>
        <v>0.87164226777278975</v>
      </c>
      <c r="R210" s="93">
        <f>IF(TrRoad_act!R71=0,0,TrRoad_emi!R68/TrRoad_tech!R183)</f>
        <v>1.0868255218775618</v>
      </c>
      <c r="S210" s="93">
        <f>IF(TrRoad_act!S71=0,0,TrRoad_emi!S68/TrRoad_tech!S183)</f>
        <v>1.0721401664940018</v>
      </c>
      <c r="T210" s="93">
        <f>IF(TrRoad_act!T71=0,0,TrRoad_emi!T68/TrRoad_tech!T183)</f>
        <v>1.0656064032912924</v>
      </c>
      <c r="U210" s="93">
        <f>IF(TrRoad_act!U71=0,0,TrRoad_emi!U68/TrRoad_tech!U183)</f>
        <v>1.1115186017731085</v>
      </c>
      <c r="V210" s="93">
        <f>IF(TrRoad_act!V71=0,0,TrRoad_emi!V68/TrRoad_tech!V183)</f>
        <v>1.0003963692999935</v>
      </c>
      <c r="W210" s="93">
        <f>IF(TrRoad_act!W71=0,0,TrRoad_emi!W68/TrRoad_tech!W183)</f>
        <v>1.170590429449883</v>
      </c>
      <c r="X210" s="93">
        <f>IF(TrRoad_act!X71=0,0,TrRoad_emi!X68/TrRoad_tech!X183)</f>
        <v>1.1255392861612667</v>
      </c>
      <c r="Y210" s="93">
        <f>IF(TrRoad_act!Y71=0,0,TrRoad_emi!Y68/TrRoad_tech!Y183)</f>
        <v>1.1621133849056926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1.1260757586876768</v>
      </c>
      <c r="C213" s="150">
        <f>IF(TrRoad_act!C74=0,0,TrRoad_emi!C71/TrRoad_tech!C186)</f>
        <v>1.1071935126206289</v>
      </c>
      <c r="D213" s="150">
        <f>IF(TrRoad_act!D74=0,0,TrRoad_emi!D71/TrRoad_tech!D186)</f>
        <v>1.091142680206789</v>
      </c>
      <c r="E213" s="150">
        <f>IF(TrRoad_act!E74=0,0,TrRoad_emi!E71/TrRoad_tech!E186)</f>
        <v>1.0520294994776171</v>
      </c>
      <c r="F213" s="150">
        <f>IF(TrRoad_act!F74=0,0,TrRoad_emi!F71/TrRoad_tech!F186)</f>
        <v>1.0400744862043176</v>
      </c>
      <c r="G213" s="150">
        <f>IF(TrRoad_act!G74=0,0,TrRoad_emi!G71/TrRoad_tech!G186)</f>
        <v>1.0507885250810152</v>
      </c>
      <c r="H213" s="150">
        <f>IF(TrRoad_act!H74=0,0,TrRoad_emi!H71/TrRoad_tech!H186)</f>
        <v>1.0455827865329401</v>
      </c>
      <c r="I213" s="150">
        <f>IF(TrRoad_act!I74=0,0,TrRoad_emi!I71/TrRoad_tech!I186)</f>
        <v>1.0793229596643186</v>
      </c>
      <c r="J213" s="150">
        <f>IF(TrRoad_act!J74=0,0,TrRoad_emi!J71/TrRoad_tech!J186)</f>
        <v>1.1023554641010207</v>
      </c>
      <c r="K213" s="150">
        <f>IF(TrRoad_act!K74=0,0,TrRoad_emi!K71/TrRoad_tech!K186)</f>
        <v>1.1304083698048595</v>
      </c>
      <c r="L213" s="150">
        <f>IF(TrRoad_act!L74=0,0,TrRoad_emi!L71/TrRoad_tech!L186)</f>
        <v>1.1810129609486206</v>
      </c>
      <c r="M213" s="150">
        <f>IF(TrRoad_act!M74=0,0,TrRoad_emi!M71/TrRoad_tech!M186)</f>
        <v>1.2425036053266099</v>
      </c>
      <c r="N213" s="150">
        <f>IF(TrRoad_act!N74=0,0,TrRoad_emi!N71/TrRoad_tech!N186)</f>
        <v>1.1266809003769176</v>
      </c>
      <c r="O213" s="150">
        <f>IF(TrRoad_act!O74=0,0,TrRoad_emi!O71/TrRoad_tech!O186)</f>
        <v>1.1086350001845677</v>
      </c>
      <c r="P213" s="150">
        <f>IF(TrRoad_act!P74=0,0,TrRoad_emi!P71/TrRoad_tech!P186)</f>
        <v>1.1228066492466999</v>
      </c>
      <c r="Q213" s="150">
        <f>IF(TrRoad_act!Q74=0,0,TrRoad_emi!Q71/TrRoad_tech!Q186)</f>
        <v>1.1672861343705296</v>
      </c>
      <c r="R213" s="150">
        <f>IF(TrRoad_act!R74=0,0,TrRoad_emi!R71/TrRoad_tech!R186)</f>
        <v>1.1621011619730415</v>
      </c>
      <c r="S213" s="150">
        <f>IF(TrRoad_act!S74=0,0,TrRoad_emi!S71/TrRoad_tech!S186)</f>
        <v>1.2114641868315486</v>
      </c>
      <c r="T213" s="150">
        <f>IF(TrRoad_act!T74=0,0,TrRoad_emi!T71/TrRoad_tech!T186)</f>
        <v>1.2229099448686045</v>
      </c>
      <c r="U213" s="150">
        <f>IF(TrRoad_act!U74=0,0,TrRoad_emi!U71/TrRoad_tech!U186)</f>
        <v>1.1797062731936345</v>
      </c>
      <c r="V213" s="150">
        <f>IF(TrRoad_act!V74=0,0,TrRoad_emi!V71/TrRoad_tech!V186)</f>
        <v>1.0909522681361543</v>
      </c>
      <c r="W213" s="150">
        <f>IF(TrRoad_act!W74=0,0,TrRoad_emi!W71/TrRoad_tech!W186)</f>
        <v>1.0923245065241016</v>
      </c>
      <c r="X213" s="150">
        <f>IF(TrRoad_act!X74=0,0,TrRoad_emi!X71/TrRoad_tech!X186)</f>
        <v>1.03405836684897</v>
      </c>
      <c r="Y213" s="150">
        <f>IF(TrRoad_act!Y74=0,0,TrRoad_emi!Y71/TrRoad_tech!Y186)</f>
        <v>1.0698949975398397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1.1001665151145612</v>
      </c>
      <c r="D214" s="91">
        <f>IF(TrRoad_act!D75=0,0,TrRoad_emi!D72/TrRoad_tech!D187)</f>
        <v>1.1006111625570769</v>
      </c>
      <c r="E214" s="91">
        <f>IF(TrRoad_act!E75=0,0,TrRoad_emi!E72/TrRoad_tech!E187)</f>
        <v>1.1014484552730817</v>
      </c>
      <c r="F214" s="91">
        <f>IF(TrRoad_act!F75=0,0,TrRoad_emi!F72/TrRoad_tech!F187)</f>
        <v>1.1027381714986992</v>
      </c>
      <c r="G214" s="91">
        <f>IF(TrRoad_act!G75=0,0,TrRoad_emi!G72/TrRoad_tech!G187)</f>
        <v>1.1035676603943052</v>
      </c>
      <c r="H214" s="91">
        <f>IF(TrRoad_act!H75=0,0,TrRoad_emi!H72/TrRoad_tech!H187)</f>
        <v>1.1038660131248175</v>
      </c>
      <c r="I214" s="91">
        <f>IF(TrRoad_act!I75=0,0,TrRoad_emi!I72/TrRoad_tech!I187)</f>
        <v>1.1042287699140887</v>
      </c>
      <c r="J214" s="91">
        <f>IF(TrRoad_act!J75=0,0,TrRoad_emi!J72/TrRoad_tech!J187)</f>
        <v>1.1047221052175578</v>
      </c>
      <c r="K214" s="91">
        <f>IF(TrRoad_act!K75=0,0,TrRoad_emi!K72/TrRoad_tech!K187)</f>
        <v>1.1051633988600003</v>
      </c>
      <c r="L214" s="91">
        <f>IF(TrRoad_act!L75=0,0,TrRoad_emi!L72/TrRoad_tech!L187)</f>
        <v>1.1063911137289848</v>
      </c>
      <c r="M214" s="91">
        <f>IF(TrRoad_act!M75=0,0,TrRoad_emi!M72/TrRoad_tech!M187)</f>
        <v>1.1095697574526771</v>
      </c>
      <c r="N214" s="91">
        <f>IF(TrRoad_act!N75=0,0,TrRoad_emi!N72/TrRoad_tech!N187)</f>
        <v>1.1230342465198393</v>
      </c>
      <c r="O214" s="91">
        <f>IF(TrRoad_act!O75=0,0,TrRoad_emi!O72/TrRoad_tech!O187)</f>
        <v>1.1136677288055497</v>
      </c>
      <c r="P214" s="91">
        <f>IF(TrRoad_act!P75=0,0,TrRoad_emi!P72/TrRoad_tech!P187)</f>
        <v>1.1218278001106865</v>
      </c>
      <c r="Q214" s="91">
        <f>IF(TrRoad_act!Q75=0,0,TrRoad_emi!Q72/TrRoad_tech!Q187)</f>
        <v>1.1100430482531345</v>
      </c>
      <c r="R214" s="91">
        <f>IF(TrRoad_act!R75=0,0,TrRoad_emi!R72/TrRoad_tech!R187)</f>
        <v>1.1319961227312743</v>
      </c>
      <c r="S214" s="91">
        <f>IF(TrRoad_act!S75=0,0,TrRoad_emi!S72/TrRoad_tech!S187)</f>
        <v>1.1718724359850452</v>
      </c>
      <c r="T214" s="91">
        <f>IF(TrRoad_act!T75=0,0,TrRoad_emi!T72/TrRoad_tech!T187)</f>
        <v>1.1910166543251375</v>
      </c>
      <c r="U214" s="91">
        <f>IF(TrRoad_act!U75=0,0,TrRoad_emi!U72/TrRoad_tech!U187)</f>
        <v>1.1943906927511134</v>
      </c>
      <c r="V214" s="91">
        <f>IF(TrRoad_act!V75=0,0,TrRoad_emi!V72/TrRoad_tech!V187)</f>
        <v>1.2093021976066018</v>
      </c>
      <c r="W214" s="91">
        <f>IF(TrRoad_act!W75=0,0,TrRoad_emi!W72/TrRoad_tech!W187)</f>
        <v>1.2325292000754553</v>
      </c>
      <c r="X214" s="91">
        <f>IF(TrRoad_act!X75=0,0,TrRoad_emi!X72/TrRoad_tech!X187)</f>
        <v>1.2401494951641465</v>
      </c>
      <c r="Y214" s="91">
        <f>IF(TrRoad_act!Y75=0,0,TrRoad_emi!Y72/TrRoad_tech!Y187)</f>
        <v>1.2484173220950914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1.10000000000673</v>
      </c>
      <c r="D215" s="91">
        <f>IF(TrRoad_act!D76=0,0,TrRoad_emi!D73/TrRoad_tech!D188)</f>
        <v>1.1000363731267091</v>
      </c>
      <c r="E215" s="91">
        <f>IF(TrRoad_act!E76=0,0,TrRoad_emi!E73/TrRoad_tech!E188)</f>
        <v>1.100634854907685</v>
      </c>
      <c r="F215" s="91">
        <f>IF(TrRoad_act!F76=0,0,TrRoad_emi!F73/TrRoad_tech!F188)</f>
        <v>1.1019579091907621</v>
      </c>
      <c r="G215" s="91">
        <f>IF(TrRoad_act!G76=0,0,TrRoad_emi!G73/TrRoad_tech!G188)</f>
        <v>1.1024573813281247</v>
      </c>
      <c r="H215" s="91">
        <f>IF(TrRoad_act!H76=0,0,TrRoad_emi!H73/TrRoad_tech!H188)</f>
        <v>1.1012844927581866</v>
      </c>
      <c r="I215" s="91">
        <f>IF(TrRoad_act!I76=0,0,TrRoad_emi!I73/TrRoad_tech!I188)</f>
        <v>1.1072496354981678</v>
      </c>
      <c r="J215" s="91">
        <f>IF(TrRoad_act!J76=0,0,TrRoad_emi!J73/TrRoad_tech!J188)</f>
        <v>1.1092508066974571</v>
      </c>
      <c r="K215" s="91">
        <f>IF(TrRoad_act!K76=0,0,TrRoad_emi!K73/TrRoad_tech!K188)</f>
        <v>1.112943089133166</v>
      </c>
      <c r="L215" s="91">
        <f>IF(TrRoad_act!L76=0,0,TrRoad_emi!L73/TrRoad_tech!L188)</f>
        <v>1.1068214732568087</v>
      </c>
      <c r="M215" s="91">
        <f>IF(TrRoad_act!M76=0,0,TrRoad_emi!M73/TrRoad_tech!M188)</f>
        <v>1.1094343835286622</v>
      </c>
      <c r="N215" s="91">
        <f>IF(TrRoad_act!N76=0,0,TrRoad_emi!N73/TrRoad_tech!N188)</f>
        <v>1.0688279145657327</v>
      </c>
      <c r="O215" s="91">
        <f>IF(TrRoad_act!O76=0,0,TrRoad_emi!O73/TrRoad_tech!O188)</f>
        <v>1.0587213977570693</v>
      </c>
      <c r="P215" s="91">
        <f>IF(TrRoad_act!P76=0,0,TrRoad_emi!P73/TrRoad_tech!P188)</f>
        <v>1.0750239439960378</v>
      </c>
      <c r="Q215" s="91">
        <f>IF(TrRoad_act!Q76=0,0,TrRoad_emi!Q73/TrRoad_tech!Q188)</f>
        <v>1.0841814553830866</v>
      </c>
      <c r="R215" s="91">
        <f>IF(TrRoad_act!R76=0,0,TrRoad_emi!R73/TrRoad_tech!R188)</f>
        <v>1.091089967701645</v>
      </c>
      <c r="S215" s="91">
        <f>IF(TrRoad_act!S76=0,0,TrRoad_emi!S73/TrRoad_tech!S188)</f>
        <v>1.1120227114494312</v>
      </c>
      <c r="T215" s="91">
        <f>IF(TrRoad_act!T76=0,0,TrRoad_emi!T73/TrRoad_tech!T188)</f>
        <v>1.1407831299048241</v>
      </c>
      <c r="U215" s="91">
        <f>IF(TrRoad_act!U76=0,0,TrRoad_emi!U73/TrRoad_tech!U188)</f>
        <v>1.1564051515119491</v>
      </c>
      <c r="V215" s="91">
        <f>IF(TrRoad_act!V76=0,0,TrRoad_emi!V73/TrRoad_tech!V188)</f>
        <v>1.1671902411981041</v>
      </c>
      <c r="W215" s="91">
        <f>IF(TrRoad_act!W76=0,0,TrRoad_emi!W73/TrRoad_tech!W188)</f>
        <v>1.1910921846873816</v>
      </c>
      <c r="X215" s="91">
        <f>IF(TrRoad_act!X76=0,0,TrRoad_emi!X73/TrRoad_tech!X188)</f>
        <v>1.1899015912977791</v>
      </c>
      <c r="Y215" s="91">
        <f>IF(TrRoad_act!Y76=0,0,TrRoad_emi!Y73/TrRoad_tech!Y188)</f>
        <v>1.2134428491687121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1.3172635731932034</v>
      </c>
      <c r="S216" s="91">
        <f>IF(TrRoad_act!S77=0,0,TrRoad_emi!S74/TrRoad_tech!S189)</f>
        <v>1.3260574063064963</v>
      </c>
      <c r="T216" s="91">
        <f>IF(TrRoad_act!T77=0,0,TrRoad_emi!T74/TrRoad_tech!T189)</f>
        <v>1.3331419693427735</v>
      </c>
      <c r="U216" s="91">
        <f>IF(TrRoad_act!U77=0,0,TrRoad_emi!U74/TrRoad_tech!U189)</f>
        <v>1.3390770187763026</v>
      </c>
      <c r="V216" s="91">
        <f>IF(TrRoad_act!V77=0,0,TrRoad_emi!V74/TrRoad_tech!V189)</f>
        <v>1.3418102711567101</v>
      </c>
      <c r="W216" s="91">
        <f>IF(TrRoad_act!W77=0,0,TrRoad_emi!W74/TrRoad_tech!W189)</f>
        <v>1.3456520318184042</v>
      </c>
      <c r="X216" s="91">
        <f>IF(TrRoad_act!X77=0,0,TrRoad_emi!X74/TrRoad_tech!X189)</f>
        <v>1.345858965824289</v>
      </c>
      <c r="Y216" s="91">
        <f>IF(TrRoad_act!Y77=0,0,TrRoad_emi!Y74/TrRoad_tech!Y189)</f>
        <v>1.3464439731401237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1.3172635731932034</v>
      </c>
      <c r="S217" s="91">
        <f>IF(TrRoad_act!S78=0,0,TrRoad_emi!S75/TrRoad_tech!S190)</f>
        <v>1.3237389069949168</v>
      </c>
      <c r="T217" s="91">
        <f>IF(TrRoad_act!T78=0,0,TrRoad_emi!T75/TrRoad_tech!T190)</f>
        <v>1.3298081798974499</v>
      </c>
      <c r="U217" s="91">
        <f>IF(TrRoad_act!U78=0,0,TrRoad_emi!U75/TrRoad_tech!U190)</f>
        <v>1.3362493297719535</v>
      </c>
      <c r="V217" s="91">
        <f>IF(TrRoad_act!V78=0,0,TrRoad_emi!V75/TrRoad_tech!V190)</f>
        <v>1.3413138633357524</v>
      </c>
      <c r="W217" s="91">
        <f>IF(TrRoad_act!W78=0,0,TrRoad_emi!W75/TrRoad_tech!W190)</f>
        <v>1.3447185039674181</v>
      </c>
      <c r="X217" s="91">
        <f>IF(TrRoad_act!X78=0,0,TrRoad_emi!X75/TrRoad_tech!X190)</f>
        <v>1.3450907567877024</v>
      </c>
      <c r="Y217" s="91">
        <f>IF(TrRoad_act!Y78=0,0,TrRoad_emi!Y75/TrRoad_tech!Y190)</f>
        <v>1.345334490194563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1.0498697293098282</v>
      </c>
      <c r="C219" s="151">
        <f>IF(TrRoad_act!C80=0,0,TrRoad_emi!C77/TrRoad_tech!C192)</f>
        <v>1.1378699262599643</v>
      </c>
      <c r="D219" s="151">
        <f>IF(TrRoad_act!D80=0,0,TrRoad_emi!D77/TrRoad_tech!D192)</f>
        <v>1.0370428392431692</v>
      </c>
      <c r="E219" s="151">
        <f>IF(TrRoad_act!E80=0,0,TrRoad_emi!E77/TrRoad_tech!E192)</f>
        <v>1.272657923490047</v>
      </c>
      <c r="F219" s="151">
        <f>IF(TrRoad_act!F80=0,0,TrRoad_emi!F77/TrRoad_tech!F192)</f>
        <v>1.2223655652711092</v>
      </c>
      <c r="G219" s="151">
        <f>IF(TrRoad_act!G80=0,0,TrRoad_emi!G77/TrRoad_tech!G192)</f>
        <v>1.3039955322494026</v>
      </c>
      <c r="H219" s="151">
        <f>IF(TrRoad_act!H80=0,0,TrRoad_emi!H77/TrRoad_tech!H192)</f>
        <v>1.2280180695025378</v>
      </c>
      <c r="I219" s="151">
        <f>IF(TrRoad_act!I80=0,0,TrRoad_emi!I77/TrRoad_tech!I192)</f>
        <v>1.1220471499580162</v>
      </c>
      <c r="J219" s="151">
        <f>IF(TrRoad_act!J80=0,0,TrRoad_emi!J77/TrRoad_tech!J192)</f>
        <v>1.1525630475672477</v>
      </c>
      <c r="K219" s="151">
        <f>IF(TrRoad_act!K80=0,0,TrRoad_emi!K77/TrRoad_tech!K192)</f>
        <v>1.0882437996749017</v>
      </c>
      <c r="L219" s="151">
        <f>IF(TrRoad_act!L80=0,0,TrRoad_emi!L77/TrRoad_tech!L192)</f>
        <v>1.0868925346561709</v>
      </c>
      <c r="M219" s="151">
        <f>IF(TrRoad_act!M80=0,0,TrRoad_emi!M77/TrRoad_tech!M192)</f>
        <v>1.0521414241390845</v>
      </c>
      <c r="N219" s="151">
        <f>IF(TrRoad_act!N80=0,0,TrRoad_emi!N77/TrRoad_tech!N192)</f>
        <v>1.090559407933817</v>
      </c>
      <c r="O219" s="151">
        <f>IF(TrRoad_act!O80=0,0,TrRoad_emi!O77/TrRoad_tech!O192)</f>
        <v>0.88595497729689732</v>
      </c>
      <c r="P219" s="151">
        <f>IF(TrRoad_act!P80=0,0,TrRoad_emi!P77/TrRoad_tech!P192)</f>
        <v>1.0607341858427812</v>
      </c>
      <c r="Q219" s="151">
        <f>IF(TrRoad_act!Q80=0,0,TrRoad_emi!Q77/TrRoad_tech!Q192)</f>
        <v>1.1082712613708208</v>
      </c>
      <c r="R219" s="151">
        <f>IF(TrRoad_act!R80=0,0,TrRoad_emi!R77/TrRoad_tech!R192)</f>
        <v>1.1751421863574356</v>
      </c>
      <c r="S219" s="151">
        <f>IF(TrRoad_act!S80=0,0,TrRoad_emi!S77/TrRoad_tech!S192)</f>
        <v>1.2273822247242712</v>
      </c>
      <c r="T219" s="151">
        <f>IF(TrRoad_act!T80=0,0,TrRoad_emi!T77/TrRoad_tech!T192)</f>
        <v>1.347017915440031</v>
      </c>
      <c r="U219" s="151">
        <f>IF(TrRoad_act!U80=0,0,TrRoad_emi!U77/TrRoad_tech!U192)</f>
        <v>1.4677412706135562</v>
      </c>
      <c r="V219" s="151">
        <f>IF(TrRoad_act!V80=0,0,TrRoad_emi!V77/TrRoad_tech!V192)</f>
        <v>1.3598282902409269</v>
      </c>
      <c r="W219" s="151">
        <f>IF(TrRoad_act!W80=0,0,TrRoad_emi!W77/TrRoad_tech!W192)</f>
        <v>1.4072723677598586</v>
      </c>
      <c r="X219" s="151">
        <f>IF(TrRoad_act!X80=0,0,TrRoad_emi!X77/TrRoad_tech!X192)</f>
        <v>1.3716091488878646</v>
      </c>
      <c r="Y219" s="151">
        <f>IF(TrRoad_act!Y80=0,0,TrRoad_emi!Y77/TrRoad_tech!Y192)</f>
        <v>1.363276527407987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0.8590689415604732</v>
      </c>
      <c r="C220" s="93">
        <f>IF(TrRoad_act!C81=0,0,TrRoad_emi!C78/TrRoad_tech!C193)</f>
        <v>1.0823176307282523</v>
      </c>
      <c r="D220" s="93">
        <f>IF(TrRoad_act!D81=0,0,TrRoad_emi!D78/TrRoad_tech!D193)</f>
        <v>0.82231764471290714</v>
      </c>
      <c r="E220" s="93">
        <f>IF(TrRoad_act!E81=0,0,TrRoad_emi!E78/TrRoad_tech!E193)</f>
        <v>1.3757340045735342</v>
      </c>
      <c r="F220" s="93">
        <f>IF(TrRoad_act!F81=0,0,TrRoad_emi!F78/TrRoad_tech!F193)</f>
        <v>1.275344112495497</v>
      </c>
      <c r="G220" s="93">
        <f>IF(TrRoad_act!G81=0,0,TrRoad_emi!G78/TrRoad_tech!G193)</f>
        <v>1.4286834693387076</v>
      </c>
      <c r="H220" s="93">
        <f>IF(TrRoad_act!H81=0,0,TrRoad_emi!H78/TrRoad_tech!H193)</f>
        <v>1.2963761506760341</v>
      </c>
      <c r="I220" s="93">
        <f>IF(TrRoad_act!I81=0,0,TrRoad_emi!I78/TrRoad_tech!I193)</f>
        <v>1.1256754055369038</v>
      </c>
      <c r="J220" s="93">
        <f>IF(TrRoad_act!J81=0,0,TrRoad_emi!J78/TrRoad_tech!J193)</f>
        <v>1.2072898830092267</v>
      </c>
      <c r="K220" s="93">
        <f>IF(TrRoad_act!K81=0,0,TrRoad_emi!K78/TrRoad_tech!K193)</f>
        <v>1.1161388928313729</v>
      </c>
      <c r="L220" s="93">
        <f>IF(TrRoad_act!L81=0,0,TrRoad_emi!L78/TrRoad_tech!L193)</f>
        <v>1.1080704797202263</v>
      </c>
      <c r="M220" s="93">
        <f>IF(TrRoad_act!M81=0,0,TrRoad_emi!M78/TrRoad_tech!M193)</f>
        <v>1.0506117161831978</v>
      </c>
      <c r="N220" s="93">
        <f>IF(TrRoad_act!N81=0,0,TrRoad_emi!N78/TrRoad_tech!N193)</f>
        <v>1.1235951172933762</v>
      </c>
      <c r="O220" s="93">
        <f>IF(TrRoad_act!O81=0,0,TrRoad_emi!O78/TrRoad_tech!O193)</f>
        <v>0.81577029814174284</v>
      </c>
      <c r="P220" s="93">
        <f>IF(TrRoad_act!P81=0,0,TrRoad_emi!P78/TrRoad_tech!P193)</f>
        <v>1.067556106500259</v>
      </c>
      <c r="Q220" s="93">
        <f>IF(TrRoad_act!Q81=0,0,TrRoad_emi!Q78/TrRoad_tech!Q193)</f>
        <v>1.1261953196280399</v>
      </c>
      <c r="R220" s="93">
        <f>IF(TrRoad_act!R81=0,0,TrRoad_emi!R78/TrRoad_tech!R193)</f>
        <v>1.2171912506855116</v>
      </c>
      <c r="S220" s="93">
        <f>IF(TrRoad_act!S81=0,0,TrRoad_emi!S78/TrRoad_tech!S193)</f>
        <v>1.2932776861596602</v>
      </c>
      <c r="T220" s="93">
        <f>IF(TrRoad_act!T81=0,0,TrRoad_emi!T78/TrRoad_tech!T193)</f>
        <v>1.4478508773016963</v>
      </c>
      <c r="U220" s="93">
        <f>IF(TrRoad_act!U81=0,0,TrRoad_emi!U78/TrRoad_tech!U193)</f>
        <v>1.6167278140663834</v>
      </c>
      <c r="V220" s="93">
        <f>IF(TrRoad_act!V81=0,0,TrRoad_emi!V78/TrRoad_tech!V193)</f>
        <v>1.4435728824952971</v>
      </c>
      <c r="W220" s="93">
        <f>IF(TrRoad_act!W81=0,0,TrRoad_emi!W78/TrRoad_tech!W193)</f>
        <v>1.5034665938255107</v>
      </c>
      <c r="X220" s="93">
        <f>IF(TrRoad_act!X81=0,0,TrRoad_emi!X78/TrRoad_tech!X193)</f>
        <v>1.4366694604994368</v>
      </c>
      <c r="Y220" s="93">
        <f>IF(TrRoad_act!Y81=0,0,TrRoad_emi!Y78/TrRoad_tech!Y193)</f>
        <v>1.4141644227324952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1.2022526345191575</v>
      </c>
      <c r="C221" s="94">
        <f>IF(TrRoad_act!C82=0,0,TrRoad_emi!C79/TrRoad_tech!C194)</f>
        <v>1.1845948158181288</v>
      </c>
      <c r="D221" s="94">
        <f>IF(TrRoad_act!D82=0,0,TrRoad_emi!D79/TrRoad_tech!D194)</f>
        <v>1.2066123668698092</v>
      </c>
      <c r="E221" s="94">
        <f>IF(TrRoad_act!E82=0,0,TrRoad_emi!E79/TrRoad_tech!E194)</f>
        <v>1.1582099131474894</v>
      </c>
      <c r="F221" s="94">
        <f>IF(TrRoad_act!F82=0,0,TrRoad_emi!F79/TrRoad_tech!F194)</f>
        <v>1.1740473336922277</v>
      </c>
      <c r="G221" s="94">
        <f>IF(TrRoad_act!G82=0,0,TrRoad_emi!G79/TrRoad_tech!G194)</f>
        <v>1.1603987919926917</v>
      </c>
      <c r="H221" s="94">
        <f>IF(TrRoad_act!H82=0,0,TrRoad_emi!H79/TrRoad_tech!H194)</f>
        <v>1.1691058847426328</v>
      </c>
      <c r="I221" s="94">
        <f>IF(TrRoad_act!I82=0,0,TrRoad_emi!I79/TrRoad_tech!I194)</f>
        <v>1.1942835521211939</v>
      </c>
      <c r="J221" s="94">
        <f>IF(TrRoad_act!J82=0,0,TrRoad_emi!J79/TrRoad_tech!J194)</f>
        <v>1.1872711367115891</v>
      </c>
      <c r="K221" s="94">
        <f>IF(TrRoad_act!K82=0,0,TrRoad_emi!K79/TrRoad_tech!K194)</f>
        <v>1.2039091311225854</v>
      </c>
      <c r="L221" s="94">
        <f>IF(TrRoad_act!L82=0,0,TrRoad_emi!L79/TrRoad_tech!L194)</f>
        <v>1.2105943030008566</v>
      </c>
      <c r="M221" s="94">
        <f>IF(TrRoad_act!M82=0,0,TrRoad_emi!M79/TrRoad_tech!M194)</f>
        <v>1.2363546704685087</v>
      </c>
      <c r="N221" s="94">
        <f>IF(TrRoad_act!N82=0,0,TrRoad_emi!N79/TrRoad_tech!N194)</f>
        <v>1.170880996102724</v>
      </c>
      <c r="O221" s="94">
        <f>IF(TrRoad_act!O82=0,0,TrRoad_emi!O79/TrRoad_tech!O194)</f>
        <v>1.2245100689633575</v>
      </c>
      <c r="P221" s="94">
        <f>IF(TrRoad_act!P82=0,0,TrRoad_emi!P79/TrRoad_tech!P194)</f>
        <v>1.2035063982112817</v>
      </c>
      <c r="Q221" s="94">
        <f>IF(TrRoad_act!Q82=0,0,TrRoad_emi!Q79/TrRoad_tech!Q194)</f>
        <v>1.2193429232996469</v>
      </c>
      <c r="R221" s="94">
        <f>IF(TrRoad_act!R82=0,0,TrRoad_emi!R79/TrRoad_tech!R194)</f>
        <v>1.2075859494214458</v>
      </c>
      <c r="S221" s="94">
        <f>IF(TrRoad_act!S82=0,0,TrRoad_emi!S79/TrRoad_tech!S194)</f>
        <v>1.2013373178074858</v>
      </c>
      <c r="T221" s="94">
        <f>IF(TrRoad_act!T82=0,0,TrRoad_emi!T79/TrRoad_tech!T194)</f>
        <v>1.1984623105981522</v>
      </c>
      <c r="U221" s="94">
        <f>IF(TrRoad_act!U82=0,0,TrRoad_emi!U79/TrRoad_tech!U194)</f>
        <v>1.1841499014159305</v>
      </c>
      <c r="V221" s="94">
        <f>IF(TrRoad_act!V82=0,0,TrRoad_emi!V79/TrRoad_tech!V194)</f>
        <v>1.2572817823373845</v>
      </c>
      <c r="W221" s="94">
        <f>IF(TrRoad_act!W82=0,0,TrRoad_emi!W79/TrRoad_tech!W194)</f>
        <v>1.303004949340784</v>
      </c>
      <c r="X221" s="94">
        <f>IF(TrRoad_act!X82=0,0,TrRoad_emi!X79/TrRoad_tech!X194)</f>
        <v>1.3356194134112052</v>
      </c>
      <c r="Y221" s="94">
        <f>IF(TrRoad_act!Y82=0,0,TrRoad_emi!Y79/TrRoad_tech!Y194)</f>
        <v>1.3668019678928776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108.43056596954689</v>
      </c>
      <c r="C225" s="152">
        <v>107.98441355183678</v>
      </c>
      <c r="D225" s="152">
        <v>107.49084136112927</v>
      </c>
      <c r="E225" s="152">
        <v>106.47539582199016</v>
      </c>
      <c r="F225" s="152">
        <v>106.36445528371188</v>
      </c>
      <c r="G225" s="152">
        <v>105.28674719757986</v>
      </c>
      <c r="H225" s="152">
        <v>103.69509008717898</v>
      </c>
      <c r="I225" s="152">
        <v>102.56077968559885</v>
      </c>
      <c r="J225" s="152">
        <v>98.861252347910352</v>
      </c>
      <c r="K225" s="152">
        <v>94.870789108818556</v>
      </c>
      <c r="L225" s="152">
        <v>92.379155182792729</v>
      </c>
      <c r="M225" s="152">
        <v>86.535045644227864</v>
      </c>
      <c r="N225" s="152">
        <v>85.37192278659937</v>
      </c>
      <c r="O225" s="152">
        <v>83.546131115271976</v>
      </c>
      <c r="P225" s="152">
        <v>81.900402932174515</v>
      </c>
      <c r="Q225" s="152">
        <v>79.890529320186602</v>
      </c>
      <c r="R225" s="152">
        <v>78.241436517411643</v>
      </c>
      <c r="S225" s="152">
        <v>76.922162275191653</v>
      </c>
      <c r="T225" s="152">
        <v>75.866742881415675</v>
      </c>
      <c r="U225" s="152">
        <v>75.022407366394887</v>
      </c>
      <c r="V225" s="152">
        <v>74.34693895437826</v>
      </c>
      <c r="W225" s="152">
        <v>73.806564224764941</v>
      </c>
      <c r="X225" s="152">
        <v>73.374264441074317</v>
      </c>
      <c r="Y225" s="152">
        <v>73.028424614121789</v>
      </c>
      <c r="DA225" s="174" t="s">
        <v>933</v>
      </c>
    </row>
    <row r="226" spans="1:105" ht="11.45" customHeight="1" x14ac:dyDescent="0.25">
      <c r="A226" s="109" t="s">
        <v>20</v>
      </c>
      <c r="B226" s="116">
        <v>202.21275709320764</v>
      </c>
      <c r="C226" s="116">
        <v>207.34333096119667</v>
      </c>
      <c r="D226" s="116">
        <v>210.1512737180542</v>
      </c>
      <c r="E226" s="116">
        <v>211.3451877879391</v>
      </c>
      <c r="F226" s="116">
        <v>211.26824115146746</v>
      </c>
      <c r="G226" s="116">
        <v>210.34693717753527</v>
      </c>
      <c r="H226" s="116">
        <v>210.84214905687051</v>
      </c>
      <c r="I226" s="116">
        <v>210.43868654940988</v>
      </c>
      <c r="J226" s="116">
        <v>200.45575874987384</v>
      </c>
      <c r="K226" s="116">
        <v>190.16339082559182</v>
      </c>
      <c r="L226" s="116">
        <v>165.59617310848009</v>
      </c>
      <c r="M226" s="116">
        <v>190.97774896835111</v>
      </c>
      <c r="N226" s="116">
        <v>188.25857496874312</v>
      </c>
      <c r="O226" s="116">
        <v>167.88815671690875</v>
      </c>
      <c r="P226" s="116">
        <v>161.12566801579371</v>
      </c>
      <c r="Q226" s="116">
        <v>155.70378077602979</v>
      </c>
      <c r="R226" s="116">
        <v>149.78933741331602</v>
      </c>
      <c r="S226" s="116">
        <v>152.80055390165009</v>
      </c>
      <c r="T226" s="116">
        <v>155.52179308752727</v>
      </c>
      <c r="U226" s="116">
        <v>159.78686215786303</v>
      </c>
      <c r="V226" s="116">
        <v>148.92691254044314</v>
      </c>
      <c r="W226" s="116">
        <v>143.67357387486675</v>
      </c>
      <c r="X226" s="116">
        <v>143.56054358066208</v>
      </c>
      <c r="Y226" s="116">
        <v>141.99119593548463</v>
      </c>
      <c r="DA226" s="176" t="s">
        <v>934</v>
      </c>
    </row>
    <row r="227" spans="1:105" ht="11.45" customHeight="1" x14ac:dyDescent="0.25">
      <c r="A227" s="111" t="s">
        <v>110</v>
      </c>
      <c r="B227" s="87">
        <v>229.09503716169249</v>
      </c>
      <c r="C227" s="87">
        <v>229.17805144941585</v>
      </c>
      <c r="D227" s="87">
        <v>227.79217585396589</v>
      </c>
      <c r="E227" s="87">
        <v>224.94095931929007</v>
      </c>
      <c r="F227" s="87">
        <v>224.62945517168893</v>
      </c>
      <c r="G227" s="87">
        <v>221.60341488070634</v>
      </c>
      <c r="H227" s="87">
        <v>217.13428394675518</v>
      </c>
      <c r="I227" s="87">
        <v>213.94931296822102</v>
      </c>
      <c r="J227" s="87">
        <v>203.561603229848</v>
      </c>
      <c r="K227" s="87">
        <v>192.35698975745976</v>
      </c>
      <c r="L227" s="87">
        <v>185.36086089143922</v>
      </c>
      <c r="M227" s="87">
        <v>168.93697142117833</v>
      </c>
      <c r="N227" s="87">
        <v>165.67573351038476</v>
      </c>
      <c r="O227" s="87">
        <v>160.55907359533626</v>
      </c>
      <c r="P227" s="87">
        <v>155.93811931825232</v>
      </c>
      <c r="Q227" s="87">
        <v>150.35239867921516</v>
      </c>
      <c r="R227" s="87">
        <v>149.19223903825676</v>
      </c>
      <c r="S227" s="87">
        <v>148.16905495457888</v>
      </c>
      <c r="T227" s="87">
        <v>147.33917945505789</v>
      </c>
      <c r="U227" s="87">
        <v>153.5213080793134</v>
      </c>
      <c r="V227" s="87">
        <v>150.73967202775151</v>
      </c>
      <c r="W227" s="87">
        <v>142.76282622533421</v>
      </c>
      <c r="X227" s="87">
        <v>141.09427430093211</v>
      </c>
      <c r="Y227" s="87">
        <v>140.7034895811671</v>
      </c>
      <c r="DA227" s="171" t="s">
        <v>935</v>
      </c>
    </row>
    <row r="228" spans="1:105" ht="11.45" customHeight="1" x14ac:dyDescent="0.25">
      <c r="A228" s="111" t="s">
        <v>111</v>
      </c>
      <c r="B228" s="87">
        <v>205.57137555172412</v>
      </c>
      <c r="C228" s="87">
        <v>206.70744865213294</v>
      </c>
      <c r="D228" s="87">
        <v>206.59334611195135</v>
      </c>
      <c r="E228" s="87">
        <v>207.06401909020047</v>
      </c>
      <c r="F228" s="87">
        <v>205.69835431240176</v>
      </c>
      <c r="G228" s="87">
        <v>206.31165546587792</v>
      </c>
      <c r="H228" s="87">
        <v>207.63453179110849</v>
      </c>
      <c r="I228" s="87">
        <v>205.72331424306643</v>
      </c>
      <c r="J228" s="87">
        <v>196.44178574016843</v>
      </c>
      <c r="K228" s="87">
        <v>188.72203575600619</v>
      </c>
      <c r="L228" s="87">
        <v>181.47295875009445</v>
      </c>
      <c r="M228" s="87">
        <v>199.75163270294763</v>
      </c>
      <c r="N228" s="87">
        <v>198.15731841826874</v>
      </c>
      <c r="O228" s="87">
        <v>183.65324443412476</v>
      </c>
      <c r="P228" s="87">
        <v>174.70227850681411</v>
      </c>
      <c r="Q228" s="87">
        <v>166.10113148559785</v>
      </c>
      <c r="R228" s="87">
        <v>157.46857800117891</v>
      </c>
      <c r="S228" s="87">
        <v>159.75546478189975</v>
      </c>
      <c r="T228" s="87">
        <v>165.0597915523862</v>
      </c>
      <c r="U228" s="87">
        <v>164.50635666017641</v>
      </c>
      <c r="V228" s="87">
        <v>157.1195045596842</v>
      </c>
      <c r="W228" s="87">
        <v>157.9902060114826</v>
      </c>
      <c r="X228" s="87">
        <v>158.01899402040101</v>
      </c>
      <c r="Y228" s="87">
        <v>158.7396485867074</v>
      </c>
      <c r="DA228" s="171" t="s">
        <v>936</v>
      </c>
    </row>
    <row r="229" spans="1:105" ht="11.45" customHeight="1" x14ac:dyDescent="0.25">
      <c r="A229" s="111" t="s">
        <v>112</v>
      </c>
      <c r="B229" s="87">
        <v>201.67092332293927</v>
      </c>
      <c r="C229" s="87">
        <v>207.2164702233116</v>
      </c>
      <c r="D229" s="87">
        <v>207.10208670315245</v>
      </c>
      <c r="E229" s="87">
        <v>207.57391872380896</v>
      </c>
      <c r="F229" s="87">
        <v>206.20489096690412</v>
      </c>
      <c r="G229" s="87">
        <v>206.81970238775949</v>
      </c>
      <c r="H229" s="87">
        <v>208.14583632460463</v>
      </c>
      <c r="I229" s="87">
        <v>0</v>
      </c>
      <c r="J229" s="87">
        <v>0</v>
      </c>
      <c r="K229" s="87">
        <v>189.18676785822589</v>
      </c>
      <c r="L229" s="87">
        <v>152.56147807765163</v>
      </c>
      <c r="M229" s="87">
        <v>200.24352542663627</v>
      </c>
      <c r="N229" s="87">
        <v>198.53396252000761</v>
      </c>
      <c r="O229" s="87">
        <v>164.67408578044035</v>
      </c>
      <c r="P229" s="87">
        <v>158.51764083881605</v>
      </c>
      <c r="Q229" s="87">
        <v>145.55155399899388</v>
      </c>
      <c r="R229" s="87">
        <v>138.90914331574444</v>
      </c>
      <c r="S229" s="87">
        <v>147.58093446243299</v>
      </c>
      <c r="T229" s="87">
        <v>148.65384615384619</v>
      </c>
      <c r="U229" s="87">
        <v>170.37335526315789</v>
      </c>
      <c r="V229" s="87">
        <v>128.93465577596271</v>
      </c>
      <c r="W229" s="87">
        <v>116.77035132819189</v>
      </c>
      <c r="X229" s="87">
        <v>115.8619340413639</v>
      </c>
      <c r="Y229" s="87">
        <v>116.1791044776119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221.7269395903657</v>
      </c>
      <c r="G230" s="87">
        <v>218.73999982200851</v>
      </c>
      <c r="H230" s="87">
        <v>214.32861608848958</v>
      </c>
      <c r="I230" s="87">
        <v>211.1847992314583</v>
      </c>
      <c r="J230" s="87">
        <v>0</v>
      </c>
      <c r="K230" s="87">
        <v>189.87147796417901</v>
      </c>
      <c r="L230" s="87">
        <v>137.14892833368071</v>
      </c>
      <c r="M230" s="87">
        <v>166.76840954184692</v>
      </c>
      <c r="N230" s="87">
        <v>155.74229749374143</v>
      </c>
      <c r="O230" s="87">
        <v>164.16274233371661</v>
      </c>
      <c r="P230" s="87">
        <v>155.60886994949527</v>
      </c>
      <c r="Q230" s="87">
        <v>157.33427401003672</v>
      </c>
      <c r="R230" s="87">
        <v>120.76537672791221</v>
      </c>
      <c r="S230" s="87">
        <v>112.90278044717789</v>
      </c>
      <c r="T230" s="87">
        <v>123.6875</v>
      </c>
      <c r="U230" s="87">
        <v>120.71119133574008</v>
      </c>
      <c r="V230" s="87">
        <v>115.4214417744917</v>
      </c>
      <c r="W230" s="87">
        <v>105.1071428571429</v>
      </c>
      <c r="X230" s="87">
        <v>104.8625</v>
      </c>
      <c r="Y230" s="87">
        <v>109.8333333333333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49.770772850340911</v>
      </c>
      <c r="O231" s="87">
        <v>0</v>
      </c>
      <c r="P231" s="87">
        <v>78.436597769202749</v>
      </c>
      <c r="Q231" s="87">
        <v>63.680671387359027</v>
      </c>
      <c r="R231" s="87">
        <v>59.290919223708357</v>
      </c>
      <c r="S231" s="87">
        <v>58.576852871754511</v>
      </c>
      <c r="T231" s="87">
        <v>56.5</v>
      </c>
      <c r="U231" s="87">
        <v>69.507462686567166</v>
      </c>
      <c r="V231" s="87">
        <v>52.838150289017342</v>
      </c>
      <c r="W231" s="87">
        <v>34.8455114822547</v>
      </c>
      <c r="X231" s="87">
        <v>38.03170731707317</v>
      </c>
      <c r="Y231" s="87">
        <v>34.084415584415588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1492.4174932196941</v>
      </c>
      <c r="C233" s="116">
        <v>1492.1906881737389</v>
      </c>
      <c r="D233" s="116">
        <v>1489.9245325858305</v>
      </c>
      <c r="E233" s="116">
        <v>1485.2180993784655</v>
      </c>
      <c r="F233" s="116">
        <v>1163.0187427100336</v>
      </c>
      <c r="G233" s="116">
        <v>1434.7912094328988</v>
      </c>
      <c r="H233" s="116">
        <v>1176.2522199156679</v>
      </c>
      <c r="I233" s="116">
        <v>1380.9535825130399</v>
      </c>
      <c r="J233" s="116">
        <v>1199.8859792931266</v>
      </c>
      <c r="K233" s="116">
        <v>1320.5326868864997</v>
      </c>
      <c r="L233" s="116">
        <v>1234.5881582652144</v>
      </c>
      <c r="M233" s="116">
        <v>1374.468119062951</v>
      </c>
      <c r="N233" s="116">
        <v>1350.4381631957444</v>
      </c>
      <c r="O233" s="116">
        <v>583.9131454851962</v>
      </c>
      <c r="P233" s="116">
        <v>1065.9376436489247</v>
      </c>
      <c r="Q233" s="116">
        <v>1247.3664484146132</v>
      </c>
      <c r="R233" s="116">
        <v>321.11032101388872</v>
      </c>
      <c r="S233" s="116">
        <v>1235.972661857249</v>
      </c>
      <c r="T233" s="116">
        <v>1021.1724655259944</v>
      </c>
      <c r="U233" s="116">
        <v>900.92619852422263</v>
      </c>
      <c r="V233" s="116">
        <v>993.04421855430019</v>
      </c>
      <c r="W233" s="116">
        <v>815.17712945417486</v>
      </c>
      <c r="X233" s="116">
        <v>1065.9500869688043</v>
      </c>
      <c r="Y233" s="116">
        <v>917.85706288558322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307.27233330287362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1492.4174932196943</v>
      </c>
      <c r="C235" s="101">
        <v>1492.1906881737389</v>
      </c>
      <c r="D235" s="101">
        <v>1489.9245325858305</v>
      </c>
      <c r="E235" s="101">
        <v>1485.2180993784655</v>
      </c>
      <c r="F235" s="101">
        <v>1484.7033725162396</v>
      </c>
      <c r="G235" s="101">
        <v>1479.6521338248112</v>
      </c>
      <c r="H235" s="101">
        <v>1472.0774354808912</v>
      </c>
      <c r="I235" s="101">
        <v>1466.6192038837369</v>
      </c>
      <c r="J235" s="101">
        <v>1448.1445686872612</v>
      </c>
      <c r="K235" s="101">
        <v>1427.358989509763</v>
      </c>
      <c r="L235" s="101">
        <v>1414.0165797862373</v>
      </c>
      <c r="M235" s="101">
        <v>1380.4964880062096</v>
      </c>
      <c r="N235" s="101">
        <v>1373.7270161132435</v>
      </c>
      <c r="O235" s="101">
        <v>1362.8483046091519</v>
      </c>
      <c r="P235" s="101">
        <v>1352.8261436042483</v>
      </c>
      <c r="Q235" s="101">
        <v>1340.2449215971562</v>
      </c>
      <c r="R235" s="101">
        <v>1318.3897168472315</v>
      </c>
      <c r="S235" s="101">
        <v>1288.632713156888</v>
      </c>
      <c r="T235" s="101">
        <v>1252.3266854357323</v>
      </c>
      <c r="U235" s="101">
        <v>1210.762444713725</v>
      </c>
      <c r="V235" s="101">
        <v>1165.13913515632</v>
      </c>
      <c r="W235" s="101">
        <v>1116.5454992024008</v>
      </c>
      <c r="X235" s="101">
        <v>1065.9500869688043</v>
      </c>
      <c r="Y235" s="101">
        <v>1014.1984470289844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940.27925641898344</v>
      </c>
      <c r="S236" s="101">
        <v>0</v>
      </c>
      <c r="T236" s="101">
        <v>919.75925274297822</v>
      </c>
      <c r="U236" s="101">
        <v>0</v>
      </c>
      <c r="V236" s="101">
        <v>0</v>
      </c>
      <c r="W236" s="101">
        <v>890.44632497713167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899.23734626894509</v>
      </c>
      <c r="G237" s="101">
        <v>896.17797255138385</v>
      </c>
      <c r="H237" s="101">
        <v>891.59022003215125</v>
      </c>
      <c r="I237" s="101">
        <v>888.28434372877348</v>
      </c>
      <c r="J237" s="101">
        <v>877.09484807940999</v>
      </c>
      <c r="K237" s="101">
        <v>864.50568757352437</v>
      </c>
      <c r="L237" s="101">
        <v>856.42461674502511</v>
      </c>
      <c r="M237" s="101">
        <v>0</v>
      </c>
      <c r="N237" s="101">
        <v>832.02251664186724</v>
      </c>
      <c r="O237" s="101">
        <v>825.43362902643389</v>
      </c>
      <c r="P237" s="101">
        <v>819.3635266526137</v>
      </c>
      <c r="Q237" s="101">
        <v>811.74348287827775</v>
      </c>
      <c r="R237" s="101">
        <v>0</v>
      </c>
      <c r="S237" s="101">
        <v>802.40490615688827</v>
      </c>
      <c r="T237" s="101">
        <v>799.21834473163256</v>
      </c>
      <c r="U237" s="101">
        <v>796.51517285618581</v>
      </c>
      <c r="V237" s="101">
        <v>794.10276262294178</v>
      </c>
      <c r="W237" s="101">
        <v>791.86616618672929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269.22611667302601</v>
      </c>
      <c r="D240" s="152">
        <v>245.06052012486236</v>
      </c>
      <c r="E240" s="152">
        <v>214.49408026544336</v>
      </c>
      <c r="F240" s="152">
        <v>210.84043318353324</v>
      </c>
      <c r="G240" s="152">
        <v>212.03517529658134</v>
      </c>
      <c r="H240" s="152">
        <v>203.5618790860803</v>
      </c>
      <c r="I240" s="152">
        <v>198.91687681188242</v>
      </c>
      <c r="J240" s="152">
        <v>194.96919627928082</v>
      </c>
      <c r="K240" s="152">
        <v>191.18801100051419</v>
      </c>
      <c r="L240" s="152">
        <v>185.83469214225613</v>
      </c>
      <c r="M240" s="152">
        <v>178.63186416087262</v>
      </c>
      <c r="N240" s="152">
        <v>177.18104234611627</v>
      </c>
      <c r="O240" s="152">
        <v>172.97233636174704</v>
      </c>
      <c r="P240" s="152">
        <v>170.09882705237501</v>
      </c>
      <c r="Q240" s="152">
        <v>165.41779245821374</v>
      </c>
      <c r="R240" s="152">
        <v>162.14829383560914</v>
      </c>
      <c r="S240" s="152">
        <v>154.83407823276769</v>
      </c>
      <c r="T240" s="152">
        <v>155.06281219721723</v>
      </c>
      <c r="U240" s="152">
        <v>165.94406658599524</v>
      </c>
      <c r="V240" s="152">
        <v>186.23454040969506</v>
      </c>
      <c r="W240" s="152">
        <v>190.97924981972687</v>
      </c>
      <c r="X240" s="152">
        <v>200.73206637114239</v>
      </c>
      <c r="Y240" s="152">
        <v>198.23104720055272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269.22611667302601</v>
      </c>
      <c r="D241" s="87">
        <v>267.59806415056505</v>
      </c>
      <c r="E241" s="87">
        <v>264.24860747018079</v>
      </c>
      <c r="F241" s="87">
        <v>263.88266905916896</v>
      </c>
      <c r="G241" s="87">
        <v>260.32783878076776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198.47517449145957</v>
      </c>
      <c r="N241" s="87">
        <v>194.63860278433052</v>
      </c>
      <c r="O241" s="87">
        <v>189.04295315148053</v>
      </c>
      <c r="P241" s="87">
        <v>165.64243075242609</v>
      </c>
      <c r="Q241" s="87">
        <v>170.61491380419048</v>
      </c>
      <c r="R241" s="87">
        <v>159.40408409076781</v>
      </c>
      <c r="S241" s="87">
        <v>147.97344071991469</v>
      </c>
      <c r="T241" s="87">
        <v>137.47138490209588</v>
      </c>
      <c r="U241" s="87">
        <v>142.33489096573209</v>
      </c>
      <c r="V241" s="87">
        <v>146.12161729059477</v>
      </c>
      <c r="W241" s="87">
        <v>153.35443037974679</v>
      </c>
      <c r="X241" s="87">
        <v>154.6541889483066</v>
      </c>
      <c r="Y241" s="87">
        <v>168.98800599700149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0</v>
      </c>
      <c r="D242" s="87">
        <v>205.83977909514857</v>
      </c>
      <c r="E242" s="87">
        <v>205.15986093359751</v>
      </c>
      <c r="F242" s="87">
        <v>205.46548109990965</v>
      </c>
      <c r="G242" s="87">
        <v>204.50526174601436</v>
      </c>
      <c r="H242" s="87">
        <v>203.5618790860803</v>
      </c>
      <c r="I242" s="87">
        <v>198.91687681188242</v>
      </c>
      <c r="J242" s="87">
        <v>194.96919627928082</v>
      </c>
      <c r="K242" s="87">
        <v>191.18801100051419</v>
      </c>
      <c r="L242" s="87">
        <v>185.83469214225613</v>
      </c>
      <c r="M242" s="87">
        <v>177.83928119343668</v>
      </c>
      <c r="N242" s="87">
        <v>175.76196441483887</v>
      </c>
      <c r="O242" s="87">
        <v>171.67984199866595</v>
      </c>
      <c r="P242" s="87">
        <v>170.5795034024392</v>
      </c>
      <c r="Q242" s="87">
        <v>164.74331992850588</v>
      </c>
      <c r="R242" s="87">
        <v>162.45955286544719</v>
      </c>
      <c r="S242" s="87">
        <v>155.45010609165587</v>
      </c>
      <c r="T242" s="87">
        <v>157.1215832800641</v>
      </c>
      <c r="U242" s="87">
        <v>168.22894168466519</v>
      </c>
      <c r="V242" s="87">
        <v>191.24036280773501</v>
      </c>
      <c r="W242" s="87">
        <v>196.15204301075269</v>
      </c>
      <c r="X242" s="87">
        <v>206.76549643444869</v>
      </c>
      <c r="Y242" s="87">
        <v>205.5071064628587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203.07464517059969</v>
      </c>
      <c r="S243" s="87">
        <v>173.77038915477655</v>
      </c>
      <c r="T243" s="87">
        <v>174.82000634490052</v>
      </c>
      <c r="U243" s="87">
        <v>181.05</v>
      </c>
      <c r="V243" s="87">
        <v>160.46003018088899</v>
      </c>
      <c r="W243" s="87">
        <v>159.68561064087061</v>
      </c>
      <c r="X243" s="87">
        <v>195.46153846153851</v>
      </c>
      <c r="Y243" s="87">
        <v>136.15094339622641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102.77742031575808</v>
      </c>
      <c r="S244" s="87">
        <v>110.50504191368047</v>
      </c>
      <c r="T244" s="87">
        <v>121.66013404825738</v>
      </c>
      <c r="U244" s="87">
        <v>112.42222222222222</v>
      </c>
      <c r="V244" s="87">
        <v>165.54166666666671</v>
      </c>
      <c r="W244" s="87">
        <v>161.55172413793099</v>
      </c>
      <c r="X244" s="87">
        <v>91.125</v>
      </c>
      <c r="Y244" s="87">
        <v>166.68799999999999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886.41275282753372</v>
      </c>
      <c r="D246" s="116">
        <v>886.12457563513976</v>
      </c>
      <c r="E246" s="116">
        <v>860.11252941832595</v>
      </c>
      <c r="F246" s="116">
        <v>865.44916933721345</v>
      </c>
      <c r="G246" s="116">
        <v>854.66163818062762</v>
      </c>
      <c r="H246" s="116">
        <v>831.65461522160501</v>
      </c>
      <c r="I246" s="116">
        <v>821.98594531710148</v>
      </c>
      <c r="J246" s="116">
        <v>811.32885017718138</v>
      </c>
      <c r="K246" s="116">
        <v>801.00886601157902</v>
      </c>
      <c r="L246" s="116">
        <v>817.09237895564399</v>
      </c>
      <c r="M246" s="116">
        <v>798.3593210897177</v>
      </c>
      <c r="N246" s="116">
        <v>759.55523328815707</v>
      </c>
      <c r="O246" s="116">
        <v>782.41067051985397</v>
      </c>
      <c r="P246" s="116">
        <v>728.20220737951274</v>
      </c>
      <c r="Q246" s="116">
        <v>728.09732194826847</v>
      </c>
      <c r="R246" s="116">
        <v>699.95526144411485</v>
      </c>
      <c r="S246" s="116">
        <v>692.06830004476683</v>
      </c>
      <c r="T246" s="116">
        <v>678.72688321778742</v>
      </c>
      <c r="U246" s="116">
        <v>666.65571960230307</v>
      </c>
      <c r="V246" s="116">
        <v>671.75805627966565</v>
      </c>
      <c r="W246" s="116">
        <v>660.9217507975635</v>
      </c>
      <c r="X246" s="116">
        <v>655.91522497887718</v>
      </c>
      <c r="Y246" s="116">
        <v>643.54040318963939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808.42839190354493</v>
      </c>
      <c r="D247" s="101">
        <v>804.2966824054713</v>
      </c>
      <c r="E247" s="101">
        <v>799.15193502150885</v>
      </c>
      <c r="F247" s="101">
        <v>793.00722265166053</v>
      </c>
      <c r="G247" s="101">
        <v>785.87804891760675</v>
      </c>
      <c r="H247" s="101">
        <v>777.78225148255376</v>
      </c>
      <c r="I247" s="101">
        <v>768.73989217915152</v>
      </c>
      <c r="J247" s="101">
        <v>758.7731351859469</v>
      </c>
      <c r="K247" s="101">
        <v>747.90611458938974</v>
      </c>
      <c r="L247" s="101">
        <v>736.1647927901131</v>
      </c>
      <c r="M247" s="101">
        <v>723.57681123489567</v>
      </c>
      <c r="N247" s="101">
        <v>710.17133501313458</v>
      </c>
      <c r="O247" s="101">
        <v>695.97889287463715</v>
      </c>
      <c r="P247" s="101">
        <v>681.03121418893704</v>
      </c>
      <c r="Q247" s="101">
        <v>665.36106436658793</v>
      </c>
      <c r="R247" s="101">
        <v>652.79420808673149</v>
      </c>
      <c r="S247" s="101">
        <v>643.99740869083189</v>
      </c>
      <c r="T247" s="101">
        <v>634.7607693251374</v>
      </c>
      <c r="U247" s="101">
        <v>623.4715434337329</v>
      </c>
      <c r="V247" s="101">
        <v>619.25160244597976</v>
      </c>
      <c r="W247" s="101">
        <v>605.03840399595879</v>
      </c>
      <c r="X247" s="101">
        <v>601.70502104527395</v>
      </c>
      <c r="Y247" s="101">
        <v>595.68797083482116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0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0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0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3891</v>
      </c>
      <c r="C4" s="28">
        <f t="shared" ref="C4:V4" si="1">SUM(C5,C6,C9)</f>
        <v>3459</v>
      </c>
      <c r="D4" s="28">
        <f t="shared" si="1"/>
        <v>3034</v>
      </c>
      <c r="E4" s="28">
        <f t="shared" si="1"/>
        <v>3003</v>
      </c>
      <c r="F4" s="28">
        <f t="shared" si="1"/>
        <v>2844</v>
      </c>
      <c r="G4" s="28">
        <f t="shared" si="1"/>
        <v>2823</v>
      </c>
      <c r="H4" s="28">
        <f t="shared" si="1"/>
        <v>2857</v>
      </c>
      <c r="I4" s="28">
        <f t="shared" si="1"/>
        <v>2847</v>
      </c>
      <c r="J4" s="28">
        <f t="shared" si="1"/>
        <v>2803</v>
      </c>
      <c r="K4" s="28">
        <f t="shared" si="1"/>
        <v>2826</v>
      </c>
      <c r="L4" s="28">
        <f t="shared" si="1"/>
        <v>2999</v>
      </c>
      <c r="M4" s="28">
        <f t="shared" si="1"/>
        <v>2931</v>
      </c>
      <c r="N4" s="28">
        <f t="shared" si="1"/>
        <v>2890</v>
      </c>
      <c r="O4" s="28">
        <f t="shared" si="1"/>
        <v>2831</v>
      </c>
      <c r="P4" s="28">
        <f t="shared" si="1"/>
        <v>2427</v>
      </c>
      <c r="Q4" s="28">
        <f t="shared" si="1"/>
        <v>2289.4780000000001</v>
      </c>
      <c r="R4" s="28">
        <f t="shared" si="1"/>
        <v>2270</v>
      </c>
      <c r="S4" s="28">
        <f t="shared" si="1"/>
        <v>2504</v>
      </c>
      <c r="T4" s="28">
        <f t="shared" si="1"/>
        <v>2561</v>
      </c>
      <c r="U4" s="28">
        <f t="shared" si="1"/>
        <v>2574</v>
      </c>
      <c r="V4" s="28">
        <f t="shared" si="1"/>
        <v>1808</v>
      </c>
      <c r="W4" s="28">
        <f t="shared" ref="W4:Y4" si="2">SUM(W5,W6,W9)</f>
        <v>1953</v>
      </c>
      <c r="X4" s="28">
        <f t="shared" si="2"/>
        <v>2560</v>
      </c>
      <c r="Y4" s="28">
        <f t="shared" si="2"/>
        <v>2662</v>
      </c>
      <c r="DA4" s="173" t="s">
        <v>376</v>
      </c>
    </row>
    <row r="5" spans="1:105" ht="11.45" customHeight="1" x14ac:dyDescent="0.25">
      <c r="A5" s="107" t="s">
        <v>23</v>
      </c>
      <c r="B5" s="108">
        <v>419</v>
      </c>
      <c r="C5" s="108">
        <v>469</v>
      </c>
      <c r="D5" s="108">
        <v>436</v>
      </c>
      <c r="E5" s="108">
        <v>486</v>
      </c>
      <c r="F5" s="108">
        <v>440</v>
      </c>
      <c r="G5" s="108">
        <v>434</v>
      </c>
      <c r="H5" s="108">
        <v>446</v>
      </c>
      <c r="I5" s="108">
        <v>443</v>
      </c>
      <c r="J5" s="108">
        <v>486</v>
      </c>
      <c r="K5" s="108">
        <v>688</v>
      </c>
      <c r="L5" s="108">
        <v>909</v>
      </c>
      <c r="M5" s="108">
        <v>872</v>
      </c>
      <c r="N5" s="108">
        <v>1020</v>
      </c>
      <c r="O5" s="108">
        <v>1010</v>
      </c>
      <c r="P5" s="108">
        <v>729</v>
      </c>
      <c r="Q5" s="108">
        <v>740.47799999999995</v>
      </c>
      <c r="R5" s="108">
        <v>815</v>
      </c>
      <c r="S5" s="108">
        <v>1070</v>
      </c>
      <c r="T5" s="108">
        <v>1085</v>
      </c>
      <c r="U5" s="108">
        <v>1054</v>
      </c>
      <c r="V5" s="108">
        <v>690</v>
      </c>
      <c r="W5" s="108">
        <v>750</v>
      </c>
      <c r="X5" s="108">
        <v>960</v>
      </c>
      <c r="Y5" s="108">
        <v>1070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3472</v>
      </c>
      <c r="C6" s="110">
        <f t="shared" ref="C6:V6" si="4">SUM(C7:C8)</f>
        <v>2990</v>
      </c>
      <c r="D6" s="110">
        <f t="shared" si="4"/>
        <v>2598</v>
      </c>
      <c r="E6" s="110">
        <f t="shared" si="4"/>
        <v>2517</v>
      </c>
      <c r="F6" s="110">
        <f t="shared" si="4"/>
        <v>2404</v>
      </c>
      <c r="G6" s="110">
        <f t="shared" si="4"/>
        <v>2389</v>
      </c>
      <c r="H6" s="110">
        <f t="shared" si="4"/>
        <v>2411</v>
      </c>
      <c r="I6" s="110">
        <f t="shared" si="4"/>
        <v>2404</v>
      </c>
      <c r="J6" s="110">
        <f t="shared" si="4"/>
        <v>2317</v>
      </c>
      <c r="K6" s="110">
        <f t="shared" si="4"/>
        <v>2138</v>
      </c>
      <c r="L6" s="110">
        <f t="shared" si="4"/>
        <v>2090</v>
      </c>
      <c r="M6" s="110">
        <f t="shared" si="4"/>
        <v>2059</v>
      </c>
      <c r="N6" s="110">
        <f t="shared" si="4"/>
        <v>1870</v>
      </c>
      <c r="O6" s="110">
        <f t="shared" si="4"/>
        <v>1821</v>
      </c>
      <c r="P6" s="110">
        <f t="shared" si="4"/>
        <v>1698</v>
      </c>
      <c r="Q6" s="110">
        <f t="shared" si="4"/>
        <v>1549</v>
      </c>
      <c r="R6" s="110">
        <f t="shared" si="4"/>
        <v>1455</v>
      </c>
      <c r="S6" s="110">
        <f t="shared" si="4"/>
        <v>1434</v>
      </c>
      <c r="T6" s="110">
        <f t="shared" si="4"/>
        <v>1476</v>
      </c>
      <c r="U6" s="110">
        <f t="shared" si="4"/>
        <v>1520</v>
      </c>
      <c r="V6" s="110">
        <f t="shared" si="4"/>
        <v>1118</v>
      </c>
      <c r="W6" s="110">
        <f t="shared" ref="W6:Y6" si="5">SUM(W7:W8)</f>
        <v>1203</v>
      </c>
      <c r="X6" s="110">
        <f t="shared" si="5"/>
        <v>1600</v>
      </c>
      <c r="Y6" s="110">
        <f t="shared" si="5"/>
        <v>1592</v>
      </c>
      <c r="DA6" s="176" t="s">
        <v>378</v>
      </c>
    </row>
    <row r="7" spans="1:105" ht="11.45" customHeight="1" x14ac:dyDescent="0.25">
      <c r="A7" s="111" t="s">
        <v>90</v>
      </c>
      <c r="B7" s="84">
        <v>856.88644098721579</v>
      </c>
      <c r="C7" s="84">
        <v>641.65918196984831</v>
      </c>
      <c r="D7" s="84">
        <v>497.97576942696821</v>
      </c>
      <c r="E7" s="84">
        <v>421.57444679814046</v>
      </c>
      <c r="F7" s="84">
        <v>441.97609038872838</v>
      </c>
      <c r="G7" s="84">
        <v>503.98420308958578</v>
      </c>
      <c r="H7" s="84">
        <v>563.28542141813796</v>
      </c>
      <c r="I7" s="84">
        <v>504.54343659640267</v>
      </c>
      <c r="J7" s="84">
        <v>635.44573502241008</v>
      </c>
      <c r="K7" s="84">
        <v>450.95127971595014</v>
      </c>
      <c r="L7" s="84">
        <v>513.77663874994789</v>
      </c>
      <c r="M7" s="84">
        <v>510.94399413032909</v>
      </c>
      <c r="N7" s="84">
        <v>678.07805565488115</v>
      </c>
      <c r="O7" s="84">
        <v>589.8615470780195</v>
      </c>
      <c r="P7" s="84">
        <v>383.80611640089091</v>
      </c>
      <c r="Q7" s="84">
        <v>339.06996659788541</v>
      </c>
      <c r="R7" s="84">
        <v>286.40688777965318</v>
      </c>
      <c r="S7" s="84">
        <v>303.15647098901064</v>
      </c>
      <c r="T7" s="84">
        <v>269.50621167985253</v>
      </c>
      <c r="U7" s="84">
        <v>207.97241068508953</v>
      </c>
      <c r="V7" s="84">
        <v>147.90712019589182</v>
      </c>
      <c r="W7" s="84">
        <v>160.47580394070425</v>
      </c>
      <c r="X7" s="84">
        <v>252.84083777752147</v>
      </c>
      <c r="Y7" s="84">
        <v>221.65379806648002</v>
      </c>
      <c r="DA7" s="171" t="s">
        <v>1031</v>
      </c>
    </row>
    <row r="8" spans="1:105" ht="11.45" customHeight="1" x14ac:dyDescent="0.25">
      <c r="A8" s="111" t="s">
        <v>93</v>
      </c>
      <c r="B8" s="84">
        <v>2615.1135590127842</v>
      </c>
      <c r="C8" s="84">
        <v>2348.3408180301517</v>
      </c>
      <c r="D8" s="84">
        <v>2100.0242305730317</v>
      </c>
      <c r="E8" s="84">
        <v>2095.4255532018597</v>
      </c>
      <c r="F8" s="84">
        <v>1962.0239096112716</v>
      </c>
      <c r="G8" s="84">
        <v>1885.0157969104143</v>
      </c>
      <c r="H8" s="84">
        <v>1847.714578581862</v>
      </c>
      <c r="I8" s="84">
        <v>1899.4565634035973</v>
      </c>
      <c r="J8" s="84">
        <v>1681.5542649775898</v>
      </c>
      <c r="K8" s="84">
        <v>1687.04872028405</v>
      </c>
      <c r="L8" s="84">
        <v>1576.2233612500522</v>
      </c>
      <c r="M8" s="84">
        <v>1548.056005869671</v>
      </c>
      <c r="N8" s="84">
        <v>1191.9219443451188</v>
      </c>
      <c r="O8" s="84">
        <v>1231.1384529219804</v>
      </c>
      <c r="P8" s="84">
        <v>1314.1938835991091</v>
      </c>
      <c r="Q8" s="84">
        <v>1209.9300334021145</v>
      </c>
      <c r="R8" s="84">
        <v>1168.5931122203469</v>
      </c>
      <c r="S8" s="84">
        <v>1130.8435290109894</v>
      </c>
      <c r="T8" s="84">
        <v>1206.4937883201474</v>
      </c>
      <c r="U8" s="84">
        <v>1312.0275893149105</v>
      </c>
      <c r="V8" s="84">
        <v>970.09287980410818</v>
      </c>
      <c r="W8" s="84">
        <v>1042.5241960592957</v>
      </c>
      <c r="X8" s="84">
        <v>1347.1591622224785</v>
      </c>
      <c r="Y8" s="84">
        <v>1370.34620193352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5538</v>
      </c>
      <c r="C10" s="28">
        <f t="shared" ref="C10:V10" si="7">SUM(C11:C12)</f>
        <v>4900</v>
      </c>
      <c r="D10" s="28">
        <f t="shared" si="7"/>
        <v>4627</v>
      </c>
      <c r="E10" s="28">
        <f t="shared" si="7"/>
        <v>5274</v>
      </c>
      <c r="F10" s="28">
        <f t="shared" si="7"/>
        <v>5211</v>
      </c>
      <c r="G10" s="28">
        <f t="shared" si="7"/>
        <v>5163</v>
      </c>
      <c r="H10" s="28">
        <f t="shared" si="7"/>
        <v>5396</v>
      </c>
      <c r="I10" s="28">
        <f t="shared" si="7"/>
        <v>5241</v>
      </c>
      <c r="J10" s="28">
        <f t="shared" si="7"/>
        <v>4693</v>
      </c>
      <c r="K10" s="28">
        <f t="shared" si="7"/>
        <v>3145</v>
      </c>
      <c r="L10" s="28">
        <f t="shared" si="7"/>
        <v>3064</v>
      </c>
      <c r="M10" s="28">
        <f t="shared" si="7"/>
        <v>3291</v>
      </c>
      <c r="N10" s="28">
        <f t="shared" si="7"/>
        <v>2907</v>
      </c>
      <c r="O10" s="28">
        <f t="shared" si="7"/>
        <v>3246</v>
      </c>
      <c r="P10" s="28">
        <f t="shared" si="7"/>
        <v>3439</v>
      </c>
      <c r="Q10" s="28">
        <f t="shared" si="7"/>
        <v>3650</v>
      </c>
      <c r="R10" s="28">
        <f t="shared" si="7"/>
        <v>3434</v>
      </c>
      <c r="S10" s="28">
        <f t="shared" si="7"/>
        <v>3931</v>
      </c>
      <c r="T10" s="28">
        <f t="shared" si="7"/>
        <v>3824</v>
      </c>
      <c r="U10" s="28">
        <f t="shared" si="7"/>
        <v>3902</v>
      </c>
      <c r="V10" s="28">
        <f t="shared" si="7"/>
        <v>4503</v>
      </c>
      <c r="W10" s="28">
        <f t="shared" ref="W10:Y10" si="8">SUM(W11:W12)</f>
        <v>4657</v>
      </c>
      <c r="X10" s="28">
        <f t="shared" si="8"/>
        <v>5239</v>
      </c>
      <c r="Y10" s="28">
        <f t="shared" si="8"/>
        <v>4555</v>
      </c>
      <c r="DA10" s="173" t="s">
        <v>384</v>
      </c>
    </row>
    <row r="11" spans="1:105" ht="11.45" customHeight="1" x14ac:dyDescent="0.25">
      <c r="A11" s="83" t="s">
        <v>90</v>
      </c>
      <c r="B11" s="84">
        <v>1724.9733716699916</v>
      </c>
      <c r="C11" s="84">
        <v>1497.6598167763523</v>
      </c>
      <c r="D11" s="84">
        <v>1501.9958028966505</v>
      </c>
      <c r="E11" s="84">
        <v>1630.6049003492917</v>
      </c>
      <c r="F11" s="84">
        <v>1642.7060688324909</v>
      </c>
      <c r="G11" s="84">
        <v>1557.2569077634275</v>
      </c>
      <c r="H11" s="84">
        <v>1520.7569690136254</v>
      </c>
      <c r="I11" s="84">
        <v>1442.8668018052826</v>
      </c>
      <c r="J11" s="84">
        <v>1875.5681395375691</v>
      </c>
      <c r="K11" s="84">
        <v>996.83595057044101</v>
      </c>
      <c r="L11" s="84">
        <v>965.6019625277188</v>
      </c>
      <c r="M11" s="84">
        <v>1060.7611763109524</v>
      </c>
      <c r="N11" s="84">
        <v>985.91508976513819</v>
      </c>
      <c r="O11" s="84">
        <v>893.20497323770223</v>
      </c>
      <c r="P11" s="84">
        <v>846.66034567578731</v>
      </c>
      <c r="Q11" s="84">
        <v>1030.994327975146</v>
      </c>
      <c r="R11" s="84">
        <v>849.7854939798774</v>
      </c>
      <c r="S11" s="84">
        <v>927.60016385295341</v>
      </c>
      <c r="T11" s="84">
        <v>797.1754490957826</v>
      </c>
      <c r="U11" s="84">
        <v>603.78181788086385</v>
      </c>
      <c r="V11" s="84">
        <v>715.72327049605747</v>
      </c>
      <c r="W11" s="84">
        <v>749.62373272560205</v>
      </c>
      <c r="X11" s="84">
        <v>852.44458894763363</v>
      </c>
      <c r="Y11" s="84">
        <v>734.3470461865661</v>
      </c>
      <c r="DA11" s="171" t="s">
        <v>1033</v>
      </c>
    </row>
    <row r="12" spans="1:105" ht="11.45" customHeight="1" x14ac:dyDescent="0.25">
      <c r="A12" s="85" t="s">
        <v>93</v>
      </c>
      <c r="B12" s="86">
        <v>3813.0266283300084</v>
      </c>
      <c r="C12" s="86">
        <v>3402.3401832236477</v>
      </c>
      <c r="D12" s="86">
        <v>3125.0041971033497</v>
      </c>
      <c r="E12" s="86">
        <v>3643.3950996507083</v>
      </c>
      <c r="F12" s="86">
        <v>3568.2939311675091</v>
      </c>
      <c r="G12" s="86">
        <v>3605.7430922365725</v>
      </c>
      <c r="H12" s="86">
        <v>3875.2430309863748</v>
      </c>
      <c r="I12" s="86">
        <v>3798.1331981947174</v>
      </c>
      <c r="J12" s="86">
        <v>2817.4318604624309</v>
      </c>
      <c r="K12" s="86">
        <v>2148.1640494295589</v>
      </c>
      <c r="L12" s="86">
        <v>2098.3980374722814</v>
      </c>
      <c r="M12" s="86">
        <v>2230.2388236890474</v>
      </c>
      <c r="N12" s="86">
        <v>1921.0849102348618</v>
      </c>
      <c r="O12" s="86">
        <v>2352.7950267622978</v>
      </c>
      <c r="P12" s="86">
        <v>2592.3396543242125</v>
      </c>
      <c r="Q12" s="86">
        <v>2619.005672024854</v>
      </c>
      <c r="R12" s="86">
        <v>2584.2145060201228</v>
      </c>
      <c r="S12" s="86">
        <v>3003.3998361470467</v>
      </c>
      <c r="T12" s="86">
        <v>3026.8245509042172</v>
      </c>
      <c r="U12" s="86">
        <v>3298.2181821191361</v>
      </c>
      <c r="V12" s="86">
        <v>3787.2767295039425</v>
      </c>
      <c r="W12" s="86">
        <v>3907.3762672743978</v>
      </c>
      <c r="X12" s="86">
        <v>4386.5554110523663</v>
      </c>
      <c r="Y12" s="86">
        <v>3820.6529538134337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33.282520313876006</v>
      </c>
      <c r="C14" s="62">
        <f t="shared" ref="C14:V14" si="10">C15+C21</f>
        <v>33.045554069109713</v>
      </c>
      <c r="D14" s="62">
        <f t="shared" si="10"/>
        <v>33.62913777920464</v>
      </c>
      <c r="E14" s="62">
        <f t="shared" si="10"/>
        <v>32.611746798150605</v>
      </c>
      <c r="F14" s="62">
        <f t="shared" si="10"/>
        <v>32.038293360891991</v>
      </c>
      <c r="G14" s="62">
        <f t="shared" si="10"/>
        <v>31.98108227533962</v>
      </c>
      <c r="H14" s="62">
        <f t="shared" si="10"/>
        <v>32.371443977305233</v>
      </c>
      <c r="I14" s="62">
        <f t="shared" si="10"/>
        <v>30.586990406916051</v>
      </c>
      <c r="J14" s="62">
        <f t="shared" si="10"/>
        <v>32.416449151178654</v>
      </c>
      <c r="K14" s="62">
        <f t="shared" si="10"/>
        <v>33.516075642991858</v>
      </c>
      <c r="L14" s="62">
        <f t="shared" si="10"/>
        <v>32.828156107874413</v>
      </c>
      <c r="M14" s="62">
        <f t="shared" si="10"/>
        <v>30.326029630868682</v>
      </c>
      <c r="N14" s="62">
        <f t="shared" si="10"/>
        <v>33.084557733406356</v>
      </c>
      <c r="O14" s="62">
        <f t="shared" si="10"/>
        <v>28.201713725453782</v>
      </c>
      <c r="P14" s="62">
        <f t="shared" si="10"/>
        <v>24.286141651017402</v>
      </c>
      <c r="Q14" s="62">
        <f t="shared" si="10"/>
        <v>32.153156924535551</v>
      </c>
      <c r="R14" s="62">
        <f t="shared" si="10"/>
        <v>33.333354332104804</v>
      </c>
      <c r="S14" s="62">
        <f t="shared" si="10"/>
        <v>38.105509889366431</v>
      </c>
      <c r="T14" s="62">
        <f t="shared" si="10"/>
        <v>36.711737994320309</v>
      </c>
      <c r="U14" s="62">
        <f t="shared" si="10"/>
        <v>44.997587066153187</v>
      </c>
      <c r="V14" s="62">
        <f t="shared" si="10"/>
        <v>40.674164891622645</v>
      </c>
      <c r="W14" s="62">
        <f t="shared" ref="W14:Y14" si="11">W15+W21</f>
        <v>43.088098209434975</v>
      </c>
      <c r="X14" s="62">
        <f t="shared" si="11"/>
        <v>43.413044885709482</v>
      </c>
      <c r="Y14" s="62">
        <f t="shared" si="11"/>
        <v>40.643604156316286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23.244119415366775</v>
      </c>
      <c r="C15" s="29">
        <f t="shared" ref="C15:V15" si="13">SUM(C16,C17,C20)</f>
        <v>23.696515631827424</v>
      </c>
      <c r="D15" s="29">
        <f t="shared" si="13"/>
        <v>24.737292104194758</v>
      </c>
      <c r="E15" s="29">
        <f t="shared" si="13"/>
        <v>22.948947390061761</v>
      </c>
      <c r="F15" s="29">
        <f t="shared" si="13"/>
        <v>22.345258830067955</v>
      </c>
      <c r="G15" s="29">
        <f t="shared" si="13"/>
        <v>22.211092749178199</v>
      </c>
      <c r="H15" s="29">
        <f t="shared" si="13"/>
        <v>23.154062925693246</v>
      </c>
      <c r="I15" s="29">
        <f t="shared" si="13"/>
        <v>22.082825356201948</v>
      </c>
      <c r="J15" s="29">
        <f t="shared" si="13"/>
        <v>24.196443681895399</v>
      </c>
      <c r="K15" s="29">
        <f t="shared" si="13"/>
        <v>27.979418457999142</v>
      </c>
      <c r="L15" s="29">
        <f t="shared" si="13"/>
        <v>27.954726280505163</v>
      </c>
      <c r="M15" s="29">
        <f t="shared" si="13"/>
        <v>25.270796408409229</v>
      </c>
      <c r="N15" s="29">
        <f t="shared" si="13"/>
        <v>28.456107923993326</v>
      </c>
      <c r="O15" s="29">
        <f t="shared" si="13"/>
        <v>23.460398467313645</v>
      </c>
      <c r="P15" s="29">
        <f t="shared" si="13"/>
        <v>19.190588444025039</v>
      </c>
      <c r="Q15" s="29">
        <f t="shared" si="13"/>
        <v>26.261625757449444</v>
      </c>
      <c r="R15" s="29">
        <f t="shared" si="13"/>
        <v>26.536093264206258</v>
      </c>
      <c r="S15" s="29">
        <f t="shared" si="13"/>
        <v>30.581908484724671</v>
      </c>
      <c r="T15" s="29">
        <f t="shared" si="13"/>
        <v>29.190207658650628</v>
      </c>
      <c r="U15" s="29">
        <f t="shared" si="13"/>
        <v>36.031812835036575</v>
      </c>
      <c r="V15" s="29">
        <f t="shared" si="13"/>
        <v>29.009390419549796</v>
      </c>
      <c r="W15" s="29">
        <f t="shared" ref="W15:Y15" si="14">SUM(W16,W17,W20)</f>
        <v>30.319214665042804</v>
      </c>
      <c r="X15" s="29">
        <f t="shared" si="14"/>
        <v>30.035153662823099</v>
      </c>
      <c r="Y15" s="29">
        <f t="shared" si="14"/>
        <v>31.882098070487075</v>
      </c>
      <c r="DA15" s="173" t="s">
        <v>1036</v>
      </c>
    </row>
    <row r="16" spans="1:105" ht="11.45" customHeight="1" x14ac:dyDescent="0.25">
      <c r="A16" s="107" t="s">
        <v>23</v>
      </c>
      <c r="B16" s="115">
        <v>4.7659765105848626</v>
      </c>
      <c r="C16" s="115">
        <v>5.5348856576335717</v>
      </c>
      <c r="D16" s="115">
        <v>5.3303715852089155</v>
      </c>
      <c r="E16" s="115">
        <v>5.9026152378272396</v>
      </c>
      <c r="F16" s="115">
        <v>5.3478879153866918</v>
      </c>
      <c r="G16" s="115">
        <v>5.2603083028839634</v>
      </c>
      <c r="H16" s="115">
        <v>5.4321202582416568</v>
      </c>
      <c r="I16" s="115">
        <v>5.435108483379679</v>
      </c>
      <c r="J16" s="115">
        <v>6.0114614091995202</v>
      </c>
      <c r="K16" s="115">
        <v>8.6929298561893624</v>
      </c>
      <c r="L16" s="115">
        <v>11.495012641034634</v>
      </c>
      <c r="M16" s="115">
        <v>11.030534504710747</v>
      </c>
      <c r="N16" s="115">
        <v>12.799173239226665</v>
      </c>
      <c r="O16" s="115">
        <v>12.763198339247532</v>
      </c>
      <c r="P16" s="115">
        <v>9.4223083071119351</v>
      </c>
      <c r="Q16" s="115">
        <v>9.8466113780025939</v>
      </c>
      <c r="R16" s="115">
        <v>11.067170972569562</v>
      </c>
      <c r="S16" s="115">
        <v>14.361870909481089</v>
      </c>
      <c r="T16" s="115">
        <v>14.421453589558523</v>
      </c>
      <c r="U16" s="115">
        <v>15.496419590643272</v>
      </c>
      <c r="V16" s="115">
        <v>15.102282060937716</v>
      </c>
      <c r="W16" s="115">
        <v>15.626454671071411</v>
      </c>
      <c r="X16" s="115">
        <v>16.183656904247201</v>
      </c>
      <c r="Y16" s="115">
        <v>13.442883165829146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18.478142904781912</v>
      </c>
      <c r="C17" s="116">
        <f t="shared" ref="C17:V17" si="16">SUM(C18:C19)</f>
        <v>18.161629974193854</v>
      </c>
      <c r="D17" s="116">
        <f t="shared" si="16"/>
        <v>19.406920518985842</v>
      </c>
      <c r="E17" s="116">
        <f t="shared" si="16"/>
        <v>17.04633215223452</v>
      </c>
      <c r="F17" s="116">
        <f t="shared" si="16"/>
        <v>16.997370914681262</v>
      </c>
      <c r="G17" s="116">
        <f t="shared" si="16"/>
        <v>16.950784446294236</v>
      </c>
      <c r="H17" s="116">
        <f t="shared" si="16"/>
        <v>17.721942667451589</v>
      </c>
      <c r="I17" s="116">
        <f t="shared" si="16"/>
        <v>16.647716872822269</v>
      </c>
      <c r="J17" s="116">
        <f t="shared" si="16"/>
        <v>18.18498227269588</v>
      </c>
      <c r="K17" s="116">
        <f t="shared" si="16"/>
        <v>19.286488601809779</v>
      </c>
      <c r="L17" s="116">
        <f t="shared" si="16"/>
        <v>16.459713639470529</v>
      </c>
      <c r="M17" s="116">
        <f t="shared" si="16"/>
        <v>14.240261903698482</v>
      </c>
      <c r="N17" s="116">
        <f t="shared" si="16"/>
        <v>15.656934684766661</v>
      </c>
      <c r="O17" s="116">
        <f t="shared" si="16"/>
        <v>10.697200128066111</v>
      </c>
      <c r="P17" s="116">
        <f t="shared" si="16"/>
        <v>9.7682801369131056</v>
      </c>
      <c r="Q17" s="116">
        <f t="shared" si="16"/>
        <v>16.415014379446848</v>
      </c>
      <c r="R17" s="116">
        <f t="shared" si="16"/>
        <v>15.468922291636698</v>
      </c>
      <c r="S17" s="116">
        <f t="shared" si="16"/>
        <v>16.220037575243584</v>
      </c>
      <c r="T17" s="116">
        <f t="shared" si="16"/>
        <v>14.768754069092108</v>
      </c>
      <c r="U17" s="116">
        <f t="shared" si="16"/>
        <v>20.535393244393301</v>
      </c>
      <c r="V17" s="116">
        <f t="shared" si="16"/>
        <v>13.907108358612078</v>
      </c>
      <c r="W17" s="116">
        <f t="shared" ref="W17:Y17" si="17">SUM(W18:W19)</f>
        <v>14.692759993971393</v>
      </c>
      <c r="X17" s="116">
        <f t="shared" si="17"/>
        <v>13.851496758575898</v>
      </c>
      <c r="Y17" s="116">
        <f t="shared" si="17"/>
        <v>18.439214904657927</v>
      </c>
      <c r="DA17" s="176" t="s">
        <v>1038</v>
      </c>
    </row>
    <row r="18" spans="1:105" ht="11.45" customHeight="1" x14ac:dyDescent="0.25">
      <c r="A18" s="111" t="s">
        <v>92</v>
      </c>
      <c r="B18" s="87">
        <v>6.7781395907890998</v>
      </c>
      <c r="C18" s="87">
        <v>5.8744920571568198</v>
      </c>
      <c r="D18" s="87">
        <v>5.2630384981347769</v>
      </c>
      <c r="E18" s="87">
        <v>4.3441649392282402</v>
      </c>
      <c r="F18" s="87">
        <v>4.5702916687315778</v>
      </c>
      <c r="G18" s="87">
        <v>5.1303769345119496</v>
      </c>
      <c r="H18" s="87">
        <v>6.0361522043609073</v>
      </c>
      <c r="I18" s="87">
        <v>5.383053365133371</v>
      </c>
      <c r="J18" s="87">
        <v>6.6584827069789778</v>
      </c>
      <c r="K18" s="87">
        <v>4.8363324858948822</v>
      </c>
      <c r="L18" s="87">
        <v>5.4074573173580553</v>
      </c>
      <c r="M18" s="87">
        <v>5.1619238239553615</v>
      </c>
      <c r="N18" s="87">
        <v>7.4860220626500116</v>
      </c>
      <c r="O18" s="87">
        <v>5.4100299246582164</v>
      </c>
      <c r="P18" s="87">
        <v>3.8735147081137535</v>
      </c>
      <c r="Q18" s="87">
        <v>4.7499082315117329</v>
      </c>
      <c r="R18" s="87">
        <v>5.096882689653393</v>
      </c>
      <c r="S18" s="87">
        <v>5.2432483314857397</v>
      </c>
      <c r="T18" s="87">
        <v>4.2686183514958929</v>
      </c>
      <c r="U18" s="87">
        <v>4.0768404370495821</v>
      </c>
      <c r="V18" s="87">
        <v>2.8808681736776438</v>
      </c>
      <c r="W18" s="87">
        <v>3.1072215635598095</v>
      </c>
      <c r="X18" s="87">
        <v>3.2343985570317519</v>
      </c>
      <c r="Y18" s="87">
        <v>3.4967990434531786</v>
      </c>
      <c r="DA18" s="171" t="s">
        <v>1039</v>
      </c>
    </row>
    <row r="19" spans="1:105" ht="11.45" customHeight="1" x14ac:dyDescent="0.25">
      <c r="A19" s="111" t="s">
        <v>93</v>
      </c>
      <c r="B19" s="87">
        <v>11.700003313992813</v>
      </c>
      <c r="C19" s="87">
        <v>12.287137917037034</v>
      </c>
      <c r="D19" s="87">
        <v>14.143882020851064</v>
      </c>
      <c r="E19" s="87">
        <v>12.70216721300628</v>
      </c>
      <c r="F19" s="87">
        <v>12.427079245949685</v>
      </c>
      <c r="G19" s="87">
        <v>11.820407511782285</v>
      </c>
      <c r="H19" s="87">
        <v>11.685790463090683</v>
      </c>
      <c r="I19" s="87">
        <v>11.264663507688898</v>
      </c>
      <c r="J19" s="87">
        <v>11.526499565716902</v>
      </c>
      <c r="K19" s="87">
        <v>14.450156115914897</v>
      </c>
      <c r="L19" s="87">
        <v>11.052256322112473</v>
      </c>
      <c r="M19" s="87">
        <v>9.0783380797431192</v>
      </c>
      <c r="N19" s="87">
        <v>8.1709126221166493</v>
      </c>
      <c r="O19" s="87">
        <v>5.2871702034078947</v>
      </c>
      <c r="P19" s="87">
        <v>5.8947654287993521</v>
      </c>
      <c r="Q19" s="87">
        <v>11.665106147935116</v>
      </c>
      <c r="R19" s="87">
        <v>10.372039601983305</v>
      </c>
      <c r="S19" s="87">
        <v>10.976789243757844</v>
      </c>
      <c r="T19" s="87">
        <v>10.500135717596216</v>
      </c>
      <c r="U19" s="87">
        <v>16.458552807343718</v>
      </c>
      <c r="V19" s="87">
        <v>11.026240184934434</v>
      </c>
      <c r="W19" s="87">
        <v>11.585538430411583</v>
      </c>
      <c r="X19" s="87">
        <v>10.617098201544145</v>
      </c>
      <c r="Y19" s="87">
        <v>14.942415861204749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10.038400898509231</v>
      </c>
      <c r="C21" s="29">
        <f t="shared" ref="C21:V21" si="19">SUM(C22:C23)</f>
        <v>9.3490384372822906</v>
      </c>
      <c r="D21" s="29">
        <f t="shared" si="19"/>
        <v>8.8918456750098862</v>
      </c>
      <c r="E21" s="29">
        <f t="shared" si="19"/>
        <v>9.6627994080888406</v>
      </c>
      <c r="F21" s="29">
        <f t="shared" si="19"/>
        <v>9.693034530824038</v>
      </c>
      <c r="G21" s="29">
        <f t="shared" si="19"/>
        <v>9.7699895261614209</v>
      </c>
      <c r="H21" s="29">
        <f t="shared" si="19"/>
        <v>9.217381051611989</v>
      </c>
      <c r="I21" s="29">
        <f t="shared" si="19"/>
        <v>8.5041650507141053</v>
      </c>
      <c r="J21" s="29">
        <f t="shared" si="19"/>
        <v>8.2200054692832563</v>
      </c>
      <c r="K21" s="29">
        <f t="shared" si="19"/>
        <v>5.5366571849927144</v>
      </c>
      <c r="L21" s="29">
        <f t="shared" si="19"/>
        <v>4.8734298273692502</v>
      </c>
      <c r="M21" s="29">
        <f t="shared" si="19"/>
        <v>5.0552332224594512</v>
      </c>
      <c r="N21" s="29">
        <f t="shared" si="19"/>
        <v>4.6284498094130342</v>
      </c>
      <c r="O21" s="29">
        <f t="shared" si="19"/>
        <v>4.7413152581401379</v>
      </c>
      <c r="P21" s="29">
        <f t="shared" si="19"/>
        <v>5.0955532069923652</v>
      </c>
      <c r="Q21" s="29">
        <f t="shared" si="19"/>
        <v>5.8915311670861108</v>
      </c>
      <c r="R21" s="29">
        <f t="shared" si="19"/>
        <v>6.7972610678985479</v>
      </c>
      <c r="S21" s="29">
        <f t="shared" si="19"/>
        <v>7.5236014046417559</v>
      </c>
      <c r="T21" s="29">
        <f t="shared" si="19"/>
        <v>7.5215303356696817</v>
      </c>
      <c r="U21" s="29">
        <f t="shared" si="19"/>
        <v>8.9657742311166082</v>
      </c>
      <c r="V21" s="29">
        <f t="shared" si="19"/>
        <v>11.66477447207285</v>
      </c>
      <c r="W21" s="29">
        <f t="shared" ref="W21:Y21" si="20">SUM(W22:W23)</f>
        <v>12.768883544392173</v>
      </c>
      <c r="X21" s="29">
        <f t="shared" si="20"/>
        <v>13.377891222886381</v>
      </c>
      <c r="Y21" s="29">
        <f t="shared" si="20"/>
        <v>8.7615060858292093</v>
      </c>
      <c r="DA21" s="173" t="s">
        <v>1042</v>
      </c>
    </row>
    <row r="22" spans="1:105" ht="11.45" customHeight="1" x14ac:dyDescent="0.25">
      <c r="A22" s="83" t="s">
        <v>92</v>
      </c>
      <c r="B22" s="87">
        <v>3.6193647516427738</v>
      </c>
      <c r="C22" s="87">
        <v>3.3084224199931698</v>
      </c>
      <c r="D22" s="87">
        <v>3.3397567556903414</v>
      </c>
      <c r="E22" s="87">
        <v>3.4472471322994305</v>
      </c>
      <c r="F22" s="87">
        <v>3.530122019679331</v>
      </c>
      <c r="G22" s="87">
        <v>3.4069597939579879</v>
      </c>
      <c r="H22" s="87">
        <v>2.7704679945811388</v>
      </c>
      <c r="I22" s="87">
        <v>2.613367347664818</v>
      </c>
      <c r="J22" s="87">
        <v>3.5141651905706208</v>
      </c>
      <c r="K22" s="87">
        <v>1.9545836767420055</v>
      </c>
      <c r="L22" s="87">
        <v>1.819686404525346</v>
      </c>
      <c r="M22" s="87">
        <v>1.772708120109046</v>
      </c>
      <c r="N22" s="87">
        <v>1.7613586792733649</v>
      </c>
      <c r="O22" s="87">
        <v>1.2855086830544808</v>
      </c>
      <c r="P22" s="87">
        <v>1.3227105218238515</v>
      </c>
      <c r="Q22" s="87">
        <v>1.9312779538773288</v>
      </c>
      <c r="R22" s="87">
        <v>1.4554160154034987</v>
      </c>
      <c r="S22" s="87">
        <v>1.5577139534722007</v>
      </c>
      <c r="T22" s="87">
        <v>1.3209921658466512</v>
      </c>
      <c r="U22" s="87">
        <v>1.1370513868110015</v>
      </c>
      <c r="V22" s="87">
        <v>1.4245710213409453</v>
      </c>
      <c r="W22" s="87">
        <v>1.5580293470632267</v>
      </c>
      <c r="X22" s="87">
        <v>1.5571217605606851</v>
      </c>
      <c r="Y22" s="87">
        <v>1.2666304265327968</v>
      </c>
      <c r="DA22" s="171" t="s">
        <v>1043</v>
      </c>
    </row>
    <row r="23" spans="1:105" ht="11.45" customHeight="1" x14ac:dyDescent="0.25">
      <c r="A23" s="85" t="s">
        <v>93</v>
      </c>
      <c r="B23" s="88">
        <v>6.4190361468664578</v>
      </c>
      <c r="C23" s="88">
        <v>6.0406160172891212</v>
      </c>
      <c r="D23" s="88">
        <v>5.5520889193195453</v>
      </c>
      <c r="E23" s="88">
        <v>6.2155522757894106</v>
      </c>
      <c r="F23" s="88">
        <v>6.1629125111447074</v>
      </c>
      <c r="G23" s="88">
        <v>6.363029732203433</v>
      </c>
      <c r="H23" s="88">
        <v>6.4469130570308497</v>
      </c>
      <c r="I23" s="88">
        <v>5.8907977030492873</v>
      </c>
      <c r="J23" s="88">
        <v>4.7058402787126354</v>
      </c>
      <c r="K23" s="88">
        <v>3.5820735082507085</v>
      </c>
      <c r="L23" s="88">
        <v>3.0537434228439042</v>
      </c>
      <c r="M23" s="88">
        <v>3.2825251023504052</v>
      </c>
      <c r="N23" s="88">
        <v>2.8670911301396691</v>
      </c>
      <c r="O23" s="88">
        <v>3.4558065750856573</v>
      </c>
      <c r="P23" s="88">
        <v>3.7728426851685137</v>
      </c>
      <c r="Q23" s="88">
        <v>3.9602532132087815</v>
      </c>
      <c r="R23" s="88">
        <v>5.3418450524950494</v>
      </c>
      <c r="S23" s="88">
        <v>5.9658874511695554</v>
      </c>
      <c r="T23" s="88">
        <v>6.2005381698230302</v>
      </c>
      <c r="U23" s="88">
        <v>7.8287228443056067</v>
      </c>
      <c r="V23" s="88">
        <v>10.240203450731904</v>
      </c>
      <c r="W23" s="88">
        <v>11.210854197328946</v>
      </c>
      <c r="X23" s="88">
        <v>11.820769462325696</v>
      </c>
      <c r="Y23" s="88">
        <v>7.4948756592964125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216.70668599999999</v>
      </c>
      <c r="C25" s="62">
        <f t="shared" ref="C25:V25" si="22">C26+C32</f>
        <v>219.64542899999998</v>
      </c>
      <c r="D25" s="62">
        <f t="shared" si="22"/>
        <v>223.35977999999997</v>
      </c>
      <c r="E25" s="62">
        <f t="shared" si="22"/>
        <v>220.09800299999998</v>
      </c>
      <c r="F25" s="62">
        <f t="shared" si="22"/>
        <v>211.10841399999998</v>
      </c>
      <c r="G25" s="62">
        <f t="shared" si="22"/>
        <v>209.67616299999997</v>
      </c>
      <c r="H25" s="62">
        <f t="shared" si="22"/>
        <v>214.98887999999999</v>
      </c>
      <c r="I25" s="62">
        <f t="shared" si="22"/>
        <v>203.26428199999998</v>
      </c>
      <c r="J25" s="62">
        <f t="shared" si="22"/>
        <v>219.69816299999997</v>
      </c>
      <c r="K25" s="62">
        <f t="shared" si="22"/>
        <v>254.028234</v>
      </c>
      <c r="L25" s="62">
        <f t="shared" si="22"/>
        <v>262.86110100000002</v>
      </c>
      <c r="M25" s="62">
        <f t="shared" si="22"/>
        <v>244.182481</v>
      </c>
      <c r="N25" s="62">
        <f t="shared" si="22"/>
        <v>263.86485800000003</v>
      </c>
      <c r="O25" s="62">
        <f t="shared" si="22"/>
        <v>252.35294699999997</v>
      </c>
      <c r="P25" s="62">
        <f t="shared" si="22"/>
        <v>235.47697900000003</v>
      </c>
      <c r="Q25" s="62">
        <f t="shared" si="22"/>
        <v>250.939233</v>
      </c>
      <c r="R25" s="62">
        <f t="shared" si="22"/>
        <v>241.53348299999999</v>
      </c>
      <c r="S25" s="62">
        <f t="shared" si="22"/>
        <v>276.31405500000005</v>
      </c>
      <c r="T25" s="62">
        <f t="shared" si="22"/>
        <v>269.148911</v>
      </c>
      <c r="U25" s="62">
        <f t="shared" si="22"/>
        <v>322.60803700000002</v>
      </c>
      <c r="V25" s="62">
        <f t="shared" si="22"/>
        <v>320.20121</v>
      </c>
      <c r="W25" s="62">
        <f t="shared" ref="W25:Y25" si="23">W26+W32</f>
        <v>320.74158999999997</v>
      </c>
      <c r="X25" s="62">
        <f t="shared" si="23"/>
        <v>321.89994899999999</v>
      </c>
      <c r="Y25" s="62">
        <f t="shared" si="23"/>
        <v>327.94703100000004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166.514681</v>
      </c>
      <c r="C26" s="29">
        <f t="shared" ref="C26:V26" si="25">SUM(C27,C28,C31)</f>
        <v>172.90023499999998</v>
      </c>
      <c r="D26" s="29">
        <f t="shared" si="25"/>
        <v>178.90055099999998</v>
      </c>
      <c r="E26" s="29">
        <f t="shared" si="25"/>
        <v>171.78400499999998</v>
      </c>
      <c r="F26" s="29">
        <f t="shared" si="25"/>
        <v>162.64323999999999</v>
      </c>
      <c r="G26" s="29">
        <f t="shared" si="25"/>
        <v>160.82621499999999</v>
      </c>
      <c r="H26" s="29">
        <f t="shared" si="25"/>
        <v>167.52919700000001</v>
      </c>
      <c r="I26" s="29">
        <f t="shared" si="25"/>
        <v>160.394858</v>
      </c>
      <c r="J26" s="29">
        <f t="shared" si="25"/>
        <v>175.88286599999998</v>
      </c>
      <c r="K26" s="29">
        <f t="shared" si="25"/>
        <v>215.23213699999999</v>
      </c>
      <c r="L26" s="29">
        <f t="shared" si="25"/>
        <v>229.084204</v>
      </c>
      <c r="M26" s="29">
        <f t="shared" si="25"/>
        <v>215.42478399999999</v>
      </c>
      <c r="N26" s="29">
        <f t="shared" si="25"/>
        <v>239.197304</v>
      </c>
      <c r="O26" s="29">
        <f t="shared" si="25"/>
        <v>226.55149799999998</v>
      </c>
      <c r="P26" s="29">
        <f t="shared" si="25"/>
        <v>209.90003100000001</v>
      </c>
      <c r="Q26" s="29">
        <f t="shared" si="25"/>
        <v>221.48157599999999</v>
      </c>
      <c r="R26" s="29">
        <f t="shared" si="25"/>
        <v>206.97754899999998</v>
      </c>
      <c r="S26" s="29">
        <f t="shared" si="25"/>
        <v>238.69604700000002</v>
      </c>
      <c r="T26" s="29">
        <f t="shared" si="25"/>
        <v>231.541259</v>
      </c>
      <c r="U26" s="29">
        <f t="shared" si="25"/>
        <v>277.77916500000003</v>
      </c>
      <c r="V26" s="29">
        <f t="shared" si="25"/>
        <v>261.87733600000001</v>
      </c>
      <c r="W26" s="29">
        <f t="shared" ref="W26:Y26" si="26">SUM(W27,W28,W31)</f>
        <v>256.89717199999996</v>
      </c>
      <c r="X26" s="29">
        <f t="shared" si="26"/>
        <v>255.010492</v>
      </c>
      <c r="Y26" s="29">
        <f t="shared" si="26"/>
        <v>265.71954800000003</v>
      </c>
      <c r="DA26" s="173" t="s">
        <v>1046</v>
      </c>
    </row>
    <row r="27" spans="1:105" ht="11.45" customHeight="1" x14ac:dyDescent="0.25">
      <c r="A27" s="107" t="s">
        <v>23</v>
      </c>
      <c r="B27" s="115">
        <v>43.327059999999996</v>
      </c>
      <c r="C27" s="115">
        <v>50.317142999999994</v>
      </c>
      <c r="D27" s="115">
        <v>48.457923999999998</v>
      </c>
      <c r="E27" s="115">
        <v>53.660139000000001</v>
      </c>
      <c r="F27" s="115">
        <v>49.327432999999999</v>
      </c>
      <c r="G27" s="115">
        <v>47.820985</v>
      </c>
      <c r="H27" s="115">
        <v>49.382911999999997</v>
      </c>
      <c r="I27" s="115">
        <v>49.410077999999999</v>
      </c>
      <c r="J27" s="115">
        <v>54.649649999999994</v>
      </c>
      <c r="K27" s="115">
        <v>79.026635999999996</v>
      </c>
      <c r="L27" s="115">
        <v>104.50011499999999</v>
      </c>
      <c r="M27" s="115">
        <v>100.277587</v>
      </c>
      <c r="N27" s="115">
        <v>116.356121</v>
      </c>
      <c r="O27" s="115">
        <v>116.029076</v>
      </c>
      <c r="P27" s="115">
        <v>111.69637</v>
      </c>
      <c r="Q27" s="115">
        <v>107.363664</v>
      </c>
      <c r="R27" s="115">
        <v>103.030958</v>
      </c>
      <c r="S27" s="115">
        <v>130.56246300000001</v>
      </c>
      <c r="T27" s="115">
        <v>131.10412399999998</v>
      </c>
      <c r="U27" s="115">
        <v>140.876542</v>
      </c>
      <c r="V27" s="115">
        <v>137.293474</v>
      </c>
      <c r="W27" s="115">
        <v>142.05867899999998</v>
      </c>
      <c r="X27" s="115">
        <v>147.124154</v>
      </c>
      <c r="Y27" s="115">
        <v>142.791448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123.18762099999999</v>
      </c>
      <c r="C28" s="116">
        <f t="shared" ref="C28:V28" si="28">SUM(C29:C30)</f>
        <v>122.58309199999999</v>
      </c>
      <c r="D28" s="116">
        <f t="shared" si="28"/>
        <v>130.44262699999999</v>
      </c>
      <c r="E28" s="116">
        <f t="shared" si="28"/>
        <v>118.12386599999999</v>
      </c>
      <c r="F28" s="116">
        <f t="shared" si="28"/>
        <v>113.31580700000001</v>
      </c>
      <c r="G28" s="116">
        <f t="shared" si="28"/>
        <v>113.00523</v>
      </c>
      <c r="H28" s="116">
        <f t="shared" si="28"/>
        <v>118.14628500000001</v>
      </c>
      <c r="I28" s="116">
        <f t="shared" si="28"/>
        <v>110.98478</v>
      </c>
      <c r="J28" s="116">
        <f t="shared" si="28"/>
        <v>121.233216</v>
      </c>
      <c r="K28" s="116">
        <f t="shared" si="28"/>
        <v>136.205501</v>
      </c>
      <c r="L28" s="116">
        <f t="shared" si="28"/>
        <v>124.58408900000001</v>
      </c>
      <c r="M28" s="116">
        <f t="shared" si="28"/>
        <v>115.14719699999999</v>
      </c>
      <c r="N28" s="116">
        <f t="shared" si="28"/>
        <v>122.841183</v>
      </c>
      <c r="O28" s="116">
        <f t="shared" si="28"/>
        <v>110.52242199999999</v>
      </c>
      <c r="P28" s="116">
        <f t="shared" si="28"/>
        <v>98.203660999999997</v>
      </c>
      <c r="Q28" s="116">
        <f t="shared" si="28"/>
        <v>114.11791199999999</v>
      </c>
      <c r="R28" s="116">
        <f t="shared" si="28"/>
        <v>103.94659099999998</v>
      </c>
      <c r="S28" s="116">
        <f t="shared" si="28"/>
        <v>108.133584</v>
      </c>
      <c r="T28" s="116">
        <f t="shared" si="28"/>
        <v>100.43713500000001</v>
      </c>
      <c r="U28" s="116">
        <f t="shared" si="28"/>
        <v>136.90262300000001</v>
      </c>
      <c r="V28" s="116">
        <f t="shared" si="28"/>
        <v>124.583862</v>
      </c>
      <c r="W28" s="116">
        <f t="shared" ref="W28:Y28" si="29">SUM(W29:W30)</f>
        <v>114.838493</v>
      </c>
      <c r="X28" s="116">
        <f t="shared" si="29"/>
        <v>107.88633799999999</v>
      </c>
      <c r="Y28" s="116">
        <f t="shared" si="29"/>
        <v>122.9281</v>
      </c>
      <c r="DA28" s="176" t="s">
        <v>1048</v>
      </c>
    </row>
    <row r="29" spans="1:105" ht="11.45" customHeight="1" x14ac:dyDescent="0.25">
      <c r="A29" s="111" t="s">
        <v>92</v>
      </c>
      <c r="B29" s="87">
        <v>45.187597999999994</v>
      </c>
      <c r="C29" s="87">
        <v>40.668838999999998</v>
      </c>
      <c r="D29" s="87">
        <v>36.150079999999996</v>
      </c>
      <c r="E29" s="87">
        <v>31.631321</v>
      </c>
      <c r="F29" s="87">
        <v>30.468612</v>
      </c>
      <c r="G29" s="87">
        <v>34.202512999999996</v>
      </c>
      <c r="H29" s="87">
        <v>40.241014999999997</v>
      </c>
      <c r="I29" s="87">
        <v>35.887022999999999</v>
      </c>
      <c r="J29" s="87">
        <v>44.389885</v>
      </c>
      <c r="K29" s="87">
        <v>39.871125999999997</v>
      </c>
      <c r="L29" s="87">
        <v>36.049715999999997</v>
      </c>
      <c r="M29" s="87">
        <v>34.412825999999995</v>
      </c>
      <c r="N29" s="87">
        <v>49.906813999999997</v>
      </c>
      <c r="O29" s="87">
        <v>45.388054999999994</v>
      </c>
      <c r="P29" s="87">
        <v>40.869295999999999</v>
      </c>
      <c r="Q29" s="87">
        <v>36.350536999999996</v>
      </c>
      <c r="R29" s="87">
        <v>33.979217999999996</v>
      </c>
      <c r="S29" s="87">
        <v>34.954988999999998</v>
      </c>
      <c r="T29" s="87">
        <v>30.436230000000002</v>
      </c>
      <c r="U29" s="87">
        <v>27.178937000000001</v>
      </c>
      <c r="V29" s="87">
        <v>22.660178000000002</v>
      </c>
      <c r="W29" s="87">
        <v>20.714811000000001</v>
      </c>
      <c r="X29" s="87">
        <v>21.562658000000003</v>
      </c>
      <c r="Y29" s="87">
        <v>23.311994000000002</v>
      </c>
      <c r="DA29" s="171" t="s">
        <v>1049</v>
      </c>
    </row>
    <row r="30" spans="1:105" ht="11.45" customHeight="1" x14ac:dyDescent="0.25">
      <c r="A30" s="111" t="s">
        <v>93</v>
      </c>
      <c r="B30" s="87">
        <v>78.000022999999999</v>
      </c>
      <c r="C30" s="87">
        <v>81.914253000000002</v>
      </c>
      <c r="D30" s="87">
        <v>94.292546999999999</v>
      </c>
      <c r="E30" s="87">
        <v>86.492544999999993</v>
      </c>
      <c r="F30" s="87">
        <v>82.847194999999999</v>
      </c>
      <c r="G30" s="87">
        <v>78.802717000000001</v>
      </c>
      <c r="H30" s="87">
        <v>77.905270000000002</v>
      </c>
      <c r="I30" s="87">
        <v>75.097757000000001</v>
      </c>
      <c r="J30" s="87">
        <v>76.843330999999992</v>
      </c>
      <c r="K30" s="87">
        <v>96.334374999999994</v>
      </c>
      <c r="L30" s="87">
        <v>88.534373000000002</v>
      </c>
      <c r="M30" s="87">
        <v>80.734370999999996</v>
      </c>
      <c r="N30" s="87">
        <v>72.934369000000004</v>
      </c>
      <c r="O30" s="87">
        <v>65.134366999999997</v>
      </c>
      <c r="P30" s="87">
        <v>57.334364999999998</v>
      </c>
      <c r="Q30" s="87">
        <v>77.767375000000001</v>
      </c>
      <c r="R30" s="87">
        <v>69.967372999999995</v>
      </c>
      <c r="S30" s="87">
        <v>73.178595000000001</v>
      </c>
      <c r="T30" s="87">
        <v>70.000905000000003</v>
      </c>
      <c r="U30" s="87">
        <v>109.723686</v>
      </c>
      <c r="V30" s="87">
        <v>101.92368399999999</v>
      </c>
      <c r="W30" s="87">
        <v>94.123682000000002</v>
      </c>
      <c r="X30" s="87">
        <v>86.323679999999996</v>
      </c>
      <c r="Y30" s="87">
        <v>99.616106000000002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50.192004999999995</v>
      </c>
      <c r="C32" s="29">
        <f t="shared" ref="C32:V32" si="31">SUM(C33:C34)</f>
        <v>46.745193999999998</v>
      </c>
      <c r="D32" s="29">
        <f t="shared" si="31"/>
        <v>44.459229000000001</v>
      </c>
      <c r="E32" s="29">
        <f t="shared" si="31"/>
        <v>48.313997999999998</v>
      </c>
      <c r="F32" s="29">
        <f t="shared" si="31"/>
        <v>48.465174000000005</v>
      </c>
      <c r="G32" s="29">
        <f t="shared" si="31"/>
        <v>48.849947999999998</v>
      </c>
      <c r="H32" s="29">
        <f t="shared" si="31"/>
        <v>47.459682999999998</v>
      </c>
      <c r="I32" s="29">
        <f t="shared" si="31"/>
        <v>42.869423999999995</v>
      </c>
      <c r="J32" s="29">
        <f t="shared" si="31"/>
        <v>43.815297000000001</v>
      </c>
      <c r="K32" s="29">
        <f t="shared" si="31"/>
        <v>38.796097000000003</v>
      </c>
      <c r="L32" s="29">
        <f t="shared" si="31"/>
        <v>33.776897000000005</v>
      </c>
      <c r="M32" s="29">
        <f t="shared" si="31"/>
        <v>28.757697</v>
      </c>
      <c r="N32" s="29">
        <f t="shared" si="31"/>
        <v>24.667553999999996</v>
      </c>
      <c r="O32" s="29">
        <f t="shared" si="31"/>
        <v>25.801449000000002</v>
      </c>
      <c r="P32" s="29">
        <f t="shared" si="31"/>
        <v>25.576948000000002</v>
      </c>
      <c r="Q32" s="29">
        <f t="shared" si="31"/>
        <v>29.457656999999998</v>
      </c>
      <c r="R32" s="29">
        <f t="shared" si="31"/>
        <v>34.555934000000001</v>
      </c>
      <c r="S32" s="29">
        <f t="shared" si="31"/>
        <v>37.618008000000003</v>
      </c>
      <c r="T32" s="29">
        <f t="shared" si="31"/>
        <v>37.607652000000002</v>
      </c>
      <c r="U32" s="29">
        <f t="shared" si="31"/>
        <v>44.828871999999997</v>
      </c>
      <c r="V32" s="29">
        <f t="shared" si="31"/>
        <v>58.323873999999996</v>
      </c>
      <c r="W32" s="29">
        <f t="shared" ref="W32:Y32" si="32">SUM(W33:W34)</f>
        <v>63.844417999999997</v>
      </c>
      <c r="X32" s="29">
        <f t="shared" si="32"/>
        <v>66.889456999999993</v>
      </c>
      <c r="Y32" s="29">
        <f t="shared" si="32"/>
        <v>62.227482999999999</v>
      </c>
      <c r="DA32" s="173" t="s">
        <v>1052</v>
      </c>
    </row>
    <row r="33" spans="1:105" ht="11.45" customHeight="1" x14ac:dyDescent="0.25">
      <c r="A33" s="83" t="s">
        <v>92</v>
      </c>
      <c r="B33" s="87">
        <v>18.096824000000002</v>
      </c>
      <c r="C33" s="87">
        <v>16.542113000000001</v>
      </c>
      <c r="D33" s="87">
        <v>16.698784</v>
      </c>
      <c r="E33" s="87">
        <v>17.236236000000002</v>
      </c>
      <c r="F33" s="87">
        <v>17.650611000000001</v>
      </c>
      <c r="G33" s="87">
        <v>17.034799</v>
      </c>
      <c r="H33" s="87">
        <v>15.225116999999999</v>
      </c>
      <c r="I33" s="87">
        <v>13.415434999999999</v>
      </c>
      <c r="J33" s="87">
        <v>17.570826</v>
      </c>
      <c r="K33" s="87">
        <v>15.761144</v>
      </c>
      <c r="L33" s="87">
        <v>13.951461999999999</v>
      </c>
      <c r="M33" s="87">
        <v>12.141779999999999</v>
      </c>
      <c r="N33" s="87">
        <v>10.332097999999998</v>
      </c>
      <c r="O33" s="87">
        <v>8.5224159999999998</v>
      </c>
      <c r="P33" s="87">
        <v>6.7127340000000002</v>
      </c>
      <c r="Q33" s="87">
        <v>9.65639</v>
      </c>
      <c r="R33" s="87">
        <v>7.8467080000000005</v>
      </c>
      <c r="S33" s="87">
        <v>7.78857</v>
      </c>
      <c r="T33" s="87">
        <v>6.6049610000000003</v>
      </c>
      <c r="U33" s="87">
        <v>5.685257</v>
      </c>
      <c r="V33" s="87">
        <v>7.1228560000000005</v>
      </c>
      <c r="W33" s="87">
        <v>7.7901470000000002</v>
      </c>
      <c r="X33" s="87">
        <v>7.785609</v>
      </c>
      <c r="Y33" s="87">
        <v>6.3331530000000003</v>
      </c>
      <c r="DA33" s="171" t="s">
        <v>1053</v>
      </c>
    </row>
    <row r="34" spans="1:105" ht="11.45" customHeight="1" x14ac:dyDescent="0.25">
      <c r="A34" s="85" t="s">
        <v>93</v>
      </c>
      <c r="B34" s="88">
        <v>32.095180999999997</v>
      </c>
      <c r="C34" s="88">
        <v>30.203081000000001</v>
      </c>
      <c r="D34" s="88">
        <v>27.760445000000001</v>
      </c>
      <c r="E34" s="88">
        <v>31.077762</v>
      </c>
      <c r="F34" s="88">
        <v>30.814563</v>
      </c>
      <c r="G34" s="88">
        <v>31.815149000000002</v>
      </c>
      <c r="H34" s="88">
        <v>32.234566000000001</v>
      </c>
      <c r="I34" s="88">
        <v>29.453989</v>
      </c>
      <c r="J34" s="88">
        <v>26.244471000000001</v>
      </c>
      <c r="K34" s="88">
        <v>23.034953000000002</v>
      </c>
      <c r="L34" s="88">
        <v>19.825435000000002</v>
      </c>
      <c r="M34" s="88">
        <v>16.615917</v>
      </c>
      <c r="N34" s="88">
        <v>14.335455999999999</v>
      </c>
      <c r="O34" s="88">
        <v>17.279033000000002</v>
      </c>
      <c r="P34" s="88">
        <v>18.864214</v>
      </c>
      <c r="Q34" s="88">
        <v>19.801266999999999</v>
      </c>
      <c r="R34" s="88">
        <v>26.709226000000001</v>
      </c>
      <c r="S34" s="88">
        <v>29.829438</v>
      </c>
      <c r="T34" s="88">
        <v>31.002691000000002</v>
      </c>
      <c r="U34" s="88">
        <v>39.143614999999997</v>
      </c>
      <c r="V34" s="88">
        <v>51.201017999999998</v>
      </c>
      <c r="W34" s="88">
        <v>56.054271</v>
      </c>
      <c r="X34" s="88">
        <v>59.103847999999999</v>
      </c>
      <c r="Y34" s="88">
        <v>55.894329999999997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14.921959999999999</v>
      </c>
      <c r="D36" s="54">
        <f t="shared" ref="D36:V36" si="34">D37+D43</f>
        <v>15.537057999999991</v>
      </c>
      <c r="E36" s="54">
        <f t="shared" si="34"/>
        <v>12.402678000000005</v>
      </c>
      <c r="F36" s="54">
        <f t="shared" si="34"/>
        <v>2.0125499999999974</v>
      </c>
      <c r="G36" s="54">
        <f t="shared" si="34"/>
        <v>7.3135489999999983</v>
      </c>
      <c r="H36" s="54">
        <f t="shared" si="34"/>
        <v>13.502444000000001</v>
      </c>
      <c r="I36" s="54">
        <f t="shared" si="34"/>
        <v>1.7044050000000013</v>
      </c>
      <c r="J36" s="54">
        <f t="shared" si="34"/>
        <v>25.678358999999986</v>
      </c>
      <c r="K36" s="54">
        <f t="shared" si="34"/>
        <v>47.885677000000001</v>
      </c>
      <c r="L36" s="54">
        <f t="shared" si="34"/>
        <v>27.150717999999998</v>
      </c>
      <c r="M36" s="54">
        <f t="shared" si="34"/>
        <v>0</v>
      </c>
      <c r="N36" s="54">
        <f t="shared" si="34"/>
        <v>34.60538900000001</v>
      </c>
      <c r="O36" s="54">
        <f t="shared" si="34"/>
        <v>5.3005410000000044</v>
      </c>
      <c r="P36" s="54">
        <f t="shared" si="34"/>
        <v>2.5919509999999981</v>
      </c>
      <c r="Q36" s="54">
        <f t="shared" si="34"/>
        <v>28.322581999999997</v>
      </c>
      <c r="R36" s="54">
        <f t="shared" si="34"/>
        <v>7.9147290000000012</v>
      </c>
      <c r="S36" s="54">
        <f t="shared" si="34"/>
        <v>41.822302000000001</v>
      </c>
      <c r="T36" s="54">
        <f t="shared" si="34"/>
        <v>4.3989229999999644</v>
      </c>
      <c r="U36" s="54">
        <f t="shared" si="34"/>
        <v>62.660539999999997</v>
      </c>
      <c r="V36" s="54">
        <f t="shared" si="34"/>
        <v>15.163457000000005</v>
      </c>
      <c r="W36" s="54">
        <f t="shared" ref="W36:Y36" si="35">W37+W43</f>
        <v>13.631442999999971</v>
      </c>
      <c r="X36" s="54">
        <f t="shared" si="35"/>
        <v>13.659683000000008</v>
      </c>
      <c r="Y36" s="54">
        <f t="shared" si="35"/>
        <v>18.737798000000002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14.921959999999999</v>
      </c>
      <c r="D37" s="28">
        <f t="shared" ref="D37:V37" si="37">SUM(D38,D39,D42)</f>
        <v>14.718701999999993</v>
      </c>
      <c r="E37" s="28">
        <f t="shared" si="37"/>
        <v>6.8794540000000026</v>
      </c>
      <c r="F37" s="28">
        <f t="shared" si="37"/>
        <v>0.19291899999999984</v>
      </c>
      <c r="G37" s="28">
        <f t="shared" si="37"/>
        <v>5.2603200000000001</v>
      </c>
      <c r="H37" s="28">
        <f t="shared" si="37"/>
        <v>12.076256999999998</v>
      </c>
      <c r="I37" s="28">
        <f t="shared" si="37"/>
        <v>1.7044050000000013</v>
      </c>
      <c r="J37" s="28">
        <f t="shared" si="37"/>
        <v>20.861282999999986</v>
      </c>
      <c r="K37" s="28">
        <f t="shared" si="37"/>
        <v>47.885677000000001</v>
      </c>
      <c r="L37" s="28">
        <f t="shared" si="37"/>
        <v>27.150717999999998</v>
      </c>
      <c r="M37" s="28">
        <f t="shared" si="37"/>
        <v>0</v>
      </c>
      <c r="N37" s="28">
        <f t="shared" si="37"/>
        <v>34.60538900000001</v>
      </c>
      <c r="O37" s="28">
        <f t="shared" si="37"/>
        <v>1.3501940000000019</v>
      </c>
      <c r="P37" s="28">
        <f t="shared" si="37"/>
        <v>0</v>
      </c>
      <c r="Q37" s="28">
        <f t="shared" si="37"/>
        <v>22.773417999999999</v>
      </c>
      <c r="R37" s="28">
        <f t="shared" si="37"/>
        <v>0</v>
      </c>
      <c r="S37" s="28">
        <f t="shared" si="37"/>
        <v>37.091773000000003</v>
      </c>
      <c r="T37" s="28">
        <f t="shared" si="37"/>
        <v>2.2188999999999623</v>
      </c>
      <c r="U37" s="28">
        <f t="shared" si="37"/>
        <v>53.512845999999996</v>
      </c>
      <c r="V37" s="28">
        <f t="shared" si="37"/>
        <v>0</v>
      </c>
      <c r="W37" s="28">
        <f t="shared" ref="W37:Y37" si="38">SUM(W38,W39,W42)</f>
        <v>6.4424439999999663</v>
      </c>
      <c r="X37" s="28">
        <f t="shared" si="38"/>
        <v>8.9461890000000075</v>
      </c>
      <c r="Y37" s="28">
        <f t="shared" si="38"/>
        <v>18.737798000000002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8.6673219999999986</v>
      </c>
      <c r="D38" s="108">
        <v>0</v>
      </c>
      <c r="E38" s="108">
        <v>6.8794540000000026</v>
      </c>
      <c r="F38" s="108">
        <v>0</v>
      </c>
      <c r="G38" s="108">
        <v>0.17079100000000125</v>
      </c>
      <c r="H38" s="108">
        <v>3.2391659999999973</v>
      </c>
      <c r="I38" s="108">
        <v>1.7044050000000013</v>
      </c>
      <c r="J38" s="108">
        <v>6.9168109999999956</v>
      </c>
      <c r="K38" s="108">
        <v>26.054225000000002</v>
      </c>
      <c r="L38" s="108">
        <v>27.150717999999998</v>
      </c>
      <c r="M38" s="108">
        <v>0</v>
      </c>
      <c r="N38" s="108">
        <v>17.755773000000005</v>
      </c>
      <c r="O38" s="108">
        <v>1.3501940000000019</v>
      </c>
      <c r="P38" s="108">
        <v>0</v>
      </c>
      <c r="Q38" s="108">
        <v>0</v>
      </c>
      <c r="R38" s="108">
        <v>0</v>
      </c>
      <c r="S38" s="108">
        <v>29.208743999999996</v>
      </c>
      <c r="T38" s="108">
        <v>2.2188999999999623</v>
      </c>
      <c r="U38" s="108">
        <v>11.449657000000002</v>
      </c>
      <c r="V38" s="108">
        <v>0</v>
      </c>
      <c r="W38" s="108">
        <v>6.4424439999999663</v>
      </c>
      <c r="X38" s="108">
        <v>6.7427140000000065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6.2546379999999999</v>
      </c>
      <c r="D39" s="110">
        <f t="shared" ref="D39:V39" si="40">SUM(D40:D41)</f>
        <v>14.718701999999993</v>
      </c>
      <c r="E39" s="110">
        <f t="shared" si="40"/>
        <v>0</v>
      </c>
      <c r="F39" s="110">
        <f t="shared" si="40"/>
        <v>0.19291899999999984</v>
      </c>
      <c r="G39" s="110">
        <f t="shared" si="40"/>
        <v>5.0895289999999989</v>
      </c>
      <c r="H39" s="110">
        <f t="shared" si="40"/>
        <v>8.8370910000000009</v>
      </c>
      <c r="I39" s="110">
        <f t="shared" si="40"/>
        <v>0</v>
      </c>
      <c r="J39" s="110">
        <f t="shared" si="40"/>
        <v>13.94447199999999</v>
      </c>
      <c r="K39" s="110">
        <f t="shared" si="40"/>
        <v>21.831451999999999</v>
      </c>
      <c r="L39" s="110">
        <f t="shared" si="40"/>
        <v>0</v>
      </c>
      <c r="M39" s="110">
        <f t="shared" si="40"/>
        <v>0</v>
      </c>
      <c r="N39" s="110">
        <f t="shared" si="40"/>
        <v>16.849616000000005</v>
      </c>
      <c r="O39" s="110">
        <f t="shared" si="40"/>
        <v>0</v>
      </c>
      <c r="P39" s="110">
        <f t="shared" si="40"/>
        <v>0</v>
      </c>
      <c r="Q39" s="110">
        <f t="shared" si="40"/>
        <v>22.773417999999999</v>
      </c>
      <c r="R39" s="110">
        <f t="shared" si="40"/>
        <v>0</v>
      </c>
      <c r="S39" s="110">
        <f t="shared" si="40"/>
        <v>7.8830290000000076</v>
      </c>
      <c r="T39" s="110">
        <f t="shared" si="40"/>
        <v>0</v>
      </c>
      <c r="U39" s="110">
        <f t="shared" si="40"/>
        <v>42.063188999999994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2.203475000000001</v>
      </c>
      <c r="Y39" s="110">
        <f t="shared" si="41"/>
        <v>18.737798000000002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0.19291899999999984</v>
      </c>
      <c r="G40" s="84">
        <v>5.0895289999999989</v>
      </c>
      <c r="H40" s="84">
        <v>7.3941300000000041</v>
      </c>
      <c r="I40" s="84">
        <v>0</v>
      </c>
      <c r="J40" s="84">
        <v>9.8584900000000033</v>
      </c>
      <c r="K40" s="84">
        <v>0</v>
      </c>
      <c r="L40" s="84">
        <v>0</v>
      </c>
      <c r="M40" s="84">
        <v>0</v>
      </c>
      <c r="N40" s="84">
        <v>16.849616000000005</v>
      </c>
      <c r="O40" s="84">
        <v>0</v>
      </c>
      <c r="P40" s="84">
        <v>0</v>
      </c>
      <c r="Q40" s="84">
        <v>0</v>
      </c>
      <c r="R40" s="84">
        <v>0</v>
      </c>
      <c r="S40" s="84">
        <v>2.3313990000000047</v>
      </c>
      <c r="T40" s="84">
        <v>0</v>
      </c>
      <c r="U40" s="84">
        <v>0</v>
      </c>
      <c r="V40" s="84">
        <v>0</v>
      </c>
      <c r="W40" s="84">
        <v>0</v>
      </c>
      <c r="X40" s="84">
        <v>2.203475000000001</v>
      </c>
      <c r="Y40" s="84">
        <v>3.1049639999999989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6.2546379999999999</v>
      </c>
      <c r="D41" s="84">
        <v>14.718701999999993</v>
      </c>
      <c r="E41" s="84">
        <v>0</v>
      </c>
      <c r="F41" s="84">
        <v>0</v>
      </c>
      <c r="G41" s="84">
        <v>0</v>
      </c>
      <c r="H41" s="84">
        <v>1.4429609999999968</v>
      </c>
      <c r="I41" s="84">
        <v>0</v>
      </c>
      <c r="J41" s="84">
        <v>4.0859819999999871</v>
      </c>
      <c r="K41" s="84">
        <v>21.831451999999999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22.773417999999999</v>
      </c>
      <c r="R41" s="84">
        <v>0</v>
      </c>
      <c r="S41" s="84">
        <v>5.551630000000003</v>
      </c>
      <c r="T41" s="84">
        <v>0</v>
      </c>
      <c r="U41" s="84">
        <v>42.063188999999994</v>
      </c>
      <c r="V41" s="84">
        <v>0</v>
      </c>
      <c r="W41" s="84">
        <v>0</v>
      </c>
      <c r="X41" s="84">
        <v>0</v>
      </c>
      <c r="Y41" s="84">
        <v>15.632834000000003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0.81835599999999786</v>
      </c>
      <c r="E43" s="28">
        <f t="shared" si="43"/>
        <v>5.5232240000000026</v>
      </c>
      <c r="F43" s="28">
        <f t="shared" si="43"/>
        <v>1.8196309999999976</v>
      </c>
      <c r="G43" s="28">
        <f t="shared" si="43"/>
        <v>2.0532289999999982</v>
      </c>
      <c r="H43" s="28">
        <f t="shared" si="43"/>
        <v>1.4261870000000023</v>
      </c>
      <c r="I43" s="28">
        <f t="shared" si="43"/>
        <v>0</v>
      </c>
      <c r="J43" s="28">
        <f t="shared" si="43"/>
        <v>4.8170760000000001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3.9503470000000025</v>
      </c>
      <c r="P43" s="28">
        <f t="shared" si="43"/>
        <v>2.5919509999999981</v>
      </c>
      <c r="Q43" s="28">
        <f t="shared" si="43"/>
        <v>5.5491639999999984</v>
      </c>
      <c r="R43" s="28">
        <f t="shared" si="43"/>
        <v>7.9147290000000012</v>
      </c>
      <c r="S43" s="28">
        <f t="shared" si="43"/>
        <v>4.730528999999998</v>
      </c>
      <c r="T43" s="28">
        <f t="shared" si="43"/>
        <v>2.180023000000002</v>
      </c>
      <c r="U43" s="28">
        <f t="shared" si="43"/>
        <v>9.1476939999999978</v>
      </c>
      <c r="V43" s="28">
        <f t="shared" si="43"/>
        <v>15.163457000000005</v>
      </c>
      <c r="W43" s="28">
        <f t="shared" ref="W43:Y43" si="44">SUM(W44:W45)</f>
        <v>7.1889990000000044</v>
      </c>
      <c r="X43" s="28">
        <f t="shared" si="44"/>
        <v>4.7134940000000016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0.81835599999999786</v>
      </c>
      <c r="E44" s="84">
        <v>1.1991370000000003</v>
      </c>
      <c r="F44" s="84">
        <v>1.0760599999999982</v>
      </c>
      <c r="G44" s="84">
        <v>4.5872999999996722E-2</v>
      </c>
      <c r="H44" s="84">
        <v>0</v>
      </c>
      <c r="I44" s="84">
        <v>0</v>
      </c>
      <c r="J44" s="84">
        <v>4.8170760000000001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3.6053410000000001</v>
      </c>
      <c r="R44" s="84">
        <v>0</v>
      </c>
      <c r="S44" s="84">
        <v>0.60354699999999983</v>
      </c>
      <c r="T44" s="84">
        <v>0</v>
      </c>
      <c r="U44" s="84">
        <v>0</v>
      </c>
      <c r="V44" s="84">
        <v>2.0992840000000008</v>
      </c>
      <c r="W44" s="84">
        <v>1.328975999999999</v>
      </c>
      <c r="X44" s="84">
        <v>0.65714699999999926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4.3240870000000022</v>
      </c>
      <c r="F45" s="86">
        <v>0.74357099999999932</v>
      </c>
      <c r="G45" s="86">
        <v>2.0073560000000015</v>
      </c>
      <c r="H45" s="86">
        <v>1.4261870000000023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3.9503470000000025</v>
      </c>
      <c r="P45" s="86">
        <v>2.5919509999999981</v>
      </c>
      <c r="Q45" s="86">
        <v>1.9438229999999983</v>
      </c>
      <c r="R45" s="86">
        <v>7.9147290000000012</v>
      </c>
      <c r="S45" s="86">
        <v>4.1269819999999982</v>
      </c>
      <c r="T45" s="86">
        <v>2.180023000000002</v>
      </c>
      <c r="U45" s="86">
        <v>9.1476939999999978</v>
      </c>
      <c r="V45" s="86">
        <v>13.064173000000004</v>
      </c>
      <c r="W45" s="86">
        <v>5.8600230000000053</v>
      </c>
      <c r="X45" s="86">
        <v>4.0563470000000024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167.39717820532471</v>
      </c>
      <c r="C50" s="29">
        <f t="shared" si="45"/>
        <v>145.97082768380193</v>
      </c>
      <c r="D50" s="29">
        <f t="shared" si="45"/>
        <v>122.64883267014977</v>
      </c>
      <c r="E50" s="29">
        <f t="shared" si="45"/>
        <v>130.8556749448332</v>
      </c>
      <c r="F50" s="29">
        <f t="shared" si="45"/>
        <v>127.27532142850328</v>
      </c>
      <c r="G50" s="29">
        <f t="shared" si="45"/>
        <v>127.09865434713696</v>
      </c>
      <c r="H50" s="29">
        <f t="shared" si="45"/>
        <v>123.39087136321496</v>
      </c>
      <c r="I50" s="29">
        <f t="shared" si="45"/>
        <v>128.92372031554476</v>
      </c>
      <c r="J50" s="29">
        <f t="shared" si="45"/>
        <v>115.84347009214828</v>
      </c>
      <c r="K50" s="29">
        <f t="shared" ref="K50:V50" si="46">IF(K4=0,0,K4/K15)</f>
        <v>101.00281405927736</v>
      </c>
      <c r="L50" s="29">
        <f t="shared" si="46"/>
        <v>107.28060686079469</v>
      </c>
      <c r="M50" s="29">
        <f t="shared" si="46"/>
        <v>115.98368142543646</v>
      </c>
      <c r="N50" s="29">
        <f t="shared" si="46"/>
        <v>101.55991844419594</v>
      </c>
      <c r="O50" s="29">
        <f t="shared" si="46"/>
        <v>120.67143718570294</v>
      </c>
      <c r="P50" s="29">
        <f t="shared" si="46"/>
        <v>126.46824286180984</v>
      </c>
      <c r="Q50" s="29">
        <f t="shared" si="46"/>
        <v>87.179598900138942</v>
      </c>
      <c r="R50" s="29">
        <f t="shared" si="46"/>
        <v>85.543865760448426</v>
      </c>
      <c r="S50" s="29">
        <f t="shared" si="46"/>
        <v>81.878474041301928</v>
      </c>
      <c r="T50" s="29">
        <f t="shared" si="46"/>
        <v>87.734901715953981</v>
      </c>
      <c r="U50" s="29">
        <f t="shared" si="46"/>
        <v>71.436871960466462</v>
      </c>
      <c r="V50" s="29">
        <f t="shared" si="46"/>
        <v>62.324646393864448</v>
      </c>
      <c r="W50" s="29">
        <f t="shared" ref="W50:Y50" si="47">IF(W4=0,0,W4/W15)</f>
        <v>64.414597197722074</v>
      </c>
      <c r="X50" s="29">
        <f t="shared" si="47"/>
        <v>85.233457725528993</v>
      </c>
      <c r="Y50" s="29">
        <f t="shared" si="47"/>
        <v>83.495132413013479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87.914826913106609</v>
      </c>
      <c r="C51" s="115">
        <f t="shared" si="48"/>
        <v>84.735264468050445</v>
      </c>
      <c r="D51" s="115">
        <f t="shared" si="48"/>
        <v>81.795423270273133</v>
      </c>
      <c r="E51" s="115">
        <f t="shared" si="48"/>
        <v>82.336384876561468</v>
      </c>
      <c r="F51" s="115">
        <f t="shared" si="48"/>
        <v>82.275471543457869</v>
      </c>
      <c r="G51" s="115">
        <f t="shared" si="48"/>
        <v>82.504669880672111</v>
      </c>
      <c r="H51" s="115">
        <f t="shared" si="48"/>
        <v>82.104220598453281</v>
      </c>
      <c r="I51" s="115">
        <f t="shared" si="48"/>
        <v>81.507112756750743</v>
      </c>
      <c r="J51" s="115">
        <f t="shared" si="48"/>
        <v>80.845565981054051</v>
      </c>
      <c r="K51" s="115">
        <f t="shared" ref="K51:V51" si="49">IF(K5=0,0,K5/K16)</f>
        <v>79.144777581535905</v>
      </c>
      <c r="L51" s="115">
        <f t="shared" si="49"/>
        <v>79.077772977393039</v>
      </c>
      <c r="M51" s="115">
        <f t="shared" si="49"/>
        <v>79.05328609666195</v>
      </c>
      <c r="N51" s="115">
        <f t="shared" si="49"/>
        <v>79.692647402718421</v>
      </c>
      <c r="O51" s="115">
        <f t="shared" si="49"/>
        <v>79.13376985564777</v>
      </c>
      <c r="P51" s="115">
        <f t="shared" si="49"/>
        <v>77.369576141947363</v>
      </c>
      <c r="Q51" s="115">
        <f t="shared" si="49"/>
        <v>75.201302414984468</v>
      </c>
      <c r="R51" s="115">
        <f t="shared" si="49"/>
        <v>73.64122249669866</v>
      </c>
      <c r="S51" s="115">
        <f t="shared" si="49"/>
        <v>74.502828130395741</v>
      </c>
      <c r="T51" s="115">
        <f t="shared" si="49"/>
        <v>75.235134465610727</v>
      </c>
      <c r="U51" s="115">
        <f t="shared" si="49"/>
        <v>68.0157112315418</v>
      </c>
      <c r="V51" s="115">
        <f t="shared" si="49"/>
        <v>45.688459347789269</v>
      </c>
      <c r="W51" s="115">
        <f t="shared" ref="W51:Y51" si="50">IF(W5=0,0,W5/W16)</f>
        <v>47.99553166646578</v>
      </c>
      <c r="X51" s="115">
        <f t="shared" si="50"/>
        <v>59.319102331442771</v>
      </c>
      <c r="Y51" s="115">
        <f t="shared" si="50"/>
        <v>79.596020198990047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187.89767012254731</v>
      </c>
      <c r="C52" s="116">
        <f t="shared" si="51"/>
        <v>164.63280026344211</v>
      </c>
      <c r="D52" s="116">
        <f t="shared" si="51"/>
        <v>133.86977070671102</v>
      </c>
      <c r="E52" s="116">
        <f t="shared" si="51"/>
        <v>147.65639772366274</v>
      </c>
      <c r="F52" s="116">
        <f t="shared" si="51"/>
        <v>141.43363771179315</v>
      </c>
      <c r="G52" s="116">
        <f t="shared" si="51"/>
        <v>140.93743021564296</v>
      </c>
      <c r="H52" s="116">
        <f t="shared" si="51"/>
        <v>136.04603317152595</v>
      </c>
      <c r="I52" s="116">
        <f t="shared" si="51"/>
        <v>144.40418577304004</v>
      </c>
      <c r="J52" s="116">
        <f t="shared" si="51"/>
        <v>127.41282698300428</v>
      </c>
      <c r="K52" s="116">
        <f t="shared" ref="K52:V52" si="52">IF(K6=0,0,K6/K17)</f>
        <v>110.8548084693539</v>
      </c>
      <c r="L52" s="116">
        <f t="shared" si="52"/>
        <v>126.97669265570713</v>
      </c>
      <c r="M52" s="116">
        <f t="shared" si="52"/>
        <v>144.59003731281351</v>
      </c>
      <c r="N52" s="116">
        <f t="shared" si="52"/>
        <v>119.43589455089236</v>
      </c>
      <c r="O52" s="116">
        <f t="shared" si="52"/>
        <v>170.2314604007702</v>
      </c>
      <c r="P52" s="116">
        <f t="shared" si="52"/>
        <v>173.82793861362256</v>
      </c>
      <c r="Q52" s="116">
        <f t="shared" si="52"/>
        <v>94.364827480108374</v>
      </c>
      <c r="R52" s="116">
        <f t="shared" si="52"/>
        <v>94.059558420992815</v>
      </c>
      <c r="S52" s="116">
        <f t="shared" si="52"/>
        <v>88.40916633810356</v>
      </c>
      <c r="T52" s="116">
        <f t="shared" si="52"/>
        <v>99.940725744019076</v>
      </c>
      <c r="U52" s="116">
        <f t="shared" si="52"/>
        <v>74.018548459742775</v>
      </c>
      <c r="V52" s="116">
        <f t="shared" si="52"/>
        <v>80.39054353866959</v>
      </c>
      <c r="W52" s="116">
        <f t="shared" ref="W52:Y52" si="53">IF(W6=0,0,W6/W17)</f>
        <v>81.877060572254948</v>
      </c>
      <c r="X52" s="116">
        <f t="shared" si="53"/>
        <v>115.51098252319841</v>
      </c>
      <c r="Y52" s="116">
        <f t="shared" si="53"/>
        <v>86.337732285871084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126.41911980562479</v>
      </c>
      <c r="C53" s="87">
        <f t="shared" si="54"/>
        <v>109.22802784082805</v>
      </c>
      <c r="D53" s="87">
        <f t="shared" si="54"/>
        <v>94.61754262361012</v>
      </c>
      <c r="E53" s="87">
        <f t="shared" si="54"/>
        <v>97.043839885378517</v>
      </c>
      <c r="F53" s="87">
        <f t="shared" si="54"/>
        <v>96.706320389261464</v>
      </c>
      <c r="G53" s="87">
        <f t="shared" si="54"/>
        <v>98.23531672678736</v>
      </c>
      <c r="H53" s="87">
        <f t="shared" si="54"/>
        <v>93.318624571988778</v>
      </c>
      <c r="I53" s="87">
        <f t="shared" si="54"/>
        <v>93.728113465191711</v>
      </c>
      <c r="J53" s="87">
        <f t="shared" si="54"/>
        <v>95.434014472453043</v>
      </c>
      <c r="K53" s="87">
        <f t="shared" ref="K53:V53" si="55">IF(K7=0,0,K7/K18)</f>
        <v>93.242406520053208</v>
      </c>
      <c r="L53" s="87">
        <f t="shared" si="55"/>
        <v>95.012611028979137</v>
      </c>
      <c r="M53" s="87">
        <f t="shared" si="55"/>
        <v>98.983249570470136</v>
      </c>
      <c r="N53" s="87">
        <f t="shared" si="55"/>
        <v>90.579222179695947</v>
      </c>
      <c r="O53" s="87">
        <f t="shared" si="55"/>
        <v>109.03110616625369</v>
      </c>
      <c r="P53" s="87">
        <f t="shared" si="55"/>
        <v>99.084719001309566</v>
      </c>
      <c r="Q53" s="87">
        <f t="shared" si="55"/>
        <v>71.384529989113304</v>
      </c>
      <c r="R53" s="87">
        <f t="shared" si="55"/>
        <v>56.192560280238645</v>
      </c>
      <c r="S53" s="87">
        <f t="shared" si="55"/>
        <v>57.818446089717725</v>
      </c>
      <c r="T53" s="87">
        <f t="shared" si="55"/>
        <v>63.136638014360521</v>
      </c>
      <c r="U53" s="87">
        <f t="shared" si="55"/>
        <v>51.013134778362726</v>
      </c>
      <c r="V53" s="87">
        <f t="shared" si="55"/>
        <v>51.341162204960362</v>
      </c>
      <c r="W53" s="87">
        <f t="shared" ref="W53:Y53" si="56">IF(W7=0,0,W7/W18)</f>
        <v>51.646076939828539</v>
      </c>
      <c r="X53" s="87">
        <f t="shared" si="56"/>
        <v>78.172443290216123</v>
      </c>
      <c r="Y53" s="87">
        <f t="shared" si="56"/>
        <v>63.387628317237017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223.51391609310022</v>
      </c>
      <c r="C54" s="87">
        <f t="shared" si="57"/>
        <v>191.12187344898291</v>
      </c>
      <c r="D54" s="87">
        <f t="shared" si="57"/>
        <v>148.47580229226693</v>
      </c>
      <c r="E54" s="87">
        <f t="shared" si="57"/>
        <v>164.9659871471591</v>
      </c>
      <c r="F54" s="87">
        <f t="shared" si="57"/>
        <v>157.88294826000626</v>
      </c>
      <c r="G54" s="87">
        <f t="shared" si="57"/>
        <v>159.47130376270681</v>
      </c>
      <c r="H54" s="87">
        <f t="shared" si="57"/>
        <v>158.11635373899855</v>
      </c>
      <c r="I54" s="87">
        <f t="shared" si="57"/>
        <v>168.62079920159971</v>
      </c>
      <c r="J54" s="87">
        <f t="shared" si="57"/>
        <v>145.88594355037429</v>
      </c>
      <c r="K54" s="87">
        <f t="shared" ref="K54:V54" si="58">IF(K8=0,0,K8/K19)</f>
        <v>116.74951514371485</v>
      </c>
      <c r="L54" s="87">
        <f t="shared" si="58"/>
        <v>142.61552712059981</v>
      </c>
      <c r="M54" s="87">
        <f t="shared" si="58"/>
        <v>170.52196032706846</v>
      </c>
      <c r="N54" s="87">
        <f t="shared" si="58"/>
        <v>145.87378417422792</v>
      </c>
      <c r="O54" s="87">
        <f t="shared" si="58"/>
        <v>232.85394749131373</v>
      </c>
      <c r="P54" s="87">
        <f t="shared" si="58"/>
        <v>222.94252408730446</v>
      </c>
      <c r="Q54" s="87">
        <f t="shared" si="58"/>
        <v>103.72216232393983</v>
      </c>
      <c r="R54" s="87">
        <f t="shared" si="58"/>
        <v>112.66762922857455</v>
      </c>
      <c r="S54" s="87">
        <f t="shared" si="58"/>
        <v>103.02133929136561</v>
      </c>
      <c r="T54" s="87">
        <f t="shared" si="58"/>
        <v>114.90268514323057</v>
      </c>
      <c r="U54" s="87">
        <f t="shared" si="58"/>
        <v>79.717068971549608</v>
      </c>
      <c r="V54" s="87">
        <f t="shared" si="58"/>
        <v>87.980387106892749</v>
      </c>
      <c r="W54" s="87">
        <f t="shared" ref="W54:Y54" si="59">IF(W8=0,0,W8/W19)</f>
        <v>89.984958603452611</v>
      </c>
      <c r="X54" s="87">
        <f t="shared" si="59"/>
        <v>126.88581537529231</v>
      </c>
      <c r="Y54" s="87">
        <f t="shared" si="59"/>
        <v>91.708477040273877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551.68149349588441</v>
      </c>
      <c r="C56" s="29">
        <f t="shared" si="63"/>
        <v>524.11807191418507</v>
      </c>
      <c r="D56" s="29">
        <f t="shared" si="63"/>
        <v>520.36440679621398</v>
      </c>
      <c r="E56" s="29">
        <f t="shared" si="63"/>
        <v>545.8045621422167</v>
      </c>
      <c r="F56" s="29">
        <f t="shared" si="63"/>
        <v>537.60254164254945</v>
      </c>
      <c r="G56" s="29">
        <f t="shared" si="63"/>
        <v>528.45501893066171</v>
      </c>
      <c r="H56" s="29">
        <f t="shared" si="63"/>
        <v>585.4157455122587</v>
      </c>
      <c r="I56" s="29">
        <f t="shared" si="63"/>
        <v>616.28625135396533</v>
      </c>
      <c r="J56" s="29">
        <f t="shared" si="63"/>
        <v>570.92419433745295</v>
      </c>
      <c r="K56" s="29">
        <f t="shared" ref="K56:V56" si="64">IF(K10=0,0,K10/K21)</f>
        <v>568.03227921075245</v>
      </c>
      <c r="L56" s="29">
        <f t="shared" si="64"/>
        <v>628.7153213518194</v>
      </c>
      <c r="M56" s="29">
        <f t="shared" si="64"/>
        <v>651.00854009637089</v>
      </c>
      <c r="N56" s="29">
        <f t="shared" si="64"/>
        <v>628.07205861624254</v>
      </c>
      <c r="O56" s="29">
        <f t="shared" si="64"/>
        <v>684.6201577562465</v>
      </c>
      <c r="P56" s="29">
        <f t="shared" si="64"/>
        <v>674.90218633785184</v>
      </c>
      <c r="Q56" s="29">
        <f t="shared" si="64"/>
        <v>619.53334311312005</v>
      </c>
      <c r="R56" s="29">
        <f t="shared" si="64"/>
        <v>505.20348794866294</v>
      </c>
      <c r="S56" s="29">
        <f t="shared" si="64"/>
        <v>522.48913632967492</v>
      </c>
      <c r="T56" s="29">
        <f t="shared" si="64"/>
        <v>508.40717637809394</v>
      </c>
      <c r="U56" s="29">
        <f t="shared" si="64"/>
        <v>435.21060194196303</v>
      </c>
      <c r="V56" s="29">
        <f t="shared" si="64"/>
        <v>386.03403870180523</v>
      </c>
      <c r="W56" s="29">
        <f t="shared" ref="W56:Y56" si="65">IF(W10=0,0,W10/W21)</f>
        <v>364.71473671206417</v>
      </c>
      <c r="X56" s="29">
        <f t="shared" si="65"/>
        <v>391.61628037738268</v>
      </c>
      <c r="Y56" s="29">
        <f t="shared" si="65"/>
        <v>519.88778588731691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476.59561553917791</v>
      </c>
      <c r="C57" s="87">
        <f t="shared" si="66"/>
        <v>452.6809538364343</v>
      </c>
      <c r="D57" s="87">
        <f t="shared" si="66"/>
        <v>449.73209511067574</v>
      </c>
      <c r="E57" s="87">
        <f t="shared" si="66"/>
        <v>473.01653689726129</v>
      </c>
      <c r="F57" s="87">
        <f t="shared" si="66"/>
        <v>465.33974170720336</v>
      </c>
      <c r="G57" s="87">
        <f t="shared" si="66"/>
        <v>457.08109339156778</v>
      </c>
      <c r="H57" s="87">
        <f t="shared" si="66"/>
        <v>548.91699596895921</v>
      </c>
      <c r="I57" s="87">
        <f t="shared" si="66"/>
        <v>552.11021255567471</v>
      </c>
      <c r="J57" s="87">
        <f t="shared" si="66"/>
        <v>533.71655509256789</v>
      </c>
      <c r="K57" s="87">
        <f t="shared" ref="K57:V57" si="67">IF(K11=0,0,K11/K22)</f>
        <v>509.99911768014726</v>
      </c>
      <c r="L57" s="87">
        <f t="shared" si="67"/>
        <v>530.64196123374904</v>
      </c>
      <c r="M57" s="87">
        <f t="shared" si="67"/>
        <v>598.38456442885865</v>
      </c>
      <c r="N57" s="87">
        <f t="shared" si="67"/>
        <v>559.74691660864323</v>
      </c>
      <c r="O57" s="87">
        <f t="shared" si="67"/>
        <v>694.82609103453831</v>
      </c>
      <c r="P57" s="87">
        <f t="shared" si="67"/>
        <v>640.09496538089763</v>
      </c>
      <c r="Q57" s="87">
        <f t="shared" si="67"/>
        <v>533.8404686416427</v>
      </c>
      <c r="R57" s="87">
        <f t="shared" si="67"/>
        <v>583.87806990311515</v>
      </c>
      <c r="S57" s="87">
        <f t="shared" si="67"/>
        <v>595.48812654935728</v>
      </c>
      <c r="T57" s="87">
        <f t="shared" si="67"/>
        <v>603.46720420166639</v>
      </c>
      <c r="U57" s="87">
        <f t="shared" si="67"/>
        <v>531.00662369731867</v>
      </c>
      <c r="V57" s="87">
        <f t="shared" si="67"/>
        <v>502.41318949640635</v>
      </c>
      <c r="W57" s="87">
        <f t="shared" ref="W57:Y57" si="68">IF(W11=0,0,W11/W22)</f>
        <v>481.13582336468107</v>
      </c>
      <c r="X57" s="87">
        <f t="shared" si="68"/>
        <v>547.448896122733</v>
      </c>
      <c r="Y57" s="87">
        <f t="shared" si="68"/>
        <v>579.76425546378721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594.01856308152912</v>
      </c>
      <c r="C58" s="88">
        <f t="shared" si="69"/>
        <v>563.24390980748581</v>
      </c>
      <c r="D58" s="88">
        <f t="shared" si="69"/>
        <v>562.85197202611539</v>
      </c>
      <c r="E58" s="88">
        <f t="shared" si="69"/>
        <v>586.17399355521889</v>
      </c>
      <c r="F58" s="88">
        <f t="shared" si="69"/>
        <v>578.99474067087306</v>
      </c>
      <c r="G58" s="88">
        <f t="shared" si="69"/>
        <v>566.67079111509213</v>
      </c>
      <c r="H58" s="88">
        <f t="shared" si="69"/>
        <v>601.10055722872312</v>
      </c>
      <c r="I58" s="88">
        <f t="shared" si="69"/>
        <v>644.75702437187203</v>
      </c>
      <c r="J58" s="88">
        <f t="shared" si="69"/>
        <v>598.70962327543941</v>
      </c>
      <c r="K58" s="88">
        <f t="shared" ref="K58:V58" si="70">IF(K12=0,0,K12/K23)</f>
        <v>599.69848314994692</v>
      </c>
      <c r="L58" s="88">
        <f t="shared" si="70"/>
        <v>687.15597445907088</v>
      </c>
      <c r="M58" s="88">
        <f t="shared" si="70"/>
        <v>679.42780455574177</v>
      </c>
      <c r="N58" s="88">
        <f t="shared" si="70"/>
        <v>670.04668600864352</v>
      </c>
      <c r="O58" s="88">
        <f t="shared" si="70"/>
        <v>680.82370226521732</v>
      </c>
      <c r="P58" s="88">
        <f t="shared" si="70"/>
        <v>687.10515403014369</v>
      </c>
      <c r="Q58" s="88">
        <f t="shared" si="70"/>
        <v>661.32278190939553</v>
      </c>
      <c r="R58" s="88">
        <f t="shared" si="70"/>
        <v>483.76815138303147</v>
      </c>
      <c r="S58" s="88">
        <f t="shared" si="70"/>
        <v>503.42884620766</v>
      </c>
      <c r="T58" s="88">
        <f t="shared" si="70"/>
        <v>488.15513557117669</v>
      </c>
      <c r="U58" s="88">
        <f t="shared" si="70"/>
        <v>421.29709375497532</v>
      </c>
      <c r="V58" s="88">
        <f t="shared" si="70"/>
        <v>369.843894970002</v>
      </c>
      <c r="W58" s="88">
        <f t="shared" ref="W58:Y58" si="71">IF(W12=0,0,W12/W23)</f>
        <v>348.53510700418832</v>
      </c>
      <c r="X58" s="88">
        <f t="shared" si="71"/>
        <v>371.08882167382416</v>
      </c>
      <c r="Y58" s="88">
        <f t="shared" si="71"/>
        <v>509.76869096879727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340.81597117553849</v>
      </c>
      <c r="C61" s="29">
        <f t="shared" ref="C61" si="73">IF(C26=0,0,(C62*C27+C64*C29+C65*C30+C66*C31)/(C27+C29+C30+C31))</f>
        <v>343.28146887712444</v>
      </c>
      <c r="D61" s="29">
        <f t="shared" ref="D61" si="74">IF(D26=0,0,(D62*D27+D64*D29+D65*D30+D66*D31)/(D27+D29+D30+D31))</f>
        <v>341.6692117398789</v>
      </c>
      <c r="E61" s="29">
        <f t="shared" ref="E61" si="75">IF(E26=0,0,(E62*E27+E64*E29+E65*E30+E66*E31)/(E27+E29+E30+E31))</f>
        <v>344.98958573005677</v>
      </c>
      <c r="F61" s="29">
        <f t="shared" ref="F61" si="76">IF(F26=0,0,(F62*F27+F64*F29+F65*F30+F66*F31)/(F27+F29+F30+F31))</f>
        <v>344.26288753224549</v>
      </c>
      <c r="G61" s="29">
        <f t="shared" ref="G61" si="77">IF(G26=0,0,(G62*G27+G64*G29+G65*G30+G66*G31)/(G27+G29+G30+G31))</f>
        <v>343.78765675732654</v>
      </c>
      <c r="H61" s="29">
        <f t="shared" ref="H61" si="78">IF(H26=0,0,(H62*H27+H64*H29+H65*H30+H66*H31)/(H27+H29+H30+H31))</f>
        <v>343.58175787113686</v>
      </c>
      <c r="I61" s="29">
        <f t="shared" ref="I61" si="79">IF(I26=0,0,(I62*I27+I64*I29+I65*I30+I66*I31)/(I27+I29+I30+I31))</f>
        <v>344.64422045250353</v>
      </c>
      <c r="J61" s="29">
        <f t="shared" ref="J61" si="80">IF(J26=0,0,(J62*J27+J64*J29+J65*J30+J66*J31)/(J27+J29+J30+J31))</f>
        <v>344.85729337614953</v>
      </c>
      <c r="K61" s="29">
        <f t="shared" ref="K61" si="81">IF(K26=0,0,(K62*K27+K64*K29+K65*K30+K66*K31)/(K27+K29+K30+K31))</f>
        <v>349.37354508541631</v>
      </c>
      <c r="L61" s="29">
        <f t="shared" ref="L61" si="82">IF(L26=0,0,(L62*L27+L64*L29+L65*L30+L66*L31)/(L27+L29+L30+L31))</f>
        <v>356.49317174221227</v>
      </c>
      <c r="M61" s="29">
        <f t="shared" ref="M61" si="83">IF(M26=0,0,(M62*M27+M64*M29+M65*M30+M66*M31)/(M27+M29+M30+M31))</f>
        <v>357.23901591564322</v>
      </c>
      <c r="N61" s="29">
        <f t="shared" ref="N61" si="84">IF(N26=0,0,(N62*N27+N64*N29+N65*N30+N66*N31)/(N27+N29+N30+N31))</f>
        <v>358.9155292486073</v>
      </c>
      <c r="O61" s="29">
        <f t="shared" ref="O61" si="85">IF(O26=0,0,(O62*O27+O64*O29+O65*O30+O66*O31)/(O27+O29+O30+O31))</f>
        <v>360.97225647124174</v>
      </c>
      <c r="P61" s="29">
        <f t="shared" ref="P61" si="86">IF(P26=0,0,(P62*P27+P64*P29+P65*P30+P66*P31)/(P27+P29+P30+P31))</f>
        <v>362.57126384130936</v>
      </c>
      <c r="Q61" s="29">
        <f t="shared" ref="Q61" si="87">IF(Q26=0,0,(Q62*Q27+Q64*Q29+Q65*Q30+Q66*Q31)/(Q27+Q29+Q30+Q31))</f>
        <v>358.78016977809477</v>
      </c>
      <c r="R61" s="29">
        <f t="shared" ref="R61" si="88">IF(R26=0,0,(R62*R27+R64*R29+R65*R30+R66*R31)/(R27+R29+R30+R31))</f>
        <v>359.82304689481077</v>
      </c>
      <c r="S61" s="29">
        <f t="shared" ref="S61" si="89">IF(S26=0,0,(S62*S27+S64*S29+S65*S30+S66*S31)/(S27+S29+S30+S31))</f>
        <v>363.75856731301462</v>
      </c>
      <c r="T61" s="29">
        <f t="shared" ref="T61" si="90">IF(T26=0,0,(T62*T27+T64*T29+T65*T30+T66*T31)/(T27+T29+T30+T31))</f>
        <v>365.29788757864537</v>
      </c>
      <c r="U61" s="29">
        <f t="shared" ref="U61" si="91">IF(U26=0,0,(U62*U27+U64*U29+U65*U30+U66*U31)/(U27+U29+U30+U31))</f>
        <v>360.57224147822609</v>
      </c>
      <c r="V61" s="29">
        <f t="shared" ref="V61" si="92">IF(V26=0,0,(V62*V27+V64*V29+V65*V30+V66*V31)/(V27+V29+V30+V31))</f>
        <v>361.94130766627313</v>
      </c>
      <c r="W61" s="29">
        <f t="shared" ref="W61:Y61" si="93">IF(W26=0,0,(W62*W27+W64*W29+W65*W30+W66*W31)/(W27+W29+W30+W31))</f>
        <v>364.23830060690591</v>
      </c>
      <c r="X61" s="29">
        <f t="shared" si="93"/>
        <v>366.154698293747</v>
      </c>
      <c r="Y61" s="29">
        <f t="shared" si="93"/>
        <v>362.99012220207447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2100.0000000000005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2100.0000000000005</v>
      </c>
      <c r="X67" s="29">
        <f t="shared" si="137"/>
        <v>2100.0000000000005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0.49116588529563421</v>
      </c>
      <c r="C72" s="30">
        <f t="shared" ref="C72:J72" si="138">IF(C50=0,0,C50/C61)</f>
        <v>0.42522198521601912</v>
      </c>
      <c r="D72" s="30">
        <f t="shared" si="138"/>
        <v>0.35896951921885578</v>
      </c>
      <c r="E72" s="30">
        <f t="shared" si="138"/>
        <v>0.37930326119242203</v>
      </c>
      <c r="F72" s="30">
        <f t="shared" si="138"/>
        <v>0.36970386886847334</v>
      </c>
      <c r="G72" s="30">
        <f t="shared" si="138"/>
        <v>0.36970104030481116</v>
      </c>
      <c r="H72" s="30">
        <f t="shared" si="138"/>
        <v>0.35913103224034876</v>
      </c>
      <c r="I72" s="30">
        <f t="shared" si="138"/>
        <v>0.37407770873474472</v>
      </c>
      <c r="J72" s="30">
        <f t="shared" si="138"/>
        <v>0.33591712374136512</v>
      </c>
      <c r="K72" s="30">
        <f t="shared" ref="K72:V72" si="139">IF(K50=0,0,K50/K61)</f>
        <v>0.28909691497844742</v>
      </c>
      <c r="L72" s="30">
        <f t="shared" si="139"/>
        <v>0.30093313242580577</v>
      </c>
      <c r="M72" s="30">
        <f t="shared" si="139"/>
        <v>0.3246668931951831</v>
      </c>
      <c r="N72" s="30">
        <f t="shared" si="139"/>
        <v>0.2829632884840968</v>
      </c>
      <c r="O72" s="30">
        <f t="shared" si="139"/>
        <v>0.33429560034710509</v>
      </c>
      <c r="P72" s="30">
        <f t="shared" si="139"/>
        <v>0.34880933894739824</v>
      </c>
      <c r="Q72" s="30">
        <f t="shared" si="139"/>
        <v>0.24298890028972184</v>
      </c>
      <c r="R72" s="30">
        <f t="shared" si="139"/>
        <v>0.2377387065633291</v>
      </c>
      <c r="S72" s="30">
        <f t="shared" si="139"/>
        <v>0.22509015978954364</v>
      </c>
      <c r="T72" s="30">
        <f t="shared" si="139"/>
        <v>0.24017358079319701</v>
      </c>
      <c r="U72" s="30">
        <f t="shared" si="139"/>
        <v>0.19812083056532329</v>
      </c>
      <c r="V72" s="30">
        <f t="shared" si="139"/>
        <v>0.17219545012897697</v>
      </c>
      <c r="W72" s="30">
        <f t="shared" ref="W72:Y72" si="140">IF(W50=0,0,W50/W61)</f>
        <v>0.17684740207274288</v>
      </c>
      <c r="X72" s="30">
        <f t="shared" si="140"/>
        <v>0.23277991002904078</v>
      </c>
      <c r="Y72" s="30">
        <f t="shared" si="140"/>
        <v>0.23002039809373168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0.21978706728276654</v>
      </c>
      <c r="C73" s="118">
        <f t="shared" si="141"/>
        <v>0.2118381611701261</v>
      </c>
      <c r="D73" s="118">
        <f t="shared" si="141"/>
        <v>0.20448855817568284</v>
      </c>
      <c r="E73" s="118">
        <f t="shared" si="141"/>
        <v>0.20584096219140366</v>
      </c>
      <c r="F73" s="118">
        <f t="shared" si="141"/>
        <v>0.20568867885864467</v>
      </c>
      <c r="G73" s="118">
        <f t="shared" si="141"/>
        <v>0.20626167470168028</v>
      </c>
      <c r="H73" s="118">
        <f t="shared" si="141"/>
        <v>0.2052605514961332</v>
      </c>
      <c r="I73" s="118">
        <f t="shared" si="141"/>
        <v>0.20376778189187686</v>
      </c>
      <c r="J73" s="118">
        <f t="shared" si="141"/>
        <v>0.20211391495263512</v>
      </c>
      <c r="K73" s="118">
        <f t="shared" ref="K73:V73" si="142">IF(K51=0,0,K51/K62)</f>
        <v>0.19786194395383977</v>
      </c>
      <c r="L73" s="118">
        <f t="shared" si="142"/>
        <v>0.19769443244348259</v>
      </c>
      <c r="M73" s="118">
        <f t="shared" si="142"/>
        <v>0.19763321524165486</v>
      </c>
      <c r="N73" s="118">
        <f t="shared" si="142"/>
        <v>0.19923161850679605</v>
      </c>
      <c r="O73" s="118">
        <f t="shared" si="142"/>
        <v>0.19783442463911943</v>
      </c>
      <c r="P73" s="118">
        <f t="shared" si="142"/>
        <v>0.1934239403548684</v>
      </c>
      <c r="Q73" s="118">
        <f t="shared" si="142"/>
        <v>0.18800325603746118</v>
      </c>
      <c r="R73" s="118">
        <f t="shared" si="142"/>
        <v>0.18410305624174664</v>
      </c>
      <c r="S73" s="118">
        <f t="shared" si="142"/>
        <v>0.18625707032598934</v>
      </c>
      <c r="T73" s="118">
        <f t="shared" si="142"/>
        <v>0.18808783616402683</v>
      </c>
      <c r="U73" s="118">
        <f t="shared" si="142"/>
        <v>0.17003927807885449</v>
      </c>
      <c r="V73" s="118">
        <f t="shared" si="142"/>
        <v>0.11422114836947317</v>
      </c>
      <c r="W73" s="118">
        <f t="shared" ref="W73:Y73" si="143">IF(W51=0,0,W51/W62)</f>
        <v>0.11998882916616445</v>
      </c>
      <c r="X73" s="118">
        <f t="shared" si="143"/>
        <v>0.14829775582860694</v>
      </c>
      <c r="Y73" s="118">
        <f t="shared" si="143"/>
        <v>0.19899005049747512</v>
      </c>
      <c r="DA73" s="203"/>
    </row>
    <row r="74" spans="1:105" ht="11.45" customHeight="1" x14ac:dyDescent="0.25">
      <c r="A74" s="109" t="s">
        <v>24</v>
      </c>
      <c r="B74" s="119">
        <f t="shared" si="141"/>
        <v>0.58718021913296037</v>
      </c>
      <c r="C74" s="119">
        <f t="shared" si="141"/>
        <v>0.5144775008232565</v>
      </c>
      <c r="D74" s="119">
        <f t="shared" si="141"/>
        <v>0.41834303345847196</v>
      </c>
      <c r="E74" s="119">
        <f t="shared" si="141"/>
        <v>0.46142624288644607</v>
      </c>
      <c r="F74" s="119">
        <f t="shared" si="141"/>
        <v>0.4419801178493537</v>
      </c>
      <c r="G74" s="119">
        <f t="shared" si="141"/>
        <v>0.44042946942388428</v>
      </c>
      <c r="H74" s="119">
        <f t="shared" si="141"/>
        <v>0.42514385366101864</v>
      </c>
      <c r="I74" s="119">
        <f t="shared" si="141"/>
        <v>0.45126308054075015</v>
      </c>
      <c r="J74" s="119">
        <f t="shared" si="141"/>
        <v>0.39816508432188835</v>
      </c>
      <c r="K74" s="119">
        <f t="shared" ref="K74:V74" si="144">IF(K52=0,0,K52/K63)</f>
        <v>0.34642127646673093</v>
      </c>
      <c r="L74" s="119">
        <f t="shared" si="144"/>
        <v>0.39680216454908485</v>
      </c>
      <c r="M74" s="119">
        <f t="shared" si="144"/>
        <v>0.45184386660254211</v>
      </c>
      <c r="N74" s="119">
        <f t="shared" si="144"/>
        <v>0.37323717047153859</v>
      </c>
      <c r="O74" s="119">
        <f t="shared" si="144"/>
        <v>0.53197331375240675</v>
      </c>
      <c r="P74" s="119">
        <f t="shared" si="144"/>
        <v>0.54321230816757049</v>
      </c>
      <c r="Q74" s="119">
        <f t="shared" si="144"/>
        <v>0.2948900858753386</v>
      </c>
      <c r="R74" s="119">
        <f t="shared" si="144"/>
        <v>0.29393612006560255</v>
      </c>
      <c r="S74" s="119">
        <f t="shared" si="144"/>
        <v>0.2762786448065736</v>
      </c>
      <c r="T74" s="119">
        <f t="shared" si="144"/>
        <v>0.31231476795005969</v>
      </c>
      <c r="U74" s="119">
        <f t="shared" si="144"/>
        <v>0.23130796393669617</v>
      </c>
      <c r="V74" s="119">
        <f t="shared" si="144"/>
        <v>0.25122044855834247</v>
      </c>
      <c r="W74" s="119">
        <f t="shared" ref="W74:Y74" si="145">IF(W52=0,0,W52/W63)</f>
        <v>0.25586581428829669</v>
      </c>
      <c r="X74" s="119">
        <f t="shared" si="145"/>
        <v>0.36097182038499503</v>
      </c>
      <c r="Y74" s="119">
        <f t="shared" si="145"/>
        <v>0.26980541339334713</v>
      </c>
      <c r="DA74" s="176"/>
    </row>
    <row r="75" spans="1:105" ht="11.45" customHeight="1" x14ac:dyDescent="0.25">
      <c r="A75" s="111" t="s">
        <v>92</v>
      </c>
      <c r="B75" s="120">
        <f t="shared" si="141"/>
        <v>0.39505974939257749</v>
      </c>
      <c r="C75" s="120">
        <f t="shared" si="141"/>
        <v>0.34133758700258765</v>
      </c>
      <c r="D75" s="120">
        <f t="shared" si="141"/>
        <v>0.29567982069878163</v>
      </c>
      <c r="E75" s="120">
        <f t="shared" si="141"/>
        <v>0.30326199964180789</v>
      </c>
      <c r="F75" s="120">
        <f t="shared" si="141"/>
        <v>0.3022072512164421</v>
      </c>
      <c r="G75" s="120">
        <f t="shared" si="141"/>
        <v>0.30698536477121052</v>
      </c>
      <c r="H75" s="120">
        <f t="shared" si="141"/>
        <v>0.29162070178746491</v>
      </c>
      <c r="I75" s="120">
        <f t="shared" si="141"/>
        <v>0.2929003545787241</v>
      </c>
      <c r="J75" s="120">
        <f t="shared" si="141"/>
        <v>0.29823129522641578</v>
      </c>
      <c r="K75" s="120">
        <f t="shared" ref="K75:V75" si="146">IF(K53=0,0,K53/K64)</f>
        <v>0.29138252037516627</v>
      </c>
      <c r="L75" s="120">
        <f t="shared" si="146"/>
        <v>0.2969144094655598</v>
      </c>
      <c r="M75" s="120">
        <f t="shared" si="146"/>
        <v>0.30932265490771915</v>
      </c>
      <c r="N75" s="120">
        <f t="shared" si="146"/>
        <v>0.28306006931154981</v>
      </c>
      <c r="O75" s="120">
        <f t="shared" si="146"/>
        <v>0.34072220676954279</v>
      </c>
      <c r="P75" s="120">
        <f t="shared" si="146"/>
        <v>0.3096397468790924</v>
      </c>
      <c r="Q75" s="120">
        <f t="shared" si="146"/>
        <v>0.22307665621597908</v>
      </c>
      <c r="R75" s="120">
        <f t="shared" si="146"/>
        <v>0.17560175087574575</v>
      </c>
      <c r="S75" s="120">
        <f t="shared" si="146"/>
        <v>0.18068264403036788</v>
      </c>
      <c r="T75" s="120">
        <f t="shared" si="146"/>
        <v>0.19730199379487662</v>
      </c>
      <c r="U75" s="120">
        <f t="shared" si="146"/>
        <v>0.15941604618238353</v>
      </c>
      <c r="V75" s="120">
        <f t="shared" si="146"/>
        <v>0.16044113189050113</v>
      </c>
      <c r="W75" s="120">
        <f t="shared" ref="W75:Y75" si="147">IF(W53=0,0,W53/W64)</f>
        <v>0.16139399043696417</v>
      </c>
      <c r="X75" s="120">
        <f t="shared" si="147"/>
        <v>0.24428888528192538</v>
      </c>
      <c r="Y75" s="120">
        <f t="shared" si="147"/>
        <v>0.19808633849136567</v>
      </c>
      <c r="DA75" s="171"/>
    </row>
    <row r="76" spans="1:105" ht="11.45" customHeight="1" x14ac:dyDescent="0.25">
      <c r="A76" s="111" t="s">
        <v>93</v>
      </c>
      <c r="B76" s="120">
        <f t="shared" si="141"/>
        <v>0.69848098779093815</v>
      </c>
      <c r="C76" s="120">
        <f t="shared" si="141"/>
        <v>0.59725585452807162</v>
      </c>
      <c r="D76" s="120">
        <f t="shared" si="141"/>
        <v>0.46398688216333417</v>
      </c>
      <c r="E76" s="120">
        <f t="shared" si="141"/>
        <v>0.51551870983487214</v>
      </c>
      <c r="F76" s="120">
        <f t="shared" si="141"/>
        <v>0.49338421331251958</v>
      </c>
      <c r="G76" s="120">
        <f t="shared" si="141"/>
        <v>0.4983478242584588</v>
      </c>
      <c r="H76" s="120">
        <f t="shared" si="141"/>
        <v>0.4941136054343705</v>
      </c>
      <c r="I76" s="120">
        <f t="shared" si="141"/>
        <v>0.52693999750499909</v>
      </c>
      <c r="J76" s="120">
        <f t="shared" si="141"/>
        <v>0.45589357359491967</v>
      </c>
      <c r="K76" s="120">
        <f t="shared" ref="K76:V76" si="148">IF(K54=0,0,K54/K65)</f>
        <v>0.36484223482410888</v>
      </c>
      <c r="L76" s="120">
        <f t="shared" si="148"/>
        <v>0.4456735222518744</v>
      </c>
      <c r="M76" s="120">
        <f t="shared" si="148"/>
        <v>0.53288112602208892</v>
      </c>
      <c r="N76" s="120">
        <f t="shared" si="148"/>
        <v>0.45585557554446227</v>
      </c>
      <c r="O76" s="120">
        <f t="shared" si="148"/>
        <v>0.72766858591035544</v>
      </c>
      <c r="P76" s="120">
        <f t="shared" si="148"/>
        <v>0.69669538777282647</v>
      </c>
      <c r="Q76" s="120">
        <f t="shared" si="148"/>
        <v>0.32413175726231197</v>
      </c>
      <c r="R76" s="120">
        <f t="shared" si="148"/>
        <v>0.35208634133929551</v>
      </c>
      <c r="S76" s="120">
        <f t="shared" si="148"/>
        <v>0.32194168528551753</v>
      </c>
      <c r="T76" s="120">
        <f t="shared" si="148"/>
        <v>0.35907089107259554</v>
      </c>
      <c r="U76" s="120">
        <f t="shared" si="148"/>
        <v>0.24911584053609254</v>
      </c>
      <c r="V76" s="120">
        <f t="shared" si="148"/>
        <v>0.27493870970903983</v>
      </c>
      <c r="W76" s="120">
        <f t="shared" ref="W76:Y76" si="149">IF(W54=0,0,W54/W65)</f>
        <v>0.28120299563578943</v>
      </c>
      <c r="X76" s="120">
        <f t="shared" si="149"/>
        <v>0.39651817304778847</v>
      </c>
      <c r="Y76" s="120">
        <f t="shared" si="149"/>
        <v>0.28658899075085587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0.26270547309327824</v>
      </c>
      <c r="C78" s="30">
        <f t="shared" si="141"/>
        <v>0.24958003424485004</v>
      </c>
      <c r="D78" s="30">
        <f t="shared" si="141"/>
        <v>0.24779257466486379</v>
      </c>
      <c r="E78" s="30">
        <f t="shared" si="141"/>
        <v>0.25990693435343654</v>
      </c>
      <c r="F78" s="30">
        <f t="shared" si="141"/>
        <v>0.25600121030597595</v>
      </c>
      <c r="G78" s="30">
        <f t="shared" si="141"/>
        <v>0.25164524710983893</v>
      </c>
      <c r="H78" s="30">
        <f t="shared" si="141"/>
        <v>0.27876940262488509</v>
      </c>
      <c r="I78" s="30">
        <f t="shared" si="141"/>
        <v>0.29346964350188826</v>
      </c>
      <c r="J78" s="30">
        <f t="shared" si="141"/>
        <v>0.2718686639702157</v>
      </c>
      <c r="K78" s="30">
        <f t="shared" ref="K78:V78" si="152">IF(K56=0,0,K56/K67)</f>
        <v>0.27049156152892972</v>
      </c>
      <c r="L78" s="30">
        <f t="shared" si="152"/>
        <v>0.29938824826277122</v>
      </c>
      <c r="M78" s="30">
        <f t="shared" si="152"/>
        <v>0.31000406671255759</v>
      </c>
      <c r="N78" s="30">
        <f t="shared" si="152"/>
        <v>0.2990819326744012</v>
      </c>
      <c r="O78" s="30">
        <f t="shared" si="152"/>
        <v>0.32600959893154596</v>
      </c>
      <c r="P78" s="30">
        <f t="shared" si="152"/>
        <v>0.32138199349421515</v>
      </c>
      <c r="Q78" s="30">
        <f t="shared" si="152"/>
        <v>0.29501587767291426</v>
      </c>
      <c r="R78" s="30">
        <f t="shared" si="152"/>
        <v>0.24057308949936329</v>
      </c>
      <c r="S78" s="30">
        <f t="shared" si="152"/>
        <v>0.24880435063317854</v>
      </c>
      <c r="T78" s="30">
        <f t="shared" si="152"/>
        <v>0.24209865541813996</v>
      </c>
      <c r="U78" s="30">
        <f t="shared" si="152"/>
        <v>0.20724314378188716</v>
      </c>
      <c r="V78" s="30">
        <f t="shared" si="152"/>
        <v>0.18382573271514535</v>
      </c>
      <c r="W78" s="30">
        <f t="shared" ref="W78:Y78" si="153">IF(W56=0,0,W56/W67)</f>
        <v>0.17367368414860196</v>
      </c>
      <c r="X78" s="30">
        <f t="shared" si="153"/>
        <v>0.18648394303684884</v>
      </c>
      <c r="Y78" s="30">
        <f t="shared" si="153"/>
        <v>0.24756561232729377</v>
      </c>
      <c r="DA78" s="173"/>
    </row>
    <row r="79" spans="1:105" ht="11.45" customHeight="1" x14ac:dyDescent="0.25">
      <c r="A79" s="83" t="s">
        <v>92</v>
      </c>
      <c r="B79" s="120">
        <f t="shared" si="141"/>
        <v>0.22695029311389425</v>
      </c>
      <c r="C79" s="120">
        <f t="shared" si="141"/>
        <v>0.21556235896973061</v>
      </c>
      <c r="D79" s="120">
        <f t="shared" si="141"/>
        <v>0.2141581405288932</v>
      </c>
      <c r="E79" s="120">
        <f t="shared" si="141"/>
        <v>0.22524596995107679</v>
      </c>
      <c r="F79" s="120">
        <f t="shared" si="141"/>
        <v>0.22159035319390635</v>
      </c>
      <c r="G79" s="120">
        <f t="shared" si="141"/>
        <v>0.21765766351979418</v>
      </c>
      <c r="H79" s="120">
        <f t="shared" si="141"/>
        <v>0.26138904569950439</v>
      </c>
      <c r="I79" s="120">
        <f t="shared" si="141"/>
        <v>0.26290962502651177</v>
      </c>
      <c r="J79" s="120">
        <f t="shared" si="141"/>
        <v>0.25415074052027042</v>
      </c>
      <c r="K79" s="120">
        <f t="shared" ref="K79:V79" si="154">IF(K57=0,0,K57/K68)</f>
        <v>0.24285672270483202</v>
      </c>
      <c r="L79" s="120">
        <f t="shared" si="154"/>
        <v>0.25268664820654718</v>
      </c>
      <c r="M79" s="120">
        <f t="shared" si="154"/>
        <v>0.28494503068040888</v>
      </c>
      <c r="N79" s="120">
        <f t="shared" si="154"/>
        <v>0.26654615076602056</v>
      </c>
      <c r="O79" s="120">
        <f t="shared" si="154"/>
        <v>0.33086956715930393</v>
      </c>
      <c r="P79" s="120">
        <f t="shared" si="154"/>
        <v>0.30480712637185603</v>
      </c>
      <c r="Q79" s="120">
        <f t="shared" si="154"/>
        <v>0.25420974697221083</v>
      </c>
      <c r="R79" s="120">
        <f t="shared" si="154"/>
        <v>0.27803717614434054</v>
      </c>
      <c r="S79" s="120">
        <f t="shared" si="154"/>
        <v>0.28356577454731297</v>
      </c>
      <c r="T79" s="120">
        <f t="shared" si="154"/>
        <v>0.28736533533412684</v>
      </c>
      <c r="U79" s="120">
        <f t="shared" si="154"/>
        <v>0.2528602969987232</v>
      </c>
      <c r="V79" s="120">
        <f t="shared" si="154"/>
        <v>0.23924437595066969</v>
      </c>
      <c r="W79" s="120">
        <f t="shared" ref="W79:Y79" si="155">IF(W57=0,0,W57/W68)</f>
        <v>0.22911229684032433</v>
      </c>
      <c r="X79" s="120">
        <f t="shared" si="155"/>
        <v>0.26068995053463478</v>
      </c>
      <c r="Y79" s="120">
        <f t="shared" si="155"/>
        <v>0.27607821688751771</v>
      </c>
      <c r="DA79" s="171"/>
    </row>
    <row r="80" spans="1:105" ht="11.45" customHeight="1" x14ac:dyDescent="0.25">
      <c r="A80" s="85" t="s">
        <v>93</v>
      </c>
      <c r="B80" s="122">
        <f t="shared" si="141"/>
        <v>0.28286598241977579</v>
      </c>
      <c r="C80" s="122">
        <f t="shared" si="141"/>
        <v>0.26821138562261226</v>
      </c>
      <c r="D80" s="122">
        <f t="shared" si="141"/>
        <v>0.26802474858386449</v>
      </c>
      <c r="E80" s="122">
        <f t="shared" si="141"/>
        <v>0.27913047312153283</v>
      </c>
      <c r="F80" s="122">
        <f t="shared" si="141"/>
        <v>0.27571178127184431</v>
      </c>
      <c r="G80" s="122">
        <f t="shared" si="141"/>
        <v>0.26984323386432957</v>
      </c>
      <c r="H80" s="122">
        <f t="shared" si="141"/>
        <v>0.28623836058510627</v>
      </c>
      <c r="I80" s="122">
        <f t="shared" si="141"/>
        <v>0.30702715446279621</v>
      </c>
      <c r="J80" s="122">
        <f t="shared" si="141"/>
        <v>0.28509982060735212</v>
      </c>
      <c r="K80" s="122">
        <f t="shared" ref="K80:V80" si="156">IF(K58=0,0,K58/K69)</f>
        <v>0.28557070626187947</v>
      </c>
      <c r="L80" s="122">
        <f t="shared" si="156"/>
        <v>0.32721713069479563</v>
      </c>
      <c r="M80" s="122">
        <f t="shared" si="156"/>
        <v>0.32353704978844844</v>
      </c>
      <c r="N80" s="122">
        <f t="shared" si="156"/>
        <v>0.31906985048030645</v>
      </c>
      <c r="O80" s="122">
        <f t="shared" si="156"/>
        <v>0.32420176298343684</v>
      </c>
      <c r="P80" s="122">
        <f t="shared" si="156"/>
        <v>0.3271929304905446</v>
      </c>
      <c r="Q80" s="122">
        <f t="shared" si="156"/>
        <v>0.3149156104330455</v>
      </c>
      <c r="R80" s="122">
        <f t="shared" si="156"/>
        <v>0.23036578637287214</v>
      </c>
      <c r="S80" s="122">
        <f t="shared" si="156"/>
        <v>0.23972802200364762</v>
      </c>
      <c r="T80" s="122">
        <f t="shared" si="156"/>
        <v>0.2324548264624651</v>
      </c>
      <c r="U80" s="122">
        <f t="shared" si="156"/>
        <v>0.20061766369284539</v>
      </c>
      <c r="V80" s="122">
        <f t="shared" si="156"/>
        <v>0.17611614046190571</v>
      </c>
      <c r="W80" s="122">
        <f t="shared" ref="W80:Y80" si="157">IF(W58=0,0,W58/W69)</f>
        <v>0.16596909857342301</v>
      </c>
      <c r="X80" s="122">
        <f t="shared" si="157"/>
        <v>0.17670896270182102</v>
      </c>
      <c r="Y80" s="122">
        <f t="shared" si="157"/>
        <v>0.24274699569942726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153583.26468005701</v>
      </c>
      <c r="C82" s="54">
        <f t="shared" si="158"/>
        <v>150449.54142482844</v>
      </c>
      <c r="D82" s="54">
        <f t="shared" si="158"/>
        <v>150560.3998141682</v>
      </c>
      <c r="E82" s="54">
        <f t="shared" si="158"/>
        <v>148169.20805115442</v>
      </c>
      <c r="F82" s="54">
        <f t="shared" si="158"/>
        <v>151762.27585553267</v>
      </c>
      <c r="G82" s="54">
        <f t="shared" si="158"/>
        <v>152526.07553362957</v>
      </c>
      <c r="H82" s="54">
        <f t="shared" si="158"/>
        <v>150572.64346558406</v>
      </c>
      <c r="I82" s="54">
        <f t="shared" si="158"/>
        <v>150478.92382251425</v>
      </c>
      <c r="J82" s="54">
        <f t="shared" si="158"/>
        <v>147549.93263725497</v>
      </c>
      <c r="K82" s="54">
        <f t="shared" ref="K82:V82" si="159">IF(K14=0,0,K14/K25*1000000)</f>
        <v>131938.38777382459</v>
      </c>
      <c r="L82" s="54">
        <f t="shared" si="159"/>
        <v>124887.8437432795</v>
      </c>
      <c r="M82" s="54">
        <f t="shared" si="159"/>
        <v>124194.12525695765</v>
      </c>
      <c r="N82" s="54">
        <f t="shared" si="159"/>
        <v>125384.47894947174</v>
      </c>
      <c r="O82" s="54">
        <f t="shared" si="159"/>
        <v>111755.04015593599</v>
      </c>
      <c r="P82" s="54">
        <f t="shared" si="159"/>
        <v>103135.94880549831</v>
      </c>
      <c r="Q82" s="54">
        <f t="shared" si="159"/>
        <v>128131.24731490492</v>
      </c>
      <c r="R82" s="54">
        <f t="shared" si="159"/>
        <v>138007.17779615178</v>
      </c>
      <c r="S82" s="54">
        <f t="shared" si="159"/>
        <v>137906.52049663715</v>
      </c>
      <c r="T82" s="54">
        <f t="shared" si="159"/>
        <v>136399.3555014618</v>
      </c>
      <c r="U82" s="54">
        <f t="shared" si="159"/>
        <v>139480.67594532119</v>
      </c>
      <c r="V82" s="54">
        <f t="shared" si="159"/>
        <v>127026.89315765747</v>
      </c>
      <c r="W82" s="54">
        <f t="shared" ref="W82:Y82" si="160">IF(W14=0,0,W14/W25*1000000)</f>
        <v>134338.98051523342</v>
      </c>
      <c r="X82" s="54">
        <f t="shared" si="160"/>
        <v>134865.02567202793</v>
      </c>
      <c r="Y82" s="54">
        <f t="shared" si="160"/>
        <v>123933.44142309458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139592.01240259875</v>
      </c>
      <c r="C83" s="28">
        <f t="shared" si="161"/>
        <v>137053.11407950037</v>
      </c>
      <c r="D83" s="28">
        <f t="shared" si="161"/>
        <v>138273.98499289565</v>
      </c>
      <c r="E83" s="28">
        <f t="shared" si="161"/>
        <v>133591.8753906207</v>
      </c>
      <c r="F83" s="28">
        <f t="shared" si="161"/>
        <v>137388.18059741036</v>
      </c>
      <c r="G83" s="28">
        <f t="shared" si="161"/>
        <v>138106.17099443771</v>
      </c>
      <c r="H83" s="28">
        <f t="shared" si="161"/>
        <v>138209.12020304881</v>
      </c>
      <c r="I83" s="28">
        <f t="shared" si="161"/>
        <v>137677.88837845379</v>
      </c>
      <c r="J83" s="28">
        <f t="shared" si="161"/>
        <v>137571.35207186925</v>
      </c>
      <c r="K83" s="28">
        <f t="shared" ref="K83:V83" si="162">IF(K15=0,0,K15/K26*1000000)</f>
        <v>129996.47193950012</v>
      </c>
      <c r="L83" s="28">
        <f t="shared" si="162"/>
        <v>122028.17039495733</v>
      </c>
      <c r="M83" s="28">
        <f t="shared" si="162"/>
        <v>117306.82022366206</v>
      </c>
      <c r="N83" s="28">
        <f t="shared" si="162"/>
        <v>118965.0027326116</v>
      </c>
      <c r="O83" s="28">
        <f t="shared" si="162"/>
        <v>103554.37361669376</v>
      </c>
      <c r="P83" s="28">
        <f t="shared" si="162"/>
        <v>91427.277797901028</v>
      </c>
      <c r="Q83" s="28">
        <f t="shared" si="162"/>
        <v>118572.5071662369</v>
      </c>
      <c r="R83" s="28">
        <f t="shared" si="162"/>
        <v>128207.59252592298</v>
      </c>
      <c r="S83" s="28">
        <f t="shared" si="162"/>
        <v>128120.71615381492</v>
      </c>
      <c r="T83" s="28">
        <f t="shared" si="162"/>
        <v>126069.14113156234</v>
      </c>
      <c r="U83" s="28">
        <f t="shared" si="162"/>
        <v>129713.87841502286</v>
      </c>
      <c r="V83" s="28">
        <f t="shared" si="162"/>
        <v>110774.7270636272</v>
      </c>
      <c r="W83" s="28">
        <f t="shared" ref="W83:Y83" si="163">IF(W15=0,0,W15/W26*1000000)</f>
        <v>118020.81910439563</v>
      </c>
      <c r="X83" s="28">
        <f t="shared" si="163"/>
        <v>117780.07025225887</v>
      </c>
      <c r="Y83" s="28">
        <f t="shared" si="163"/>
        <v>119984.0143883094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109999.997936275</v>
      </c>
      <c r="C84" s="108">
        <f t="shared" si="161"/>
        <v>109999.99856179378</v>
      </c>
      <c r="D84" s="108">
        <f t="shared" si="161"/>
        <v>109999.99886930599</v>
      </c>
      <c r="E84" s="108">
        <f t="shared" si="161"/>
        <v>109999.9990277185</v>
      </c>
      <c r="F84" s="108">
        <f t="shared" si="161"/>
        <v>108416.10013208455</v>
      </c>
      <c r="G84" s="108">
        <f t="shared" si="161"/>
        <v>109999.99901474141</v>
      </c>
      <c r="H84" s="108">
        <f t="shared" si="161"/>
        <v>109999.99874939851</v>
      </c>
      <c r="I84" s="108">
        <f t="shared" si="161"/>
        <v>109999.998044522</v>
      </c>
      <c r="J84" s="108">
        <f t="shared" si="161"/>
        <v>109999.99833849844</v>
      </c>
      <c r="K84" s="108">
        <f t="shared" ref="K84:V84" si="164">IF(K16=0,0,K16/K27*1000000)</f>
        <v>109999.99868638421</v>
      </c>
      <c r="L84" s="108">
        <f t="shared" si="164"/>
        <v>109999.99991420713</v>
      </c>
      <c r="M84" s="108">
        <f t="shared" si="164"/>
        <v>109999.9993489148</v>
      </c>
      <c r="N84" s="108">
        <f t="shared" si="164"/>
        <v>109999.99939175237</v>
      </c>
      <c r="O84" s="108">
        <f t="shared" si="164"/>
        <v>109999.99982114426</v>
      </c>
      <c r="P84" s="108">
        <f t="shared" si="164"/>
        <v>84356.441548744464</v>
      </c>
      <c r="Q84" s="108">
        <f t="shared" si="164"/>
        <v>91712.698795400589</v>
      </c>
      <c r="R84" s="108">
        <f t="shared" si="164"/>
        <v>107415.97658996398</v>
      </c>
      <c r="S84" s="108">
        <f t="shared" si="164"/>
        <v>109999.99984284218</v>
      </c>
      <c r="T84" s="108">
        <f t="shared" si="164"/>
        <v>109999.99961525637</v>
      </c>
      <c r="U84" s="108">
        <f t="shared" si="164"/>
        <v>109999.99979161381</v>
      </c>
      <c r="V84" s="108">
        <f t="shared" si="164"/>
        <v>109999.99942413662</v>
      </c>
      <c r="W84" s="108">
        <f t="shared" ref="W84:Y84" si="165">IF(W16=0,0,W16/W27*1000000)</f>
        <v>109999.99986675516</v>
      </c>
      <c r="X84" s="108">
        <f t="shared" si="165"/>
        <v>109999.99975698892</v>
      </c>
      <c r="Y84" s="108">
        <f t="shared" si="165"/>
        <v>94143.475355955117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149999.99800939343</v>
      </c>
      <c r="C85" s="110">
        <f t="shared" si="161"/>
        <v>148157.70819513881</v>
      </c>
      <c r="D85" s="110">
        <f t="shared" si="161"/>
        <v>148777.44312053639</v>
      </c>
      <c r="E85" s="110">
        <f t="shared" si="161"/>
        <v>144308.9591415381</v>
      </c>
      <c r="F85" s="110">
        <f t="shared" si="161"/>
        <v>149999.99880582644</v>
      </c>
      <c r="G85" s="110">
        <f t="shared" si="161"/>
        <v>149999.99952474973</v>
      </c>
      <c r="H85" s="110">
        <f t="shared" si="161"/>
        <v>149999.99930130335</v>
      </c>
      <c r="I85" s="110">
        <f t="shared" si="161"/>
        <v>149999.99885409753</v>
      </c>
      <c r="J85" s="110">
        <f t="shared" si="161"/>
        <v>149999.99894992376</v>
      </c>
      <c r="K85" s="110">
        <f t="shared" ref="K85:V85" si="166">IF(K17=0,0,K17/K28*1000000)</f>
        <v>141598.45571736328</v>
      </c>
      <c r="L85" s="110">
        <f t="shared" si="166"/>
        <v>132117.30142739599</v>
      </c>
      <c r="M85" s="110">
        <f t="shared" si="166"/>
        <v>123670.06991666921</v>
      </c>
      <c r="N85" s="110">
        <f t="shared" si="166"/>
        <v>127456.72340819659</v>
      </c>
      <c r="O85" s="110">
        <f t="shared" si="166"/>
        <v>96787.601415992423</v>
      </c>
      <c r="P85" s="110">
        <f t="shared" si="166"/>
        <v>99469.612817317538</v>
      </c>
      <c r="Q85" s="110">
        <f t="shared" si="166"/>
        <v>143842.57555857534</v>
      </c>
      <c r="R85" s="110">
        <f t="shared" si="166"/>
        <v>148816.06162184483</v>
      </c>
      <c r="S85" s="110">
        <f t="shared" si="166"/>
        <v>149999.9997710571</v>
      </c>
      <c r="T85" s="110">
        <f t="shared" si="166"/>
        <v>147044.75659418307</v>
      </c>
      <c r="U85" s="110">
        <f t="shared" si="166"/>
        <v>149999.99849815367</v>
      </c>
      <c r="V85" s="110">
        <f t="shared" si="166"/>
        <v>111628.48972053923</v>
      </c>
      <c r="W85" s="110">
        <f t="shared" ref="W85:Y85" si="167">IF(W17=0,0,W17/W28*1000000)</f>
        <v>127942.81438342623</v>
      </c>
      <c r="X85" s="110">
        <f t="shared" si="167"/>
        <v>128389.72028669559</v>
      </c>
      <c r="Y85" s="110">
        <f t="shared" si="167"/>
        <v>149999.99922440783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149999.99758316655</v>
      </c>
      <c r="C86" s="84">
        <f t="shared" si="161"/>
        <v>144447.00664203422</v>
      </c>
      <c r="D86" s="84">
        <f t="shared" si="161"/>
        <v>145588.57126000212</v>
      </c>
      <c r="E86" s="84">
        <f t="shared" si="161"/>
        <v>137337.44914504961</v>
      </c>
      <c r="F86" s="84">
        <f t="shared" si="161"/>
        <v>149999.99569168355</v>
      </c>
      <c r="G86" s="84">
        <f t="shared" si="161"/>
        <v>149999.99954716634</v>
      </c>
      <c r="H86" s="84">
        <f t="shared" si="161"/>
        <v>149999.99886585632</v>
      </c>
      <c r="I86" s="84">
        <f t="shared" si="161"/>
        <v>149999.99763517221</v>
      </c>
      <c r="J86" s="84">
        <f t="shared" si="161"/>
        <v>149999.99903083727</v>
      </c>
      <c r="K86" s="84">
        <f t="shared" ref="K86:V86" si="168">IF(K18=0,0,K18/K29*1000000)</f>
        <v>121299.11971622979</v>
      </c>
      <c r="L86" s="84">
        <f t="shared" si="168"/>
        <v>149999.99770755632</v>
      </c>
      <c r="M86" s="84">
        <f t="shared" si="168"/>
        <v>149999.99779022398</v>
      </c>
      <c r="N86" s="84">
        <f t="shared" si="168"/>
        <v>149999.99925160545</v>
      </c>
      <c r="O86" s="84">
        <f t="shared" si="168"/>
        <v>119195.01561937865</v>
      </c>
      <c r="P86" s="84">
        <f t="shared" si="168"/>
        <v>94778.111864558508</v>
      </c>
      <c r="Q86" s="84">
        <f t="shared" si="168"/>
        <v>130669.54778444492</v>
      </c>
      <c r="R86" s="84">
        <f t="shared" si="168"/>
        <v>149999.99969550193</v>
      </c>
      <c r="S86" s="84">
        <f t="shared" si="168"/>
        <v>149999.99947033997</v>
      </c>
      <c r="T86" s="84">
        <f t="shared" si="168"/>
        <v>140247.93318672822</v>
      </c>
      <c r="U86" s="84">
        <f t="shared" si="168"/>
        <v>149999.99584419295</v>
      </c>
      <c r="V86" s="84">
        <f t="shared" si="168"/>
        <v>127133.51914877472</v>
      </c>
      <c r="W86" s="84">
        <f t="shared" ref="W86:Y86" si="169">IF(W18=0,0,W18/W29*1000000)</f>
        <v>149999.99582713112</v>
      </c>
      <c r="X86" s="84">
        <f t="shared" si="169"/>
        <v>149999.99336963706</v>
      </c>
      <c r="Y86" s="84">
        <f t="shared" si="169"/>
        <v>149999.99757434643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149999.99825631862</v>
      </c>
      <c r="C87" s="84">
        <f t="shared" si="161"/>
        <v>149999.99959759181</v>
      </c>
      <c r="D87" s="84">
        <f t="shared" si="161"/>
        <v>149999.99969086703</v>
      </c>
      <c r="E87" s="84">
        <f t="shared" si="161"/>
        <v>146858.52073154144</v>
      </c>
      <c r="F87" s="84">
        <f t="shared" si="161"/>
        <v>149999.99995111101</v>
      </c>
      <c r="G87" s="84">
        <f t="shared" si="161"/>
        <v>149999.99951502032</v>
      </c>
      <c r="H87" s="84">
        <f t="shared" si="161"/>
        <v>149999.99952622823</v>
      </c>
      <c r="I87" s="84">
        <f t="shared" si="161"/>
        <v>149999.99943658634</v>
      </c>
      <c r="J87" s="84">
        <f t="shared" si="161"/>
        <v>149999.99890318266</v>
      </c>
      <c r="K87" s="84">
        <f t="shared" ref="K87:V87" si="170">IF(K19=0,0,K19/K30*1000000)</f>
        <v>149999.99860812817</v>
      </c>
      <c r="L87" s="84">
        <f t="shared" si="170"/>
        <v>124835.76657974946</v>
      </c>
      <c r="M87" s="84">
        <f t="shared" si="170"/>
        <v>112447.00326881991</v>
      </c>
      <c r="N87" s="84">
        <f t="shared" si="170"/>
        <v>112031.0319283992</v>
      </c>
      <c r="O87" s="84">
        <f t="shared" si="170"/>
        <v>81173.279897045679</v>
      </c>
      <c r="P87" s="84">
        <f t="shared" si="170"/>
        <v>102813.82603259585</v>
      </c>
      <c r="Q87" s="84">
        <f t="shared" si="170"/>
        <v>149999.99868756166</v>
      </c>
      <c r="R87" s="84">
        <f t="shared" si="170"/>
        <v>148241.08948585656</v>
      </c>
      <c r="S87" s="84">
        <f t="shared" si="170"/>
        <v>149999.9999146997</v>
      </c>
      <c r="T87" s="84">
        <f t="shared" si="170"/>
        <v>149999.99953709479</v>
      </c>
      <c r="U87" s="84">
        <f t="shared" si="170"/>
        <v>149999.99915554895</v>
      </c>
      <c r="V87" s="84">
        <f t="shared" si="170"/>
        <v>108181.33482041754</v>
      </c>
      <c r="W87" s="84">
        <f t="shared" ref="W87:Y87" si="171">IF(W19=0,0,W19/W30*1000000)</f>
        <v>123088.4532376409</v>
      </c>
      <c r="X87" s="84">
        <f t="shared" si="171"/>
        <v>122991.7237256816</v>
      </c>
      <c r="Y87" s="84">
        <f t="shared" si="171"/>
        <v>149999.99961055242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199999.9979779495</v>
      </c>
      <c r="C89" s="28">
        <f t="shared" si="161"/>
        <v>199999.99224053475</v>
      </c>
      <c r="D89" s="28">
        <f t="shared" si="161"/>
        <v>199999.99718865764</v>
      </c>
      <c r="E89" s="28">
        <f t="shared" si="161"/>
        <v>199999.99602783527</v>
      </c>
      <c r="F89" s="28">
        <f t="shared" si="161"/>
        <v>199999.99444599202</v>
      </c>
      <c r="G89" s="28">
        <f t="shared" si="161"/>
        <v>199999.99848846148</v>
      </c>
      <c r="H89" s="28">
        <f t="shared" si="161"/>
        <v>194214.9729826891</v>
      </c>
      <c r="I89" s="28">
        <f t="shared" si="161"/>
        <v>198373.67189057887</v>
      </c>
      <c r="J89" s="28">
        <f t="shared" si="161"/>
        <v>187605.83705008906</v>
      </c>
      <c r="K89" s="28">
        <f t="shared" ref="K89:V89" si="174">IF(K21=0,0,K21/K32*1000000)</f>
        <v>142711.70589641307</v>
      </c>
      <c r="L89" s="28">
        <f t="shared" si="174"/>
        <v>144282.93479324787</v>
      </c>
      <c r="M89" s="28">
        <f t="shared" si="174"/>
        <v>175787.13700403238</v>
      </c>
      <c r="N89" s="28">
        <f t="shared" si="174"/>
        <v>187633.10741766432</v>
      </c>
      <c r="O89" s="28">
        <f t="shared" si="174"/>
        <v>183761.58866659534</v>
      </c>
      <c r="P89" s="28">
        <f t="shared" si="174"/>
        <v>199224.44253287627</v>
      </c>
      <c r="Q89" s="28">
        <f t="shared" si="174"/>
        <v>199999.99209326497</v>
      </c>
      <c r="R89" s="28">
        <f t="shared" si="174"/>
        <v>196703.14996835415</v>
      </c>
      <c r="S89" s="28">
        <f t="shared" si="174"/>
        <v>199999.99480678921</v>
      </c>
      <c r="T89" s="28">
        <f t="shared" si="174"/>
        <v>199999.99828943537</v>
      </c>
      <c r="U89" s="28">
        <f t="shared" si="174"/>
        <v>199999.99623270932</v>
      </c>
      <c r="V89" s="28">
        <f t="shared" si="174"/>
        <v>199999.99437747998</v>
      </c>
      <c r="W89" s="28">
        <f t="shared" ref="W89:Y89" si="175">IF(W21=0,0,W21/W32*1000000)</f>
        <v>199999.99912901036</v>
      </c>
      <c r="X89" s="28">
        <f t="shared" si="175"/>
        <v>199999.99735214451</v>
      </c>
      <c r="Y89" s="28">
        <f t="shared" si="175"/>
        <v>140798.01501579632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199999.99732786114</v>
      </c>
      <c r="C90" s="84">
        <f t="shared" si="161"/>
        <v>199999.9891182686</v>
      </c>
      <c r="D90" s="84">
        <f t="shared" si="161"/>
        <v>199999.99734653381</v>
      </c>
      <c r="E90" s="84">
        <f t="shared" si="161"/>
        <v>199999.99607219524</v>
      </c>
      <c r="F90" s="84">
        <f t="shared" si="161"/>
        <v>199999.98978388513</v>
      </c>
      <c r="G90" s="84">
        <f t="shared" si="161"/>
        <v>199999.99964531357</v>
      </c>
      <c r="H90" s="84">
        <f t="shared" si="161"/>
        <v>181966.94282094113</v>
      </c>
      <c r="I90" s="84">
        <f t="shared" si="161"/>
        <v>194803.02708520583</v>
      </c>
      <c r="J90" s="84">
        <f t="shared" si="161"/>
        <v>199999.99946335025</v>
      </c>
      <c r="K90" s="84">
        <f t="shared" ref="K90:V90" si="176">IF(K22=0,0,K22/K33*1000000)</f>
        <v>124012.80495514827</v>
      </c>
      <c r="L90" s="84">
        <f t="shared" si="176"/>
        <v>130429.80044136923</v>
      </c>
      <c r="M90" s="84">
        <f t="shared" si="176"/>
        <v>146000.67865741649</v>
      </c>
      <c r="N90" s="84">
        <f t="shared" si="176"/>
        <v>170474.4456811545</v>
      </c>
      <c r="O90" s="84">
        <f t="shared" si="176"/>
        <v>150838.52783699843</v>
      </c>
      <c r="P90" s="84">
        <f t="shared" si="176"/>
        <v>197044.9777726708</v>
      </c>
      <c r="Q90" s="84">
        <f t="shared" si="176"/>
        <v>199999.99522361139</v>
      </c>
      <c r="R90" s="84">
        <f t="shared" si="176"/>
        <v>185481.09798446667</v>
      </c>
      <c r="S90" s="84">
        <f t="shared" si="176"/>
        <v>199999.99402614351</v>
      </c>
      <c r="T90" s="84">
        <f t="shared" si="176"/>
        <v>199999.99482913694</v>
      </c>
      <c r="U90" s="84">
        <f t="shared" si="176"/>
        <v>199999.99768014031</v>
      </c>
      <c r="V90" s="84">
        <f t="shared" si="176"/>
        <v>199999.97491749731</v>
      </c>
      <c r="W90" s="84">
        <f t="shared" ref="W90:Y90" si="177">IF(W22=0,0,W22/W33*1000000)</f>
        <v>199999.99320465027</v>
      </c>
      <c r="X90" s="84">
        <f t="shared" si="177"/>
        <v>199999.99493433139</v>
      </c>
      <c r="Y90" s="84">
        <f t="shared" si="177"/>
        <v>199999.97260966169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199999.99834450096</v>
      </c>
      <c r="C91" s="86">
        <f t="shared" si="161"/>
        <v>199999.99395058808</v>
      </c>
      <c r="D91" s="86">
        <f t="shared" si="161"/>
        <v>199999.99709369015</v>
      </c>
      <c r="E91" s="86">
        <f t="shared" si="161"/>
        <v>199999.99600323249</v>
      </c>
      <c r="F91" s="86">
        <f t="shared" si="161"/>
        <v>199999.9971164513</v>
      </c>
      <c r="G91" s="86">
        <f t="shared" si="161"/>
        <v>199999.99786904763</v>
      </c>
      <c r="H91" s="86">
        <f t="shared" si="161"/>
        <v>199999.99556472545</v>
      </c>
      <c r="I91" s="86">
        <f t="shared" si="161"/>
        <v>199999.99670840128</v>
      </c>
      <c r="J91" s="86">
        <f t="shared" si="161"/>
        <v>179307.873216901</v>
      </c>
      <c r="K91" s="86">
        <f t="shared" ref="K91:V91" si="178">IF(K23=0,0,K23/K34*1000000)</f>
        <v>155506.00464653468</v>
      </c>
      <c r="L91" s="86">
        <f t="shared" si="178"/>
        <v>154031.59743248529</v>
      </c>
      <c r="M91" s="86">
        <f t="shared" si="178"/>
        <v>197553.05123096157</v>
      </c>
      <c r="N91" s="86">
        <f t="shared" si="178"/>
        <v>199999.99512674514</v>
      </c>
      <c r="O91" s="86">
        <f t="shared" si="178"/>
        <v>199999.99855811705</v>
      </c>
      <c r="P91" s="86">
        <f t="shared" si="178"/>
        <v>199999.99391273412</v>
      </c>
      <c r="Q91" s="86">
        <f t="shared" si="178"/>
        <v>199999.99056670372</v>
      </c>
      <c r="R91" s="86">
        <f t="shared" si="178"/>
        <v>199999.99447737832</v>
      </c>
      <c r="S91" s="86">
        <f t="shared" si="178"/>
        <v>199999.99501061856</v>
      </c>
      <c r="T91" s="86">
        <f t="shared" si="178"/>
        <v>199999.99902663386</v>
      </c>
      <c r="U91" s="86">
        <f t="shared" si="178"/>
        <v>199999.99602248304</v>
      </c>
      <c r="V91" s="86">
        <f t="shared" si="178"/>
        <v>199999.99708466549</v>
      </c>
      <c r="W91" s="86">
        <f t="shared" ref="W91:Y91" si="179">IF(W23=0,0,W23/W34*1000000)</f>
        <v>199999.99995234876</v>
      </c>
      <c r="X91" s="86">
        <f t="shared" si="179"/>
        <v>199999.99767063721</v>
      </c>
      <c r="Y91" s="86">
        <f t="shared" si="179"/>
        <v>134090.08855274611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23367308.97619772</v>
      </c>
      <c r="C94" s="28">
        <f t="shared" si="180"/>
        <v>20005756.4988272</v>
      </c>
      <c r="D94" s="28">
        <f t="shared" si="180"/>
        <v>16959142.848028455</v>
      </c>
      <c r="E94" s="28">
        <f t="shared" si="180"/>
        <v>17481255.021385726</v>
      </c>
      <c r="F94" s="28">
        <f t="shared" si="180"/>
        <v>17486124.846012659</v>
      </c>
      <c r="G94" s="28">
        <f t="shared" si="180"/>
        <v>17553108.49042863</v>
      </c>
      <c r="H94" s="28">
        <f t="shared" si="180"/>
        <v>17053743.772197511</v>
      </c>
      <c r="I94" s="28">
        <f t="shared" si="180"/>
        <v>17749945.574938569</v>
      </c>
      <c r="J94" s="28">
        <f t="shared" si="180"/>
        <v>15936742.809273988</v>
      </c>
      <c r="K94" s="28">
        <f t="shared" ref="K94:V94" si="181">IF(K4=0,0,K4/K26*1000000)</f>
        <v>13130009.483667396</v>
      </c>
      <c r="L94" s="28">
        <f t="shared" si="181"/>
        <v>13091256.174083482</v>
      </c>
      <c r="M94" s="28">
        <f t="shared" si="181"/>
        <v>13605676.865852168</v>
      </c>
      <c r="N94" s="28">
        <f t="shared" si="181"/>
        <v>12082075.975237582</v>
      </c>
      <c r="O94" s="28">
        <f t="shared" si="181"/>
        <v>12496055.091191674</v>
      </c>
      <c r="P94" s="28">
        <f t="shared" si="181"/>
        <v>11562647.172739102</v>
      </c>
      <c r="Q94" s="28">
        <f t="shared" si="181"/>
        <v>10337103.615336383</v>
      </c>
      <c r="R94" s="28">
        <f t="shared" si="181"/>
        <v>10967373.084507829</v>
      </c>
      <c r="S94" s="28">
        <f t="shared" si="181"/>
        <v>10490328.731753148</v>
      </c>
      <c r="T94" s="28">
        <f t="shared" si="181"/>
        <v>11060663.706592353</v>
      </c>
      <c r="U94" s="28">
        <f t="shared" si="181"/>
        <v>9266353.7238295022</v>
      </c>
      <c r="V94" s="28">
        <f t="shared" si="181"/>
        <v>6903995.6936174119</v>
      </c>
      <c r="W94" s="28">
        <f t="shared" ref="W94:Y94" si="182">IF(W4=0,0,W4/W26*1000000)</f>
        <v>7602263.5235548662</v>
      </c>
      <c r="X94" s="28">
        <f t="shared" si="182"/>
        <v>10038802.638755742</v>
      </c>
      <c r="Y94" s="28">
        <f t="shared" si="182"/>
        <v>10018081.168796808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9670630.7790096998</v>
      </c>
      <c r="C95" s="108">
        <f t="shared" si="180"/>
        <v>9320878.9696187638</v>
      </c>
      <c r="D95" s="108">
        <f t="shared" si="180"/>
        <v>8997496.46724445</v>
      </c>
      <c r="E95" s="108">
        <f t="shared" si="180"/>
        <v>9057002.2563676182</v>
      </c>
      <c r="F95" s="108">
        <f t="shared" si="180"/>
        <v>8919985.7612700015</v>
      </c>
      <c r="G95" s="108">
        <f t="shared" si="180"/>
        <v>9075513.6055854969</v>
      </c>
      <c r="H95" s="108">
        <f t="shared" si="180"/>
        <v>9031464.1631502006</v>
      </c>
      <c r="I95" s="108">
        <f t="shared" si="180"/>
        <v>8965782.2438572142</v>
      </c>
      <c r="J95" s="108">
        <f t="shared" si="180"/>
        <v>8893012.1235909127</v>
      </c>
      <c r="K95" s="108">
        <f t="shared" ref="K95:V95" si="183">IF(K5=0,0,K5/K27*1000000)</f>
        <v>8705925.4300031196</v>
      </c>
      <c r="L95" s="108">
        <f t="shared" si="183"/>
        <v>8698555.0207289252</v>
      </c>
      <c r="M95" s="108">
        <f t="shared" si="183"/>
        <v>8695861.4191623889</v>
      </c>
      <c r="N95" s="108">
        <f t="shared" si="183"/>
        <v>8766191.1658261623</v>
      </c>
      <c r="O95" s="108">
        <f t="shared" si="183"/>
        <v>8704714.669967724</v>
      </c>
      <c r="P95" s="108">
        <f t="shared" si="183"/>
        <v>6526622.1274693161</v>
      </c>
      <c r="Q95" s="108">
        <f t="shared" si="183"/>
        <v>6896914.3974073017</v>
      </c>
      <c r="R95" s="108">
        <f t="shared" si="183"/>
        <v>7910243.8317617122</v>
      </c>
      <c r="S95" s="108">
        <f t="shared" si="183"/>
        <v>8195311.0826348308</v>
      </c>
      <c r="T95" s="108">
        <f t="shared" si="183"/>
        <v>8275864.7622709414</v>
      </c>
      <c r="U95" s="108">
        <f t="shared" si="183"/>
        <v>7481728.2212960618</v>
      </c>
      <c r="V95" s="108">
        <f t="shared" si="183"/>
        <v>5025730.5019465089</v>
      </c>
      <c r="W95" s="108">
        <f t="shared" ref="W95:Y95" si="184">IF(W5=0,0,W5/W27*1000000)</f>
        <v>5279508.4769160785</v>
      </c>
      <c r="X95" s="108">
        <f t="shared" si="184"/>
        <v>6525101.2420435054</v>
      </c>
      <c r="Y95" s="108">
        <f t="shared" si="184"/>
        <v>7493445.9660357246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28184650.144351766</v>
      </c>
      <c r="C96" s="110">
        <f t="shared" si="180"/>
        <v>24391618.380779628</v>
      </c>
      <c r="D96" s="110">
        <f t="shared" si="180"/>
        <v>19916802.196876947</v>
      </c>
      <c r="E96" s="110">
        <f t="shared" si="180"/>
        <v>21308141.066090744</v>
      </c>
      <c r="F96" s="110">
        <f t="shared" si="180"/>
        <v>21215045.487872664</v>
      </c>
      <c r="G96" s="110">
        <f t="shared" si="180"/>
        <v>21140614.465365898</v>
      </c>
      <c r="H96" s="110">
        <f t="shared" si="180"/>
        <v>20406904.88067399</v>
      </c>
      <c r="I96" s="110">
        <f t="shared" si="180"/>
        <v>21660627.700482894</v>
      </c>
      <c r="J96" s="110">
        <f t="shared" si="180"/>
        <v>19111923.91365746</v>
      </c>
      <c r="K96" s="110">
        <f t="shared" ref="K96:V96" si="185">IF(K6=0,0,K6/K28*1000000)</f>
        <v>15696869.688104594</v>
      </c>
      <c r="L96" s="110">
        <f t="shared" si="185"/>
        <v>16775817.977847876</v>
      </c>
      <c r="M96" s="110">
        <f t="shared" si="185"/>
        <v>17881460.023729451</v>
      </c>
      <c r="N96" s="110">
        <f t="shared" si="185"/>
        <v>15222907.776783621</v>
      </c>
      <c r="O96" s="110">
        <f t="shared" si="185"/>
        <v>16476294.737732043</v>
      </c>
      <c r="P96" s="110">
        <f t="shared" si="185"/>
        <v>17290597.750729479</v>
      </c>
      <c r="Q96" s="110">
        <f t="shared" si="185"/>
        <v>13573679.826879414</v>
      </c>
      <c r="R96" s="110">
        <f t="shared" si="185"/>
        <v>13997573.042101979</v>
      </c>
      <c r="S96" s="110">
        <f t="shared" si="185"/>
        <v>13261374.930474885</v>
      </c>
      <c r="T96" s="110">
        <f t="shared" si="185"/>
        <v>14695759.69087529</v>
      </c>
      <c r="U96" s="110">
        <f t="shared" si="185"/>
        <v>11102782.157796932</v>
      </c>
      <c r="V96" s="110">
        <f t="shared" si="185"/>
        <v>8973874.963034939</v>
      </c>
      <c r="W96" s="110">
        <f t="shared" ref="W96:Y96" si="186">IF(W6=0,0,W6/W28*1000000)</f>
        <v>10475581.563056562</v>
      </c>
      <c r="X96" s="110">
        <f t="shared" si="186"/>
        <v>14830422.736194829</v>
      </c>
      <c r="Y96" s="110">
        <f t="shared" si="186"/>
        <v>12950659.775917793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18962867.665309757</v>
      </c>
      <c r="C97" s="84">
        <f t="shared" si="180"/>
        <v>15777661.663020385</v>
      </c>
      <c r="D97" s="84">
        <f t="shared" si="180"/>
        <v>13775232.846703749</v>
      </c>
      <c r="E97" s="84">
        <f t="shared" si="180"/>
        <v>13327753.42509851</v>
      </c>
      <c r="F97" s="84">
        <f t="shared" si="180"/>
        <v>14505947.641747788</v>
      </c>
      <c r="G97" s="84">
        <f t="shared" si="180"/>
        <v>14735297.464533843</v>
      </c>
      <c r="H97" s="84">
        <f t="shared" si="180"/>
        <v>13997793.57996159</v>
      </c>
      <c r="I97" s="84">
        <f t="shared" si="180"/>
        <v>14059216.79812791</v>
      </c>
      <c r="J97" s="84">
        <f t="shared" si="180"/>
        <v>14315102.078376865</v>
      </c>
      <c r="K97" s="84">
        <f t="shared" ref="K97:V97" si="187">IF(K7=0,0,K7/K29*1000000)</f>
        <v>11310221.831105301</v>
      </c>
      <c r="L97" s="84">
        <f t="shared" si="187"/>
        <v>14251891.436535809</v>
      </c>
      <c r="M97" s="84">
        <f t="shared" si="187"/>
        <v>14847487.216839708</v>
      </c>
      <c r="N97" s="84">
        <f t="shared" si="187"/>
        <v>13586883.259165395</v>
      </c>
      <c r="O97" s="84">
        <f t="shared" si="187"/>
        <v>12995964.402484741</v>
      </c>
      <c r="P97" s="84">
        <f t="shared" si="187"/>
        <v>9391062.5815744642</v>
      </c>
      <c r="Q97" s="84">
        <f t="shared" si="187"/>
        <v>9327784.2524825819</v>
      </c>
      <c r="R97" s="84">
        <f t="shared" si="187"/>
        <v>8428884.024925271</v>
      </c>
      <c r="S97" s="84">
        <f t="shared" si="187"/>
        <v>8672766.8828335386</v>
      </c>
      <c r="T97" s="84">
        <f t="shared" si="187"/>
        <v>8854782.9898726791</v>
      </c>
      <c r="U97" s="84">
        <f t="shared" si="187"/>
        <v>7651970.0047536632</v>
      </c>
      <c r="V97" s="84">
        <f t="shared" si="187"/>
        <v>6527182.6283046762</v>
      </c>
      <c r="W97" s="84">
        <f t="shared" ref="W97:Y97" si="188">IF(W7=0,0,W7/W29*1000000)</f>
        <v>7746911.3254619725</v>
      </c>
      <c r="X97" s="84">
        <f t="shared" si="188"/>
        <v>11725865.975220747</v>
      </c>
      <c r="Y97" s="84">
        <f t="shared" si="188"/>
        <v>9508144.0938291252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33527087.024227981</v>
      </c>
      <c r="C98" s="84">
        <f t="shared" si="180"/>
        <v>28668280.940438431</v>
      </c>
      <c r="D98" s="84">
        <f t="shared" si="180"/>
        <v>22271370.297941275</v>
      </c>
      <c r="E98" s="84">
        <f t="shared" si="180"/>
        <v>24226660.843450263</v>
      </c>
      <c r="F98" s="84">
        <f t="shared" si="180"/>
        <v>23682442.231282201</v>
      </c>
      <c r="G98" s="84">
        <f t="shared" si="180"/>
        <v>23920695.487065684</v>
      </c>
      <c r="H98" s="84">
        <f t="shared" si="180"/>
        <v>23717452.985938717</v>
      </c>
      <c r="I98" s="84">
        <f t="shared" si="180"/>
        <v>25293119.78523669</v>
      </c>
      <c r="J98" s="84">
        <f t="shared" si="180"/>
        <v>21882891.372545913</v>
      </c>
      <c r="K98" s="84">
        <f t="shared" ref="K98:V98" si="189">IF(K8=0,0,K8/K30*1000000)</f>
        <v>17512427.109056864</v>
      </c>
      <c r="L98" s="84">
        <f t="shared" si="189"/>
        <v>17803518.654275127</v>
      </c>
      <c r="M98" s="84">
        <f t="shared" si="189"/>
        <v>19174683.430303447</v>
      </c>
      <c r="N98" s="84">
        <f t="shared" si="189"/>
        <v>16342390.572339345</v>
      </c>
      <c r="O98" s="84">
        <f t="shared" si="189"/>
        <v>18901518.654844385</v>
      </c>
      <c r="P98" s="84">
        <f t="shared" si="189"/>
        <v>22921573.886779927</v>
      </c>
      <c r="Q98" s="84">
        <f t="shared" si="189"/>
        <v>15558324.212462032</v>
      </c>
      <c r="R98" s="84">
        <f t="shared" si="189"/>
        <v>16701972.106632428</v>
      </c>
      <c r="S98" s="84">
        <f t="shared" si="189"/>
        <v>15453200.884917092</v>
      </c>
      <c r="T98" s="84">
        <f t="shared" si="189"/>
        <v>17235402.718295533</v>
      </c>
      <c r="U98" s="84">
        <f t="shared" si="189"/>
        <v>11957560.278415278</v>
      </c>
      <c r="V98" s="84">
        <f t="shared" si="189"/>
        <v>9517835.7152407113</v>
      </c>
      <c r="W98" s="84">
        <f t="shared" ref="W98:Y98" si="190">IF(W8=0,0,W8/W30*1000000)</f>
        <v>11076109.369152131</v>
      </c>
      <c r="X98" s="84">
        <f t="shared" si="190"/>
        <v>15605905.149345795</v>
      </c>
      <c r="Y98" s="84">
        <f t="shared" si="190"/>
        <v>13756271.520325437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110336297.58364904</v>
      </c>
      <c r="C100" s="28">
        <f t="shared" si="180"/>
        <v>104823610.31596105</v>
      </c>
      <c r="D100" s="28">
        <f t="shared" si="180"/>
        <v>104072879.89632028</v>
      </c>
      <c r="E100" s="28">
        <f t="shared" si="180"/>
        <v>109160910.2604177</v>
      </c>
      <c r="F100" s="28">
        <f t="shared" si="180"/>
        <v>107520505.3426611</v>
      </c>
      <c r="G100" s="28">
        <f t="shared" si="180"/>
        <v>105691002.98735221</v>
      </c>
      <c r="H100" s="28">
        <f t="shared" si="180"/>
        <v>113696503.19830413</v>
      </c>
      <c r="I100" s="28">
        <f t="shared" si="180"/>
        <v>122254966.6167663</v>
      </c>
      <c r="J100" s="28">
        <f t="shared" si="180"/>
        <v>107108711.37082557</v>
      </c>
      <c r="K100" s="28">
        <f t="shared" ref="K100:V100" si="193">IF(K10=0,0,K10/K32*1000000)</f>
        <v>81064855.570394099</v>
      </c>
      <c r="L100" s="28">
        <f t="shared" si="193"/>
        <v>90712891.714120448</v>
      </c>
      <c r="M100" s="28">
        <f t="shared" si="193"/>
        <v>114438927.42871587</v>
      </c>
      <c r="N100" s="28">
        <f t="shared" si="193"/>
        <v>117847112.04037499</v>
      </c>
      <c r="O100" s="28">
        <f t="shared" si="193"/>
        <v>125806887.82246298</v>
      </c>
      <c r="P100" s="28">
        <f t="shared" si="193"/>
        <v>134457011.83737794</v>
      </c>
      <c r="Q100" s="28">
        <f t="shared" si="193"/>
        <v>123906663.72413801</v>
      </c>
      <c r="R100" s="28">
        <f t="shared" si="193"/>
        <v>99375117.45450145</v>
      </c>
      <c r="S100" s="28">
        <f t="shared" si="193"/>
        <v>104497824.55253875</v>
      </c>
      <c r="T100" s="28">
        <f t="shared" si="193"/>
        <v>101681434.40595548</v>
      </c>
      <c r="U100" s="28">
        <f t="shared" si="193"/>
        <v>87042118.74882777</v>
      </c>
      <c r="V100" s="28">
        <f t="shared" si="193"/>
        <v>77206805.569876939</v>
      </c>
      <c r="W100" s="28">
        <f t="shared" ref="W100:Y100" si="194">IF(W10=0,0,W10/W32*1000000)</f>
        <v>72942947.024750069</v>
      </c>
      <c r="X100" s="28">
        <f t="shared" si="194"/>
        <v>78323255.038533211</v>
      </c>
      <c r="Y100" s="28">
        <f t="shared" si="194"/>
        <v>73199168.283891544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95319121.834305912</v>
      </c>
      <c r="C101" s="84">
        <f t="shared" si="180"/>
        <v>90536185.841334313</v>
      </c>
      <c r="D101" s="84">
        <f t="shared" si="180"/>
        <v>89946417.828786254</v>
      </c>
      <c r="E101" s="84">
        <f t="shared" si="180"/>
        <v>94603305.52153565</v>
      </c>
      <c r="F101" s="84">
        <f t="shared" si="180"/>
        <v>93067943.587476417</v>
      </c>
      <c r="G101" s="84">
        <f t="shared" si="180"/>
        <v>91416218.516193092</v>
      </c>
      <c r="H101" s="84">
        <f t="shared" si="180"/>
        <v>99884747.618926376</v>
      </c>
      <c r="I101" s="84">
        <f t="shared" si="180"/>
        <v>107552740.69050187</v>
      </c>
      <c r="J101" s="84">
        <f t="shared" si="180"/>
        <v>106743310.73209472</v>
      </c>
      <c r="K101" s="84">
        <f t="shared" ref="K101:V101" si="195">IF(K11=0,0,K11/K33*1000000)</f>
        <v>63246421.108165815</v>
      </c>
      <c r="L101" s="84">
        <f t="shared" si="195"/>
        <v>69211525.109534681</v>
      </c>
      <c r="M101" s="84">
        <f t="shared" si="195"/>
        <v>87364552.504735917</v>
      </c>
      <c r="N101" s="84">
        <f t="shared" si="195"/>
        <v>95422545.330593884</v>
      </c>
      <c r="O101" s="84">
        <f t="shared" si="195"/>
        <v>104806544.67438604</v>
      </c>
      <c r="P101" s="84">
        <f t="shared" si="195"/>
        <v>126127498.22587746</v>
      </c>
      <c r="Q101" s="84">
        <f t="shared" si="195"/>
        <v>106768091.17849901</v>
      </c>
      <c r="R101" s="84">
        <f t="shared" si="195"/>
        <v>108298345.494681</v>
      </c>
      <c r="S101" s="84">
        <f t="shared" si="195"/>
        <v>119097621.75251085</v>
      </c>
      <c r="T101" s="84">
        <f t="shared" si="195"/>
        <v>120693437.719887</v>
      </c>
      <c r="U101" s="84">
        <f t="shared" si="195"/>
        <v>106201323.50760289</v>
      </c>
      <c r="V101" s="84">
        <f t="shared" si="195"/>
        <v>100482625.29750109</v>
      </c>
      <c r="W101" s="84">
        <f t="shared" ref="W101:Y101" si="196">IF(W11=0,0,W11/W33*1000000)</f>
        <v>96227161.403450027</v>
      </c>
      <c r="X101" s="84">
        <f t="shared" si="196"/>
        <v>109489776.45135193</v>
      </c>
      <c r="Y101" s="84">
        <f t="shared" si="196"/>
        <v>115952835.21281832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118803711.63290866</v>
      </c>
      <c r="C102" s="86">
        <f t="shared" si="180"/>
        <v>112648778.55420272</v>
      </c>
      <c r="D102" s="86">
        <f t="shared" si="180"/>
        <v>112570392.76940084</v>
      </c>
      <c r="E102" s="86">
        <f t="shared" si="180"/>
        <v>117234796.36824261</v>
      </c>
      <c r="F102" s="86">
        <f t="shared" si="180"/>
        <v>115798946.46461511</v>
      </c>
      <c r="G102" s="86">
        <f t="shared" si="180"/>
        <v>113334157.01546997</v>
      </c>
      <c r="H102" s="86">
        <f t="shared" si="180"/>
        <v>120220108.77969863</v>
      </c>
      <c r="I102" s="86">
        <f t="shared" si="180"/>
        <v>128951402.752093</v>
      </c>
      <c r="J102" s="86">
        <f t="shared" si="180"/>
        <v>107353349.22401106</v>
      </c>
      <c r="K102" s="86">
        <f t="shared" ref="K102:V102" si="197">IF(K12=0,0,K12/K34*1000000)</f>
        <v>93256715.107235447</v>
      </c>
      <c r="L102" s="86">
        <f t="shared" si="197"/>
        <v>105843732.43120675</v>
      </c>
      <c r="M102" s="86">
        <f t="shared" si="197"/>
        <v>134223035.8811402</v>
      </c>
      <c r="N102" s="86">
        <f t="shared" si="197"/>
        <v>134009333.93642043</v>
      </c>
      <c r="O102" s="86">
        <f t="shared" si="197"/>
        <v>136164739.47137535</v>
      </c>
      <c r="P102" s="86">
        <f t="shared" si="197"/>
        <v>137421026.62343699</v>
      </c>
      <c r="Q102" s="86">
        <f t="shared" si="197"/>
        <v>132264550.14342536</v>
      </c>
      <c r="R102" s="86">
        <f t="shared" si="197"/>
        <v>96753627.604937807</v>
      </c>
      <c r="S102" s="86">
        <f t="shared" si="197"/>
        <v>100685766.72973344</v>
      </c>
      <c r="T102" s="86">
        <f t="shared" si="197"/>
        <v>97631026.639081657</v>
      </c>
      <c r="U102" s="86">
        <f t="shared" si="197"/>
        <v>84259417.075278714</v>
      </c>
      <c r="V102" s="86">
        <f t="shared" si="197"/>
        <v>73968777.915781721</v>
      </c>
      <c r="W102" s="86">
        <f t="shared" ref="W102:Y102" si="198">IF(W12=0,0,W12/W34*1000000)</f>
        <v>69707021.384229541</v>
      </c>
      <c r="X102" s="86">
        <f t="shared" si="198"/>
        <v>74217763.470364332</v>
      </c>
      <c r="Y102" s="86">
        <f t="shared" si="198"/>
        <v>68354928.913423494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0.10768439989719866</v>
      </c>
      <c r="C106" s="123">
        <f t="shared" si="199"/>
        <v>0.135588320323793</v>
      </c>
      <c r="D106" s="123">
        <f t="shared" si="199"/>
        <v>0.14370468029004616</v>
      </c>
      <c r="E106" s="123">
        <f t="shared" si="199"/>
        <v>0.16183816183816183</v>
      </c>
      <c r="F106" s="123">
        <f t="shared" si="199"/>
        <v>0.15471167369901548</v>
      </c>
      <c r="G106" s="123">
        <f t="shared" si="199"/>
        <v>0.15373715905065533</v>
      </c>
      <c r="H106" s="123">
        <f t="shared" si="199"/>
        <v>0.15610780539026953</v>
      </c>
      <c r="I106" s="123">
        <f t="shared" si="199"/>
        <v>0.15560238847910079</v>
      </c>
      <c r="J106" s="123">
        <f t="shared" si="199"/>
        <v>0.17338565822333216</v>
      </c>
      <c r="K106" s="123">
        <f t="shared" ref="K106:V106" si="202">IF(K5=0,0,K5/K$4)</f>
        <v>0.24345364472753009</v>
      </c>
      <c r="L106" s="123">
        <f t="shared" si="202"/>
        <v>0.30310103367789265</v>
      </c>
      <c r="M106" s="123">
        <f t="shared" si="202"/>
        <v>0.29750938246332309</v>
      </c>
      <c r="N106" s="123">
        <f t="shared" si="202"/>
        <v>0.35294117647058826</v>
      </c>
      <c r="O106" s="123">
        <f t="shared" si="202"/>
        <v>0.35676439420699402</v>
      </c>
      <c r="P106" s="123">
        <f t="shared" si="202"/>
        <v>0.30037082818294192</v>
      </c>
      <c r="Q106" s="123">
        <f t="shared" si="202"/>
        <v>0.32342656273613457</v>
      </c>
      <c r="R106" s="123">
        <f t="shared" si="202"/>
        <v>0.3590308370044053</v>
      </c>
      <c r="S106" s="123">
        <f t="shared" si="202"/>
        <v>0.42731629392971249</v>
      </c>
      <c r="T106" s="123">
        <f t="shared" si="202"/>
        <v>0.42366263178445918</v>
      </c>
      <c r="U106" s="123">
        <f t="shared" si="202"/>
        <v>0.40947940947940947</v>
      </c>
      <c r="V106" s="123">
        <f t="shared" si="202"/>
        <v>0.38163716814159293</v>
      </c>
      <c r="W106" s="123">
        <f t="shared" ref="W106:Y106" si="203">IF(W5=0,0,W5/W$4)</f>
        <v>0.38402457757296465</v>
      </c>
      <c r="X106" s="123">
        <f t="shared" si="203"/>
        <v>0.375</v>
      </c>
      <c r="Y106" s="123">
        <f t="shared" si="203"/>
        <v>0.40195341848234412</v>
      </c>
      <c r="DA106" s="203"/>
    </row>
    <row r="107" spans="1:105" ht="11.45" customHeight="1" x14ac:dyDescent="0.25">
      <c r="A107" s="109" t="s">
        <v>24</v>
      </c>
      <c r="B107" s="124">
        <f t="shared" si="199"/>
        <v>0.89231560010280131</v>
      </c>
      <c r="C107" s="124">
        <f t="shared" si="199"/>
        <v>0.86441167967620702</v>
      </c>
      <c r="D107" s="124">
        <f t="shared" si="199"/>
        <v>0.85629531970995387</v>
      </c>
      <c r="E107" s="124">
        <f t="shared" si="199"/>
        <v>0.8381618381618382</v>
      </c>
      <c r="F107" s="124">
        <f t="shared" si="199"/>
        <v>0.84528832630098449</v>
      </c>
      <c r="G107" s="124">
        <f t="shared" si="199"/>
        <v>0.84626284094934467</v>
      </c>
      <c r="H107" s="124">
        <f t="shared" si="199"/>
        <v>0.84389219460973053</v>
      </c>
      <c r="I107" s="124">
        <f t="shared" si="199"/>
        <v>0.84439761152089921</v>
      </c>
      <c r="J107" s="124">
        <f t="shared" si="199"/>
        <v>0.82661434177666782</v>
      </c>
      <c r="K107" s="124">
        <f t="shared" ref="K107:V107" si="204">IF(K6=0,0,K6/K$4)</f>
        <v>0.75654635527246994</v>
      </c>
      <c r="L107" s="124">
        <f t="shared" si="204"/>
        <v>0.69689896632210735</v>
      </c>
      <c r="M107" s="124">
        <f t="shared" si="204"/>
        <v>0.70249061753667685</v>
      </c>
      <c r="N107" s="124">
        <f t="shared" si="204"/>
        <v>0.6470588235294118</v>
      </c>
      <c r="O107" s="124">
        <f t="shared" si="204"/>
        <v>0.64323560579300598</v>
      </c>
      <c r="P107" s="124">
        <f t="shared" si="204"/>
        <v>0.69962917181705808</v>
      </c>
      <c r="Q107" s="124">
        <f t="shared" si="204"/>
        <v>0.67657343726386532</v>
      </c>
      <c r="R107" s="124">
        <f t="shared" si="204"/>
        <v>0.6409691629955947</v>
      </c>
      <c r="S107" s="124">
        <f t="shared" si="204"/>
        <v>0.57268370607028751</v>
      </c>
      <c r="T107" s="124">
        <f t="shared" si="204"/>
        <v>0.57633736821554082</v>
      </c>
      <c r="U107" s="124">
        <f t="shared" si="204"/>
        <v>0.59052059052059047</v>
      </c>
      <c r="V107" s="124">
        <f t="shared" si="204"/>
        <v>0.61836283185840712</v>
      </c>
      <c r="W107" s="124">
        <f t="shared" ref="W107:Y107" si="205">IF(W6=0,0,W6/W$4)</f>
        <v>0.61597542242703529</v>
      </c>
      <c r="X107" s="124">
        <f t="shared" si="205"/>
        <v>0.625</v>
      </c>
      <c r="Y107" s="124">
        <f t="shared" si="205"/>
        <v>0.59804658151765588</v>
      </c>
      <c r="DA107" s="176"/>
    </row>
    <row r="108" spans="1:105" ht="11.45" customHeight="1" x14ac:dyDescent="0.25">
      <c r="A108" s="111" t="s">
        <v>92</v>
      </c>
      <c r="B108" s="125">
        <f t="shared" si="199"/>
        <v>0.22022267822853142</v>
      </c>
      <c r="C108" s="125">
        <f t="shared" si="199"/>
        <v>0.18550424457064132</v>
      </c>
      <c r="D108" s="125">
        <f t="shared" si="199"/>
        <v>0.16413176315984451</v>
      </c>
      <c r="E108" s="125">
        <f t="shared" si="199"/>
        <v>0.14038443116821195</v>
      </c>
      <c r="F108" s="125">
        <f t="shared" si="199"/>
        <v>0.15540650154315344</v>
      </c>
      <c r="G108" s="125">
        <f t="shared" si="199"/>
        <v>0.17852787923825214</v>
      </c>
      <c r="H108" s="125">
        <f t="shared" si="199"/>
        <v>0.19715975548412248</v>
      </c>
      <c r="I108" s="125">
        <f t="shared" si="199"/>
        <v>0.17721933143533639</v>
      </c>
      <c r="J108" s="125">
        <f t="shared" si="199"/>
        <v>0.22670201035405282</v>
      </c>
      <c r="K108" s="125">
        <f t="shared" ref="K108:V108" si="206">IF(K7=0,0,K7/K$4)</f>
        <v>0.15957228581597668</v>
      </c>
      <c r="L108" s="125">
        <f t="shared" si="206"/>
        <v>0.17131598491161984</v>
      </c>
      <c r="M108" s="125">
        <f t="shared" si="206"/>
        <v>0.17432411945763532</v>
      </c>
      <c r="N108" s="125">
        <f t="shared" si="206"/>
        <v>0.23462908500168897</v>
      </c>
      <c r="O108" s="125">
        <f t="shared" si="206"/>
        <v>0.2083580173359306</v>
      </c>
      <c r="P108" s="125">
        <f t="shared" si="206"/>
        <v>0.15814013860770124</v>
      </c>
      <c r="Q108" s="125">
        <f t="shared" si="206"/>
        <v>0.14809924646486466</v>
      </c>
      <c r="R108" s="125">
        <f t="shared" si="206"/>
        <v>0.12617043514522167</v>
      </c>
      <c r="S108" s="125">
        <f t="shared" si="206"/>
        <v>0.12106887819049945</v>
      </c>
      <c r="T108" s="125">
        <f t="shared" si="206"/>
        <v>0.10523475661064136</v>
      </c>
      <c r="U108" s="125">
        <f t="shared" si="206"/>
        <v>8.0797362348519627E-2</v>
      </c>
      <c r="V108" s="125">
        <f t="shared" si="206"/>
        <v>8.1807035506577336E-2</v>
      </c>
      <c r="W108" s="125">
        <f t="shared" ref="W108:Y108" si="207">IF(W7=0,0,W7/W$4)</f>
        <v>8.2168870425347804E-2</v>
      </c>
      <c r="X108" s="125">
        <f t="shared" si="207"/>
        <v>9.8765952256844328E-2</v>
      </c>
      <c r="Y108" s="125">
        <f t="shared" si="207"/>
        <v>8.3265889581697977E-2</v>
      </c>
      <c r="DA108" s="171"/>
    </row>
    <row r="109" spans="1:105" ht="11.45" customHeight="1" x14ac:dyDescent="0.25">
      <c r="A109" s="111" t="s">
        <v>93</v>
      </c>
      <c r="B109" s="125">
        <f t="shared" si="199"/>
        <v>0.67209292187426994</v>
      </c>
      <c r="C109" s="125">
        <f t="shared" si="199"/>
        <v>0.67890743510556573</v>
      </c>
      <c r="D109" s="125">
        <f t="shared" si="199"/>
        <v>0.6921635565501093</v>
      </c>
      <c r="E109" s="125">
        <f t="shared" si="199"/>
        <v>0.69777740699362623</v>
      </c>
      <c r="F109" s="125">
        <f t="shared" si="199"/>
        <v>0.68988182475783111</v>
      </c>
      <c r="G109" s="125">
        <f t="shared" si="199"/>
        <v>0.66773496171109259</v>
      </c>
      <c r="H109" s="125">
        <f t="shared" si="199"/>
        <v>0.64673243912560796</v>
      </c>
      <c r="I109" s="125">
        <f t="shared" si="199"/>
        <v>0.66717828008556279</v>
      </c>
      <c r="J109" s="125">
        <f t="shared" si="199"/>
        <v>0.59991233142261502</v>
      </c>
      <c r="K109" s="125">
        <f t="shared" ref="K109:V109" si="208">IF(K8=0,0,K8/K$4)</f>
        <v>0.59697406945649323</v>
      </c>
      <c r="L109" s="125">
        <f t="shared" si="208"/>
        <v>0.52558298141048754</v>
      </c>
      <c r="M109" s="125">
        <f t="shared" si="208"/>
        <v>0.52816649807904159</v>
      </c>
      <c r="N109" s="125">
        <f t="shared" si="208"/>
        <v>0.4124297385277228</v>
      </c>
      <c r="O109" s="125">
        <f t="shared" si="208"/>
        <v>0.43487758845707536</v>
      </c>
      <c r="P109" s="125">
        <f t="shared" si="208"/>
        <v>0.54148903320935682</v>
      </c>
      <c r="Q109" s="125">
        <f t="shared" si="208"/>
        <v>0.52847419079900071</v>
      </c>
      <c r="R109" s="125">
        <f t="shared" si="208"/>
        <v>0.51479872785037306</v>
      </c>
      <c r="S109" s="125">
        <f t="shared" si="208"/>
        <v>0.45161482787978813</v>
      </c>
      <c r="T109" s="125">
        <f t="shared" si="208"/>
        <v>0.47110261160489941</v>
      </c>
      <c r="U109" s="125">
        <f t="shared" si="208"/>
        <v>0.50972322817207094</v>
      </c>
      <c r="V109" s="125">
        <f t="shared" si="208"/>
        <v>0.53655579635182971</v>
      </c>
      <c r="W109" s="125">
        <f t="shared" ref="W109:Y109" si="209">IF(W8=0,0,W8/W$4)</f>
        <v>0.53380655200168747</v>
      </c>
      <c r="X109" s="125">
        <f t="shared" si="209"/>
        <v>0.52623404774315563</v>
      </c>
      <c r="Y109" s="125">
        <f t="shared" si="209"/>
        <v>0.51478069193595788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0.31147948206392045</v>
      </c>
      <c r="C112" s="125">
        <f t="shared" si="212"/>
        <v>0.30564486056660251</v>
      </c>
      <c r="D112" s="125">
        <f t="shared" si="212"/>
        <v>0.32461547501548532</v>
      </c>
      <c r="E112" s="125">
        <f t="shared" si="212"/>
        <v>0.30917802433623276</v>
      </c>
      <c r="F112" s="125">
        <f t="shared" si="212"/>
        <v>0.31523816327624082</v>
      </c>
      <c r="G112" s="125">
        <f t="shared" si="212"/>
        <v>0.30161861471304041</v>
      </c>
      <c r="H112" s="125">
        <f t="shared" si="212"/>
        <v>0.28183042420563853</v>
      </c>
      <c r="I112" s="125">
        <f t="shared" si="212"/>
        <v>0.2753037210084493</v>
      </c>
      <c r="J112" s="125">
        <f t="shared" si="212"/>
        <v>0.39965227776210721</v>
      </c>
      <c r="K112" s="125">
        <f t="shared" ref="K112:V112" si="215">IF(K11=0,0,K11/K$10)</f>
        <v>0.31695896679505281</v>
      </c>
      <c r="L112" s="125">
        <f t="shared" si="215"/>
        <v>0.31514424364481686</v>
      </c>
      <c r="M112" s="125">
        <f t="shared" si="215"/>
        <v>0.32232184026464672</v>
      </c>
      <c r="N112" s="125">
        <f t="shared" si="215"/>
        <v>0.33915207766258626</v>
      </c>
      <c r="O112" s="125">
        <f t="shared" si="215"/>
        <v>0.27517097142258234</v>
      </c>
      <c r="P112" s="125">
        <f t="shared" si="215"/>
        <v>0.24619376146431735</v>
      </c>
      <c r="Q112" s="125">
        <f t="shared" si="215"/>
        <v>0.28246419944524548</v>
      </c>
      <c r="R112" s="125">
        <f t="shared" si="215"/>
        <v>0.24746228712285306</v>
      </c>
      <c r="S112" s="125">
        <f t="shared" si="215"/>
        <v>0.23597053265147633</v>
      </c>
      <c r="T112" s="125">
        <f t="shared" si="215"/>
        <v>0.20846638313174232</v>
      </c>
      <c r="U112" s="125">
        <f t="shared" si="215"/>
        <v>0.15473649868807376</v>
      </c>
      <c r="V112" s="125">
        <f t="shared" si="215"/>
        <v>0.15894365323030368</v>
      </c>
      <c r="W112" s="125">
        <f t="shared" ref="W112:Y112" si="216">IF(W11=0,0,W11/W$10)</f>
        <v>0.16096708883951086</v>
      </c>
      <c r="X112" s="125">
        <f t="shared" si="216"/>
        <v>0.16271131684436604</v>
      </c>
      <c r="Y112" s="125">
        <f t="shared" si="216"/>
        <v>0.16121779279617257</v>
      </c>
      <c r="DA112" s="171"/>
    </row>
    <row r="113" spans="1:105" ht="11.45" customHeight="1" x14ac:dyDescent="0.25">
      <c r="A113" s="85" t="s">
        <v>93</v>
      </c>
      <c r="B113" s="127">
        <f t="shared" si="212"/>
        <v>0.68852051793607949</v>
      </c>
      <c r="C113" s="127">
        <f t="shared" si="212"/>
        <v>0.69435513943339755</v>
      </c>
      <c r="D113" s="127">
        <f t="shared" si="212"/>
        <v>0.67538452498451473</v>
      </c>
      <c r="E113" s="127">
        <f t="shared" si="212"/>
        <v>0.69082197566376724</v>
      </c>
      <c r="F113" s="127">
        <f t="shared" si="212"/>
        <v>0.68476183672375923</v>
      </c>
      <c r="G113" s="127">
        <f t="shared" si="212"/>
        <v>0.69838138528695959</v>
      </c>
      <c r="H113" s="127">
        <f t="shared" si="212"/>
        <v>0.71816957579436158</v>
      </c>
      <c r="I113" s="127">
        <f t="shared" si="212"/>
        <v>0.72469627899155076</v>
      </c>
      <c r="J113" s="127">
        <f t="shared" si="212"/>
        <v>0.60034772223789279</v>
      </c>
      <c r="K113" s="127">
        <f t="shared" ref="K113:V113" si="217">IF(K12=0,0,K12/K$10)</f>
        <v>0.68304103320494713</v>
      </c>
      <c r="L113" s="127">
        <f t="shared" si="217"/>
        <v>0.68485575635518325</v>
      </c>
      <c r="M113" s="127">
        <f t="shared" si="217"/>
        <v>0.67767815973535317</v>
      </c>
      <c r="N113" s="127">
        <f t="shared" si="217"/>
        <v>0.66084792233741374</v>
      </c>
      <c r="O113" s="127">
        <f t="shared" si="217"/>
        <v>0.72482902857741771</v>
      </c>
      <c r="P113" s="127">
        <f t="shared" si="217"/>
        <v>0.75380623853568263</v>
      </c>
      <c r="Q113" s="127">
        <f t="shared" si="217"/>
        <v>0.71753580055475452</v>
      </c>
      <c r="R113" s="127">
        <f t="shared" si="217"/>
        <v>0.75253771287714699</v>
      </c>
      <c r="S113" s="127">
        <f t="shared" si="217"/>
        <v>0.76402946734852373</v>
      </c>
      <c r="T113" s="127">
        <f t="shared" si="217"/>
        <v>0.79153361686825763</v>
      </c>
      <c r="U113" s="127">
        <f t="shared" si="217"/>
        <v>0.84526350131192618</v>
      </c>
      <c r="V113" s="127">
        <f t="shared" si="217"/>
        <v>0.84105634676969632</v>
      </c>
      <c r="W113" s="127">
        <f t="shared" ref="W113:Y113" si="218">IF(W12=0,0,W12/W$10)</f>
        <v>0.83903291116048917</v>
      </c>
      <c r="X113" s="127">
        <f t="shared" si="218"/>
        <v>0.83728868315563398</v>
      </c>
      <c r="Y113" s="127">
        <f t="shared" si="218"/>
        <v>0.83878220720382735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0.20504009747231197</v>
      </c>
      <c r="C117" s="123">
        <f t="shared" si="219"/>
        <v>0.23357381919051082</v>
      </c>
      <c r="D117" s="123">
        <f t="shared" si="219"/>
        <v>0.2154791867580782</v>
      </c>
      <c r="E117" s="123">
        <f t="shared" si="219"/>
        <v>0.25720636060124563</v>
      </c>
      <c r="F117" s="123">
        <f t="shared" si="219"/>
        <v>0.23932987109509476</v>
      </c>
      <c r="G117" s="123">
        <f t="shared" si="219"/>
        <v>0.23683248556415995</v>
      </c>
      <c r="H117" s="123">
        <f t="shared" si="219"/>
        <v>0.23460764858740299</v>
      </c>
      <c r="I117" s="123">
        <f t="shared" si="219"/>
        <v>0.24612378152296677</v>
      </c>
      <c r="J117" s="123">
        <f t="shared" si="219"/>
        <v>0.24844400640981384</v>
      </c>
      <c r="K117" s="123">
        <f t="shared" ref="K117:V117" si="222">IF(K16=0,0,K16/K$15)</f>
        <v>0.31069015495224162</v>
      </c>
      <c r="L117" s="123">
        <f t="shared" si="222"/>
        <v>0.411201044349017</v>
      </c>
      <c r="M117" s="123">
        <f t="shared" si="222"/>
        <v>0.43649334696235276</v>
      </c>
      <c r="N117" s="123">
        <f t="shared" si="222"/>
        <v>0.44978650184394298</v>
      </c>
      <c r="O117" s="123">
        <f t="shared" si="222"/>
        <v>0.54403160956664665</v>
      </c>
      <c r="P117" s="123">
        <f t="shared" si="222"/>
        <v>0.49098589835297918</v>
      </c>
      <c r="Q117" s="123">
        <f t="shared" si="222"/>
        <v>0.37494294789459015</v>
      </c>
      <c r="R117" s="123">
        <f t="shared" si="222"/>
        <v>0.41706105199357801</v>
      </c>
      <c r="S117" s="123">
        <f t="shared" si="222"/>
        <v>0.46961983803773028</v>
      </c>
      <c r="T117" s="123">
        <f t="shared" si="222"/>
        <v>0.49405107898520451</v>
      </c>
      <c r="U117" s="123">
        <f t="shared" si="222"/>
        <v>0.43007604589838677</v>
      </c>
      <c r="V117" s="123">
        <f t="shared" si="222"/>
        <v>0.52059977278116454</v>
      </c>
      <c r="W117" s="123">
        <f t="shared" ref="W117:Y117" si="223">IF(W16=0,0,W16/W$15)</f>
        <v>0.51539773848721326</v>
      </c>
      <c r="X117" s="123">
        <f t="shared" si="223"/>
        <v>0.53882384241899195</v>
      </c>
      <c r="Y117" s="123">
        <f t="shared" si="223"/>
        <v>0.42164361755956964</v>
      </c>
      <c r="DA117" s="203"/>
    </row>
    <row r="118" spans="1:105" ht="11.45" customHeight="1" x14ac:dyDescent="0.25">
      <c r="A118" s="109" t="s">
        <v>24</v>
      </c>
      <c r="B118" s="124">
        <f t="shared" si="219"/>
        <v>0.794959902527688</v>
      </c>
      <c r="C118" s="124">
        <f t="shared" si="219"/>
        <v>0.76642618080948932</v>
      </c>
      <c r="D118" s="124">
        <f t="shared" si="219"/>
        <v>0.7845208132419218</v>
      </c>
      <c r="E118" s="124">
        <f t="shared" si="219"/>
        <v>0.74279363939875431</v>
      </c>
      <c r="F118" s="124">
        <f t="shared" si="219"/>
        <v>0.76067012890490515</v>
      </c>
      <c r="G118" s="124">
        <f t="shared" si="219"/>
        <v>0.76316751443584008</v>
      </c>
      <c r="H118" s="124">
        <f t="shared" si="219"/>
        <v>0.76539235141259698</v>
      </c>
      <c r="I118" s="124">
        <f t="shared" si="219"/>
        <v>0.75387621847703323</v>
      </c>
      <c r="J118" s="124">
        <f t="shared" si="219"/>
        <v>0.75155599359018621</v>
      </c>
      <c r="K118" s="124">
        <f t="shared" ref="K118:V118" si="224">IF(K17=0,0,K17/K$15)</f>
        <v>0.68930984504775838</v>
      </c>
      <c r="L118" s="124">
        <f t="shared" si="224"/>
        <v>0.58879895565098306</v>
      </c>
      <c r="M118" s="124">
        <f t="shared" si="224"/>
        <v>0.56350665303764724</v>
      </c>
      <c r="N118" s="124">
        <f t="shared" si="224"/>
        <v>0.55021349815605702</v>
      </c>
      <c r="O118" s="124">
        <f t="shared" si="224"/>
        <v>0.4559683904333533</v>
      </c>
      <c r="P118" s="124">
        <f t="shared" si="224"/>
        <v>0.50901410164702088</v>
      </c>
      <c r="Q118" s="124">
        <f t="shared" si="224"/>
        <v>0.62505705210540974</v>
      </c>
      <c r="R118" s="124">
        <f t="shared" si="224"/>
        <v>0.5829389480064221</v>
      </c>
      <c r="S118" s="124">
        <f t="shared" si="224"/>
        <v>0.53038016196226978</v>
      </c>
      <c r="T118" s="124">
        <f t="shared" si="224"/>
        <v>0.50594892101479561</v>
      </c>
      <c r="U118" s="124">
        <f t="shared" si="224"/>
        <v>0.56992395410161312</v>
      </c>
      <c r="V118" s="124">
        <f t="shared" si="224"/>
        <v>0.47940022721883535</v>
      </c>
      <c r="W118" s="124">
        <f t="shared" ref="W118:Y118" si="225">IF(W17=0,0,W17/W$15)</f>
        <v>0.48460226151278679</v>
      </c>
      <c r="X118" s="124">
        <f t="shared" si="225"/>
        <v>0.46117615758100811</v>
      </c>
      <c r="Y118" s="124">
        <f t="shared" si="225"/>
        <v>0.57835638244043031</v>
      </c>
      <c r="DA118" s="176"/>
    </row>
    <row r="119" spans="1:105" ht="11.45" customHeight="1" x14ac:dyDescent="0.25">
      <c r="A119" s="111" t="s">
        <v>92</v>
      </c>
      <c r="B119" s="125">
        <f t="shared" si="219"/>
        <v>0.29160664121816748</v>
      </c>
      <c r="C119" s="125">
        <f t="shared" si="219"/>
        <v>0.24790531014891626</v>
      </c>
      <c r="D119" s="125">
        <f t="shared" si="219"/>
        <v>0.21275726041341089</v>
      </c>
      <c r="E119" s="125">
        <f t="shared" si="219"/>
        <v>0.18929691481664723</v>
      </c>
      <c r="F119" s="125">
        <f t="shared" si="219"/>
        <v>0.20453071067504294</v>
      </c>
      <c r="G119" s="125">
        <f t="shared" si="219"/>
        <v>0.23098264423310605</v>
      </c>
      <c r="H119" s="125">
        <f t="shared" si="219"/>
        <v>0.26069516282012012</v>
      </c>
      <c r="I119" s="125">
        <f t="shared" si="219"/>
        <v>0.24376651439764901</v>
      </c>
      <c r="J119" s="125">
        <f t="shared" si="219"/>
        <v>0.27518435330895674</v>
      </c>
      <c r="K119" s="125">
        <f t="shared" ref="K119:V119" si="226">IF(K18=0,0,K18/K$15)</f>
        <v>0.17285321684419086</v>
      </c>
      <c r="L119" s="125">
        <f t="shared" si="226"/>
        <v>0.19343624627543082</v>
      </c>
      <c r="M119" s="125">
        <f t="shared" si="226"/>
        <v>0.20426439042647881</v>
      </c>
      <c r="N119" s="125">
        <f t="shared" si="226"/>
        <v>0.2630725917488535</v>
      </c>
      <c r="O119" s="125">
        <f t="shared" si="226"/>
        <v>0.23060264437519151</v>
      </c>
      <c r="P119" s="125">
        <f t="shared" si="226"/>
        <v>0.20184449890173986</v>
      </c>
      <c r="Q119" s="125">
        <f t="shared" si="226"/>
        <v>0.18086878075948368</v>
      </c>
      <c r="R119" s="125">
        <f t="shared" si="226"/>
        <v>0.192073589691834</v>
      </c>
      <c r="S119" s="125">
        <f t="shared" si="226"/>
        <v>0.17144935000066083</v>
      </c>
      <c r="T119" s="125">
        <f t="shared" si="226"/>
        <v>0.14623460036368982</v>
      </c>
      <c r="U119" s="125">
        <f t="shared" si="226"/>
        <v>0.11314558209198257</v>
      </c>
      <c r="V119" s="125">
        <f t="shared" si="226"/>
        <v>9.9308125128206429E-2</v>
      </c>
      <c r="W119" s="125">
        <f t="shared" ref="W119:Y119" si="227">IF(W18=0,0,W18/W$15)</f>
        <v>0.10248357676435293</v>
      </c>
      <c r="X119" s="125">
        <f t="shared" si="227"/>
        <v>0.10768709870245227</v>
      </c>
      <c r="Y119" s="125">
        <f t="shared" si="227"/>
        <v>0.10967907556529753</v>
      </c>
      <c r="DA119" s="171"/>
    </row>
    <row r="120" spans="1:105" ht="11.45" customHeight="1" x14ac:dyDescent="0.25">
      <c r="A120" s="111" t="s">
        <v>93</v>
      </c>
      <c r="B120" s="125">
        <f t="shared" si="219"/>
        <v>0.50335326130952052</v>
      </c>
      <c r="C120" s="125">
        <f t="shared" si="219"/>
        <v>0.51852087066057306</v>
      </c>
      <c r="D120" s="125">
        <f t="shared" si="219"/>
        <v>0.57176355282851088</v>
      </c>
      <c r="E120" s="125">
        <f t="shared" si="219"/>
        <v>0.55349672458210708</v>
      </c>
      <c r="F120" s="125">
        <f t="shared" si="219"/>
        <v>0.55613941822986224</v>
      </c>
      <c r="G120" s="125">
        <f t="shared" si="219"/>
        <v>0.53218487020273397</v>
      </c>
      <c r="H120" s="125">
        <f t="shared" si="219"/>
        <v>0.50469718859247692</v>
      </c>
      <c r="I120" s="125">
        <f t="shared" si="219"/>
        <v>0.51010970407938416</v>
      </c>
      <c r="J120" s="125">
        <f t="shared" si="219"/>
        <v>0.47637164028122947</v>
      </c>
      <c r="K120" s="125">
        <f t="shared" ref="K120:V120" si="228">IF(K19=0,0,K19/K$15)</f>
        <v>0.51645662820356752</v>
      </c>
      <c r="L120" s="125">
        <f t="shared" si="228"/>
        <v>0.39536270937555218</v>
      </c>
      <c r="M120" s="125">
        <f t="shared" si="228"/>
        <v>0.35924226261116837</v>
      </c>
      <c r="N120" s="125">
        <f t="shared" si="228"/>
        <v>0.28714090640720352</v>
      </c>
      <c r="O120" s="125">
        <f t="shared" si="228"/>
        <v>0.22536574605816179</v>
      </c>
      <c r="P120" s="125">
        <f t="shared" si="228"/>
        <v>0.30716960274528105</v>
      </c>
      <c r="Q120" s="125">
        <f t="shared" si="228"/>
        <v>0.44418827134592614</v>
      </c>
      <c r="R120" s="125">
        <f t="shared" si="228"/>
        <v>0.39086535831458802</v>
      </c>
      <c r="S120" s="125">
        <f t="shared" si="228"/>
        <v>0.35893081196160898</v>
      </c>
      <c r="T120" s="125">
        <f t="shared" si="228"/>
        <v>0.35971432065110576</v>
      </c>
      <c r="U120" s="125">
        <f t="shared" si="228"/>
        <v>0.45677837200963056</v>
      </c>
      <c r="V120" s="125">
        <f t="shared" si="228"/>
        <v>0.38009210209062894</v>
      </c>
      <c r="W120" s="125">
        <f t="shared" ref="W120:Y120" si="229">IF(W19=0,0,W19/W$15)</f>
        <v>0.38211868474843386</v>
      </c>
      <c r="X120" s="125">
        <f t="shared" si="229"/>
        <v>0.35348905887855581</v>
      </c>
      <c r="Y120" s="125">
        <f t="shared" si="229"/>
        <v>0.46867730687513276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0.3605519233825652</v>
      </c>
      <c r="C123" s="125">
        <f t="shared" si="232"/>
        <v>0.35387836323356781</v>
      </c>
      <c r="D123" s="125">
        <f t="shared" si="232"/>
        <v>0.37559769678375893</v>
      </c>
      <c r="E123" s="125">
        <f t="shared" si="232"/>
        <v>0.35675449595007636</v>
      </c>
      <c r="F123" s="125">
        <f t="shared" si="232"/>
        <v>0.36419162734368421</v>
      </c>
      <c r="G123" s="125">
        <f t="shared" si="232"/>
        <v>0.34871683176681612</v>
      </c>
      <c r="H123" s="125">
        <f t="shared" si="232"/>
        <v>0.30056997525307078</v>
      </c>
      <c r="I123" s="125">
        <f t="shared" si="232"/>
        <v>0.30730440108819035</v>
      </c>
      <c r="J123" s="125">
        <f t="shared" si="232"/>
        <v>0.42751372899962786</v>
      </c>
      <c r="K123" s="125">
        <f t="shared" ref="K123:V123" si="235">IF(K22=0,0,K22/K$21)</f>
        <v>0.35302595256212843</v>
      </c>
      <c r="L123" s="125">
        <f t="shared" si="235"/>
        <v>0.37338926977176562</v>
      </c>
      <c r="M123" s="125">
        <f t="shared" si="235"/>
        <v>0.35066792017294812</v>
      </c>
      <c r="N123" s="125">
        <f t="shared" si="235"/>
        <v>0.38055045464492893</v>
      </c>
      <c r="O123" s="125">
        <f t="shared" si="235"/>
        <v>0.27112913043431408</v>
      </c>
      <c r="P123" s="125">
        <f t="shared" si="235"/>
        <v>0.25958133849113063</v>
      </c>
      <c r="Q123" s="125">
        <f t="shared" si="235"/>
        <v>0.32780577732775001</v>
      </c>
      <c r="R123" s="125">
        <f t="shared" si="235"/>
        <v>0.21411801030815159</v>
      </c>
      <c r="S123" s="125">
        <f t="shared" si="235"/>
        <v>0.20704365764395155</v>
      </c>
      <c r="T123" s="125">
        <f t="shared" si="235"/>
        <v>0.17562811115472771</v>
      </c>
      <c r="U123" s="125">
        <f t="shared" si="235"/>
        <v>0.126821327138124</v>
      </c>
      <c r="V123" s="125">
        <f t="shared" si="235"/>
        <v>0.12212589491134813</v>
      </c>
      <c r="W123" s="125">
        <f t="shared" ref="W123:Y123" si="236">IF(W22=0,0,W22/W$21)</f>
        <v>0.12201766439850419</v>
      </c>
      <c r="X123" s="125">
        <f t="shared" si="236"/>
        <v>0.11639515784795897</v>
      </c>
      <c r="Y123" s="125">
        <f t="shared" si="236"/>
        <v>0.14456765927280868</v>
      </c>
      <c r="DA123" s="171"/>
    </row>
    <row r="124" spans="1:105" ht="11.45" customHeight="1" x14ac:dyDescent="0.25">
      <c r="A124" s="85" t="s">
        <v>93</v>
      </c>
      <c r="B124" s="127">
        <f t="shared" si="232"/>
        <v>0.63944807661743486</v>
      </c>
      <c r="C124" s="127">
        <f t="shared" si="232"/>
        <v>0.64612163676643219</v>
      </c>
      <c r="D124" s="127">
        <f t="shared" si="232"/>
        <v>0.62440230321624113</v>
      </c>
      <c r="E124" s="127">
        <f t="shared" si="232"/>
        <v>0.64324550404992364</v>
      </c>
      <c r="F124" s="127">
        <f t="shared" si="232"/>
        <v>0.63580837265631585</v>
      </c>
      <c r="G124" s="127">
        <f t="shared" si="232"/>
        <v>0.65128316823318388</v>
      </c>
      <c r="H124" s="127">
        <f t="shared" si="232"/>
        <v>0.69943002474692917</v>
      </c>
      <c r="I124" s="127">
        <f t="shared" si="232"/>
        <v>0.69269559891180965</v>
      </c>
      <c r="J124" s="127">
        <f t="shared" si="232"/>
        <v>0.57248627100037219</v>
      </c>
      <c r="K124" s="127">
        <f t="shared" ref="K124:V124" si="237">IF(K23=0,0,K23/K$21)</f>
        <v>0.64697404743787146</v>
      </c>
      <c r="L124" s="127">
        <f t="shared" si="237"/>
        <v>0.62661073022823444</v>
      </c>
      <c r="M124" s="127">
        <f t="shared" si="237"/>
        <v>0.64933207982705188</v>
      </c>
      <c r="N124" s="127">
        <f t="shared" si="237"/>
        <v>0.61944954535507102</v>
      </c>
      <c r="O124" s="127">
        <f t="shared" si="237"/>
        <v>0.72887086956568603</v>
      </c>
      <c r="P124" s="127">
        <f t="shared" si="237"/>
        <v>0.74041866150886937</v>
      </c>
      <c r="Q124" s="127">
        <f t="shared" si="237"/>
        <v>0.67219422267224993</v>
      </c>
      <c r="R124" s="127">
        <f t="shared" si="237"/>
        <v>0.78588198969184841</v>
      </c>
      <c r="S124" s="127">
        <f t="shared" si="237"/>
        <v>0.7929563423560485</v>
      </c>
      <c r="T124" s="127">
        <f t="shared" si="237"/>
        <v>0.82437188884527224</v>
      </c>
      <c r="U124" s="127">
        <f t="shared" si="237"/>
        <v>0.873178672861876</v>
      </c>
      <c r="V124" s="127">
        <f t="shared" si="237"/>
        <v>0.87787410508865182</v>
      </c>
      <c r="W124" s="127">
        <f t="shared" ref="W124:Y124" si="238">IF(W23=0,0,W23/W$21)</f>
        <v>0.87798233560149574</v>
      </c>
      <c r="X124" s="127">
        <f t="shared" si="238"/>
        <v>0.88360484215204105</v>
      </c>
      <c r="Y124" s="127">
        <f t="shared" si="238"/>
        <v>0.85543234072719132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77.97841788478074</v>
      </c>
      <c r="C4" s="146">
        <f t="shared" ref="C4:V4" si="0">SUM(C5,C8)</f>
        <v>71.467497850386934</v>
      </c>
      <c r="D4" s="146">
        <f t="shared" si="0"/>
        <v>70.445227858985376</v>
      </c>
      <c r="E4" s="146">
        <f t="shared" si="0"/>
        <v>66.246259673258805</v>
      </c>
      <c r="F4" s="146">
        <f t="shared" si="0"/>
        <v>65.338091143594141</v>
      </c>
      <c r="G4" s="146">
        <f t="shared" si="0"/>
        <v>65.295700773860716</v>
      </c>
      <c r="H4" s="146">
        <f t="shared" si="0"/>
        <v>62.877901977644022</v>
      </c>
      <c r="I4" s="146">
        <f t="shared" si="0"/>
        <v>57.674118658641447</v>
      </c>
      <c r="J4" s="146">
        <f t="shared" si="0"/>
        <v>62.252794496990539</v>
      </c>
      <c r="K4" s="146">
        <f t="shared" si="0"/>
        <v>51.246775580395528</v>
      </c>
      <c r="L4" s="146">
        <f t="shared" si="0"/>
        <v>45.399828030954424</v>
      </c>
      <c r="M4" s="146">
        <f t="shared" si="0"/>
        <v>39.939810834049865</v>
      </c>
      <c r="N4" s="146">
        <f t="shared" si="0"/>
        <v>42.17540842648323</v>
      </c>
      <c r="O4" s="146">
        <f t="shared" si="0"/>
        <v>31.815907136715396</v>
      </c>
      <c r="P4" s="146">
        <f t="shared" si="0"/>
        <v>28.718830610490109</v>
      </c>
      <c r="Q4" s="146">
        <f t="shared" si="0"/>
        <v>39.46689595872742</v>
      </c>
      <c r="R4" s="146">
        <f t="shared" si="0"/>
        <v>36.693895098882201</v>
      </c>
      <c r="S4" s="146">
        <f t="shared" si="0"/>
        <v>39.724075666380052</v>
      </c>
      <c r="T4" s="146">
        <f t="shared" si="0"/>
        <v>36.968959587274291</v>
      </c>
      <c r="U4" s="146">
        <f t="shared" si="0"/>
        <v>45.070249355116076</v>
      </c>
      <c r="V4" s="146">
        <f t="shared" si="0"/>
        <v>41.781427343078249</v>
      </c>
      <c r="W4" s="146">
        <f t="shared" ref="W4:Y4" si="1">SUM(W5,W8)</f>
        <v>44.682201203783322</v>
      </c>
      <c r="X4" s="146">
        <f t="shared" si="1"/>
        <v>44.750558899398108</v>
      </c>
      <c r="Y4" s="146">
        <f t="shared" si="1"/>
        <v>41.48185726569217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39.027429062768697</v>
      </c>
      <c r="C5" s="101">
        <f t="shared" ref="C5:V5" si="2">SUM(C6:C7)</f>
        <v>33.892261392949273</v>
      </c>
      <c r="D5" s="101">
        <f t="shared" si="2"/>
        <v>31.838177128116939</v>
      </c>
      <c r="E5" s="101">
        <f t="shared" si="2"/>
        <v>28.757007738607051</v>
      </c>
      <c r="F5" s="101">
        <f t="shared" si="2"/>
        <v>29.138607050730869</v>
      </c>
      <c r="G5" s="101">
        <f t="shared" si="2"/>
        <v>29.784092863284609</v>
      </c>
      <c r="H5" s="101">
        <f t="shared" si="2"/>
        <v>29</v>
      </c>
      <c r="I5" s="101">
        <f t="shared" si="2"/>
        <v>25.257953568357699</v>
      </c>
      <c r="J5" s="101">
        <f t="shared" si="2"/>
        <v>32.330180567497848</v>
      </c>
      <c r="K5" s="101">
        <f t="shared" si="2"/>
        <v>20.206362854686159</v>
      </c>
      <c r="L5" s="101">
        <f t="shared" si="2"/>
        <v>20.206362854686159</v>
      </c>
      <c r="M5" s="101">
        <f t="shared" si="2"/>
        <v>18.18572656921754</v>
      </c>
      <c r="N5" s="101">
        <f t="shared" si="2"/>
        <v>22.226999140154771</v>
      </c>
      <c r="O5" s="101">
        <f t="shared" si="2"/>
        <v>15.048925193465177</v>
      </c>
      <c r="P5" s="101">
        <f t="shared" si="2"/>
        <v>12.12381771281169</v>
      </c>
      <c r="Q5" s="101">
        <f t="shared" si="2"/>
        <v>16.165090283748921</v>
      </c>
      <c r="R5" s="101">
        <f t="shared" si="2"/>
        <v>13.134135855546001</v>
      </c>
      <c r="S5" s="101">
        <f t="shared" si="2"/>
        <v>13.547377472055031</v>
      </c>
      <c r="T5" s="101">
        <f t="shared" si="2"/>
        <v>11.116509028374891</v>
      </c>
      <c r="U5" s="101">
        <f t="shared" si="2"/>
        <v>10.021324161650901</v>
      </c>
      <c r="V5" s="101">
        <f t="shared" si="2"/>
        <v>9.5454858125537392</v>
      </c>
      <c r="W5" s="101">
        <f t="shared" ref="W5:Y5" si="3">SUM(W6:W7)</f>
        <v>10.3396388650043</v>
      </c>
      <c r="X5" s="101">
        <f t="shared" si="3"/>
        <v>10.46895958727429</v>
      </c>
      <c r="Y5" s="101">
        <f t="shared" si="3"/>
        <v>9.6141874462596721</v>
      </c>
      <c r="DA5" s="175"/>
    </row>
    <row r="6" spans="1:105" ht="11.45" customHeight="1" x14ac:dyDescent="0.25">
      <c r="A6" s="164" t="s">
        <v>175</v>
      </c>
      <c r="B6" s="165">
        <v>39.027429062768697</v>
      </c>
      <c r="C6" s="165">
        <v>33.892261392949273</v>
      </c>
      <c r="D6" s="165">
        <v>31.838177128116939</v>
      </c>
      <c r="E6" s="165">
        <v>28.757007738607051</v>
      </c>
      <c r="F6" s="165">
        <v>29.138607050730869</v>
      </c>
      <c r="G6" s="165">
        <v>29.784092863284609</v>
      </c>
      <c r="H6" s="165">
        <v>29</v>
      </c>
      <c r="I6" s="165">
        <v>25.257953568357699</v>
      </c>
      <c r="J6" s="165">
        <v>32.330180567497848</v>
      </c>
      <c r="K6" s="165">
        <v>20.206362854686159</v>
      </c>
      <c r="L6" s="165">
        <v>20.206362854686159</v>
      </c>
      <c r="M6" s="165">
        <v>18.18572656921754</v>
      </c>
      <c r="N6" s="165">
        <v>22.226999140154771</v>
      </c>
      <c r="O6" s="165">
        <v>14.14445399828031</v>
      </c>
      <c r="P6" s="165">
        <v>12.12381771281169</v>
      </c>
      <c r="Q6" s="165">
        <v>16.165090283748921</v>
      </c>
      <c r="R6" s="165">
        <v>13.134135855546001</v>
      </c>
      <c r="S6" s="165">
        <v>13.547377472055031</v>
      </c>
      <c r="T6" s="165">
        <v>11.116509028374891</v>
      </c>
      <c r="U6" s="165">
        <v>10.021324161650901</v>
      </c>
      <c r="V6" s="165">
        <v>9.5454858125537392</v>
      </c>
      <c r="W6" s="165">
        <v>10.3396388650043</v>
      </c>
      <c r="X6" s="165">
        <v>10.46895958727429</v>
      </c>
      <c r="Y6" s="165">
        <v>9.6141874462596721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0.90447119518486663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38.950988822012043</v>
      </c>
      <c r="C8" s="88">
        <v>37.575236457437661</v>
      </c>
      <c r="D8" s="88">
        <v>38.607050730868437</v>
      </c>
      <c r="E8" s="88">
        <v>37.489251934651762</v>
      </c>
      <c r="F8" s="88">
        <v>36.19948409286328</v>
      </c>
      <c r="G8" s="88">
        <v>35.511607910576103</v>
      </c>
      <c r="H8" s="88">
        <v>33.877901977644022</v>
      </c>
      <c r="I8" s="88">
        <v>32.416165090283748</v>
      </c>
      <c r="J8" s="88">
        <v>29.922613929492691</v>
      </c>
      <c r="K8" s="88">
        <v>31.04041272570937</v>
      </c>
      <c r="L8" s="88">
        <v>25.193465176268269</v>
      </c>
      <c r="M8" s="88">
        <v>21.754084264832329</v>
      </c>
      <c r="N8" s="88">
        <v>19.948409286328459</v>
      </c>
      <c r="O8" s="88">
        <v>16.766981943250219</v>
      </c>
      <c r="P8" s="88">
        <v>16.595012897678419</v>
      </c>
      <c r="Q8" s="88">
        <v>23.3018056749785</v>
      </c>
      <c r="R8" s="88">
        <v>23.559759243336199</v>
      </c>
      <c r="S8" s="88">
        <v>26.17669819432502</v>
      </c>
      <c r="T8" s="88">
        <v>25.852450558899399</v>
      </c>
      <c r="U8" s="88">
        <v>35.048925193465173</v>
      </c>
      <c r="V8" s="88">
        <v>32.235941530524507</v>
      </c>
      <c r="W8" s="88">
        <v>34.342562338779018</v>
      </c>
      <c r="X8" s="88">
        <v>34.281599312123817</v>
      </c>
      <c r="Y8" s="88">
        <v>31.8676698194325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77.97841788478074</v>
      </c>
      <c r="C10" s="62">
        <f t="shared" ref="C10:V10" si="5">SUM(C11,C17)</f>
        <v>71.467497850386934</v>
      </c>
      <c r="D10" s="62">
        <f t="shared" si="5"/>
        <v>70.445227858985376</v>
      </c>
      <c r="E10" s="62">
        <f t="shared" si="5"/>
        <v>66.24625967325882</v>
      </c>
      <c r="F10" s="62">
        <f t="shared" si="5"/>
        <v>65.338091143594141</v>
      </c>
      <c r="G10" s="62">
        <f t="shared" si="5"/>
        <v>65.295700773860716</v>
      </c>
      <c r="H10" s="62">
        <f t="shared" si="5"/>
        <v>62.877901977644022</v>
      </c>
      <c r="I10" s="62">
        <f t="shared" si="5"/>
        <v>57.674118658641447</v>
      </c>
      <c r="J10" s="62">
        <f t="shared" si="5"/>
        <v>62.252794496990546</v>
      </c>
      <c r="K10" s="62">
        <f t="shared" si="5"/>
        <v>51.246775580395528</v>
      </c>
      <c r="L10" s="62">
        <f t="shared" si="5"/>
        <v>45.399828030954431</v>
      </c>
      <c r="M10" s="62">
        <f t="shared" si="5"/>
        <v>39.939810834049872</v>
      </c>
      <c r="N10" s="62">
        <f t="shared" si="5"/>
        <v>42.17540842648323</v>
      </c>
      <c r="O10" s="62">
        <f t="shared" si="5"/>
        <v>31.815907136715396</v>
      </c>
      <c r="P10" s="62">
        <f t="shared" si="5"/>
        <v>28.718830610490109</v>
      </c>
      <c r="Q10" s="62">
        <f t="shared" si="5"/>
        <v>39.46689595872742</v>
      </c>
      <c r="R10" s="62">
        <f t="shared" si="5"/>
        <v>36.693895098882201</v>
      </c>
      <c r="S10" s="62">
        <f t="shared" si="5"/>
        <v>39.724075666380045</v>
      </c>
      <c r="T10" s="62">
        <f t="shared" si="5"/>
        <v>36.968959587274284</v>
      </c>
      <c r="U10" s="62">
        <f t="shared" si="5"/>
        <v>45.070249355116076</v>
      </c>
      <c r="V10" s="62">
        <f t="shared" si="5"/>
        <v>41.781427343078249</v>
      </c>
      <c r="W10" s="62">
        <f t="shared" ref="W10:Y10" si="6">SUM(W11,W17)</f>
        <v>44.682201203783322</v>
      </c>
      <c r="X10" s="62">
        <f t="shared" si="6"/>
        <v>44.750558899398115</v>
      </c>
      <c r="Y10" s="62">
        <f t="shared" si="6"/>
        <v>41.48185726569217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41.524940539503547</v>
      </c>
      <c r="C11" s="29">
        <f t="shared" ref="C11:V11" si="8">SUM(C12,C13,C16)</f>
        <v>38.44233191992862</v>
      </c>
      <c r="D11" s="29">
        <f t="shared" si="8"/>
        <v>38.83175364829264</v>
      </c>
      <c r="E11" s="29">
        <f t="shared" si="8"/>
        <v>33.622808313466777</v>
      </c>
      <c r="F11" s="29">
        <f t="shared" si="8"/>
        <v>32.812819381922417</v>
      </c>
      <c r="G11" s="29">
        <f t="shared" si="8"/>
        <v>32.924365392145944</v>
      </c>
      <c r="H11" s="29">
        <f t="shared" si="8"/>
        <v>33.925545871788415</v>
      </c>
      <c r="I11" s="29">
        <f t="shared" si="8"/>
        <v>31.389533555067207</v>
      </c>
      <c r="J11" s="29">
        <f t="shared" si="8"/>
        <v>34.379825482464291</v>
      </c>
      <c r="K11" s="29">
        <f t="shared" si="8"/>
        <v>34.874777495352767</v>
      </c>
      <c r="L11" s="29">
        <f t="shared" si="8"/>
        <v>30.856426922866174</v>
      </c>
      <c r="M11" s="29">
        <f t="shared" si="8"/>
        <v>25.588117206221707</v>
      </c>
      <c r="N11" s="29">
        <f t="shared" si="8"/>
        <v>29.16894988430802</v>
      </c>
      <c r="O11" s="29">
        <f t="shared" si="8"/>
        <v>20.453258665090761</v>
      </c>
      <c r="P11" s="29">
        <f t="shared" si="8"/>
        <v>16.844005370878087</v>
      </c>
      <c r="Q11" s="29">
        <f t="shared" si="8"/>
        <v>24.771322730233603</v>
      </c>
      <c r="R11" s="29">
        <f t="shared" si="8"/>
        <v>22.954980219949054</v>
      </c>
      <c r="S11" s="29">
        <f t="shared" si="8"/>
        <v>24.757480774417068</v>
      </c>
      <c r="T11" s="29">
        <f t="shared" si="8"/>
        <v>22.702230990174616</v>
      </c>
      <c r="U11" s="29">
        <f t="shared" si="8"/>
        <v>29.275668240050386</v>
      </c>
      <c r="V11" s="29">
        <f t="shared" si="8"/>
        <v>21.433611540930166</v>
      </c>
      <c r="W11" s="29">
        <f t="shared" ref="W11:Y11" si="9">SUM(W12,W13,W16)</f>
        <v>22.459302115928001</v>
      </c>
      <c r="X11" s="29">
        <f t="shared" si="9"/>
        <v>21.701129472106143</v>
      </c>
      <c r="Y11" s="29">
        <f t="shared" si="9"/>
        <v>25.760761127254611</v>
      </c>
      <c r="DA11" s="173" t="s">
        <v>395</v>
      </c>
    </row>
    <row r="12" spans="1:105" ht="11.45" customHeight="1" x14ac:dyDescent="0.25">
      <c r="A12" s="107" t="s">
        <v>23</v>
      </c>
      <c r="B12" s="115">
        <v>2.2826776204541912</v>
      </c>
      <c r="C12" s="115">
        <v>2.6219572578502985</v>
      </c>
      <c r="D12" s="115">
        <v>2.4961171932902868</v>
      </c>
      <c r="E12" s="115">
        <v>2.7524310847394924</v>
      </c>
      <c r="F12" s="115">
        <v>2.4688754653953136</v>
      </c>
      <c r="G12" s="115">
        <v>2.3200948654425533</v>
      </c>
      <c r="H12" s="115">
        <v>2.358419475260205</v>
      </c>
      <c r="I12" s="115">
        <v>2.3300314998234506</v>
      </c>
      <c r="J12" s="115">
        <v>2.543448483544037</v>
      </c>
      <c r="K12" s="115">
        <v>3.618148822802802</v>
      </c>
      <c r="L12" s="115">
        <v>4.786800010195928</v>
      </c>
      <c r="M12" s="115">
        <v>4.5132672672487599</v>
      </c>
      <c r="N12" s="115">
        <v>5.171747779498773</v>
      </c>
      <c r="O12" s="115">
        <v>5.0553425264808265</v>
      </c>
      <c r="P12" s="115">
        <v>3.6841040668514777</v>
      </c>
      <c r="Q12" s="115">
        <v>3.7637496446230392</v>
      </c>
      <c r="R12" s="115">
        <v>4.1590109361083263</v>
      </c>
      <c r="S12" s="115">
        <v>5.3287960268570007</v>
      </c>
      <c r="T12" s="115">
        <v>5.2999965993760734</v>
      </c>
      <c r="U12" s="115">
        <v>5.6543707148626874</v>
      </c>
      <c r="V12" s="115">
        <v>5.481005735221502</v>
      </c>
      <c r="W12" s="115">
        <v>5.6484164831454997</v>
      </c>
      <c r="X12" s="115">
        <v>5.8321589250727568</v>
      </c>
      <c r="Y12" s="115">
        <v>4.8334801036547015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39.242262919049352</v>
      </c>
      <c r="C13" s="116">
        <f t="shared" ref="C13:V13" si="11">SUM(C14:C15)</f>
        <v>35.820374662078322</v>
      </c>
      <c r="D13" s="116">
        <f t="shared" si="11"/>
        <v>36.335636455002351</v>
      </c>
      <c r="E13" s="116">
        <f t="shared" si="11"/>
        <v>30.870377228727286</v>
      </c>
      <c r="F13" s="116">
        <f t="shared" si="11"/>
        <v>30.343943916527103</v>
      </c>
      <c r="G13" s="116">
        <f t="shared" si="11"/>
        <v>30.604270526703392</v>
      </c>
      <c r="H13" s="116">
        <f t="shared" si="11"/>
        <v>31.567126396528209</v>
      </c>
      <c r="I13" s="116">
        <f t="shared" si="11"/>
        <v>29.059502055243755</v>
      </c>
      <c r="J13" s="116">
        <f t="shared" si="11"/>
        <v>31.836376998920251</v>
      </c>
      <c r="K13" s="116">
        <f t="shared" si="11"/>
        <v>31.256628672549965</v>
      </c>
      <c r="L13" s="116">
        <f t="shared" si="11"/>
        <v>26.069626912670245</v>
      </c>
      <c r="M13" s="116">
        <f t="shared" si="11"/>
        <v>21.074849938972946</v>
      </c>
      <c r="N13" s="116">
        <f t="shared" si="11"/>
        <v>23.997202104809247</v>
      </c>
      <c r="O13" s="116">
        <f t="shared" si="11"/>
        <v>15.397916138609935</v>
      </c>
      <c r="P13" s="116">
        <f t="shared" si="11"/>
        <v>13.159901304026608</v>
      </c>
      <c r="Q13" s="116">
        <f t="shared" si="11"/>
        <v>21.007573085610563</v>
      </c>
      <c r="R13" s="116">
        <f t="shared" si="11"/>
        <v>18.795969283840726</v>
      </c>
      <c r="S13" s="116">
        <f t="shared" si="11"/>
        <v>19.428684747560069</v>
      </c>
      <c r="T13" s="116">
        <f t="shared" si="11"/>
        <v>17.402234390798544</v>
      </c>
      <c r="U13" s="116">
        <f t="shared" si="11"/>
        <v>23.6212975251877</v>
      </c>
      <c r="V13" s="116">
        <f t="shared" si="11"/>
        <v>15.952605805708664</v>
      </c>
      <c r="W13" s="116">
        <f t="shared" ref="W13:Y13" si="12">SUM(W14:W15)</f>
        <v>16.810885632782501</v>
      </c>
      <c r="X13" s="116">
        <f t="shared" si="12"/>
        <v>15.868970547033387</v>
      </c>
      <c r="Y13" s="116">
        <f t="shared" si="12"/>
        <v>20.92728102359991</v>
      </c>
      <c r="DA13" s="176" t="s">
        <v>397</v>
      </c>
    </row>
    <row r="14" spans="1:105" ht="11.45" customHeight="1" x14ac:dyDescent="0.25">
      <c r="A14" s="111" t="s">
        <v>95</v>
      </c>
      <c r="B14" s="87">
        <v>18.126701098186881</v>
      </c>
      <c r="C14" s="87">
        <v>15.25421026359453</v>
      </c>
      <c r="D14" s="87">
        <v>13.184738806556384</v>
      </c>
      <c r="E14" s="87">
        <v>10.533363161932892</v>
      </c>
      <c r="F14" s="87">
        <v>10.825253264468538</v>
      </c>
      <c r="G14" s="87">
        <v>11.87442985814857</v>
      </c>
      <c r="H14" s="87">
        <v>14.375108661825898</v>
      </c>
      <c r="I14" s="87">
        <v>12.113635965833906</v>
      </c>
      <c r="J14" s="87">
        <v>14.866216561212857</v>
      </c>
      <c r="K14" s="87">
        <v>10.592088595032729</v>
      </c>
      <c r="L14" s="87">
        <v>11.397387771229729</v>
      </c>
      <c r="M14" s="87">
        <v>9.9077111373105442</v>
      </c>
      <c r="N14" s="87">
        <v>14.084807289872311</v>
      </c>
      <c r="O14" s="87">
        <v>9.2828925553848585</v>
      </c>
      <c r="P14" s="87">
        <v>6.2449215439404044</v>
      </c>
      <c r="Q14" s="87">
        <v>7.6247588111529794</v>
      </c>
      <c r="R14" s="87">
        <v>7.152114495071034</v>
      </c>
      <c r="S14" s="87">
        <v>7.1836588538611181</v>
      </c>
      <c r="T14" s="87">
        <v>5.744393589036811</v>
      </c>
      <c r="U14" s="87">
        <v>5.41301546085064</v>
      </c>
      <c r="V14" s="87">
        <v>3.7866743530005635</v>
      </c>
      <c r="W14" s="87">
        <v>4.0534148925134916</v>
      </c>
      <c r="X14" s="87">
        <v>4.1954453596361674</v>
      </c>
      <c r="Y14" s="87">
        <v>4.5165516704723583</v>
      </c>
      <c r="DA14" s="171" t="s">
        <v>1108</v>
      </c>
    </row>
    <row r="15" spans="1:105" ht="11.45" customHeight="1" x14ac:dyDescent="0.25">
      <c r="A15" s="111" t="s">
        <v>93</v>
      </c>
      <c r="B15" s="87">
        <v>21.115561820862474</v>
      </c>
      <c r="C15" s="87">
        <v>20.566164398483796</v>
      </c>
      <c r="D15" s="87">
        <v>23.150897648445966</v>
      </c>
      <c r="E15" s="87">
        <v>20.337014066794392</v>
      </c>
      <c r="F15" s="87">
        <v>19.518690652058567</v>
      </c>
      <c r="G15" s="87">
        <v>18.729840668554822</v>
      </c>
      <c r="H15" s="87">
        <v>17.192017734702311</v>
      </c>
      <c r="I15" s="87">
        <v>16.945866089409851</v>
      </c>
      <c r="J15" s="87">
        <v>16.970160437707396</v>
      </c>
      <c r="K15" s="87">
        <v>20.664540077517238</v>
      </c>
      <c r="L15" s="87">
        <v>14.672239141440514</v>
      </c>
      <c r="M15" s="87">
        <v>11.1671388016624</v>
      </c>
      <c r="N15" s="87">
        <v>9.9123948149369348</v>
      </c>
      <c r="O15" s="87">
        <v>6.1150235832250761</v>
      </c>
      <c r="P15" s="87">
        <v>6.9149797600862026</v>
      </c>
      <c r="Q15" s="87">
        <v>13.382814274457584</v>
      </c>
      <c r="R15" s="87">
        <v>11.643854788769691</v>
      </c>
      <c r="S15" s="87">
        <v>12.24502589369895</v>
      </c>
      <c r="T15" s="87">
        <v>11.657840801761733</v>
      </c>
      <c r="U15" s="87">
        <v>18.208282064337059</v>
      </c>
      <c r="V15" s="87">
        <v>12.165931452708101</v>
      </c>
      <c r="W15" s="87">
        <v>12.757470740269008</v>
      </c>
      <c r="X15" s="87">
        <v>11.673525187397219</v>
      </c>
      <c r="Y15" s="87">
        <v>16.41072935312755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36.453477345277193</v>
      </c>
      <c r="C17" s="29">
        <f t="shared" si="13"/>
        <v>33.025165930458307</v>
      </c>
      <c r="D17" s="29">
        <f t="shared" si="13"/>
        <v>31.613474210692736</v>
      </c>
      <c r="E17" s="29">
        <f t="shared" si="13"/>
        <v>32.623451359792043</v>
      </c>
      <c r="F17" s="29">
        <f t="shared" si="13"/>
        <v>32.525271761671732</v>
      </c>
      <c r="G17" s="29">
        <f t="shared" si="13"/>
        <v>32.371335381714772</v>
      </c>
      <c r="H17" s="29">
        <f t="shared" si="13"/>
        <v>28.952356105855607</v>
      </c>
      <c r="I17" s="29">
        <f t="shared" si="13"/>
        <v>26.284585103574244</v>
      </c>
      <c r="J17" s="29">
        <f t="shared" si="13"/>
        <v>27.872969014526255</v>
      </c>
      <c r="K17" s="29">
        <f t="shared" si="13"/>
        <v>16.371998085042762</v>
      </c>
      <c r="L17" s="29">
        <f t="shared" si="13"/>
        <v>14.543401108088258</v>
      </c>
      <c r="M17" s="29">
        <f t="shared" si="13"/>
        <v>14.351693627828165</v>
      </c>
      <c r="N17" s="29">
        <f t="shared" si="13"/>
        <v>13.006458542175213</v>
      </c>
      <c r="O17" s="29">
        <f t="shared" si="13"/>
        <v>11.362648471624633</v>
      </c>
      <c r="P17" s="29">
        <f t="shared" si="13"/>
        <v>11.874825239612024</v>
      </c>
      <c r="Q17" s="29">
        <f t="shared" si="13"/>
        <v>14.695573228493817</v>
      </c>
      <c r="R17" s="29">
        <f t="shared" si="13"/>
        <v>13.738914878933148</v>
      </c>
      <c r="S17" s="29">
        <f t="shared" si="13"/>
        <v>14.966594891962981</v>
      </c>
      <c r="T17" s="29">
        <f t="shared" si="13"/>
        <v>14.266728597099672</v>
      </c>
      <c r="U17" s="29">
        <f t="shared" si="13"/>
        <v>15.794581115065689</v>
      </c>
      <c r="V17" s="29">
        <f t="shared" si="13"/>
        <v>20.34781580214808</v>
      </c>
      <c r="W17" s="29">
        <f t="shared" si="13"/>
        <v>22.222899087855318</v>
      </c>
      <c r="X17" s="29">
        <f t="shared" ref="X17:Y17" si="14">SUM(X18:X19)</f>
        <v>23.049429427291969</v>
      </c>
      <c r="Y17" s="29">
        <f t="shared" si="14"/>
        <v>15.721096138437559</v>
      </c>
      <c r="DA17" s="173" t="s">
        <v>402</v>
      </c>
    </row>
    <row r="18" spans="1:105" ht="11.45" customHeight="1" x14ac:dyDescent="0.25">
      <c r="A18" s="83" t="s">
        <v>95</v>
      </c>
      <c r="B18" s="87">
        <v>20.900727964581812</v>
      </c>
      <c r="C18" s="87">
        <v>18.638051129354743</v>
      </c>
      <c r="D18" s="87">
        <v>18.653438321560554</v>
      </c>
      <c r="E18" s="87">
        <v>18.223644576674161</v>
      </c>
      <c r="F18" s="87">
        <v>18.313353786262333</v>
      </c>
      <c r="G18" s="87">
        <v>17.909663005136039</v>
      </c>
      <c r="H18" s="87">
        <v>14.624891338174102</v>
      </c>
      <c r="I18" s="87">
        <v>13.144317602523795</v>
      </c>
      <c r="J18" s="87">
        <v>17.463964006284993</v>
      </c>
      <c r="K18" s="87">
        <v>9.6142742596534312</v>
      </c>
      <c r="L18" s="87">
        <v>8.8089750834564295</v>
      </c>
      <c r="M18" s="87">
        <v>8.2780154319069954</v>
      </c>
      <c r="N18" s="87">
        <v>8.1421918502824617</v>
      </c>
      <c r="O18" s="87">
        <v>5.7660326380803175</v>
      </c>
      <c r="P18" s="87">
        <v>5.8788961688712851</v>
      </c>
      <c r="Q18" s="87">
        <v>8.5403314725959412</v>
      </c>
      <c r="R18" s="87">
        <v>5.9820213604749668</v>
      </c>
      <c r="S18" s="87">
        <v>6.3637186181939125</v>
      </c>
      <c r="T18" s="87">
        <v>5.3721154393380797</v>
      </c>
      <c r="U18" s="87">
        <v>4.6083087008002606</v>
      </c>
      <c r="V18" s="87">
        <v>5.7588114595531756</v>
      </c>
      <c r="W18" s="87">
        <v>6.2862239724908076</v>
      </c>
      <c r="X18" s="87">
        <v>6.2735142276381222</v>
      </c>
      <c r="Y18" s="87">
        <v>5.0976357757873139</v>
      </c>
      <c r="DA18" s="171" t="s">
        <v>1110</v>
      </c>
    </row>
    <row r="19" spans="1:105" ht="11.45" customHeight="1" x14ac:dyDescent="0.25">
      <c r="A19" s="85" t="s">
        <v>93</v>
      </c>
      <c r="B19" s="88">
        <v>15.552749380695381</v>
      </c>
      <c r="C19" s="88">
        <v>14.387114801103564</v>
      </c>
      <c r="D19" s="88">
        <v>12.960035889132184</v>
      </c>
      <c r="E19" s="88">
        <v>14.399806783117878</v>
      </c>
      <c r="F19" s="88">
        <v>14.211917975409401</v>
      </c>
      <c r="G19" s="88">
        <v>14.461672376578733</v>
      </c>
      <c r="H19" s="88">
        <v>14.327464767681507</v>
      </c>
      <c r="I19" s="88">
        <v>13.140267501050447</v>
      </c>
      <c r="J19" s="88">
        <v>10.409005008241261</v>
      </c>
      <c r="K19" s="88">
        <v>6.7577238253893306</v>
      </c>
      <c r="L19" s="88">
        <v>5.7344260246318273</v>
      </c>
      <c r="M19" s="88">
        <v>6.0736781959211692</v>
      </c>
      <c r="N19" s="88">
        <v>4.8642666918927508</v>
      </c>
      <c r="O19" s="88">
        <v>5.5966158335443152</v>
      </c>
      <c r="P19" s="88">
        <v>5.9959290707407389</v>
      </c>
      <c r="Q19" s="88">
        <v>6.1552417558978769</v>
      </c>
      <c r="R19" s="88">
        <v>7.756893518458182</v>
      </c>
      <c r="S19" s="88">
        <v>8.602876273769068</v>
      </c>
      <c r="T19" s="88">
        <v>8.8946131577615919</v>
      </c>
      <c r="U19" s="88">
        <v>11.18627241426543</v>
      </c>
      <c r="V19" s="88">
        <v>14.589004342594905</v>
      </c>
      <c r="W19" s="88">
        <v>15.936675115364508</v>
      </c>
      <c r="X19" s="88">
        <v>16.775915199653845</v>
      </c>
      <c r="Y19" s="88">
        <v>10.623460362650246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234.29240679309467</v>
      </c>
      <c r="C23" s="62">
        <f>IF(C10=0,0,C10/TrRail_act!C14*100)</f>
        <v>216.26963100973771</v>
      </c>
      <c r="D23" s="62">
        <f>IF(D10=0,0,D10/TrRail_act!D14*100)</f>
        <v>209.47675887945846</v>
      </c>
      <c r="E23" s="62">
        <f>IF(E10=0,0,E10/TrRail_act!E14*100)</f>
        <v>203.13618918755867</v>
      </c>
      <c r="F23" s="62">
        <f>IF(F10=0,0,F10/TrRail_act!F14*100)</f>
        <v>203.93748945238772</v>
      </c>
      <c r="G23" s="62">
        <f>IF(G10=0,0,G10/TrRail_act!G14*100)</f>
        <v>204.16976577496803</v>
      </c>
      <c r="H23" s="62">
        <f>IF(H10=0,0,H10/TrRail_act!H14*100)</f>
        <v>194.23879275118549</v>
      </c>
      <c r="I23" s="62">
        <f>IF(I10=0,0,I10/TrRail_act!I14*100)</f>
        <v>188.55767727184005</v>
      </c>
      <c r="J23" s="62">
        <f>IF(J10=0,0,J10/TrRail_act!J14*100)</f>
        <v>192.04075747675483</v>
      </c>
      <c r="K23" s="62">
        <f>IF(K10=0,0,K10/TrRail_act!K14*100)</f>
        <v>152.90207638348949</v>
      </c>
      <c r="L23" s="62">
        <f>IF(L10=0,0,L10/TrRail_act!L14*100)</f>
        <v>138.29539460507343</v>
      </c>
      <c r="M23" s="62">
        <f>IF(M10=0,0,M10/TrRail_act!M14*100)</f>
        <v>131.7014172979485</v>
      </c>
      <c r="N23" s="62">
        <f>IF(N10=0,0,N10/TrRail_act!N14*100)</f>
        <v>127.47762495823724</v>
      </c>
      <c r="O23" s="62">
        <f>IF(O10=0,0,O10/TrRail_act!O14*100)</f>
        <v>112.81550988867595</v>
      </c>
      <c r="P23" s="62">
        <f>IF(P10=0,0,P10/TrRail_act!P14*100)</f>
        <v>118.25192747027815</v>
      </c>
      <c r="Q23" s="62">
        <f>IF(Q10=0,0,Q10/TrRail_act!Q14*100)</f>
        <v>122.74656591686298</v>
      </c>
      <c r="R23" s="62">
        <f>IF(R10=0,0,R10/TrRail_act!R14*100)</f>
        <v>110.08161594928572</v>
      </c>
      <c r="S23" s="62">
        <f>IF(S10=0,0,S10/TrRail_act!S14*100)</f>
        <v>104.2475898674834</v>
      </c>
      <c r="T23" s="62">
        <f>IF(T10=0,0,T10/TrRail_act!T14*100)</f>
        <v>100.7006521810375</v>
      </c>
      <c r="U23" s="62">
        <f>IF(U10=0,0,U10/TrRail_act!U14*100)</f>
        <v>100.16148041195201</v>
      </c>
      <c r="V23" s="62">
        <f>IF(V10=0,0,V10/TrRail_act!V14*100)</f>
        <v>102.72227457995986</v>
      </c>
      <c r="W23" s="62">
        <f>IF(W10=0,0,W10/TrRail_act!W14*100)</f>
        <v>103.69963646712839</v>
      </c>
      <c r="X23" s="62">
        <f>IF(X10=0,0,X10/TrRail_act!X14*100)</f>
        <v>103.08090348698143</v>
      </c>
      <c r="Y23" s="62">
        <f>IF(Y10=0,0,Y10/TrRail_act!Y14*100)</f>
        <v>102.06244777444427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178.64707970847564</v>
      </c>
      <c r="C24" s="29">
        <f>IF(C11=0,0,C11/TrRail_act!C15*100)</f>
        <v>162.22778284034172</v>
      </c>
      <c r="D24" s="29">
        <f>IF(D11=0,0,D11/TrRail_act!D15*100)</f>
        <v>156.97657401113781</v>
      </c>
      <c r="E24" s="29">
        <f>IF(E11=0,0,E11/TrRail_act!E15*100)</f>
        <v>146.51133118213266</v>
      </c>
      <c r="F24" s="29">
        <f>IF(F11=0,0,F11/TrRail_act!F15*100)</f>
        <v>146.84466011988741</v>
      </c>
      <c r="G24" s="29">
        <f>IF(G11=0,0,G11/TrRail_act!G15*100)</f>
        <v>148.2338836902301</v>
      </c>
      <c r="H24" s="29">
        <f>IF(H11=0,0,H11/TrRail_act!H15*100)</f>
        <v>146.52091937671307</v>
      </c>
      <c r="I24" s="29">
        <f>IF(I11=0,0,I11/TrRail_act!I15*100)</f>
        <v>142.14455373687713</v>
      </c>
      <c r="J24" s="29">
        <f>IF(J11=0,0,J11/TrRail_act!J15*100)</f>
        <v>142.08627488587692</v>
      </c>
      <c r="K24" s="29">
        <f>IF(K11=0,0,K11/TrRail_act!K15*100)</f>
        <v>124.64439726545598</v>
      </c>
      <c r="L24" s="29">
        <f>IF(L11=0,0,L11/TrRail_act!L15*100)</f>
        <v>110.38000019475982</v>
      </c>
      <c r="M24" s="29">
        <f>IF(M11=0,0,M11/TrRail_act!M15*100)</f>
        <v>101.25568182610536</v>
      </c>
      <c r="N24" s="29">
        <f>IF(N11=0,0,N11/TrRail_act!N15*100)</f>
        <v>102.50505783228931</v>
      </c>
      <c r="O24" s="29">
        <f>IF(O11=0,0,O11/TrRail_act!O15*100)</f>
        <v>87.182059987546239</v>
      </c>
      <c r="P24" s="29">
        <f>IF(P11=0,0,P11/TrRail_act!P15*100)</f>
        <v>87.772219283470918</v>
      </c>
      <c r="Q24" s="29">
        <f>IF(Q11=0,0,Q11/TrRail_act!Q15*100)</f>
        <v>94.325168437856149</v>
      </c>
      <c r="R24" s="29">
        <f>IF(R11=0,0,R11/TrRail_act!R15*100)</f>
        <v>86.504746540487716</v>
      </c>
      <c r="S24" s="29">
        <f>IF(S11=0,0,S11/TrRail_act!S15*100)</f>
        <v>80.954662416778717</v>
      </c>
      <c r="T24" s="29">
        <f>IF(T11=0,0,T11/TrRail_act!T15*100)</f>
        <v>77.773448053723342</v>
      </c>
      <c r="U24" s="29">
        <f>IF(U11=0,0,U11/TrRail_act!U15*100)</f>
        <v>81.249501306199463</v>
      </c>
      <c r="V24" s="29">
        <f>IF(V11=0,0,V11/TrRail_act!V15*100)</f>
        <v>73.885080765040072</v>
      </c>
      <c r="W24" s="29">
        <f>IF(W11=0,0,W11/TrRail_act!W15*100)</f>
        <v>74.076134108522737</v>
      </c>
      <c r="X24" s="29">
        <f>IF(X11=0,0,X11/TrRail_act!X15*100)</f>
        <v>72.25243365066369</v>
      </c>
      <c r="Y24" s="29">
        <f>IF(Y11=0,0,Y11/TrRail_act!Y15*100)</f>
        <v>80.800081193844264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47.895276348604362</v>
      </c>
      <c r="C25" s="115">
        <f>IF(C12=0,0,C12/TrRail_act!C16*100)</f>
        <v>47.371480099758926</v>
      </c>
      <c r="D25" s="115">
        <f>IF(D12=0,0,D12/TrRail_act!D16*100)</f>
        <v>46.828202375547058</v>
      </c>
      <c r="E25" s="115">
        <f>IF(E12=0,0,E12/TrRail_act!E16*100)</f>
        <v>46.630704761177448</v>
      </c>
      <c r="F25" s="115">
        <f>IF(F12=0,0,F12/TrRail_act!F16*100)</f>
        <v>46.165430249425782</v>
      </c>
      <c r="G25" s="115">
        <f>IF(G12=0,0,G12/TrRail_act!G16*100)</f>
        <v>44.105682250041532</v>
      </c>
      <c r="H25" s="115">
        <f>IF(H12=0,0,H12/TrRail_act!H16*100)</f>
        <v>43.416186740011725</v>
      </c>
      <c r="I25" s="115">
        <f>IF(I12=0,0,I12/TrRail_act!I16*100)</f>
        <v>42.870009070630026</v>
      </c>
      <c r="J25" s="115">
        <f>IF(J12=0,0,J12/TrRail_act!J16*100)</f>
        <v>42.309986048512613</v>
      </c>
      <c r="K25" s="115">
        <f>IF(K12=0,0,K12/TrRail_act!K16*100)</f>
        <v>41.621741836863912</v>
      </c>
      <c r="L25" s="115">
        <f>IF(L12=0,0,L12/TrRail_act!L16*100)</f>
        <v>41.642407535143704</v>
      </c>
      <c r="M25" s="115">
        <f>IF(M12=0,0,M12/TrRail_act!M16*100)</f>
        <v>40.916124828958239</v>
      </c>
      <c r="N25" s="115">
        <f>IF(N12=0,0,N12/TrRail_act!N16*100)</f>
        <v>40.406889436018396</v>
      </c>
      <c r="O25" s="115">
        <f>IF(O12=0,0,O12/TrRail_act!O16*100)</f>
        <v>39.608743765544816</v>
      </c>
      <c r="P25" s="115">
        <f>IF(P12=0,0,P12/TrRail_act!P16*100)</f>
        <v>39.099803856669865</v>
      </c>
      <c r="Q25" s="115">
        <f>IF(Q12=0,0,Q12/TrRail_act!Q16*100)</f>
        <v>38.22380614138266</v>
      </c>
      <c r="R25" s="115">
        <f>IF(R12=0,0,R12/TrRail_act!R16*100)</f>
        <v>37.579711621123465</v>
      </c>
      <c r="S25" s="115">
        <f>IF(S12=0,0,S12/TrRail_act!S16*100)</f>
        <v>37.103773320641388</v>
      </c>
      <c r="T25" s="115">
        <f>IF(T12=0,0,T12/TrRail_act!T16*100)</f>
        <v>36.75077943053811</v>
      </c>
      <c r="U25" s="115">
        <f>IF(U12=0,0,U12/TrRail_act!U16*100)</f>
        <v>36.488239633604088</v>
      </c>
      <c r="V25" s="115">
        <f>IF(V12=0,0,V12/TrRail_act!V16*100)</f>
        <v>36.29256633603876</v>
      </c>
      <c r="W25" s="115">
        <f>IF(W12=0,0,W12/TrRail_act!W16*100)</f>
        <v>36.146500290959615</v>
      </c>
      <c r="X25" s="115">
        <f>IF(X12=0,0,X12/TrRail_act!X16*100)</f>
        <v>36.03733667600293</v>
      </c>
      <c r="Y25" s="115">
        <f>IF(Y12=0,0,Y12/TrRail_act!Y16*100)</f>
        <v>35.955680370272539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212.37124921733312</v>
      </c>
      <c r="C26" s="116">
        <f>IF(C13=0,0,C13/TrRail_act!C17*100)</f>
        <v>197.23105642486968</v>
      </c>
      <c r="D26" s="116">
        <f>IF(D13=0,0,D13/TrRail_act!D17*100)</f>
        <v>187.23030487735085</v>
      </c>
      <c r="E26" s="116">
        <f>IF(E13=0,0,E13/TrRail_act!E17*100)</f>
        <v>181.0968890728827</v>
      </c>
      <c r="F26" s="116">
        <f>IF(F13=0,0,F13/TrRail_act!F17*100)</f>
        <v>178.52139644912913</v>
      </c>
      <c r="G26" s="116">
        <f>IF(G13=0,0,G13/TrRail_act!G17*100)</f>
        <v>180.54781254323643</v>
      </c>
      <c r="H26" s="116">
        <f>IF(H13=0,0,H13/TrRail_act!H17*100)</f>
        <v>178.12452612492032</v>
      </c>
      <c r="I26" s="116">
        <f>IF(I13=0,0,I13/TrRail_act!I17*100)</f>
        <v>174.55547975280606</v>
      </c>
      <c r="J26" s="116">
        <f>IF(J13=0,0,J13/TrRail_act!J17*100)</f>
        <v>175.06960700600445</v>
      </c>
      <c r="K26" s="116">
        <f>IF(K13=0,0,K13/TrRail_act!K17*100)</f>
        <v>162.06490107077838</v>
      </c>
      <c r="L26" s="116">
        <f>IF(L13=0,0,L13/TrRail_act!L17*100)</f>
        <v>158.38444995880769</v>
      </c>
      <c r="M26" s="116">
        <f>IF(M13=0,0,M13/TrRail_act!M17*100)</f>
        <v>147.9948197687248</v>
      </c>
      <c r="N26" s="116">
        <f>IF(N13=0,0,N13/TrRail_act!N17*100)</f>
        <v>153.26883957788499</v>
      </c>
      <c r="O26" s="116">
        <f>IF(O13=0,0,O13/TrRail_act!O17*100)</f>
        <v>143.94342401999765</v>
      </c>
      <c r="P26" s="116">
        <f>IF(P13=0,0,P13/TrRail_act!P17*100)</f>
        <v>134.72076066181796</v>
      </c>
      <c r="Q26" s="116">
        <f>IF(Q13=0,0,Q13/TrRail_act!Q17*100)</f>
        <v>127.97779276949055</v>
      </c>
      <c r="R26" s="116">
        <f>IF(R13=0,0,R13/TrRail_act!R17*100)</f>
        <v>121.5079430194229</v>
      </c>
      <c r="S26" s="116">
        <f>IF(S13=0,0,S13/TrRail_act!S17*100)</f>
        <v>119.7819959259145</v>
      </c>
      <c r="T26" s="116">
        <f>IF(T13=0,0,T13/TrRail_act!T17*100)</f>
        <v>117.83143188238037</v>
      </c>
      <c r="U26" s="116">
        <f>IF(U13=0,0,U13/TrRail_act!U17*100)</f>
        <v>115.02724707566499</v>
      </c>
      <c r="V26" s="116">
        <f>IF(V13=0,0,V13/TrRail_act!V17*100)</f>
        <v>114.7082872610962</v>
      </c>
      <c r="W26" s="116">
        <f>IF(W13=0,0,W13/TrRail_act!W17*100)</f>
        <v>114.41611814036436</v>
      </c>
      <c r="X26" s="116">
        <f>IF(X13=0,0,X13/TrRail_act!X17*100)</f>
        <v>114.56502371997024</v>
      </c>
      <c r="Y26" s="116">
        <f>IF(Y13=0,0,Y13/TrRail_act!Y17*100)</f>
        <v>113.49334085972104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267.42885500350991</v>
      </c>
      <c r="C27" s="87">
        <f>IF(C14=0,0,C14/TrRail_act!C18*100)</f>
        <v>259.66858266512622</v>
      </c>
      <c r="D27" s="87">
        <f>IF(D14=0,0,D14/TrRail_act!D18*100)</f>
        <v>250.51572036246856</v>
      </c>
      <c r="E27" s="87">
        <f>IF(E14=0,0,E14/TrRail_act!E18*100)</f>
        <v>242.47152926482093</v>
      </c>
      <c r="F27" s="87">
        <f>IF(F14=0,0,F14/TrRail_act!F18*100)</f>
        <v>236.86132197057213</v>
      </c>
      <c r="G27" s="87">
        <f>IF(G14=0,0,G14/TrRail_act!G18*100)</f>
        <v>231.45336121931902</v>
      </c>
      <c r="H27" s="87">
        <f>IF(H14=0,0,H14/TrRail_act!H18*100)</f>
        <v>238.15020190247006</v>
      </c>
      <c r="I27" s="87">
        <f>IF(I14=0,0,I14/TrRail_act!I18*100)</f>
        <v>225.03280469584899</v>
      </c>
      <c r="J27" s="87">
        <f>IF(J14=0,0,J14/TrRail_act!J18*100)</f>
        <v>223.2673300424897</v>
      </c>
      <c r="K27" s="87">
        <f>IF(K14=0,0,K14/TrRail_act!K18*100)</f>
        <v>219.01076127260595</v>
      </c>
      <c r="L27" s="87">
        <f>IF(L14=0,0,L14/TrRail_act!L18*100)</f>
        <v>210.77166406184782</v>
      </c>
      <c r="M27" s="87">
        <f>IF(M14=0,0,M14/TrRail_act!M18*100)</f>
        <v>191.93834460189089</v>
      </c>
      <c r="N27" s="87">
        <f>IF(N14=0,0,N14/TrRail_act!N18*100)</f>
        <v>188.14808682097799</v>
      </c>
      <c r="O27" s="87">
        <f>IF(O14=0,0,O14/TrRail_act!O18*100)</f>
        <v>171.5867136533688</v>
      </c>
      <c r="P27" s="87">
        <f>IF(P14=0,0,P14/TrRail_act!P18*100)</f>
        <v>161.22106186557971</v>
      </c>
      <c r="Q27" s="87">
        <f>IF(Q14=0,0,Q14/TrRail_act!Q18*100)</f>
        <v>160.52433940868539</v>
      </c>
      <c r="R27" s="87">
        <f>IF(R14=0,0,R14/TrRail_act!R18*100)</f>
        <v>140.3233099633573</v>
      </c>
      <c r="S27" s="87">
        <f>IF(S14=0,0,S14/TrRail_act!S18*100)</f>
        <v>137.00779363668894</v>
      </c>
      <c r="T27" s="87">
        <f>IF(T14=0,0,T14/TrRail_act!T18*100)</f>
        <v>134.57266768821691</v>
      </c>
      <c r="U27" s="87">
        <f>IF(U14=0,0,U14/TrRail_act!U18*100)</f>
        <v>132.77476870711305</v>
      </c>
      <c r="V27" s="87">
        <f>IF(V14=0,0,V14/TrRail_act!V18*100)</f>
        <v>131.44212524541138</v>
      </c>
      <c r="W27" s="87">
        <f>IF(W14=0,0,W14/TrRail_act!W18*100)</f>
        <v>130.4514277337104</v>
      </c>
      <c r="X27" s="87">
        <f>IF(X14=0,0,X14/TrRail_act!X18*100)</f>
        <v>129.71330791980009</v>
      </c>
      <c r="Y27" s="87">
        <f>IF(Y14=0,0,Y14/TrRail_act!Y18*100)</f>
        <v>129.1624601341731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180.47483623879805</v>
      </c>
      <c r="C28" s="87">
        <f>IF(C15=0,0,C15/TrRail_act!C19*100)</f>
        <v>167.37961710324154</v>
      </c>
      <c r="D28" s="87">
        <f>IF(D15=0,0,D15/TrRail_act!D19*100)</f>
        <v>163.68135434328892</v>
      </c>
      <c r="E28" s="87">
        <f>IF(E15=0,0,E15/TrRail_act!E19*100)</f>
        <v>160.1066473599125</v>
      </c>
      <c r="F28" s="87">
        <f>IF(F15=0,0,F15/TrRail_act!F19*100)</f>
        <v>157.06579370546967</v>
      </c>
      <c r="G28" s="87">
        <f>IF(G15=0,0,G15/TrRail_act!G19*100)</f>
        <v>158.4534259913238</v>
      </c>
      <c r="H28" s="87">
        <f>IF(H15=0,0,H15/TrRail_act!H19*100)</f>
        <v>147.11899711879079</v>
      </c>
      <c r="I28" s="87">
        <f>IF(I15=0,0,I15/TrRail_act!I19*100)</f>
        <v>150.43384187945915</v>
      </c>
      <c r="J28" s="87">
        <f>IF(J15=0,0,J15/TrRail_act!J19*100)</f>
        <v>147.22735502616504</v>
      </c>
      <c r="K28" s="87">
        <f>IF(K15=0,0,K15/TrRail_act!K19*100)</f>
        <v>143.00565275386913</v>
      </c>
      <c r="L28" s="87">
        <f>IF(L15=0,0,L15/TrRail_act!L19*100)</f>
        <v>132.75333754326223</v>
      </c>
      <c r="M28" s="87">
        <f>IF(M15=0,0,M15/TrRail_act!M19*100)</f>
        <v>123.00862452545263</v>
      </c>
      <c r="N28" s="87">
        <f>IF(N15=0,0,N15/TrRail_act!N19*100)</f>
        <v>121.31319074575002</v>
      </c>
      <c r="O28" s="87">
        <f>IF(O15=0,0,O15/TrRail_act!O19*100)</f>
        <v>115.65777813022893</v>
      </c>
      <c r="P28" s="87">
        <f>IF(P15=0,0,P15/TrRail_act!P19*100)</f>
        <v>117.3071234743712</v>
      </c>
      <c r="Q28" s="87">
        <f>IF(Q15=0,0,Q15/TrRail_act!Q19*100)</f>
        <v>114.72518213498233</v>
      </c>
      <c r="R28" s="87">
        <f>IF(R15=0,0,R15/TrRail_act!R19*100)</f>
        <v>112.26195845360245</v>
      </c>
      <c r="S28" s="87">
        <f>IF(S15=0,0,S15/TrRail_act!S19*100)</f>
        <v>111.55380340988428</v>
      </c>
      <c r="T28" s="87">
        <f>IF(T15=0,0,T15/TrRail_act!T19*100)</f>
        <v>111.02562019484591</v>
      </c>
      <c r="U28" s="87">
        <f>IF(U15=0,0,U15/TrRail_act!U19*100)</f>
        <v>110.63112460417919</v>
      </c>
      <c r="V28" s="87">
        <f>IF(V15=0,0,V15/TrRail_act!V19*100)</f>
        <v>110.33617306224536</v>
      </c>
      <c r="W28" s="87">
        <f>IF(W15=0,0,W15/TrRail_act!W19*100)</f>
        <v>110.11547557238384</v>
      </c>
      <c r="X28" s="87">
        <f>IF(X15=0,0,X15/TrRail_act!X19*100)</f>
        <v>109.95024220176684</v>
      </c>
      <c r="Y28" s="87">
        <f>IF(Y15=0,0,Y15/TrRail_act!Y19*100)</f>
        <v>109.8264799049999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363.14028214086147</v>
      </c>
      <c r="C30" s="29">
        <f>IF(C17=0,0,C17/TrRail_act!C21*100)</f>
        <v>353.24665902281311</v>
      </c>
      <c r="D30" s="29">
        <f>IF(D17=0,0,D17/TrRail_act!D21*100)</f>
        <v>355.53332082158062</v>
      </c>
      <c r="E30" s="29">
        <f>IF(E17=0,0,E17/TrRail_act!E21*100)</f>
        <v>337.6190478763595</v>
      </c>
      <c r="F30" s="29">
        <f>IF(F17=0,0,F17/TrRail_act!F21*100)</f>
        <v>335.55303716540715</v>
      </c>
      <c r="G30" s="29">
        <f>IF(G17=0,0,G17/TrRail_act!G21*100)</f>
        <v>331.33439186432071</v>
      </c>
      <c r="H30" s="29">
        <f>IF(H17=0,0,H17/TrRail_act!H21*100)</f>
        <v>314.10609959314041</v>
      </c>
      <c r="I30" s="29">
        <f>IF(I17=0,0,I17/TrRail_act!I21*100)</f>
        <v>309.07896244754909</v>
      </c>
      <c r="J30" s="29">
        <f>IF(J17=0,0,J17/TrRail_act!J21*100)</f>
        <v>339.08698867272943</v>
      </c>
      <c r="K30" s="29">
        <f>IF(K17=0,0,K17/TrRail_act!K21*100)</f>
        <v>295.70185651767611</v>
      </c>
      <c r="L30" s="29">
        <f>IF(L17=0,0,L17/TrRail_act!L21*100)</f>
        <v>298.42229442624398</v>
      </c>
      <c r="M30" s="29">
        <f>IF(M17=0,0,M17/TrRail_act!M21*100)</f>
        <v>283.89775498519606</v>
      </c>
      <c r="N30" s="29">
        <f>IF(N17=0,0,N17/TrRail_act!N21*100)</f>
        <v>281.01111771210185</v>
      </c>
      <c r="O30" s="29">
        <f>IF(O17=0,0,O17/TrRail_act!O21*100)</f>
        <v>239.65182344955113</v>
      </c>
      <c r="P30" s="29">
        <f>IF(P17=0,0,P17/TrRail_act!P21*100)</f>
        <v>233.04290539674503</v>
      </c>
      <c r="Q30" s="29">
        <f>IF(Q17=0,0,Q17/TrRail_act!Q21*100)</f>
        <v>249.4355509921217</v>
      </c>
      <c r="R30" s="29">
        <f>IF(R17=0,0,R17/TrRail_act!R21*100)</f>
        <v>202.12427831877719</v>
      </c>
      <c r="S30" s="29">
        <f>IF(S17=0,0,S17/TrRail_act!S21*100)</f>
        <v>198.92859931055361</v>
      </c>
      <c r="T30" s="29">
        <f>IF(T17=0,0,T17/TrRail_act!T21*100)</f>
        <v>189.67853562249084</v>
      </c>
      <c r="U30" s="29">
        <f>IF(U17=0,0,U17/TrRail_act!U21*100)</f>
        <v>176.1652781780856</v>
      </c>
      <c r="V30" s="29">
        <f>IF(V17=0,0,V17/TrRail_act!V21*100)</f>
        <v>174.438141524842</v>
      </c>
      <c r="W30" s="29">
        <f>IF(W17=0,0,W17/TrRail_act!W21*100)</f>
        <v>174.03948442787035</v>
      </c>
      <c r="X30" s="29">
        <f>IF(X17=0,0,X17/TrRail_act!X21*100)</f>
        <v>172.29493829236623</v>
      </c>
      <c r="Y30" s="29">
        <f>IF(Y17=0,0,Y17/TrRail_act!Y21*100)</f>
        <v>179.4337181807673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577.46951188313619</v>
      </c>
      <c r="C31" s="87">
        <f>IF(C18=0,0,C18/TrRail_act!C22*100)</f>
        <v>563.35161485797278</v>
      </c>
      <c r="D31" s="87">
        <f>IF(D18=0,0,D18/TrRail_act!D22*100)</f>
        <v>558.52685348351997</v>
      </c>
      <c r="E31" s="87">
        <f>IF(E18=0,0,E18/TrRail_act!E22*100)</f>
        <v>528.64340377356041</v>
      </c>
      <c r="F31" s="87">
        <f>IF(F18=0,0,F18/TrRail_act!F22*100)</f>
        <v>518.77395977167612</v>
      </c>
      <c r="G31" s="87">
        <f>IF(G18=0,0,G18/TrRail_act!G22*100)</f>
        <v>525.67873084083976</v>
      </c>
      <c r="H31" s="87">
        <f>IF(H18=0,0,H18/TrRail_act!H22*100)</f>
        <v>527.88522974383648</v>
      </c>
      <c r="I31" s="87">
        <f>IF(I18=0,0,I18/TrRail_act!I22*100)</f>
        <v>502.96479039844655</v>
      </c>
      <c r="J31" s="87">
        <f>IF(J18=0,0,J18/TrRail_act!J22*100)</f>
        <v>496.95910861405014</v>
      </c>
      <c r="K31" s="87">
        <f>IF(K18=0,0,K18/TrRail_act!K22*100)</f>
        <v>491.8834826083766</v>
      </c>
      <c r="L31" s="87">
        <f>IF(L18=0,0,L18/TrRail_act!L22*100)</f>
        <v>484.09303171961636</v>
      </c>
      <c r="M31" s="87">
        <f>IF(M18=0,0,M18/TrRail_act!M22*100)</f>
        <v>466.97001824517974</v>
      </c>
      <c r="N31" s="87">
        <f>IF(N18=0,0,N18/TrRail_act!N22*100)</f>
        <v>462.26767699816043</v>
      </c>
      <c r="O31" s="87">
        <f>IF(O18=0,0,O18/TrRail_act!O22*100)</f>
        <v>448.54093279087942</v>
      </c>
      <c r="P31" s="87">
        <f>IF(P18=0,0,P18/TrRail_act!P22*100)</f>
        <v>444.45825990444428</v>
      </c>
      <c r="Q31" s="87">
        <f>IF(Q18=0,0,Q18/TrRail_act!Q22*100)</f>
        <v>442.21141008988116</v>
      </c>
      <c r="R31" s="87">
        <f>IF(R18=0,0,R18/TrRail_act!R22*100)</f>
        <v>411.01796992501238</v>
      </c>
      <c r="S31" s="87">
        <f>IF(S18=0,0,S18/TrRail_act!S22*100)</f>
        <v>408.52934545581707</v>
      </c>
      <c r="T31" s="87">
        <f>IF(T18=0,0,T18/TrRail_act!T22*100)</f>
        <v>406.67277053039743</v>
      </c>
      <c r="U31" s="87">
        <f>IF(U18=0,0,U18/TrRail_act!U22*100)</f>
        <v>405.28587839154932</v>
      </c>
      <c r="V31" s="87">
        <f>IF(V18=0,0,V18/TrRail_act!V22*100)</f>
        <v>404.24881408386506</v>
      </c>
      <c r="W31" s="87">
        <f>IF(W18=0,0,W18/TrRail_act!W22*100)</f>
        <v>403.4727577076701</v>
      </c>
      <c r="X31" s="87">
        <f>IF(X18=0,0,X18/TrRail_act!X22*100)</f>
        <v>402.89169328538372</v>
      </c>
      <c r="Y31" s="87">
        <f>IF(Y18=0,0,Y18/TrRail_act!Y22*100)</f>
        <v>402.45644420064161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242.29103910386408</v>
      </c>
      <c r="C32" s="88">
        <f>IF(C19=0,0,C19/TrRail_act!C23*100)</f>
        <v>238.17297374846459</v>
      </c>
      <c r="D32" s="88">
        <f>IF(D19=0,0,D19/TrRail_act!D23*100)</f>
        <v>233.42630273869145</v>
      </c>
      <c r="E32" s="88">
        <f>IF(E19=0,0,E19/TrRail_act!E23*100)</f>
        <v>231.67381021325286</v>
      </c>
      <c r="F32" s="88">
        <f>IF(F19=0,0,F19/TrRail_act!F23*100)</f>
        <v>230.60392224795123</v>
      </c>
      <c r="G32" s="88">
        <f>IF(G19=0,0,G19/TrRail_act!G23*100)</f>
        <v>227.27651740157509</v>
      </c>
      <c r="H32" s="88">
        <f>IF(H19=0,0,H19/TrRail_act!H23*100)</f>
        <v>222.23759869161435</v>
      </c>
      <c r="I32" s="88">
        <f>IF(I19=0,0,I19/TrRail_act!I23*100)</f>
        <v>223.06431426508797</v>
      </c>
      <c r="J32" s="88">
        <f>IF(J19=0,0,J19/TrRail_act!J23*100)</f>
        <v>221.19333406464074</v>
      </c>
      <c r="K32" s="88">
        <f>IF(K19=0,0,K19/TrRail_act!K23*100)</f>
        <v>188.65396842985052</v>
      </c>
      <c r="L32" s="88">
        <f>IF(L19=0,0,L19/TrRail_act!L23*100)</f>
        <v>187.78349162325642</v>
      </c>
      <c r="M32" s="88">
        <f>IF(M19=0,0,M19/TrRail_act!M23*100)</f>
        <v>185.03067018656455</v>
      </c>
      <c r="N32" s="88">
        <f>IF(N19=0,0,N19/TrRail_act!N23*100)</f>
        <v>169.65860068967498</v>
      </c>
      <c r="O32" s="88">
        <f>IF(O19=0,0,O19/TrRail_act!O23*100)</f>
        <v>161.94817944651879</v>
      </c>
      <c r="P32" s="88">
        <f>IF(P19=0,0,P19/TrRail_act!P23*100)</f>
        <v>158.92337876454371</v>
      </c>
      <c r="Q32" s="88">
        <f>IF(Q19=0,0,Q19/TrRail_act!Q23*100)</f>
        <v>155.42545954809324</v>
      </c>
      <c r="R32" s="88">
        <f>IF(R19=0,0,R19/TrRail_act!R23*100)</f>
        <v>145.21000594794714</v>
      </c>
      <c r="S32" s="88">
        <f>IF(S19=0,0,S19/TrRail_act!S23*100)</f>
        <v>144.20111583034569</v>
      </c>
      <c r="T32" s="88">
        <f>IF(T19=0,0,T19/TrRail_act!T23*100)</f>
        <v>143.44905093964536</v>
      </c>
      <c r="U32" s="88">
        <f>IF(U19=0,0,U19/TrRail_act!U23*100)</f>
        <v>142.88757740864477</v>
      </c>
      <c r="V32" s="88">
        <f>IF(V19=0,0,V19/TrRail_act!V23*100)</f>
        <v>142.46791494706267</v>
      </c>
      <c r="W32" s="88">
        <f>IF(W19=0,0,W19/TrRail_act!W23*100)</f>
        <v>142.15397716225334</v>
      </c>
      <c r="X32" s="88">
        <f>IF(X19=0,0,X19/TrRail_act!X23*100)</f>
        <v>141.91897788989823</v>
      </c>
      <c r="Y32" s="88">
        <f>IF(Y19=0,0,Y19/TrRail_act!Y23*100)</f>
        <v>141.74298341391739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10.672048455282331</v>
      </c>
      <c r="C35" s="29">
        <f>IF(C11=0,0,C11/TrRail_act!C4*1000)</f>
        <v>11.113712610560455</v>
      </c>
      <c r="D35" s="29">
        <f>IF(D11=0,0,D11/TrRail_act!D4*1000)</f>
        <v>12.798864089747079</v>
      </c>
      <c r="E35" s="29">
        <f>IF(E11=0,0,E11/TrRail_act!E4*1000)</f>
        <v>11.1964063647908</v>
      </c>
      <c r="F35" s="29">
        <f>IF(F11=0,0,F11/TrRail_act!F4*1000)</f>
        <v>11.53755955763798</v>
      </c>
      <c r="G35" s="29">
        <f>IF(G11=0,0,G11/TrRail_act!G4*1000)</f>
        <v>11.662899536714823</v>
      </c>
      <c r="H35" s="29">
        <f>IF(H11=0,0,H11/TrRail_act!H4*1000)</f>
        <v>11.874534781865039</v>
      </c>
      <c r="I35" s="29">
        <f>IF(I11=0,0,I11/TrRail_act!I4*1000)</f>
        <v>11.025477188291958</v>
      </c>
      <c r="J35" s="29">
        <f>IF(J11=0,0,J11/TrRail_act!J4*1000)</f>
        <v>12.265367635556295</v>
      </c>
      <c r="K35" s="29">
        <f>IF(K11=0,0,K11/TrRail_act!K4*1000)</f>
        <v>12.340685596373945</v>
      </c>
      <c r="L35" s="29">
        <f>IF(L11=0,0,L11/TrRail_act!L4*1000)</f>
        <v>10.288905276047407</v>
      </c>
      <c r="M35" s="29">
        <f>IF(M11=0,0,M11/TrRail_act!M4*1000)</f>
        <v>8.7301662252547612</v>
      </c>
      <c r="N35" s="29">
        <f>IF(N11=0,0,N11/TrRail_act!N4*1000)</f>
        <v>10.093062243705196</v>
      </c>
      <c r="O35" s="29">
        <f>IF(O11=0,0,O11/TrRail_act!O4*1000)</f>
        <v>7.2247469675347089</v>
      </c>
      <c r="P35" s="29">
        <f>IF(P11=0,0,P11/TrRail_act!P4*1000)</f>
        <v>6.940257672384873</v>
      </c>
      <c r="Q35" s="29">
        <f>IF(Q11=0,0,Q11/TrRail_act!Q4*1000)</f>
        <v>10.819637808370992</v>
      </c>
      <c r="R35" s="29">
        <f>IF(R11=0,0,R11/TrRail_act!R4*1000)</f>
        <v>10.112326088083284</v>
      </c>
      <c r="S35" s="29">
        <f>IF(S11=0,0,S11/TrRail_act!S4*1000)</f>
        <v>9.8871728332336541</v>
      </c>
      <c r="T35" s="29">
        <f>IF(T11=0,0,T11/TrRail_act!T4*1000)</f>
        <v>8.8645962476277305</v>
      </c>
      <c r="U35" s="29">
        <f>IF(U11=0,0,U11/TrRail_act!U4*1000)</f>
        <v>11.373608484868059</v>
      </c>
      <c r="V35" s="29">
        <f>IF(V11=0,0,V11/TrRail_act!V4*1000)</f>
        <v>11.854873639895004</v>
      </c>
      <c r="W35" s="29">
        <f>IF(W11=0,0,W11/TrRail_act!W4*1000)</f>
        <v>11.499898676870455</v>
      </c>
      <c r="X35" s="29">
        <f>IF(X11=0,0,X11/TrRail_act!X4*1000)</f>
        <v>8.4770037000414629</v>
      </c>
      <c r="Y35" s="29">
        <f>IF(Y11=0,0,Y11/TrRail_act!Y4*1000)</f>
        <v>9.6772205586982007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5.4479179485780218</v>
      </c>
      <c r="C36" s="115">
        <f>IF(C12=0,0,C12/TrRail_act!C5*1000)</f>
        <v>5.5905272022394428</v>
      </c>
      <c r="D36" s="115">
        <f>IF(D12=0,0,D12/TrRail_act!D5*1000)</f>
        <v>5.7250394341520341</v>
      </c>
      <c r="E36" s="115">
        <f>IF(E12=0,0,E12/TrRail_act!E5*1000)</f>
        <v>5.6634384459660341</v>
      </c>
      <c r="F36" s="115">
        <f>IF(F12=0,0,F12/TrRail_act!F5*1000)</f>
        <v>5.6110806031711675</v>
      </c>
      <c r="G36" s="115">
        <f>IF(G12=0,0,G12/TrRail_act!G5*1000)</f>
        <v>5.3458407037846856</v>
      </c>
      <c r="H36" s="115">
        <f>IF(H12=0,0,H12/TrRail_act!H5*1000)</f>
        <v>5.2879360431843168</v>
      </c>
      <c r="I36" s="115">
        <f>IF(I12=0,0,I12/TrRail_act!I5*1000)</f>
        <v>5.2596647851545155</v>
      </c>
      <c r="J36" s="115">
        <f>IF(J12=0,0,J12/TrRail_act!J5*1000)</f>
        <v>5.2334330937120104</v>
      </c>
      <c r="K36" s="115">
        <f>IF(K12=0,0,K12/TrRail_act!K5*1000)</f>
        <v>5.2589372424459331</v>
      </c>
      <c r="L36" s="115">
        <f>IF(L12=0,0,L12/TrRail_act!L5*1000)</f>
        <v>5.2660066118767084</v>
      </c>
      <c r="M36" s="115">
        <f>IF(M12=0,0,M12/TrRail_act!M5*1000)</f>
        <v>5.1757652147348168</v>
      </c>
      <c r="N36" s="115">
        <f>IF(N12=0,0,N12/TrRail_act!N5*1000)</f>
        <v>5.0703409602929153</v>
      </c>
      <c r="O36" s="115">
        <f>IF(O12=0,0,O12/TrRail_act!O5*1000)</f>
        <v>5.0052896301790364</v>
      </c>
      <c r="P36" s="115">
        <f>IF(P12=0,0,P12/TrRail_act!P5*1000)</f>
        <v>5.0536406952695172</v>
      </c>
      <c r="Q36" s="115">
        <f>IF(Q12=0,0,Q12/TrRail_act!Q5*1000)</f>
        <v>5.0828649124255412</v>
      </c>
      <c r="R36" s="115">
        <f>IF(R12=0,0,R12/TrRail_act!R5*1000)</f>
        <v>5.1030809032004001</v>
      </c>
      <c r="S36" s="115">
        <f>IF(S12=0,0,S12/TrRail_act!S5*1000)</f>
        <v>4.9801832026700943</v>
      </c>
      <c r="T36" s="115">
        <f>IF(T12=0,0,T12/TrRail_act!T5*1000)</f>
        <v>4.8847894925125104</v>
      </c>
      <c r="U36" s="115">
        <f>IF(U12=0,0,U12/TrRail_act!U5*1000)</f>
        <v>5.3646780975926829</v>
      </c>
      <c r="V36" s="115">
        <f>IF(V12=0,0,V12/TrRail_act!V5*1000)</f>
        <v>7.9434865727847859</v>
      </c>
      <c r="W36" s="115">
        <f>IF(W12=0,0,W12/TrRail_act!W5*1000)</f>
        <v>7.5312219775273324</v>
      </c>
      <c r="X36" s="115">
        <f>IF(X12=0,0,X12/TrRail_act!X5*1000)</f>
        <v>6.0751655469507879</v>
      </c>
      <c r="Y36" s="115">
        <f>IF(Y12=0,0,Y12/TrRail_act!Y5*1000)</f>
        <v>4.5172711249109359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11.302495080371358</v>
      </c>
      <c r="C37" s="116">
        <f>IF(C13=0,0,C13/TrRail_act!C6*1000)</f>
        <v>11.980058415410809</v>
      </c>
      <c r="D37" s="116">
        <f>IF(D13=0,0,D13/TrRail_act!D6*1000)</f>
        <v>13.986003254427388</v>
      </c>
      <c r="E37" s="116">
        <f>IF(E13=0,0,E13/TrRail_act!E6*1000)</f>
        <v>12.264750587495943</v>
      </c>
      <c r="F37" s="116">
        <f>IF(F13=0,0,F13/TrRail_act!F6*1000)</f>
        <v>12.622272843813271</v>
      </c>
      <c r="G37" s="116">
        <f>IF(G13=0,0,G13/TrRail_act!G6*1000)</f>
        <v>12.810494150985095</v>
      </c>
      <c r="H37" s="116">
        <f>IF(H13=0,0,H13/TrRail_act!H6*1000)</f>
        <v>13.092959932197514</v>
      </c>
      <c r="I37" s="116">
        <f>IF(I13=0,0,I13/TrRail_act!I6*1000)</f>
        <v>12.087979224311045</v>
      </c>
      <c r="J37" s="116">
        <f>IF(J13=0,0,J13/TrRail_act!J6*1000)</f>
        <v>13.740343978817545</v>
      </c>
      <c r="K37" s="116">
        <f>IF(K13=0,0,K13/TrRail_act!K6*1000)</f>
        <v>14.619564393147785</v>
      </c>
      <c r="L37" s="116">
        <f>IF(L13=0,0,L13/TrRail_act!L6*1000)</f>
        <v>12.473505699842221</v>
      </c>
      <c r="M37" s="116">
        <f>IF(M13=0,0,M13/TrRail_act!M6*1000)</f>
        <v>10.235478357927608</v>
      </c>
      <c r="N37" s="116">
        <f>IF(N13=0,0,N13/TrRail_act!N6*1000)</f>
        <v>12.832728398293716</v>
      </c>
      <c r="O37" s="116">
        <f>IF(O13=0,0,O13/TrRail_act!O6*1000)</f>
        <v>8.4557474676605899</v>
      </c>
      <c r="P37" s="116">
        <f>IF(P13=0,0,P13/TrRail_act!P6*1000)</f>
        <v>7.7502363392382847</v>
      </c>
      <c r="Q37" s="116">
        <f>IF(Q13=0,0,Q13/TrRail_act!Q6*1000)</f>
        <v>13.562022650491002</v>
      </c>
      <c r="R37" s="116">
        <f>IF(R13=0,0,R13/TrRail_act!R6*1000)</f>
        <v>12.918191947656856</v>
      </c>
      <c r="S37" s="116">
        <f>IF(S13=0,0,S13/TrRail_act!S6*1000)</f>
        <v>13.54859466357048</v>
      </c>
      <c r="T37" s="116">
        <f>IF(T13=0,0,T13/TrRail_act!T6*1000)</f>
        <v>11.790131701083023</v>
      </c>
      <c r="U37" s="116">
        <f>IF(U13=0,0,U13/TrRail_act!U6*1000)</f>
        <v>15.540327319202433</v>
      </c>
      <c r="V37" s="116">
        <f>IF(V13=0,0,V13/TrRail_act!V6*1000)</f>
        <v>14.268878180419199</v>
      </c>
      <c r="W37" s="116">
        <f>IF(W13=0,0,W13/TrRail_act!W6*1000)</f>
        <v>13.974136020600582</v>
      </c>
      <c r="X37" s="116">
        <f>IF(X13=0,0,X13/TrRail_act!X6*1000)</f>
        <v>9.9181065918958673</v>
      </c>
      <c r="Y37" s="116">
        <f>IF(Y13=0,0,Y13/TrRail_act!Y6*1000)</f>
        <v>13.145277024874314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21.154146256886939</v>
      </c>
      <c r="C38" s="87">
        <f>IF(C14=0,0,C14/TrRail_act!C7*1000)</f>
        <v>23.773072516106108</v>
      </c>
      <c r="D38" s="87">
        <f>IF(D14=0,0,D14/TrRail_act!D7*1000)</f>
        <v>26.476667372246556</v>
      </c>
      <c r="E38" s="87">
        <f>IF(E14=0,0,E14/TrRail_act!E7*1000)</f>
        <v>24.985772363419617</v>
      </c>
      <c r="F38" s="87">
        <f>IF(F14=0,0,F14/TrRail_act!F7*1000)</f>
        <v>24.492848142413028</v>
      </c>
      <c r="G38" s="87">
        <f>IF(G14=0,0,G14/TrRail_act!G7*1000)</f>
        <v>23.561115180504636</v>
      </c>
      <c r="H38" s="87">
        <f>IF(H14=0,0,H14/TrRail_act!H7*1000)</f>
        <v>25.52011487468441</v>
      </c>
      <c r="I38" s="87">
        <f>IF(I14=0,0,I14/TrRail_act!I7*1000)</f>
        <v>24.009104245912361</v>
      </c>
      <c r="J38" s="87">
        <f>IF(J14=0,0,J14/TrRail_act!J7*1000)</f>
        <v>23.394942702209772</v>
      </c>
      <c r="K38" s="87">
        <f>IF(K14=0,0,K14/TrRail_act!K7*1000)</f>
        <v>23.488321402934222</v>
      </c>
      <c r="L38" s="87">
        <f>IF(L14=0,0,L14/TrRail_act!L7*1000)</f>
        <v>22.183546139739477</v>
      </c>
      <c r="M38" s="87">
        <f>IF(M14=0,0,M14/TrRail_act!M7*1000)</f>
        <v>19.390992459309217</v>
      </c>
      <c r="N38" s="87">
        <f>IF(N14=0,0,N14/TrRail_act!N7*1000)</f>
        <v>20.771660684800281</v>
      </c>
      <c r="O38" s="87">
        <f>IF(O14=0,0,O14/TrRail_act!O7*1000)</f>
        <v>15.737409229961269</v>
      </c>
      <c r="P38" s="87">
        <f>IF(P14=0,0,P14/TrRail_act!P7*1000)</f>
        <v>16.271031849366089</v>
      </c>
      <c r="Q38" s="87">
        <f>IF(Q14=0,0,Q14/TrRail_act!Q7*1000)</f>
        <v>22.487272723259032</v>
      </c>
      <c r="R38" s="87">
        <f>IF(R14=0,0,R14/TrRail_act!R7*1000)</f>
        <v>24.971866251252678</v>
      </c>
      <c r="S38" s="87">
        <f>IF(S14=0,0,S14/TrRail_act!S7*1000)</f>
        <v>23.696208200423087</v>
      </c>
      <c r="T38" s="87">
        <f>IF(T14=0,0,T14/TrRail_act!T7*1000)</f>
        <v>21.314512764776634</v>
      </c>
      <c r="U38" s="87">
        <f>IF(U14=0,0,U14/TrRail_act!U7*1000)</f>
        <v>26.027565113177403</v>
      </c>
      <c r="V38" s="87">
        <f>IF(V14=0,0,V14/TrRail_act!V7*1000)</f>
        <v>25.601704285671975</v>
      </c>
      <c r="W38" s="87">
        <f>IF(W14=0,0,W14/TrRail_act!W7*1000)</f>
        <v>25.258729309816868</v>
      </c>
      <c r="X38" s="87">
        <f>IF(X14=0,0,X14/TrRail_act!X7*1000)</f>
        <v>16.593226776632516</v>
      </c>
      <c r="Y38" s="87">
        <f>IF(Y14=0,0,Y14/TrRail_act!Y7*1000)</f>
        <v>20.376604009815892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8.0744339946880483</v>
      </c>
      <c r="C39" s="87">
        <f>IF(C15=0,0,C15/TrRail_act!C8*1000)</f>
        <v>8.7577425902494088</v>
      </c>
      <c r="D39" s="87">
        <f>IF(D15=0,0,D15/TrRail_act!D8*1000)</f>
        <v>11.024109775213784</v>
      </c>
      <c r="E39" s="87">
        <f>IF(E15=0,0,E15/TrRail_act!E8*1000)</f>
        <v>9.7054338369210758</v>
      </c>
      <c r="F39" s="87">
        <f>IF(F15=0,0,F15/TrRail_act!F8*1000)</f>
        <v>9.9482430139833173</v>
      </c>
      <c r="G39" s="87">
        <f>IF(G15=0,0,G15/TrRail_act!G8*1000)</f>
        <v>9.9361717282441226</v>
      </c>
      <c r="H39" s="87">
        <f>IF(H15=0,0,H15/TrRail_act!H8*1000)</f>
        <v>9.3044769652125279</v>
      </c>
      <c r="I39" s="87">
        <f>IF(I15=0,0,I15/TrRail_act!I8*1000)</f>
        <v>8.9214285895776939</v>
      </c>
      <c r="J39" s="87">
        <f>IF(J15=0,0,J15/TrRail_act!J8*1000)</f>
        <v>10.091949329945386</v>
      </c>
      <c r="K39" s="87">
        <f>IF(K15=0,0,K15/TrRail_act!K8*1000)</f>
        <v>12.248929049326998</v>
      </c>
      <c r="L39" s="87">
        <f>IF(L15=0,0,L15/TrRail_act!L8*1000)</f>
        <v>9.3084771499671426</v>
      </c>
      <c r="M39" s="87">
        <f>IF(M15=0,0,M15/TrRail_act!M8*1000)</f>
        <v>7.2136529681876045</v>
      </c>
      <c r="N39" s="87">
        <f>IF(N15=0,0,N15/TrRail_act!N8*1000)</f>
        <v>8.3163120386906968</v>
      </c>
      <c r="O39" s="87">
        <f>IF(O15=0,0,O15/TrRail_act!O8*1000)</f>
        <v>4.9669666061617166</v>
      </c>
      <c r="P39" s="87">
        <f>IF(P15=0,0,P15/TrRail_act!P8*1000)</f>
        <v>5.2617652892650328</v>
      </c>
      <c r="Q39" s="87">
        <f>IF(Q15=0,0,Q15/TrRail_act!Q8*1000)</f>
        <v>11.060816662949856</v>
      </c>
      <c r="R39" s="87">
        <f>IF(R15=0,0,R15/TrRail_act!R8*1000)</f>
        <v>9.9639940258129425</v>
      </c>
      <c r="S39" s="87">
        <f>IF(S15=0,0,S15/TrRail_act!S8*1000)</f>
        <v>10.828222985374623</v>
      </c>
      <c r="T39" s="87">
        <f>IF(T15=0,0,T15/TrRail_act!T8*1000)</f>
        <v>9.6625783859139798</v>
      </c>
      <c r="U39" s="87">
        <f>IF(U15=0,0,U15/TrRail_act!U8*1000)</f>
        <v>13.877971936432154</v>
      </c>
      <c r="V39" s="87">
        <f>IF(V15=0,0,V15/TrRail_act!V8*1000)</f>
        <v>12.540996543717318</v>
      </c>
      <c r="W39" s="87">
        <f>IF(W15=0,0,W15/TrRail_act!W8*1000)</f>
        <v>12.237097986302661</v>
      </c>
      <c r="X39" s="87">
        <f>IF(X15=0,0,X15/TrRail_act!X8*1000)</f>
        <v>8.665290275084347</v>
      </c>
      <c r="Y39" s="87">
        <f>IF(Y15=0,0,Y15/TrRail_act!Y8*1000)</f>
        <v>11.97560830246581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6.5824263895408439</v>
      </c>
      <c r="C41" s="29">
        <f>IF(C17=0,0,C17/TrRail_act!C10*1000)</f>
        <v>6.7398297817261845</v>
      </c>
      <c r="D41" s="29">
        <f>IF(D17=0,0,D17/TrRail_act!D10*1000)</f>
        <v>6.8323912277269798</v>
      </c>
      <c r="E41" s="29">
        <f>IF(E17=0,0,E17/TrRail_act!E10*1000)</f>
        <v>6.1857131891907553</v>
      </c>
      <c r="F41" s="29">
        <f>IF(F17=0,0,F17/TrRail_act!F10*1000)</f>
        <v>6.2416564501385023</v>
      </c>
      <c r="G41" s="29">
        <f>IF(G17=0,0,G17/TrRail_act!G10*1000)</f>
        <v>6.2698693359896911</v>
      </c>
      <c r="H41" s="29">
        <f>IF(H17=0,0,H17/TrRail_act!H10*1000)</f>
        <v>5.3655218876678301</v>
      </c>
      <c r="I41" s="29">
        <f>IF(I17=0,0,I17/TrRail_act!I10*1000)</f>
        <v>5.0151850989456674</v>
      </c>
      <c r="J41" s="29">
        <f>IF(J17=0,0,J17/TrRail_act!J10*1000)</f>
        <v>5.9392646525732484</v>
      </c>
      <c r="K41" s="29">
        <f>IF(K17=0,0,K17/TrRail_act!K10*1000)</f>
        <v>5.2057227615398292</v>
      </c>
      <c r="L41" s="29">
        <f>IF(L17=0,0,L17/TrRail_act!L10*1000)</f>
        <v>4.7465408316214948</v>
      </c>
      <c r="M41" s="29">
        <f>IF(M17=0,0,M17/TrRail_act!M10*1000)</f>
        <v>4.3608914092458724</v>
      </c>
      <c r="N41" s="29">
        <f>IF(N17=0,0,N17/TrRail_act!N10*1000)</f>
        <v>4.4741859450207127</v>
      </c>
      <c r="O41" s="29">
        <f>IF(O17=0,0,O17/TrRail_act!O10*1000)</f>
        <v>3.5005078470809097</v>
      </c>
      <c r="P41" s="29">
        <f>IF(P17=0,0,P17/TrRail_act!P10*1000)</f>
        <v>3.4529878568223391</v>
      </c>
      <c r="Q41" s="29">
        <f>IF(Q17=0,0,Q17/TrRail_act!Q10*1000)</f>
        <v>4.0261844461626897</v>
      </c>
      <c r="R41" s="29">
        <f>IF(R17=0,0,R17/TrRail_act!R10*1000)</f>
        <v>4.0008488290428508</v>
      </c>
      <c r="S41" s="29">
        <f>IF(S17=0,0,S17/TrRail_act!S10*1000)</f>
        <v>3.807325080631641</v>
      </c>
      <c r="T41" s="29">
        <f>IF(T17=0,0,T17/TrRail_act!T10*1000)</f>
        <v>3.7308390682792028</v>
      </c>
      <c r="U41" s="29">
        <f>IF(U17=0,0,U17/TrRail_act!U10*1000)</f>
        <v>4.0478167901244717</v>
      </c>
      <c r="V41" s="29">
        <f>IF(V17=0,0,V17/TrRail_act!V10*1000)</f>
        <v>4.5187243620137858</v>
      </c>
      <c r="W41" s="29">
        <f>IF(W17=0,0,W17/TrRail_act!W10*1000)</f>
        <v>4.7719345260586898</v>
      </c>
      <c r="X41" s="29">
        <f>IF(X17=0,0,X17/TrRail_act!X10*1000)</f>
        <v>4.3995856895002809</v>
      </c>
      <c r="Y41" s="29">
        <f>IF(Y17=0,0,Y17/TrRail_act!Y10*1000)</f>
        <v>3.4513932246844257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12.116551077160846</v>
      </c>
      <c r="C42" s="87">
        <f>IF(C18=0,0,C18/TrRail_act!C11*1000)</f>
        <v>12.444782800858167</v>
      </c>
      <c r="D42" s="87">
        <f>IF(D18=0,0,D18/TrRail_act!D11*1000)</f>
        <v>12.41910149521507</v>
      </c>
      <c r="E42" s="87">
        <f>IF(E18=0,0,E18/TrRail_act!E11*1000)</f>
        <v>11.176002582091147</v>
      </c>
      <c r="F42" s="87">
        <f>IF(F18=0,0,F18/TrRail_act!F11*1000)</f>
        <v>11.148284001457458</v>
      </c>
      <c r="G42" s="87">
        <f>IF(G18=0,0,G18/TrRail_act!G11*1000)</f>
        <v>11.500776086367379</v>
      </c>
      <c r="H42" s="87">
        <f>IF(H18=0,0,H18/TrRail_act!H11*1000)</f>
        <v>9.6168497900489118</v>
      </c>
      <c r="I42" s="87">
        <f>IF(I18=0,0,I18/TrRail_act!I11*1000)</f>
        <v>9.10986210652149</v>
      </c>
      <c r="J42" s="87">
        <f>IF(J18=0,0,J18/TrRail_act!J11*1000)</f>
        <v>9.3112927427903642</v>
      </c>
      <c r="K42" s="87">
        <f>IF(K18=0,0,K18/TrRail_act!K11*1000)</f>
        <v>9.6447908546553194</v>
      </c>
      <c r="L42" s="87">
        <f>IF(L18=0,0,L18/TrRail_act!L11*1000)</f>
        <v>9.122780840665035</v>
      </c>
      <c r="M42" s="87">
        <f>IF(M18=0,0,M18/TrRail_act!M11*1000)</f>
        <v>7.8038446511548907</v>
      </c>
      <c r="N42" s="87">
        <f>IF(N18=0,0,N18/TrRail_act!N11*1000)</f>
        <v>8.2585122540543239</v>
      </c>
      <c r="O42" s="87">
        <f>IF(O18=0,0,O18/TrRail_act!O11*1000)</f>
        <v>6.4554417080544448</v>
      </c>
      <c r="P42" s="87">
        <f>IF(P18=0,0,P18/TrRail_act!P11*1000)</f>
        <v>6.9436299915273203</v>
      </c>
      <c r="Q42" s="87">
        <f>IF(Q18=0,0,Q18/TrRail_act!Q11*1000)</f>
        <v>8.283587252481782</v>
      </c>
      <c r="R42" s="87">
        <f>IF(R18=0,0,R18/TrRail_act!R11*1000)</f>
        <v>7.039448664225632</v>
      </c>
      <c r="S42" s="87">
        <f>IF(S18=0,0,S18/TrRail_act!S11*1000)</f>
        <v>6.8604112700466411</v>
      </c>
      <c r="T42" s="87">
        <f>IF(T18=0,0,T18/TrRail_act!T11*1000)</f>
        <v>6.7389373887913182</v>
      </c>
      <c r="U42" s="87">
        <f>IF(U18=0,0,U18/TrRail_act!U11*1000)</f>
        <v>7.6324072112246943</v>
      </c>
      <c r="V42" s="87">
        <f>IF(V18=0,0,V18/TrRail_act!V11*1000)</f>
        <v>8.0461425483089677</v>
      </c>
      <c r="W42" s="87">
        <f>IF(W18=0,0,W18/TrRail_act!W11*1000)</f>
        <v>8.3858390523927895</v>
      </c>
      <c r="X42" s="87">
        <f>IF(X18=0,0,X18/TrRail_act!X11*1000)</f>
        <v>7.3594393218953371</v>
      </c>
      <c r="Y42" s="87">
        <f>IF(Y18=0,0,Y18/TrRail_act!Y11*1000)</f>
        <v>6.941725717096741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4.0788462543486146</v>
      </c>
      <c r="C43" s="88">
        <f>IF(C19=0,0,C19/TrRail_act!C12*1000)</f>
        <v>4.2285938578522932</v>
      </c>
      <c r="D43" s="88">
        <f>IF(D19=0,0,D19/TrRail_act!D12*1000)</f>
        <v>4.1472059145217113</v>
      </c>
      <c r="E43" s="88">
        <f>IF(E19=0,0,E19/TrRail_act!E12*1000)</f>
        <v>3.9523044822941067</v>
      </c>
      <c r="F43" s="88">
        <f>IF(F19=0,0,F19/TrRail_act!F12*1000)</f>
        <v>3.9828327625351778</v>
      </c>
      <c r="G43" s="88">
        <f>IF(G19=0,0,G19/TrRail_act!G12*1000)</f>
        <v>4.0107328799203046</v>
      </c>
      <c r="H43" s="88">
        <f>IF(H19=0,0,H19/TrRail_act!H12*1000)</f>
        <v>3.6971783841992236</v>
      </c>
      <c r="I43" s="88">
        <f>IF(I19=0,0,I19/TrRail_act!I12*1000)</f>
        <v>3.4596647393240763</v>
      </c>
      <c r="J43" s="88">
        <f>IF(J19=0,0,J19/TrRail_act!J12*1000)</f>
        <v>3.6945010647153005</v>
      </c>
      <c r="K43" s="88">
        <f>IF(K19=0,0,K19/TrRail_act!K12*1000)</f>
        <v>3.1458136668769927</v>
      </c>
      <c r="L43" s="88">
        <f>IF(L19=0,0,L19/TrRail_act!L12*1000)</f>
        <v>2.7327637189079175</v>
      </c>
      <c r="M43" s="88">
        <f>IF(M19=0,0,M19/TrRail_act!M12*1000)</f>
        <v>2.7233308520182034</v>
      </c>
      <c r="N43" s="88">
        <f>IF(N19=0,0,N19/TrRail_act!N12*1000)</f>
        <v>2.5320414865463032</v>
      </c>
      <c r="O43" s="88">
        <f>IF(O19=0,0,O19/TrRail_act!O12*1000)</f>
        <v>2.3787094795273638</v>
      </c>
      <c r="P43" s="88">
        <f>IF(P19=0,0,P19/TrRail_act!P12*1000)</f>
        <v>2.3129411536559612</v>
      </c>
      <c r="Q43" s="88">
        <f>IF(Q19=0,0,Q19/TrRail_act!Q12*1000)</f>
        <v>2.3502208573450791</v>
      </c>
      <c r="R43" s="88">
        <f>IF(R19=0,0,R19/TrRail_act!R12*1000)</f>
        <v>3.0016446004725665</v>
      </c>
      <c r="S43" s="88">
        <f>IF(S19=0,0,S19/TrRail_act!S12*1000)</f>
        <v>2.8643792845129097</v>
      </c>
      <c r="T43" s="88">
        <f>IF(T19=0,0,T19/TrRail_act!T12*1000)</f>
        <v>2.9385955506091239</v>
      </c>
      <c r="U43" s="88">
        <f>IF(U19=0,0,U19/TrRail_act!U12*1000)</f>
        <v>3.3916108021326061</v>
      </c>
      <c r="V43" s="88">
        <f>IF(V19=0,0,V19/TrRail_act!V12*1000)</f>
        <v>3.8521094138546808</v>
      </c>
      <c r="W43" s="88">
        <f>IF(W19=0,0,W19/TrRail_act!W12*1000)</f>
        <v>4.0786128658352077</v>
      </c>
      <c r="X43" s="88">
        <f>IF(X19=0,0,X19/TrRail_act!X12*1000)</f>
        <v>3.8243937731608826</v>
      </c>
      <c r="Y43" s="88">
        <f>IF(Y19=0,0,Y19/TrRail_act!Y12*1000)</f>
        <v>2.780535288358724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359833.92725031445</v>
      </c>
      <c r="C45" s="54">
        <f>IF(C10=0,0,1000000*C10/TrRail_act!C25)</f>
        <v>325376.66809531895</v>
      </c>
      <c r="D45" s="54">
        <f>IF(D10=0,0,1000000*D10/TrRail_act!D25)</f>
        <v>315389.04568667372</v>
      </c>
      <c r="E45" s="54">
        <f>IF(E10=0,0,1000000*E10/TrRail_act!E25)</f>
        <v>300985.28278450045</v>
      </c>
      <c r="F45" s="54">
        <f>IF(F10=0,0,1000000*F10/TrRail_act!F25)</f>
        <v>309500.17531558051</v>
      </c>
      <c r="G45" s="54">
        <f>IF(G10=0,0,1000000*G10/TrRail_act!G25)</f>
        <v>311412.13116276229</v>
      </c>
      <c r="H45" s="54">
        <f>IF(H10=0,0,1000000*H10/TrRail_act!H25)</f>
        <v>292470.48488109722</v>
      </c>
      <c r="I45" s="54">
        <f>IF(I10=0,0,1000000*I10/TrRail_act!I25)</f>
        <v>283739.5635433945</v>
      </c>
      <c r="J45" s="54">
        <f>IF(J10=0,0,1000000*J10/TrRail_act!J25)</f>
        <v>283356.00829302589</v>
      </c>
      <c r="K45" s="54">
        <f>IF(K10=0,0,1000000*K10/TrRail_act!K25)</f>
        <v>201736.53445307788</v>
      </c>
      <c r="L45" s="54">
        <f>IF(L10=0,0,1000000*L10/TrRail_act!L25)</f>
        <v>172714.13631853586</v>
      </c>
      <c r="M45" s="54">
        <f>IF(M10=0,0,1000000*M10/TrRail_act!M25)</f>
        <v>163565.42316420266</v>
      </c>
      <c r="N45" s="54">
        <f>IF(N10=0,0,1000000*N10/TrRail_act!N25)</f>
        <v>159837.15583104751</v>
      </c>
      <c r="O45" s="54">
        <f>IF(O10=0,0,1000000*O10/TrRail_act!O25)</f>
        <v>126077.01837821375</v>
      </c>
      <c r="P45" s="54">
        <f>IF(P10=0,0,1000000*P10/TrRail_act!P25)</f>
        <v>121960.24737726105</v>
      </c>
      <c r="Q45" s="54">
        <f>IF(Q10=0,0,1000000*Q10/TrRail_act!Q25)</f>
        <v>157276.70594548847</v>
      </c>
      <c r="R45" s="54">
        <f>IF(R10=0,0,1000000*R10/TrRail_act!R25)</f>
        <v>151920.53144400771</v>
      </c>
      <c r="S45" s="54">
        <f>IF(S10=0,0,1000000*S10/TrRail_act!S25)</f>
        <v>143764.22388785123</v>
      </c>
      <c r="T45" s="54">
        <f>IF(T10=0,0,1000000*T10/TrRail_act!T25)</f>
        <v>137355.0405607039</v>
      </c>
      <c r="U45" s="54">
        <f>IF(U10=0,0,1000000*U10/TrRail_act!U25)</f>
        <v>139705.90991543114</v>
      </c>
      <c r="V45" s="54">
        <f>IF(V10=0,0,1000000*V10/TrRail_act!V25)</f>
        <v>130484.91397980116</v>
      </c>
      <c r="W45" s="54">
        <f>IF(W10=0,0,1000000*W10/TrRail_act!W25)</f>
        <v>139309.03442794344</v>
      </c>
      <c r="X45" s="54">
        <f>IF(X10=0,0,1000000*X10/TrRail_act!X25)</f>
        <v>139020.08695067585</v>
      </c>
      <c r="Y45" s="54">
        <f>IF(Y10=0,0,1000000*Y10/TrRail_act!Y25)</f>
        <v>126489.50392751738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249377.0536635358</v>
      </c>
      <c r="C46" s="28">
        <f>IF(C11=0,0,1000000*C11/TrRail_act!C26)</f>
        <v>222338.22828481768</v>
      </c>
      <c r="D46" s="28">
        <f>IF(D11=0,0,1000000*D11/TrRail_act!D26)</f>
        <v>217057.76439052244</v>
      </c>
      <c r="E46" s="28">
        <f>IF(E11=0,0,1000000*E11/TrRail_act!E26)</f>
        <v>195727.2349859743</v>
      </c>
      <c r="F46" s="28">
        <f>IF(F11=0,0,1000000*F11/TrRail_act!F26)</f>
        <v>201747.20684316434</v>
      </c>
      <c r="G46" s="28">
        <f>IF(G11=0,0,1000000*G11/TrRail_act!G26)</f>
        <v>204720.14088092506</v>
      </c>
      <c r="H46" s="28">
        <f>IF(H11=0,0,1000000*H11/TrRail_act!H26)</f>
        <v>202505.27358397361</v>
      </c>
      <c r="I46" s="28">
        <f>IF(I11=0,0,1000000*I11/TrRail_act!I26)</f>
        <v>195701.62002990898</v>
      </c>
      <c r="J46" s="28">
        <f>IF(J11=0,0,1000000*J11/TrRail_act!J26)</f>
        <v>195470.00946905365</v>
      </c>
      <c r="K46" s="28">
        <f>IF(K11=0,0,1000000*K11/TrRail_act!K26)</f>
        <v>162033.31891534751</v>
      </c>
      <c r="L46" s="28">
        <f>IF(L11=0,0,1000000*L11/TrRail_act!L26)</f>
        <v>134694.69471961574</v>
      </c>
      <c r="M46" s="28">
        <f>IF(M11=0,0,1000000*M11/TrRail_act!M26)</f>
        <v>118779.82064599266</v>
      </c>
      <c r="N46" s="28">
        <f>IF(N11=0,0,1000000*N11/TrRail_act!N26)</f>
        <v>121945.14485124807</v>
      </c>
      <c r="O46" s="28">
        <f>IF(O11=0,0,1000000*O11/TrRail_act!O26)</f>
        <v>90280.836126233713</v>
      </c>
      <c r="P46" s="28">
        <f>IF(P11=0,0,1000000*P11/TrRail_act!P26)</f>
        <v>80247.750753681801</v>
      </c>
      <c r="Q46" s="28">
        <f>IF(Q11=0,0,1000000*Q11/TrRail_act!Q26)</f>
        <v>111843.71710554202</v>
      </c>
      <c r="R46" s="28">
        <f>IF(R11=0,0,1000000*R11/TrRail_act!R26)</f>
        <v>110905.65296021094</v>
      </c>
      <c r="S46" s="28">
        <f>IF(S11=0,0,1000000*S11/TrRail_act!S26)</f>
        <v>103719.69324828018</v>
      </c>
      <c r="T46" s="28">
        <f>IF(T11=0,0,1000000*T11/TrRail_act!T26)</f>
        <v>98048.3179897308</v>
      </c>
      <c r="U46" s="28">
        <f>IF(U11=0,0,1000000*U11/TrRail_act!U26)</f>
        <v>105391.87933713596</v>
      </c>
      <c r="V46" s="28">
        <f>IF(V11=0,0,1000000*V11/TrRail_act!V26)</f>
        <v>81845.996558213679</v>
      </c>
      <c r="W46" s="28">
        <f>IF(W11=0,0,1000000*W11/TrRail_act!W26)</f>
        <v>87425.260235749127</v>
      </c>
      <c r="X46" s="28">
        <f>IF(X11=0,0,1000000*X11/TrRail_act!X26)</f>
        <v>85098.967112718427</v>
      </c>
      <c r="Y46" s="28">
        <f>IF(Y11=0,0,1000000*Y11/TrRail_act!Y26)</f>
        <v>96947.18104538777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52684.802995038008</v>
      </c>
      <c r="C47" s="108">
        <f>IF(C12=0,0,1000000*C12/TrRail_act!C27)</f>
        <v>52108.627428435255</v>
      </c>
      <c r="D47" s="108">
        <f>IF(D12=0,0,1000000*D12/TrRail_act!D27)</f>
        <v>51511.022083618082</v>
      </c>
      <c r="E47" s="108">
        <f>IF(E12=0,0,1000000*E12/TrRail_act!E27)</f>
        <v>51293.774783913475</v>
      </c>
      <c r="F47" s="108">
        <f>IF(F12=0,0,1000000*F12/TrRail_act!F27)</f>
        <v>50050.759085625104</v>
      </c>
      <c r="G47" s="108">
        <f>IF(G12=0,0,1000000*G12/TrRail_act!G27)</f>
        <v>48516.250040490653</v>
      </c>
      <c r="H47" s="108">
        <f>IF(H12=0,0,1000000*H12/TrRail_act!H27)</f>
        <v>47757.804871049426</v>
      </c>
      <c r="I47" s="108">
        <f>IF(I12=0,0,1000000*I12/TrRail_act!I27)</f>
        <v>47157.009139379436</v>
      </c>
      <c r="J47" s="108">
        <f>IF(J12=0,0,1000000*J12/TrRail_act!J27)</f>
        <v>46540.98395038279</v>
      </c>
      <c r="K47" s="108">
        <f>IF(K12=0,0,1000000*K12/TrRail_act!K27)</f>
        <v>45783.915473800531</v>
      </c>
      <c r="L47" s="108">
        <f>IF(L12=0,0,1000000*L12/TrRail_act!L27)</f>
        <v>45806.648252931853</v>
      </c>
      <c r="M47" s="108">
        <f>IF(M12=0,0,1000000*M12/TrRail_act!M27)</f>
        <v>45007.737045455237</v>
      </c>
      <c r="N47" s="108">
        <f>IF(N12=0,0,1000000*N12/TrRail_act!N27)</f>
        <v>44447.578133846284</v>
      </c>
      <c r="O47" s="108">
        <f>IF(O12=0,0,1000000*O12/TrRail_act!O27)</f>
        <v>43569.61807125678</v>
      </c>
      <c r="P47" s="108">
        <f>IF(P12=0,0,1000000*P12/TrRail_act!P27)</f>
        <v>32983.20318602545</v>
      </c>
      <c r="Q47" s="108">
        <f>IF(Q12=0,0,1000000*Q12/TrRail_act!Q27)</f>
        <v>35056.084194584109</v>
      </c>
      <c r="R47" s="108">
        <f>IF(R12=0,0,1000000*R12/TrRail_act!R27)</f>
        <v>40366.61423752195</v>
      </c>
      <c r="S47" s="108">
        <f>IF(S12=0,0,1000000*S12/TrRail_act!S27)</f>
        <v>40814.150594394043</v>
      </c>
      <c r="T47" s="108">
        <f>IF(T12=0,0,1000000*T12/TrRail_act!T27)</f>
        <v>40425.857232195638</v>
      </c>
      <c r="U47" s="108">
        <f>IF(U12=0,0,1000000*U12/TrRail_act!U27)</f>
        <v>40137.063520928044</v>
      </c>
      <c r="V47" s="108">
        <f>IF(V12=0,0,1000000*V12/TrRail_act!V27)</f>
        <v>39921.822760647039</v>
      </c>
      <c r="W47" s="108">
        <f>IF(W12=0,0,1000000*W12/TrRail_act!W27)</f>
        <v>39761.150271892227</v>
      </c>
      <c r="X47" s="108">
        <f>IF(X12=0,0,1000000*X12/TrRail_act!X27)</f>
        <v>39641.070256028499</v>
      </c>
      <c r="Y47" s="108">
        <f>IF(Y12=0,0,1000000*Y12/TrRail_act!Y27)</f>
        <v>33849.927088453514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318556.86959852366</v>
      </c>
      <c r="C48" s="110">
        <f>IF(C13=0,0,1000000*C13/TrRail_act!C28)</f>
        <v>292213.01304814796</v>
      </c>
      <c r="D48" s="110">
        <f>IF(D13=0,0,1000000*D13/TrRail_act!D28)</f>
        <v>278556.46034330752</v>
      </c>
      <c r="E48" s="110">
        <f>IF(E13=0,0,1000000*E13/TrRail_act!E28)</f>
        <v>261339.03565878284</v>
      </c>
      <c r="F48" s="110">
        <f>IF(F13=0,0,1000000*F13/TrRail_act!F28)</f>
        <v>267782.09254183841</v>
      </c>
      <c r="G48" s="110">
        <f>IF(G13=0,0,1000000*G13/TrRail_act!G28)</f>
        <v>270821.71795680071</v>
      </c>
      <c r="H48" s="110">
        <f>IF(H13=0,0,1000000*H13/TrRail_act!H28)</f>
        <v>267186.78794283041</v>
      </c>
      <c r="I48" s="110">
        <f>IF(I13=0,0,1000000*I13/TrRail_act!I28)</f>
        <v>261833.21762897357</v>
      </c>
      <c r="J48" s="110">
        <f>IF(J13=0,0,1000000*J13/TrRail_act!J28)</f>
        <v>262604.4086706423</v>
      </c>
      <c r="K48" s="110">
        <f>IF(K13=0,0,1000000*K13/TrRail_act!K28)</f>
        <v>229481.39717609473</v>
      </c>
      <c r="L48" s="110">
        <f>IF(L13=0,0,1000000*L13/TrRail_act!L28)</f>
        <v>209253.26116620112</v>
      </c>
      <c r="M48" s="110">
        <f>IF(M13=0,0,1000000*M13/TrRail_act!M28)</f>
        <v>183025.29708103053</v>
      </c>
      <c r="N48" s="110">
        <f>IF(N13=0,0,1000000*N13/TrRail_act!N28)</f>
        <v>195351.44093173742</v>
      </c>
      <c r="O48" s="110">
        <f>IF(O13=0,0,1000000*O13/TrRail_act!O28)</f>
        <v>139319.38750500724</v>
      </c>
      <c r="P48" s="110">
        <f>IF(P13=0,0,1000000*P13/TrRail_act!P28)</f>
        <v>134006.21901485533</v>
      </c>
      <c r="Q48" s="110">
        <f>IF(Q13=0,0,1000000*Q13/TrRail_act!Q28)</f>
        <v>184086.55326265137</v>
      </c>
      <c r="R48" s="110">
        <f>IF(R13=0,0,1000000*R13/TrRail_act!R28)</f>
        <v>180823.33535922048</v>
      </c>
      <c r="S48" s="110">
        <f>IF(S13=0,0,1000000*S13/TrRail_act!S28)</f>
        <v>179672.99361463936</v>
      </c>
      <c r="T48" s="110">
        <f>IF(T13=0,0,1000000*T13/TrRail_act!T28)</f>
        <v>173264.94220288683</v>
      </c>
      <c r="U48" s="110">
        <f>IF(U13=0,0,1000000*U13/TrRail_act!U28)</f>
        <v>172540.86888596503</v>
      </c>
      <c r="V48" s="110">
        <f>IF(V13=0,0,1000000*V13/TrRail_act!V28)</f>
        <v>128047.12865385938</v>
      </c>
      <c r="W48" s="110">
        <f>IF(W13=0,0,1000000*W13/TrRail_act!W28)</f>
        <v>146387.20165704805</v>
      </c>
      <c r="X48" s="110">
        <f>IF(X13=0,0,1000000*X13/TrRail_act!X28)</f>
        <v>147089.71350045624</v>
      </c>
      <c r="Y48" s="110">
        <f>IF(Y13=0,0,1000000*Y13/TrRail_act!Y28)</f>
        <v>170240.01040933613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401143.27604195476</v>
      </c>
      <c r="C49" s="84">
        <f>IF(C14=0,0,1000000*C14/TrRail_act!C29)</f>
        <v>375083.49484957097</v>
      </c>
      <c r="D49" s="84">
        <f>IF(D14=0,0,1000000*D14/TrRail_act!D29)</f>
        <v>364722.2580574202</v>
      </c>
      <c r="E49" s="84">
        <f>IF(E14=0,0,1000000*E14/TrRail_act!E29)</f>
        <v>333004.21319529752</v>
      </c>
      <c r="F49" s="84">
        <f>IF(F14=0,0,1000000*F14/TrRail_act!F29)</f>
        <v>355291.97275112296</v>
      </c>
      <c r="G49" s="84">
        <f>IF(G14=0,0,1000000*G14/TrRail_act!G29)</f>
        <v>347180.04078087979</v>
      </c>
      <c r="H49" s="84">
        <f>IF(H14=0,0,1000000*H14/TrRail_act!H29)</f>
        <v>357225.30015273963</v>
      </c>
      <c r="I49" s="84">
        <f>IF(I14=0,0,1000000*I14/TrRail_act!I29)</f>
        <v>337549.20172213524</v>
      </c>
      <c r="J49" s="84">
        <f>IF(J14=0,0,1000000*J14/TrRail_act!J29)</f>
        <v>334900.99289991078</v>
      </c>
      <c r="K49" s="84">
        <f>IF(K14=0,0,1000000*K14/TrRail_act!K29)</f>
        <v>265658.12550748454</v>
      </c>
      <c r="L49" s="84">
        <f>IF(L14=0,0,1000000*L14/TrRail_act!L29)</f>
        <v>316157.49126095005</v>
      </c>
      <c r="M49" s="84">
        <f>IF(M14=0,0,1000000*M14/TrRail_act!M29)</f>
        <v>287907.51266142877</v>
      </c>
      <c r="N49" s="84">
        <f>IF(N14=0,0,1000000*N14/TrRail_act!N29)</f>
        <v>282222.12882337696</v>
      </c>
      <c r="O49" s="84">
        <f>IF(O14=0,0,1000000*O14/TrRail_act!O29)</f>
        <v>204522.81013991145</v>
      </c>
      <c r="P49" s="84">
        <f>IF(P14=0,0,1000000*P14/TrRail_act!P29)</f>
        <v>152802.27836418824</v>
      </c>
      <c r="Q49" s="84">
        <f>IF(Q14=0,0,1000000*Q14/TrRail_act!Q29)</f>
        <v>209756.42838929672</v>
      </c>
      <c r="R49" s="84">
        <f>IF(R14=0,0,1000000*R14/TrRail_act!R29)</f>
        <v>210484.96451775421</v>
      </c>
      <c r="S49" s="84">
        <f>IF(S14=0,0,1000000*S14/TrRail_act!S29)</f>
        <v>205511.68972935789</v>
      </c>
      <c r="T49" s="84">
        <f>IF(T14=0,0,1000000*T14/TrRail_act!T29)</f>
        <v>188735.38506696824</v>
      </c>
      <c r="U49" s="84">
        <f>IF(U14=0,0,1000000*U14/TrRail_act!U29)</f>
        <v>199162.1475428064</v>
      </c>
      <c r="V49" s="84">
        <f>IF(V14=0,0,1000000*V14/TrRail_act!V29)</f>
        <v>167106.99946843152</v>
      </c>
      <c r="W49" s="84">
        <f>IF(W14=0,0,1000000*W14/TrRail_act!W29)</f>
        <v>195677.13615699855</v>
      </c>
      <c r="X49" s="84">
        <f>IF(X14=0,0,1000000*X14/TrRail_act!X29)</f>
        <v>194569.95327923703</v>
      </c>
      <c r="Y49" s="84">
        <f>IF(Y14=0,0,1000000*Y14/TrRail_act!Y29)</f>
        <v>193743.68706822582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270712.251211291</v>
      </c>
      <c r="C50" s="84">
        <f>IF(C15=0,0,1000000*C15/TrRail_act!C30)</f>
        <v>251069.424981313</v>
      </c>
      <c r="D50" s="84">
        <f>IF(D15=0,0,1000000*D15/TrRail_act!D30)</f>
        <v>245522.03100894036</v>
      </c>
      <c r="E50" s="84">
        <f>IF(E15=0,0,1000000*E15/TrRail_act!E30)</f>
        <v>235130.25390563306</v>
      </c>
      <c r="F50" s="84">
        <f>IF(F15=0,0,1000000*F15/TrRail_act!F30)</f>
        <v>235598.69048141665</v>
      </c>
      <c r="G50" s="84">
        <f>IF(G15=0,0,1000000*G15/TrRail_act!G30)</f>
        <v>237680.13821851878</v>
      </c>
      <c r="H50" s="84">
        <f>IF(H15=0,0,1000000*H15/TrRail_act!H30)</f>
        <v>220678.49498117794</v>
      </c>
      <c r="I50" s="84">
        <f>IF(I15=0,0,1000000*I15/TrRail_act!I30)</f>
        <v>225650.76197162387</v>
      </c>
      <c r="J50" s="84">
        <f>IF(J15=0,0,1000000*J15/TrRail_act!J30)</f>
        <v>220841.03092443242</v>
      </c>
      <c r="K50" s="84">
        <f>IF(K15=0,0,1000000*K15/TrRail_act!K30)</f>
        <v>214508.47714034829</v>
      </c>
      <c r="L50" s="84">
        <f>IF(L15=0,0,1000000*L15/TrRail_act!L30)</f>
        <v>165723.64658233378</v>
      </c>
      <c r="M50" s="84">
        <f>IF(M15=0,0,1000000*M15/TrRail_act!M30)</f>
        <v>138319.51204106613</v>
      </c>
      <c r="N50" s="84">
        <f>IF(N15=0,0,1000000*N15/TrRail_act!N30)</f>
        <v>135908.41945773101</v>
      </c>
      <c r="O50" s="84">
        <f>IF(O15=0,0,1000000*O15/TrRail_act!O30)</f>
        <v>93883.211964354792</v>
      </c>
      <c r="P50" s="84">
        <f>IF(P15=0,0,1000000*P15/TrRail_act!P30)</f>
        <v>120607.94185278242</v>
      </c>
      <c r="Q50" s="84">
        <f>IF(Q15=0,0,1000000*Q15/TrRail_act!Q30)</f>
        <v>172087.77169677624</v>
      </c>
      <c r="R50" s="84">
        <f>IF(R15=0,0,1000000*R15/TrRail_act!R30)</f>
        <v>166418.35028977995</v>
      </c>
      <c r="S50" s="84">
        <f>IF(S15=0,0,1000000*S15/TrRail_act!S30)</f>
        <v>167330.70501967071</v>
      </c>
      <c r="T50" s="84">
        <f>IF(T15=0,0,1000000*T15/TrRail_act!T30)</f>
        <v>166538.42977832549</v>
      </c>
      <c r="U50" s="84">
        <f>IF(U15=0,0,1000000*U15/TrRail_act!U30)</f>
        <v>165946.68597204308</v>
      </c>
      <c r="V50" s="84">
        <f>IF(V15=0,0,1000000*V15/TrRail_act!V30)</f>
        <v>119363.14480850301</v>
      </c>
      <c r="W50" s="84">
        <f>IF(W15=0,0,1000000*W15/TrRail_act!W30)</f>
        <v>135539.43565731958</v>
      </c>
      <c r="X50" s="84">
        <f>IF(X15=0,0,1000000*X15/TrRail_act!X30)</f>
        <v>135229.69812451483</v>
      </c>
      <c r="Y50" s="84">
        <f>IF(Y15=0,0,1000000*Y15/TrRail_act!Y30)</f>
        <v>164739.71942978326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726280.55693884299</v>
      </c>
      <c r="C52" s="28">
        <f>IF(C17=0,0,1000000*C17/TrRail_act!C32)</f>
        <v>706493.29063557438</v>
      </c>
      <c r="D52" s="28">
        <f>IF(D17=0,0,1000000*D17/TrRail_act!D32)</f>
        <v>711066.63164790231</v>
      </c>
      <c r="E52" s="28">
        <f>IF(E17=0,0,1000000*E17/TrRail_act!E32)</f>
        <v>675238.08234193421</v>
      </c>
      <c r="F52" s="28">
        <f>IF(F17=0,0,1000000*F17/TrRail_act!F32)</f>
        <v>671106.05569417181</v>
      </c>
      <c r="G52" s="28">
        <f>IF(G17=0,0,1000000*G17/TrRail_act!G32)</f>
        <v>662668.77872039448</v>
      </c>
      <c r="H52" s="28">
        <f>IF(H17=0,0,1000000*H17/TrRail_act!H32)</f>
        <v>610041.07646179618</v>
      </c>
      <c r="I52" s="28">
        <f>IF(I17=0,0,1000000*I17/TrRail_act!I32)</f>
        <v>613131.28684850642</v>
      </c>
      <c r="J52" s="28">
        <f>IF(J17=0,0,1000000*J17/TrRail_act!J32)</f>
        <v>636146.98342741479</v>
      </c>
      <c r="K52" s="28">
        <f>IF(K17=0,0,1000000*K17/TrRail_act!K32)</f>
        <v>422001.16380373936</v>
      </c>
      <c r="L52" s="28">
        <f>IF(L17=0,0,1000000*L17/TrRail_act!L32)</f>
        <v>430572.44447553175</v>
      </c>
      <c r="M52" s="28">
        <f>IF(M17=0,0,1000000*M17/TrRail_act!M32)</f>
        <v>499055.73550719884</v>
      </c>
      <c r="N52" s="28">
        <f>IF(N17=0,0,1000000*N17/TrRail_act!N32)</f>
        <v>527269.89235232712</v>
      </c>
      <c r="O52" s="28">
        <f>IF(O17=0,0,1000000*O17/TrRail_act!O32)</f>
        <v>440387.99803935946</v>
      </c>
      <c r="P52" s="28">
        <f>IF(P17=0,0,1000000*P17/TrRail_act!P32)</f>
        <v>464278.42913908348</v>
      </c>
      <c r="Q52" s="28">
        <f>IF(Q17=0,0,1000000*Q17/TrRail_act!Q32)</f>
        <v>498871.08226203523</v>
      </c>
      <c r="R52" s="28">
        <f>IF(R17=0,0,1000000*R17/TrRail_act!R32)</f>
        <v>397584.82230383786</v>
      </c>
      <c r="S52" s="28">
        <f>IF(S17=0,0,1000000*S17/TrRail_act!S32)</f>
        <v>397857.18829032575</v>
      </c>
      <c r="T52" s="28">
        <f>IF(T17=0,0,1000000*T17/TrRail_act!T32)</f>
        <v>379357.06800040777</v>
      </c>
      <c r="U52" s="28">
        <f>IF(U17=0,0,1000000*U17/TrRail_act!U32)</f>
        <v>352330.54971951316</v>
      </c>
      <c r="V52" s="28">
        <f>IF(V17=0,0,1000000*V17/TrRail_act!V32)</f>
        <v>348876.27324186458</v>
      </c>
      <c r="W52" s="28">
        <f>IF(W17=0,0,1000000*W17/TrRail_act!W32)</f>
        <v>348078.96733987483</v>
      </c>
      <c r="X52" s="28">
        <f>IF(X17=0,0,1000000*X17/TrRail_act!X32)</f>
        <v>344589.8720226115</v>
      </c>
      <c r="Y52" s="28">
        <f>IF(Y17=0,0,1000000*Y17/TrRail_act!Y32)</f>
        <v>252639.11346755837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1154939.0083354851</v>
      </c>
      <c r="C53" s="84">
        <f>IF(C18=0,0,1000000*C18/TrRail_act!C33)</f>
        <v>1126703.1684135359</v>
      </c>
      <c r="D53" s="84">
        <f>IF(D18=0,0,1000000*D18/TrRail_act!D33)</f>
        <v>1117053.6921467187</v>
      </c>
      <c r="E53" s="84">
        <f>IF(E18=0,0,1000000*E18/TrRail_act!E33)</f>
        <v>1057286.78678304</v>
      </c>
      <c r="F53" s="84">
        <f>IF(F18=0,0,1000000*F18/TrRail_act!F33)</f>
        <v>1037547.8665448087</v>
      </c>
      <c r="G53" s="84">
        <f>IF(G18=0,0,1000000*G18/TrRail_act!G33)</f>
        <v>1051357.4598171683</v>
      </c>
      <c r="H53" s="84">
        <f>IF(H18=0,0,1000000*H18/TrRail_act!H33)</f>
        <v>960576.61416816071</v>
      </c>
      <c r="I53" s="84">
        <f>IF(I18=0,0,1000000*I18/TrRail_act!I33)</f>
        <v>979790.63686893473</v>
      </c>
      <c r="J53" s="84">
        <f>IF(J18=0,0,1000000*J18/TrRail_act!J33)</f>
        <v>993918.21456117043</v>
      </c>
      <c r="K53" s="84">
        <f>IF(K18=0,0,1000000*K18/TrRail_act!K33)</f>
        <v>609998.50389371673</v>
      </c>
      <c r="L53" s="84">
        <f>IF(L18=0,0,1000000*L18/TrRail_act!L33)</f>
        <v>631401.57522246987</v>
      </c>
      <c r="M53" s="84">
        <f>IF(M18=0,0,1000000*M18/TrRail_act!M33)</f>
        <v>681779.395764624</v>
      </c>
      <c r="N53" s="84">
        <f>IF(N18=0,0,1000000*N18/TrRail_act!N33)</f>
        <v>788048.25992576359</v>
      </c>
      <c r="O53" s="84">
        <f>IF(O18=0,0,1000000*O18/TrRail_act!O33)</f>
        <v>676572.53976810304</v>
      </c>
      <c r="P53" s="84">
        <f>IF(P18=0,0,1000000*P18/TrRail_act!P33)</f>
        <v>875782.6794375116</v>
      </c>
      <c r="Q53" s="84">
        <f>IF(Q18=0,0,1000000*Q18/TrRail_act!Q33)</f>
        <v>884422.79905802698</v>
      </c>
      <c r="R53" s="84">
        <f>IF(R18=0,0,1000000*R18/TrRail_act!R33)</f>
        <v>762360.64353037812</v>
      </c>
      <c r="S53" s="84">
        <f>IF(S18=0,0,1000000*S18/TrRail_act!S33)</f>
        <v>817058.6665066774</v>
      </c>
      <c r="T53" s="84">
        <f>IF(T18=0,0,1000000*T18/TrRail_act!T33)</f>
        <v>813345.52003230294</v>
      </c>
      <c r="U53" s="84">
        <f>IF(U18=0,0,1000000*U18/TrRail_act!U33)</f>
        <v>810571.74738103489</v>
      </c>
      <c r="V53" s="84">
        <f>IF(V18=0,0,1000000*V18/TrRail_act!V33)</f>
        <v>808497.52677201049</v>
      </c>
      <c r="W53" s="84">
        <f>IF(W18=0,0,1000000*W18/TrRail_act!W33)</f>
        <v>806945.48799795529</v>
      </c>
      <c r="X53" s="84">
        <f>IF(X18=0,0,1000000*X18/TrRail_act!X33)</f>
        <v>805783.36616160953</v>
      </c>
      <c r="Y53" s="84">
        <f>IF(Y18=0,0,1000000*Y18/TrRail_act!Y33)</f>
        <v>804912.77816710144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484582.07419660239</v>
      </c>
      <c r="C54" s="86">
        <f>IF(C19=0,0,1000000*C19/TrRail_act!C34)</f>
        <v>476345.93308886478</v>
      </c>
      <c r="D54" s="86">
        <f>IF(D19=0,0,1000000*D19/TrRail_act!D34)</f>
        <v>466852.59869329131</v>
      </c>
      <c r="E54" s="86">
        <f>IF(E19=0,0,1000000*E19/TrRail_act!E34)</f>
        <v>463347.61116704211</v>
      </c>
      <c r="F54" s="86">
        <f>IF(F19=0,0,1000000*F19/TrRail_act!F34)</f>
        <v>461207.83784632618</v>
      </c>
      <c r="G54" s="86">
        <f>IF(G19=0,0,1000000*G19/TrRail_act!G34)</f>
        <v>454553.02995999588</v>
      </c>
      <c r="H54" s="86">
        <f>IF(H19=0,0,1000000*H19/TrRail_act!H34)</f>
        <v>444475.18752638105</v>
      </c>
      <c r="I54" s="86">
        <f>IF(I19=0,0,1000000*I19/TrRail_act!I34)</f>
        <v>446128.62118779385</v>
      </c>
      <c r="J54" s="86">
        <f>IF(J19=0,0,1000000*J19/TrRail_act!J34)</f>
        <v>396617.06300886231</v>
      </c>
      <c r="K54" s="86">
        <f>IF(K19=0,0,1000000*K19/TrRail_act!K34)</f>
        <v>293368.24891239544</v>
      </c>
      <c r="L54" s="86">
        <f>IF(L19=0,0,1000000*L19/TrRail_act!L34)</f>
        <v>289245.91186179908</v>
      </c>
      <c r="M54" s="86">
        <f>IF(M19=0,0,1000000*M19/TrRail_act!M34)</f>
        <v>365533.73466665548</v>
      </c>
      <c r="N54" s="86">
        <f>IF(N19=0,0,1000000*N19/TrRail_act!N34)</f>
        <v>339317.1931114539</v>
      </c>
      <c r="O54" s="86">
        <f>IF(O19=0,0,1000000*O19/TrRail_act!O34)</f>
        <v>323896.35655793437</v>
      </c>
      <c r="P54" s="86">
        <f>IF(P19=0,0,1000000*P19/TrRail_act!P34)</f>
        <v>317846.7478549988</v>
      </c>
      <c r="Q54" s="86">
        <f>IF(Q19=0,0,1000000*Q19/TrRail_act!Q34)</f>
        <v>310850.90443444235</v>
      </c>
      <c r="R54" s="86">
        <f>IF(R19=0,0,1000000*R19/TrRail_act!R34)</f>
        <v>290420.003876495</v>
      </c>
      <c r="S54" s="86">
        <f>IF(S19=0,0,1000000*S19/TrRail_act!S34)</f>
        <v>288402.2244659476</v>
      </c>
      <c r="T54" s="86">
        <f>IF(T19=0,0,1000000*T19/TrRail_act!T34)</f>
        <v>286898.10048300622</v>
      </c>
      <c r="U54" s="86">
        <f>IF(U19=0,0,1000000*U19/TrRail_act!U34)</f>
        <v>285775.14913391188</v>
      </c>
      <c r="V54" s="86">
        <f>IF(V19=0,0,1000000*V19/TrRail_act!V34)</f>
        <v>284935.82574070903</v>
      </c>
      <c r="W54" s="86">
        <f>IF(W19=0,0,1000000*W19/TrRail_act!W34)</f>
        <v>284307.95425676857</v>
      </c>
      <c r="X54" s="86">
        <f>IF(X19=0,0,1000000*X19/TrRail_act!X34)</f>
        <v>283837.95247398858</v>
      </c>
      <c r="Y54" s="86">
        <f>IF(Y19=0,0,1000000*Y19/TrRail_act!Y34)</f>
        <v>190063.29197702603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0.53251837708300165</v>
      </c>
      <c r="C57" s="31">
        <f t="shared" ref="C57:V57" si="18">IF(C11=0,0,C11/C$10)</f>
        <v>0.53789950783509188</v>
      </c>
      <c r="D57" s="31">
        <f t="shared" si="18"/>
        <v>0.55123327482203044</v>
      </c>
      <c r="E57" s="31">
        <f t="shared" si="18"/>
        <v>0.50754274247786801</v>
      </c>
      <c r="F57" s="31">
        <f t="shared" si="18"/>
        <v>0.50220045929730905</v>
      </c>
      <c r="G57" s="31">
        <f t="shared" si="18"/>
        <v>0.50423481181668062</v>
      </c>
      <c r="H57" s="31">
        <f t="shared" si="18"/>
        <v>0.53954640350198868</v>
      </c>
      <c r="I57" s="31">
        <f t="shared" si="18"/>
        <v>0.54425683972483274</v>
      </c>
      <c r="J57" s="31">
        <f t="shared" si="18"/>
        <v>0.55226156127218184</v>
      </c>
      <c r="K57" s="31">
        <f t="shared" si="18"/>
        <v>0.68052627897810847</v>
      </c>
      <c r="L57" s="31">
        <f t="shared" si="18"/>
        <v>0.67965955513813181</v>
      </c>
      <c r="M57" s="31">
        <f t="shared" si="18"/>
        <v>0.64066696040550797</v>
      </c>
      <c r="N57" s="31">
        <f t="shared" si="18"/>
        <v>0.69161037136493841</v>
      </c>
      <c r="O57" s="31">
        <f t="shared" si="18"/>
        <v>0.64286265914724794</v>
      </c>
      <c r="P57" s="31">
        <f t="shared" si="18"/>
        <v>0.58651431875243165</v>
      </c>
      <c r="Q57" s="31">
        <f t="shared" si="18"/>
        <v>0.62764811187933955</v>
      </c>
      <c r="R57" s="31">
        <f t="shared" si="18"/>
        <v>0.62558036311190979</v>
      </c>
      <c r="S57" s="31">
        <f t="shared" si="18"/>
        <v>0.62323616998268483</v>
      </c>
      <c r="T57" s="31">
        <f t="shared" si="18"/>
        <v>0.61408898826542413</v>
      </c>
      <c r="U57" s="31">
        <f t="shared" si="18"/>
        <v>0.64955638495324208</v>
      </c>
      <c r="V57" s="31">
        <f t="shared" si="18"/>
        <v>0.51299376071892333</v>
      </c>
      <c r="W57" s="31">
        <f t="shared" ref="W57:Y57" si="19">IF(W11=0,0,W11/W$10)</f>
        <v>0.50264538252037438</v>
      </c>
      <c r="X57" s="31">
        <f t="shared" si="19"/>
        <v>0.48493538417903465</v>
      </c>
      <c r="Y57" s="31">
        <f t="shared" si="19"/>
        <v>0.6210127227972555</v>
      </c>
      <c r="DA57" s="173"/>
    </row>
    <row r="58" spans="1:105" ht="11.45" customHeight="1" x14ac:dyDescent="0.25">
      <c r="A58" s="107" t="s">
        <v>23</v>
      </c>
      <c r="B58" s="123">
        <f t="shared" si="15"/>
        <v>2.9273197409917028E-2</v>
      </c>
      <c r="C58" s="123">
        <f t="shared" ref="C58:V58" si="20">IF(C12=0,0,C12/C$10)</f>
        <v>3.668740807659468E-2</v>
      </c>
      <c r="D58" s="123">
        <f t="shared" si="20"/>
        <v>3.5433446227002362E-2</v>
      </c>
      <c r="E58" s="123">
        <f t="shared" si="20"/>
        <v>4.1548475314909704E-2</v>
      </c>
      <c r="F58" s="123">
        <f t="shared" si="20"/>
        <v>3.7786158459533849E-2</v>
      </c>
      <c r="G58" s="123">
        <f t="shared" si="20"/>
        <v>3.5532122910783392E-2</v>
      </c>
      <c r="H58" s="123">
        <f t="shared" si="20"/>
        <v>3.7507922514633696E-2</v>
      </c>
      <c r="I58" s="123">
        <f t="shared" si="20"/>
        <v>4.0399949821761802E-2</v>
      </c>
      <c r="J58" s="123">
        <f t="shared" si="20"/>
        <v>4.0856776054719816E-2</v>
      </c>
      <c r="K58" s="123">
        <f t="shared" si="20"/>
        <v>7.0602467800665411E-2</v>
      </c>
      <c r="L58" s="123">
        <f t="shared" si="20"/>
        <v>0.10543652295185349</v>
      </c>
      <c r="M58" s="123">
        <f t="shared" si="20"/>
        <v>0.11300171866114764</v>
      </c>
      <c r="N58" s="123">
        <f t="shared" si="20"/>
        <v>0.12262472308984859</v>
      </c>
      <c r="O58" s="123">
        <f t="shared" si="20"/>
        <v>0.15889355298774388</v>
      </c>
      <c r="P58" s="123">
        <f t="shared" si="20"/>
        <v>0.12828182723797213</v>
      </c>
      <c r="Q58" s="123">
        <f t="shared" si="20"/>
        <v>9.5364724111036941E-2</v>
      </c>
      <c r="R58" s="123">
        <f t="shared" si="20"/>
        <v>0.11334340289851162</v>
      </c>
      <c r="S58" s="123">
        <f t="shared" si="20"/>
        <v>0.1341452491333098</v>
      </c>
      <c r="T58" s="123">
        <f t="shared" si="20"/>
        <v>0.14336342322169315</v>
      </c>
      <c r="U58" s="123">
        <f t="shared" si="20"/>
        <v>0.12545683229553378</v>
      </c>
      <c r="V58" s="123">
        <f t="shared" si="20"/>
        <v>0.13118282652757474</v>
      </c>
      <c r="W58" s="123">
        <f t="shared" ref="W58:Y58" si="21">IF(W12=0,0,W12/W$10)</f>
        <v>0.12641312045896339</v>
      </c>
      <c r="X58" s="123">
        <f t="shared" si="21"/>
        <v>0.13032594605541784</v>
      </c>
      <c r="Y58" s="123">
        <f t="shared" si="21"/>
        <v>0.11652033978845643</v>
      </c>
      <c r="DA58" s="203"/>
    </row>
    <row r="59" spans="1:105" ht="11.45" customHeight="1" x14ac:dyDescent="0.25">
      <c r="A59" s="109" t="s">
        <v>24</v>
      </c>
      <c r="B59" s="124">
        <f t="shared" si="15"/>
        <v>0.50324517967308458</v>
      </c>
      <c r="C59" s="124">
        <f t="shared" ref="C59:V59" si="22">IF(C13=0,0,C13/C$10)</f>
        <v>0.50121209975849723</v>
      </c>
      <c r="D59" s="124">
        <f t="shared" si="22"/>
        <v>0.51579982859502804</v>
      </c>
      <c r="E59" s="124">
        <f t="shared" si="22"/>
        <v>0.46599426716295839</v>
      </c>
      <c r="F59" s="124">
        <f t="shared" si="22"/>
        <v>0.46441430083777518</v>
      </c>
      <c r="G59" s="124">
        <f t="shared" si="22"/>
        <v>0.46870268890589722</v>
      </c>
      <c r="H59" s="124">
        <f t="shared" si="22"/>
        <v>0.50203848098735504</v>
      </c>
      <c r="I59" s="124">
        <f t="shared" si="22"/>
        <v>0.50385688990307098</v>
      </c>
      <c r="J59" s="124">
        <f t="shared" si="22"/>
        <v>0.51140478521746202</v>
      </c>
      <c r="K59" s="124">
        <f t="shared" si="22"/>
        <v>0.6099238111774431</v>
      </c>
      <c r="L59" s="124">
        <f t="shared" si="22"/>
        <v>0.57422303218627824</v>
      </c>
      <c r="M59" s="124">
        <f t="shared" si="22"/>
        <v>0.52766524174436025</v>
      </c>
      <c r="N59" s="124">
        <f t="shared" si="22"/>
        <v>0.56898564827508979</v>
      </c>
      <c r="O59" s="124">
        <f t="shared" si="22"/>
        <v>0.483969106159504</v>
      </c>
      <c r="P59" s="124">
        <f t="shared" si="22"/>
        <v>0.45823249151445949</v>
      </c>
      <c r="Q59" s="124">
        <f t="shared" si="22"/>
        <v>0.53228338776830264</v>
      </c>
      <c r="R59" s="124">
        <f t="shared" si="22"/>
        <v>0.51223696021339815</v>
      </c>
      <c r="S59" s="124">
        <f t="shared" si="22"/>
        <v>0.48909092084937505</v>
      </c>
      <c r="T59" s="124">
        <f t="shared" si="22"/>
        <v>0.47072556504373098</v>
      </c>
      <c r="U59" s="124">
        <f t="shared" si="22"/>
        <v>0.52409955265770825</v>
      </c>
      <c r="V59" s="124">
        <f t="shared" si="22"/>
        <v>0.38181093419134865</v>
      </c>
      <c r="W59" s="124">
        <f t="shared" ref="W59:Y59" si="23">IF(W13=0,0,W13/W$10)</f>
        <v>0.37623226206141103</v>
      </c>
      <c r="X59" s="124">
        <f t="shared" si="23"/>
        <v>0.35460943812361684</v>
      </c>
      <c r="Y59" s="124">
        <f t="shared" si="23"/>
        <v>0.50449238300879906</v>
      </c>
      <c r="DA59" s="176"/>
    </row>
    <row r="60" spans="1:105" ht="11.45" customHeight="1" x14ac:dyDescent="0.25">
      <c r="A60" s="111" t="s">
        <v>92</v>
      </c>
      <c r="B60" s="125">
        <f t="shared" si="15"/>
        <v>0.2324579234855792</v>
      </c>
      <c r="C60" s="125">
        <f t="shared" ref="C60:V60" si="24">IF(C14=0,0,C14/C$10)</f>
        <v>0.2134426238837735</v>
      </c>
      <c r="D60" s="125">
        <f t="shared" si="24"/>
        <v>0.18716298047823909</v>
      </c>
      <c r="E60" s="125">
        <f t="shared" si="24"/>
        <v>0.15900313789617354</v>
      </c>
      <c r="F60" s="125">
        <f t="shared" si="24"/>
        <v>0.16568058654602835</v>
      </c>
      <c r="G60" s="125">
        <f t="shared" si="24"/>
        <v>0.18185622816536431</v>
      </c>
      <c r="H60" s="125">
        <f t="shared" si="24"/>
        <v>0.22861940697284888</v>
      </c>
      <c r="I60" s="125">
        <f t="shared" si="24"/>
        <v>0.21003590947841716</v>
      </c>
      <c r="J60" s="125">
        <f t="shared" si="24"/>
        <v>0.23880400360069823</v>
      </c>
      <c r="K60" s="125">
        <f t="shared" si="24"/>
        <v>0.2066879032889776</v>
      </c>
      <c r="L60" s="125">
        <f t="shared" si="24"/>
        <v>0.25104473443068509</v>
      </c>
      <c r="M60" s="125">
        <f t="shared" si="24"/>
        <v>0.24806605064999274</v>
      </c>
      <c r="N60" s="125">
        <f t="shared" si="24"/>
        <v>0.33395781606771657</v>
      </c>
      <c r="O60" s="125">
        <f t="shared" si="24"/>
        <v>0.29176891029683849</v>
      </c>
      <c r="P60" s="125">
        <f t="shared" si="24"/>
        <v>0.21745041184439196</v>
      </c>
      <c r="Q60" s="125">
        <f t="shared" si="24"/>
        <v>0.19319377989914852</v>
      </c>
      <c r="R60" s="125">
        <f t="shared" si="24"/>
        <v>0.19491292695413268</v>
      </c>
      <c r="S60" s="125">
        <f t="shared" si="24"/>
        <v>0.18083891779364711</v>
      </c>
      <c r="T60" s="125">
        <f t="shared" si="24"/>
        <v>0.15538423729441891</v>
      </c>
      <c r="U60" s="125">
        <f t="shared" si="24"/>
        <v>0.12010174202056396</v>
      </c>
      <c r="V60" s="125">
        <f t="shared" si="24"/>
        <v>9.0630564674279504E-2</v>
      </c>
      <c r="W60" s="125">
        <f t="shared" ref="W60:Y60" si="25">IF(W14=0,0,W14/W$10)</f>
        <v>9.0716544469843216E-2</v>
      </c>
      <c r="X60" s="125">
        <f t="shared" si="25"/>
        <v>9.3751798029333561E-2</v>
      </c>
      <c r="Y60" s="125">
        <f t="shared" si="25"/>
        <v>0.10888016998717655</v>
      </c>
      <c r="DA60" s="171"/>
    </row>
    <row r="61" spans="1:105" ht="11.45" customHeight="1" x14ac:dyDescent="0.25">
      <c r="A61" s="111" t="s">
        <v>93</v>
      </c>
      <c r="B61" s="125">
        <f t="shared" si="15"/>
        <v>0.27078725618750538</v>
      </c>
      <c r="C61" s="125">
        <f t="shared" ref="C61:V61" si="26">IF(C15=0,0,C15/C$10)</f>
        <v>0.28776947587472379</v>
      </c>
      <c r="D61" s="125">
        <f t="shared" si="26"/>
        <v>0.32863684811678895</v>
      </c>
      <c r="E61" s="125">
        <f t="shared" si="26"/>
        <v>0.30699112926678479</v>
      </c>
      <c r="F61" s="125">
        <f t="shared" si="26"/>
        <v>0.29873371429174683</v>
      </c>
      <c r="G61" s="125">
        <f t="shared" si="26"/>
        <v>0.28684646074053288</v>
      </c>
      <c r="H61" s="125">
        <f t="shared" si="26"/>
        <v>0.2734190740145061</v>
      </c>
      <c r="I61" s="125">
        <f t="shared" si="26"/>
        <v>0.29382098042465382</v>
      </c>
      <c r="J61" s="125">
        <f t="shared" si="26"/>
        <v>0.27260078161676382</v>
      </c>
      <c r="K61" s="125">
        <f t="shared" si="26"/>
        <v>0.40323590788846558</v>
      </c>
      <c r="L61" s="125">
        <f t="shared" si="26"/>
        <v>0.32317829775559309</v>
      </c>
      <c r="M61" s="125">
        <f t="shared" si="26"/>
        <v>0.27959919109436748</v>
      </c>
      <c r="N61" s="125">
        <f t="shared" si="26"/>
        <v>0.23502783220737322</v>
      </c>
      <c r="O61" s="125">
        <f t="shared" si="26"/>
        <v>0.19220019586266551</v>
      </c>
      <c r="P61" s="125">
        <f t="shared" si="26"/>
        <v>0.24078207967006751</v>
      </c>
      <c r="Q61" s="125">
        <f t="shared" si="26"/>
        <v>0.3390896078691541</v>
      </c>
      <c r="R61" s="125">
        <f t="shared" si="26"/>
        <v>0.31732403325926539</v>
      </c>
      <c r="S61" s="125">
        <f t="shared" si="26"/>
        <v>0.30825200305572792</v>
      </c>
      <c r="T61" s="125">
        <f t="shared" si="26"/>
        <v>0.31534132774931206</v>
      </c>
      <c r="U61" s="125">
        <f t="shared" si="26"/>
        <v>0.40399781063714429</v>
      </c>
      <c r="V61" s="125">
        <f t="shared" si="26"/>
        <v>0.29118036951706916</v>
      </c>
      <c r="W61" s="125">
        <f t="shared" ref="W61:Y61" si="27">IF(W15=0,0,W15/W$10)</f>
        <v>0.2855157175915678</v>
      </c>
      <c r="X61" s="125">
        <f t="shared" si="27"/>
        <v>0.26085764009428331</v>
      </c>
      <c r="Y61" s="125">
        <f t="shared" si="27"/>
        <v>0.39561221302162253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0.46748162291699841</v>
      </c>
      <c r="C63" s="31">
        <f t="shared" ref="C63:V63" si="30">IF(C17=0,0,C17/C$10)</f>
        <v>0.46210049216490801</v>
      </c>
      <c r="D63" s="31">
        <f t="shared" si="30"/>
        <v>0.44876672517796956</v>
      </c>
      <c r="E63" s="31">
        <f t="shared" si="30"/>
        <v>0.49245725752213193</v>
      </c>
      <c r="F63" s="31">
        <f t="shared" si="30"/>
        <v>0.49779954070269111</v>
      </c>
      <c r="G63" s="31">
        <f t="shared" si="30"/>
        <v>0.49576518818331938</v>
      </c>
      <c r="H63" s="31">
        <f t="shared" si="30"/>
        <v>0.46045359649801132</v>
      </c>
      <c r="I63" s="31">
        <f t="shared" si="30"/>
        <v>0.45574316027516726</v>
      </c>
      <c r="J63" s="31">
        <f t="shared" si="30"/>
        <v>0.4477384387278181</v>
      </c>
      <c r="K63" s="31">
        <f t="shared" si="30"/>
        <v>0.31947372102189148</v>
      </c>
      <c r="L63" s="31">
        <f t="shared" si="30"/>
        <v>0.32034044486186825</v>
      </c>
      <c r="M63" s="31">
        <f t="shared" si="30"/>
        <v>0.35933303959449203</v>
      </c>
      <c r="N63" s="31">
        <f t="shared" si="30"/>
        <v>0.30838962863506164</v>
      </c>
      <c r="O63" s="31">
        <f t="shared" si="30"/>
        <v>0.35713734085275206</v>
      </c>
      <c r="P63" s="31">
        <f t="shared" si="30"/>
        <v>0.4134856812475684</v>
      </c>
      <c r="Q63" s="31">
        <f t="shared" si="30"/>
        <v>0.37235188812066045</v>
      </c>
      <c r="R63" s="31">
        <f t="shared" si="30"/>
        <v>0.37441963688809021</v>
      </c>
      <c r="S63" s="31">
        <f t="shared" si="30"/>
        <v>0.37676383001731523</v>
      </c>
      <c r="T63" s="31">
        <f t="shared" si="30"/>
        <v>0.38591101173457598</v>
      </c>
      <c r="U63" s="31">
        <f t="shared" si="30"/>
        <v>0.35044361504675797</v>
      </c>
      <c r="V63" s="31">
        <f t="shared" si="30"/>
        <v>0.48700623928107656</v>
      </c>
      <c r="W63" s="31">
        <f t="shared" ref="W63:Y63" si="31">IF(W17=0,0,W17/W$10)</f>
        <v>0.49735461747962556</v>
      </c>
      <c r="X63" s="31">
        <f t="shared" si="31"/>
        <v>0.5150646158209653</v>
      </c>
      <c r="Y63" s="31">
        <f t="shared" si="31"/>
        <v>0.3789872772027445</v>
      </c>
      <c r="DA63" s="173"/>
    </row>
    <row r="64" spans="1:105" ht="11.45" customHeight="1" x14ac:dyDescent="0.25">
      <c r="A64" s="83" t="s">
        <v>92</v>
      </c>
      <c r="B64" s="125">
        <f t="shared" si="15"/>
        <v>0.2680322136756389</v>
      </c>
      <c r="C64" s="125">
        <f t="shared" ref="C64:V64" si="32">IF(C18=0,0,C18/C$10)</f>
        <v>0.26079059278628197</v>
      </c>
      <c r="D64" s="125">
        <f t="shared" si="32"/>
        <v>0.26479349827500465</v>
      </c>
      <c r="E64" s="125">
        <f t="shared" si="32"/>
        <v>0.27508941133517878</v>
      </c>
      <c r="F64" s="125">
        <f t="shared" si="32"/>
        <v>0.28028602405930259</v>
      </c>
      <c r="G64" s="125">
        <f t="shared" si="32"/>
        <v>0.27428548576517714</v>
      </c>
      <c r="H64" s="125">
        <f t="shared" si="32"/>
        <v>0.23259191032445584</v>
      </c>
      <c r="I64" s="125">
        <f t="shared" si="32"/>
        <v>0.22790669208699477</v>
      </c>
      <c r="J64" s="125">
        <f t="shared" si="32"/>
        <v>0.28053301297388739</v>
      </c>
      <c r="K64" s="125">
        <f t="shared" si="32"/>
        <v>0.18760739872444532</v>
      </c>
      <c r="L64" s="125">
        <f t="shared" si="32"/>
        <v>0.19403102314507248</v>
      </c>
      <c r="M64" s="125">
        <f t="shared" si="32"/>
        <v>0.20726225936077147</v>
      </c>
      <c r="N64" s="125">
        <f t="shared" si="32"/>
        <v>0.19305543571617745</v>
      </c>
      <c r="O64" s="125">
        <f t="shared" si="32"/>
        <v>0.1812311248364924</v>
      </c>
      <c r="P64" s="125">
        <f t="shared" si="32"/>
        <v>0.20470527677836242</v>
      </c>
      <c r="Q64" s="125">
        <f t="shared" si="32"/>
        <v>0.21639227674573164</v>
      </c>
      <c r="R64" s="125">
        <f t="shared" si="32"/>
        <v>0.16302497579923578</v>
      </c>
      <c r="S64" s="125">
        <f t="shared" si="32"/>
        <v>0.16019802881353795</v>
      </c>
      <c r="T64" s="125">
        <f t="shared" si="32"/>
        <v>0.14531421763860802</v>
      </c>
      <c r="U64" s="125">
        <f t="shared" si="32"/>
        <v>0.1022472421772203</v>
      </c>
      <c r="V64" s="125">
        <f t="shared" si="32"/>
        <v>0.13783185079499716</v>
      </c>
      <c r="W64" s="125">
        <f t="shared" ref="W64:Y64" si="33">IF(W18=0,0,W18/W$10)</f>
        <v>0.14068742817349253</v>
      </c>
      <c r="X64" s="125">
        <f t="shared" si="33"/>
        <v>0.14018851120365558</v>
      </c>
      <c r="Y64" s="125">
        <f t="shared" si="33"/>
        <v>0.12288832062501082</v>
      </c>
      <c r="DA64" s="171"/>
    </row>
    <row r="65" spans="1:105" ht="11.45" customHeight="1" x14ac:dyDescent="0.25">
      <c r="A65" s="85" t="s">
        <v>93</v>
      </c>
      <c r="B65" s="127">
        <f t="shared" si="15"/>
        <v>0.19944940924135951</v>
      </c>
      <c r="C65" s="127">
        <f t="shared" ref="C65:V65" si="34">IF(C19=0,0,C19/C$10)</f>
        <v>0.20130989937862601</v>
      </c>
      <c r="D65" s="127">
        <f t="shared" si="34"/>
        <v>0.18397322690296494</v>
      </c>
      <c r="E65" s="127">
        <f t="shared" si="34"/>
        <v>0.21736784618695312</v>
      </c>
      <c r="F65" s="127">
        <f t="shared" si="34"/>
        <v>0.21751351664338853</v>
      </c>
      <c r="G65" s="127">
        <f t="shared" si="34"/>
        <v>0.22147970241814227</v>
      </c>
      <c r="H65" s="127">
        <f t="shared" si="34"/>
        <v>0.22786168617355551</v>
      </c>
      <c r="I65" s="127">
        <f t="shared" si="34"/>
        <v>0.22783646818817249</v>
      </c>
      <c r="J65" s="127">
        <f t="shared" si="34"/>
        <v>0.16720542575393074</v>
      </c>
      <c r="K65" s="127">
        <f t="shared" si="34"/>
        <v>0.13186632229744616</v>
      </c>
      <c r="L65" s="127">
        <f t="shared" si="34"/>
        <v>0.12630942171679574</v>
      </c>
      <c r="M65" s="127">
        <f t="shared" si="34"/>
        <v>0.15207078023372056</v>
      </c>
      <c r="N65" s="127">
        <f t="shared" si="34"/>
        <v>0.11533419291888419</v>
      </c>
      <c r="O65" s="127">
        <f t="shared" si="34"/>
        <v>0.17590621601625964</v>
      </c>
      <c r="P65" s="127">
        <f t="shared" si="34"/>
        <v>0.20878040446920598</v>
      </c>
      <c r="Q65" s="127">
        <f t="shared" si="34"/>
        <v>0.15595961137492881</v>
      </c>
      <c r="R65" s="127">
        <f t="shared" si="34"/>
        <v>0.21139466108885449</v>
      </c>
      <c r="S65" s="127">
        <f t="shared" si="34"/>
        <v>0.2165658012037773</v>
      </c>
      <c r="T65" s="127">
        <f t="shared" si="34"/>
        <v>0.24059679409596796</v>
      </c>
      <c r="U65" s="127">
        <f t="shared" si="34"/>
        <v>0.24819637286953769</v>
      </c>
      <c r="V65" s="127">
        <f t="shared" si="34"/>
        <v>0.3491743884860794</v>
      </c>
      <c r="W65" s="127">
        <f t="shared" ref="W65:Y65" si="35">IF(W19=0,0,W19/W$10)</f>
        <v>0.35666718930613295</v>
      </c>
      <c r="X65" s="127">
        <f t="shared" si="35"/>
        <v>0.37487610461730964</v>
      </c>
      <c r="Y65" s="127">
        <f t="shared" si="35"/>
        <v>0.25609895657773368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121.07942963999999</v>
      </c>
      <c r="C4" s="26">
        <f t="shared" ref="C4:W4" si="0">SUM(C5:C6)</f>
        <v>105.14798892000002</v>
      </c>
      <c r="D4" s="26">
        <f t="shared" si="0"/>
        <v>98.775359280000004</v>
      </c>
      <c r="E4" s="26">
        <f t="shared" si="0"/>
        <v>89.216281440000003</v>
      </c>
      <c r="F4" s="26">
        <f t="shared" si="0"/>
        <v>90.774019440000004</v>
      </c>
      <c r="G4" s="26">
        <f t="shared" si="0"/>
        <v>92.402729640000004</v>
      </c>
      <c r="H4" s="26">
        <f t="shared" si="0"/>
        <v>89.970145200000005</v>
      </c>
      <c r="I4" s="26">
        <f t="shared" si="0"/>
        <v>78.36075000000001</v>
      </c>
      <c r="J4" s="26">
        <f t="shared" si="0"/>
        <v>100.30176</v>
      </c>
      <c r="K4" s="26">
        <f t="shared" si="0"/>
        <v>62.688600000000008</v>
      </c>
      <c r="L4" s="26">
        <f t="shared" si="0"/>
        <v>62.688600000000008</v>
      </c>
      <c r="M4" s="26">
        <f t="shared" si="0"/>
        <v>56.419739999999997</v>
      </c>
      <c r="N4" s="26">
        <f t="shared" si="0"/>
        <v>68.957459999999998</v>
      </c>
      <c r="O4" s="26">
        <f t="shared" si="0"/>
        <v>43.882020000000004</v>
      </c>
      <c r="P4" s="26">
        <f t="shared" si="0"/>
        <v>37.613159999999986</v>
      </c>
      <c r="Q4" s="26">
        <f t="shared" si="0"/>
        <v>50.150879999999987</v>
      </c>
      <c r="R4" s="26">
        <f t="shared" si="0"/>
        <v>40.747590000000002</v>
      </c>
      <c r="S4" s="26">
        <f t="shared" si="0"/>
        <v>42.029638560000002</v>
      </c>
      <c r="T4" s="26">
        <f t="shared" si="0"/>
        <v>34.488066599999996</v>
      </c>
      <c r="U4" s="26">
        <f t="shared" si="0"/>
        <v>31.090344479999995</v>
      </c>
      <c r="V4" s="26">
        <f t="shared" si="0"/>
        <v>29.614094639999998</v>
      </c>
      <c r="W4" s="26">
        <f t="shared" si="0"/>
        <v>32.077890000000004</v>
      </c>
      <c r="X4" s="26">
        <f t="shared" ref="X4:Y4" si="1">SUM(X5:X6)</f>
        <v>32.479097039999999</v>
      </c>
      <c r="Y4" s="26">
        <f t="shared" si="1"/>
        <v>29.827235879999996</v>
      </c>
      <c r="DA4" s="202" t="s">
        <v>1137</v>
      </c>
    </row>
    <row r="5" spans="1:105" ht="11.45" customHeight="1" x14ac:dyDescent="0.25">
      <c r="A5" s="107" t="s">
        <v>92</v>
      </c>
      <c r="B5" s="129">
        <v>121.07942963999999</v>
      </c>
      <c r="C5" s="129">
        <v>105.14798892000002</v>
      </c>
      <c r="D5" s="129">
        <v>98.775359280000004</v>
      </c>
      <c r="E5" s="129">
        <v>89.216281440000003</v>
      </c>
      <c r="F5" s="129">
        <v>90.774019440000004</v>
      </c>
      <c r="G5" s="129">
        <v>92.402729640000004</v>
      </c>
      <c r="H5" s="129">
        <v>89.970145200000005</v>
      </c>
      <c r="I5" s="129">
        <v>78.36075000000001</v>
      </c>
      <c r="J5" s="129">
        <v>100.30176</v>
      </c>
      <c r="K5" s="129">
        <v>62.688600000000008</v>
      </c>
      <c r="L5" s="129">
        <v>62.688600000000008</v>
      </c>
      <c r="M5" s="129">
        <v>56.419739999999997</v>
      </c>
      <c r="N5" s="129">
        <v>68.957459999999998</v>
      </c>
      <c r="O5" s="129">
        <v>43.882020000000004</v>
      </c>
      <c r="P5" s="129">
        <v>37.613159999999986</v>
      </c>
      <c r="Q5" s="129">
        <v>50.150879999999987</v>
      </c>
      <c r="R5" s="129">
        <v>40.747590000000002</v>
      </c>
      <c r="S5" s="129">
        <v>42.029638560000002</v>
      </c>
      <c r="T5" s="129">
        <v>34.488066599999996</v>
      </c>
      <c r="U5" s="129">
        <v>31.090344479999995</v>
      </c>
      <c r="V5" s="129">
        <v>29.614094639999998</v>
      </c>
      <c r="W5" s="129">
        <v>32.077890000000004</v>
      </c>
      <c r="X5" s="129">
        <v>32.479097039999999</v>
      </c>
      <c r="Y5" s="129">
        <v>29.827235879999996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121.07942963999997</v>
      </c>
      <c r="C8" s="79">
        <f t="shared" si="2"/>
        <v>105.14798892000002</v>
      </c>
      <c r="D8" s="79">
        <f t="shared" si="2"/>
        <v>98.775359280000004</v>
      </c>
      <c r="E8" s="79">
        <f t="shared" si="2"/>
        <v>89.216281440000017</v>
      </c>
      <c r="F8" s="79">
        <f t="shared" si="2"/>
        <v>90.774019440000018</v>
      </c>
      <c r="G8" s="79">
        <f t="shared" si="2"/>
        <v>92.402729640000018</v>
      </c>
      <c r="H8" s="79">
        <f t="shared" si="2"/>
        <v>89.970145200000005</v>
      </c>
      <c r="I8" s="79">
        <f t="shared" si="2"/>
        <v>78.360750000000024</v>
      </c>
      <c r="J8" s="79">
        <f t="shared" si="2"/>
        <v>100.30176</v>
      </c>
      <c r="K8" s="79">
        <f t="shared" si="2"/>
        <v>62.688600000000022</v>
      </c>
      <c r="L8" s="79">
        <f t="shared" si="2"/>
        <v>62.688600000000008</v>
      </c>
      <c r="M8" s="79">
        <f t="shared" si="2"/>
        <v>56.419740000000004</v>
      </c>
      <c r="N8" s="79">
        <f t="shared" si="2"/>
        <v>68.957459999999998</v>
      </c>
      <c r="O8" s="79">
        <f t="shared" si="2"/>
        <v>43.882019999999997</v>
      </c>
      <c r="P8" s="79">
        <f t="shared" si="2"/>
        <v>37.613159999999993</v>
      </c>
      <c r="Q8" s="79">
        <f t="shared" si="2"/>
        <v>50.150879999999987</v>
      </c>
      <c r="R8" s="79">
        <f t="shared" si="2"/>
        <v>40.747590000000002</v>
      </c>
      <c r="S8" s="79">
        <f t="shared" si="2"/>
        <v>42.029638560000002</v>
      </c>
      <c r="T8" s="79">
        <f t="shared" si="2"/>
        <v>34.488066599999996</v>
      </c>
      <c r="U8" s="79">
        <f t="shared" si="2"/>
        <v>31.090344479999992</v>
      </c>
      <c r="V8" s="79">
        <f t="shared" si="2"/>
        <v>29.614094639999998</v>
      </c>
      <c r="W8" s="79">
        <f t="shared" si="2"/>
        <v>32.077890000000004</v>
      </c>
      <c r="X8" s="79">
        <f t="shared" ref="X8:Y8" si="3">SUM(X9,X15)</f>
        <v>32.479097039999999</v>
      </c>
      <c r="Y8" s="79">
        <f t="shared" si="3"/>
        <v>29.827235879999996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56.236618268995628</v>
      </c>
      <c r="C9" s="32">
        <f t="shared" si="4"/>
        <v>47.32494870092863</v>
      </c>
      <c r="D9" s="32">
        <f t="shared" si="4"/>
        <v>40.904581546550091</v>
      </c>
      <c r="E9" s="32">
        <f t="shared" si="4"/>
        <v>32.678903900808052</v>
      </c>
      <c r="F9" s="32">
        <f t="shared" si="4"/>
        <v>33.723360507967151</v>
      </c>
      <c r="G9" s="32">
        <f t="shared" si="4"/>
        <v>36.83945443120146</v>
      </c>
      <c r="H9" s="32">
        <f t="shared" si="4"/>
        <v>44.597607364491509</v>
      </c>
      <c r="I9" s="32">
        <f t="shared" si="4"/>
        <v>37.581571956759269</v>
      </c>
      <c r="J9" s="32">
        <f t="shared" si="4"/>
        <v>46.12122974437812</v>
      </c>
      <c r="K9" s="32">
        <f t="shared" si="4"/>
        <v>32.86109478849513</v>
      </c>
      <c r="L9" s="32">
        <f t="shared" si="4"/>
        <v>35.359470092353213</v>
      </c>
      <c r="M9" s="32">
        <f t="shared" si="4"/>
        <v>30.737869297361616</v>
      </c>
      <c r="N9" s="32">
        <f t="shared" si="4"/>
        <v>43.696970930476908</v>
      </c>
      <c r="O9" s="32">
        <f t="shared" si="4"/>
        <v>27.068516291790555</v>
      </c>
      <c r="P9" s="32">
        <f t="shared" si="4"/>
        <v>19.374362002445739</v>
      </c>
      <c r="Q9" s="32">
        <f t="shared" si="4"/>
        <v>23.655195081186655</v>
      </c>
      <c r="R9" s="32">
        <f t="shared" si="4"/>
        <v>22.188854469260889</v>
      </c>
      <c r="S9" s="32">
        <f t="shared" si="4"/>
        <v>22.286718281005186</v>
      </c>
      <c r="T9" s="32">
        <f t="shared" si="4"/>
        <v>17.821514665227276</v>
      </c>
      <c r="U9" s="32">
        <f t="shared" si="4"/>
        <v>16.79344093043369</v>
      </c>
      <c r="V9" s="32">
        <f t="shared" si="4"/>
        <v>11.747849702226786</v>
      </c>
      <c r="W9" s="32">
        <f t="shared" si="4"/>
        <v>12.575390566733835</v>
      </c>
      <c r="X9" s="32">
        <f t="shared" ref="X9:Y9" si="5">SUM(X10,X11,X14)</f>
        <v>13.016028558108008</v>
      </c>
      <c r="Y9" s="32">
        <f t="shared" si="5"/>
        <v>14.01223481364485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56.236618268995628</v>
      </c>
      <c r="C11" s="130">
        <f t="shared" si="6"/>
        <v>47.32494870092863</v>
      </c>
      <c r="D11" s="130">
        <f t="shared" si="6"/>
        <v>40.904581546550091</v>
      </c>
      <c r="E11" s="130">
        <f t="shared" si="6"/>
        <v>32.678903900808052</v>
      </c>
      <c r="F11" s="130">
        <f t="shared" si="6"/>
        <v>33.723360507967151</v>
      </c>
      <c r="G11" s="130">
        <f t="shared" si="6"/>
        <v>36.83945443120146</v>
      </c>
      <c r="H11" s="130">
        <f t="shared" si="6"/>
        <v>44.597607364491509</v>
      </c>
      <c r="I11" s="130">
        <f t="shared" si="6"/>
        <v>37.581571956759269</v>
      </c>
      <c r="J11" s="130">
        <f t="shared" si="6"/>
        <v>46.12122974437812</v>
      </c>
      <c r="K11" s="130">
        <f t="shared" si="6"/>
        <v>32.86109478849513</v>
      </c>
      <c r="L11" s="130">
        <f t="shared" si="6"/>
        <v>35.359470092353213</v>
      </c>
      <c r="M11" s="130">
        <f t="shared" si="6"/>
        <v>30.737869297361616</v>
      </c>
      <c r="N11" s="130">
        <f t="shared" si="6"/>
        <v>43.696970930476908</v>
      </c>
      <c r="O11" s="130">
        <f t="shared" si="6"/>
        <v>27.068516291790555</v>
      </c>
      <c r="P11" s="130">
        <f t="shared" si="6"/>
        <v>19.374362002445739</v>
      </c>
      <c r="Q11" s="130">
        <f t="shared" si="6"/>
        <v>23.655195081186655</v>
      </c>
      <c r="R11" s="130">
        <f t="shared" si="6"/>
        <v>22.188854469260889</v>
      </c>
      <c r="S11" s="130">
        <f t="shared" si="6"/>
        <v>22.286718281005186</v>
      </c>
      <c r="T11" s="130">
        <f t="shared" si="6"/>
        <v>17.821514665227276</v>
      </c>
      <c r="U11" s="130">
        <f t="shared" si="6"/>
        <v>16.79344093043369</v>
      </c>
      <c r="V11" s="130">
        <f t="shared" si="6"/>
        <v>11.747849702226786</v>
      </c>
      <c r="W11" s="130">
        <f t="shared" si="6"/>
        <v>12.575390566733835</v>
      </c>
      <c r="X11" s="130">
        <f t="shared" ref="X11:Y11" si="7">SUM(X12:X13)</f>
        <v>13.016028558108008</v>
      </c>
      <c r="Y11" s="130">
        <f t="shared" si="7"/>
        <v>14.01223481364485</v>
      </c>
      <c r="DA11" s="176" t="s">
        <v>409</v>
      </c>
    </row>
    <row r="12" spans="1:105" ht="11.45" customHeight="1" x14ac:dyDescent="0.25">
      <c r="A12" s="111" t="s">
        <v>92</v>
      </c>
      <c r="B12" s="96">
        <v>56.236618268995628</v>
      </c>
      <c r="C12" s="96">
        <v>47.32494870092863</v>
      </c>
      <c r="D12" s="96">
        <v>40.904581546550091</v>
      </c>
      <c r="E12" s="96">
        <v>32.678903900808052</v>
      </c>
      <c r="F12" s="96">
        <v>33.723360507967151</v>
      </c>
      <c r="G12" s="96">
        <v>36.83945443120146</v>
      </c>
      <c r="H12" s="96">
        <v>44.597607364491509</v>
      </c>
      <c r="I12" s="96">
        <v>37.581571956759269</v>
      </c>
      <c r="J12" s="96">
        <v>46.12122974437812</v>
      </c>
      <c r="K12" s="96">
        <v>32.86109478849513</v>
      </c>
      <c r="L12" s="96">
        <v>35.359470092353213</v>
      </c>
      <c r="M12" s="96">
        <v>30.737869297361616</v>
      </c>
      <c r="N12" s="96">
        <v>43.696970930476908</v>
      </c>
      <c r="O12" s="96">
        <v>27.068516291790555</v>
      </c>
      <c r="P12" s="96">
        <v>19.374362002445739</v>
      </c>
      <c r="Q12" s="96">
        <v>23.655195081186655</v>
      </c>
      <c r="R12" s="96">
        <v>22.188854469260889</v>
      </c>
      <c r="S12" s="96">
        <v>22.286718281005186</v>
      </c>
      <c r="T12" s="96">
        <v>17.821514665227276</v>
      </c>
      <c r="U12" s="96">
        <v>16.79344093043369</v>
      </c>
      <c r="V12" s="96">
        <v>11.747849702226786</v>
      </c>
      <c r="W12" s="96">
        <v>12.575390566733835</v>
      </c>
      <c r="X12" s="96">
        <v>13.016028558108008</v>
      </c>
      <c r="Y12" s="96">
        <v>14.01223481364485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64.842811371004345</v>
      </c>
      <c r="C15" s="32">
        <f t="shared" si="8"/>
        <v>57.823040219071387</v>
      </c>
      <c r="D15" s="32">
        <f t="shared" si="8"/>
        <v>57.870777733449913</v>
      </c>
      <c r="E15" s="32">
        <f t="shared" si="8"/>
        <v>56.537377539191958</v>
      </c>
      <c r="F15" s="32">
        <f t="shared" si="8"/>
        <v>57.050658932032867</v>
      </c>
      <c r="G15" s="32">
        <f t="shared" si="8"/>
        <v>55.563275208798551</v>
      </c>
      <c r="H15" s="32">
        <f t="shared" si="8"/>
        <v>45.372537835508496</v>
      </c>
      <c r="I15" s="32">
        <f t="shared" si="8"/>
        <v>40.779178043240755</v>
      </c>
      <c r="J15" s="32">
        <f t="shared" si="8"/>
        <v>54.180530255621882</v>
      </c>
      <c r="K15" s="32">
        <f t="shared" si="8"/>
        <v>29.827505211504889</v>
      </c>
      <c r="L15" s="32">
        <f t="shared" si="8"/>
        <v>27.329129907646799</v>
      </c>
      <c r="M15" s="32">
        <f t="shared" si="8"/>
        <v>25.681870702638385</v>
      </c>
      <c r="N15" s="32">
        <f t="shared" si="8"/>
        <v>25.260489069523096</v>
      </c>
      <c r="O15" s="32">
        <f t="shared" si="8"/>
        <v>16.813503708209446</v>
      </c>
      <c r="P15" s="32">
        <f t="shared" si="8"/>
        <v>18.238797997554251</v>
      </c>
      <c r="Q15" s="32">
        <f t="shared" si="8"/>
        <v>26.495684918813335</v>
      </c>
      <c r="R15" s="32">
        <f t="shared" si="8"/>
        <v>18.558735530739117</v>
      </c>
      <c r="S15" s="32">
        <f t="shared" si="8"/>
        <v>19.742920278994816</v>
      </c>
      <c r="T15" s="32">
        <f t="shared" si="8"/>
        <v>16.66655193477272</v>
      </c>
      <c r="U15" s="32">
        <f t="shared" si="8"/>
        <v>14.296903549566304</v>
      </c>
      <c r="V15" s="32">
        <f t="shared" si="8"/>
        <v>17.866244937773214</v>
      </c>
      <c r="W15" s="32">
        <f t="shared" si="8"/>
        <v>19.502499433266166</v>
      </c>
      <c r="X15" s="32">
        <f t="shared" ref="X15:Y15" si="9">SUM(X16:X17)</f>
        <v>19.463068481891995</v>
      </c>
      <c r="Y15" s="32">
        <f t="shared" si="9"/>
        <v>15.815001066355148</v>
      </c>
      <c r="DA15" s="173" t="s">
        <v>414</v>
      </c>
    </row>
    <row r="16" spans="1:105" ht="11.45" customHeight="1" x14ac:dyDescent="0.25">
      <c r="A16" s="83" t="s">
        <v>92</v>
      </c>
      <c r="B16" s="96">
        <v>64.842811371004345</v>
      </c>
      <c r="C16" s="96">
        <v>57.823040219071387</v>
      </c>
      <c r="D16" s="96">
        <v>57.870777733449913</v>
      </c>
      <c r="E16" s="96">
        <v>56.537377539191958</v>
      </c>
      <c r="F16" s="96">
        <v>57.050658932032867</v>
      </c>
      <c r="G16" s="96">
        <v>55.563275208798551</v>
      </c>
      <c r="H16" s="96">
        <v>45.372537835508496</v>
      </c>
      <c r="I16" s="96">
        <v>40.779178043240755</v>
      </c>
      <c r="J16" s="96">
        <v>54.180530255621882</v>
      </c>
      <c r="K16" s="96">
        <v>29.827505211504889</v>
      </c>
      <c r="L16" s="96">
        <v>27.329129907646799</v>
      </c>
      <c r="M16" s="96">
        <v>25.681870702638385</v>
      </c>
      <c r="N16" s="96">
        <v>25.260489069523096</v>
      </c>
      <c r="O16" s="96">
        <v>16.813503708209446</v>
      </c>
      <c r="P16" s="96">
        <v>18.238797997554251</v>
      </c>
      <c r="Q16" s="96">
        <v>26.495684918813335</v>
      </c>
      <c r="R16" s="96">
        <v>18.558735530739117</v>
      </c>
      <c r="S16" s="96">
        <v>19.742920278994816</v>
      </c>
      <c r="T16" s="96">
        <v>16.66655193477272</v>
      </c>
      <c r="U16" s="96">
        <v>14.296903549566304</v>
      </c>
      <c r="V16" s="96">
        <v>17.866244937773214</v>
      </c>
      <c r="W16" s="96">
        <v>19.502499433266166</v>
      </c>
      <c r="X16" s="96">
        <v>19.463068481891995</v>
      </c>
      <c r="Y16" s="96">
        <v>15.815001066355148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1.5527300107435418</v>
      </c>
      <c r="C22" s="134">
        <f>IF(C4=0,0,C4/TrRail_ene!C4)</f>
        <v>1.4712700469816538</v>
      </c>
      <c r="D22" s="134">
        <f>IF(D4=0,0,D4/TrRail_ene!D4)</f>
        <v>1.402158276465864</v>
      </c>
      <c r="E22" s="134">
        <f>IF(E4=0,0,E4/TrRail_ene!E4)</f>
        <v>1.3467368856752733</v>
      </c>
      <c r="F22" s="134">
        <f>IF(F4=0,0,F4/TrRail_ene!F4)</f>
        <v>1.3892970830829001</v>
      </c>
      <c r="G22" s="134">
        <f>IF(G4=0,0,G4/TrRail_ene!G4)</f>
        <v>1.4151426287623337</v>
      </c>
      <c r="H22" s="134">
        <f>IF(H4=0,0,H4/TrRail_ene!H4)</f>
        <v>1.4308706615559235</v>
      </c>
      <c r="I22" s="134">
        <f>IF(I4=0,0,I4/TrRail_ene!I4)</f>
        <v>1.3586813604174433</v>
      </c>
      <c r="J22" s="134">
        <f>IF(J4=0,0,J4/TrRail_ene!J4)</f>
        <v>1.6112009237569063</v>
      </c>
      <c r="K22" s="134">
        <f>IF(K4=0,0,K4/TrRail_ene!K4)</f>
        <v>1.2232691577181209</v>
      </c>
      <c r="L22" s="134">
        <f>IF(L4=0,0,L4/TrRail_ene!L4)</f>
        <v>1.3808113977272731</v>
      </c>
      <c r="M22" s="134">
        <f>IF(M4=0,0,M4/TrRail_ene!M4)</f>
        <v>1.4126191091496234</v>
      </c>
      <c r="N22" s="134">
        <f>IF(N4=0,0,N4/TrRail_ene!N4)</f>
        <v>1.6350158201834863</v>
      </c>
      <c r="O22" s="134">
        <f>IF(O4=0,0,O4/TrRail_ene!O4)</f>
        <v>1.3792478024101464</v>
      </c>
      <c r="P22" s="134">
        <f>IF(P4=0,0,P4/TrRail_ene!P4)</f>
        <v>1.3097037449101794</v>
      </c>
      <c r="Q22" s="134">
        <f>IF(Q4=0,0,Q4/TrRail_ene!Q4)</f>
        <v>1.2707074823529412</v>
      </c>
      <c r="R22" s="134">
        <f>IF(R4=0,0,R4/TrRail_ene!R4)</f>
        <v>1.1104732787346221</v>
      </c>
      <c r="S22" s="134">
        <f>IF(S4=0,0,S4/TrRail_ene!S4)</f>
        <v>1.058039434648727</v>
      </c>
      <c r="T22" s="134">
        <f>IF(T4=0,0,T4/TrRail_ene!T4)</f>
        <v>0.93289253971517538</v>
      </c>
      <c r="U22" s="134">
        <f>IF(U4=0,0,U4/TrRail_ene!U4)</f>
        <v>0.68981966873610889</v>
      </c>
      <c r="V22" s="134">
        <f>IF(V4=0,0,V4/TrRail_ene!V4)</f>
        <v>0.70878609284529481</v>
      </c>
      <c r="W22" s="134">
        <f>IF(W4=0,0,W4/TrRail_ene!W4)</f>
        <v>0.71791203512337054</v>
      </c>
      <c r="X22" s="134">
        <f>IF(X4=0,0,X4/TrRail_ene!X4)</f>
        <v>0.72578081344223933</v>
      </c>
      <c r="Y22" s="134">
        <f>IF(Y4=0,0,Y4/TrRail_ene!Y4)</f>
        <v>0.71904292252287361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1.5576245508572306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1.457978541186957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1.5512094000000003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3637.9285131697211</v>
      </c>
      <c r="C26" s="54">
        <f>IF(C8=0,0,C8/TrRail_act!C14*1000)</f>
        <v>3181.9103017640168</v>
      </c>
      <c r="D26" s="54">
        <f>IF(D8=0,0,D8/TrRail_act!D14*1000)</f>
        <v>2937.1957119007684</v>
      </c>
      <c r="E26" s="54">
        <f>IF(E8=0,0,E8/TrRail_act!E14*1000)</f>
        <v>2735.7099879439584</v>
      </c>
      <c r="F26" s="54">
        <f>IF(F8=0,0,F8/TrRail_act!F14*1000)</f>
        <v>2833.29759227452</v>
      </c>
      <c r="G26" s="54">
        <f>IF(G8=0,0,G8/TrRail_act!G14*1000)</f>
        <v>2889.2933905257828</v>
      </c>
      <c r="H26" s="54">
        <f>IF(H8=0,0,H8/TrRail_act!H14*1000)</f>
        <v>2779.3058988371263</v>
      </c>
      <c r="I26" s="54">
        <f>IF(I8=0,0,I8/TrRail_act!I14*1000)</f>
        <v>2561.8980147285693</v>
      </c>
      <c r="J26" s="54">
        <f>IF(J8=0,0,J8/TrRail_act!J14*1000)</f>
        <v>3094.1624584552333</v>
      </c>
      <c r="K26" s="54">
        <f>IF(K8=0,0,K8/TrRail_act!K14*1000)</f>
        <v>1870.4039419098303</v>
      </c>
      <c r="L26" s="54">
        <f>IF(L8=0,0,L8/TrRail_act!L14*1000)</f>
        <v>1909.5985712387617</v>
      </c>
      <c r="M26" s="54">
        <f>IF(M8=0,0,M8/TrRail_act!M14*1000)</f>
        <v>1860.439387771708</v>
      </c>
      <c r="N26" s="54">
        <f>IF(N8=0,0,N8/TrRail_act!N14*1000)</f>
        <v>2084.2793352613512</v>
      </c>
      <c r="O26" s="54">
        <f>IF(O8=0,0,O8/TrRail_act!O14*1000)</f>
        <v>1556.0054409173642</v>
      </c>
      <c r="P26" s="54">
        <f>IF(P8=0,0,P8/TrRail_act!P14*1000)</f>
        <v>1548.749922506702</v>
      </c>
      <c r="Q26" s="54">
        <f>IF(Q8=0,0,Q8/TrRail_act!Q14*1000)</f>
        <v>1559.7497974368628</v>
      </c>
      <c r="R26" s="54">
        <f>IF(R8=0,0,R8/TrRail_act!R14*1000)</f>
        <v>1222.4269299160878</v>
      </c>
      <c r="S26" s="54">
        <f>IF(S8=0,0,S8/TrRail_act!S14*1000)</f>
        <v>1102.980610468845</v>
      </c>
      <c r="T26" s="54">
        <f>IF(T8=0,0,T8/TrRail_act!T14*1000)</f>
        <v>939.42887164142599</v>
      </c>
      <c r="U26" s="54">
        <f>IF(U8=0,0,U8/TrRail_act!U14*1000)</f>
        <v>690.93359237890979</v>
      </c>
      <c r="V26" s="54">
        <f>IF(V8=0,0,V8/TrRail_act!V14*1000)</f>
        <v>728.08119647711305</v>
      </c>
      <c r="W26" s="54">
        <f>IF(W8=0,0,W8/TrRail_act!W14*1000)</f>
        <v>744.47217057669832</v>
      </c>
      <c r="X26" s="54">
        <f>IF(X8=0,0,X8/TrRail_act!X14*1000)</f>
        <v>748.14141983142326</v>
      </c>
      <c r="Y26" s="54">
        <f>IF(Y8=0,0,Y8/TrRail_act!Y14*1000)</f>
        <v>733.87280727574569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2419.3912130660192</v>
      </c>
      <c r="C27" s="28">
        <f>IF(C9=0,0,C9/TrRail_act!C15*1000)</f>
        <v>1997.1268956253309</v>
      </c>
      <c r="D27" s="28">
        <f>IF(D9=0,0,D9/TrRail_act!D15*1000)</f>
        <v>1653.5593861388656</v>
      </c>
      <c r="E27" s="28">
        <f>IF(E9=0,0,E9/TrRail_act!E15*1000)</f>
        <v>1423.9826927730869</v>
      </c>
      <c r="F27" s="28">
        <f>IF(F9=0,0,F9/TrRail_act!F15*1000)</f>
        <v>1509.1953404714532</v>
      </c>
      <c r="G27" s="28">
        <f>IF(G9=0,0,G9/TrRail_act!G15*1000)</f>
        <v>1658.606122950187</v>
      </c>
      <c r="H27" s="28">
        <f>IF(H9=0,0,H9/TrRail_act!H15*1000)</f>
        <v>1926.1244779205952</v>
      </c>
      <c r="I27" s="28">
        <f>IF(I9=0,0,I9/TrRail_act!I15*1000)</f>
        <v>1701.8461791260106</v>
      </c>
      <c r="J27" s="28">
        <f>IF(J9=0,0,J9/TrRail_act!J15*1000)</f>
        <v>1906.1160536946009</v>
      </c>
      <c r="K27" s="28">
        <f>IF(K9=0,0,K9/TrRail_act!K15*1000)</f>
        <v>1174.4738311063913</v>
      </c>
      <c r="L27" s="28">
        <f>IF(L9=0,0,L9/TrRail_act!L15*1000)</f>
        <v>1264.8834310716147</v>
      </c>
      <c r="M27" s="28">
        <f>IF(M9=0,0,M9/TrRail_act!M15*1000)</f>
        <v>1216.3395565615469</v>
      </c>
      <c r="N27" s="28">
        <f>IF(N9=0,0,N9/TrRail_act!N15*1000)</f>
        <v>1535.5919736877631</v>
      </c>
      <c r="O27" s="28">
        <f>IF(O9=0,0,O9/TrRail_act!O15*1000)</f>
        <v>1153.7961015241895</v>
      </c>
      <c r="P27" s="28">
        <f>IF(P9=0,0,P9/TrRail_act!P15*1000)</f>
        <v>1009.5762336291423</v>
      </c>
      <c r="Q27" s="28">
        <f>IF(Q9=0,0,Q9/TrRail_act!Q15*1000)</f>
        <v>900.75135864262165</v>
      </c>
      <c r="R27" s="28">
        <f>IF(R9=0,0,R9/TrRail_act!R15*1000)</f>
        <v>836.17638242140083</v>
      </c>
      <c r="S27" s="28">
        <f>IF(S9=0,0,S9/TrRail_act!S15*1000)</f>
        <v>728.75498571768844</v>
      </c>
      <c r="T27" s="28">
        <f>IF(T9=0,0,T9/TrRail_act!T15*1000)</f>
        <v>610.53058866971787</v>
      </c>
      <c r="U27" s="28">
        <f>IF(U9=0,0,U9/TrRail_act!U15*1000)</f>
        <v>466.07260665231092</v>
      </c>
      <c r="V27" s="28">
        <f>IF(V9=0,0,V9/TrRail_act!V15*1000)</f>
        <v>404.96713417010517</v>
      </c>
      <c r="W27" s="28">
        <f>IF(W9=0,0,W9/TrRail_act!W15*1000)</f>
        <v>414.76636864321245</v>
      </c>
      <c r="X27" s="28">
        <f>IF(X9=0,0,X9/TrRail_act!X15*1000)</f>
        <v>433.35981244600669</v>
      </c>
      <c r="Y27" s="28">
        <f>IF(Y9=0,0,Y9/TrRail_act!Y15*1000)</f>
        <v>439.50165333114728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3043.412888339677</v>
      </c>
      <c r="C29" s="110">
        <f>IF(C11=0,0,C11/TrRail_act!C17*1000)</f>
        <v>2605.7654939657614</v>
      </c>
      <c r="D29" s="110">
        <f>IF(D11=0,0,D11/TrRail_act!D17*1000)</f>
        <v>2107.7316984182535</v>
      </c>
      <c r="E29" s="110">
        <f>IF(E11=0,0,E11/TrRail_act!E17*1000)</f>
        <v>1917.0636597342341</v>
      </c>
      <c r="F29" s="110">
        <f>IF(F11=0,0,F11/TrRail_act!F17*1000)</f>
        <v>1984.0339236722209</v>
      </c>
      <c r="G29" s="110">
        <f>IF(G11=0,0,G11/TrRail_act!G17*1000)</f>
        <v>2173.3185592632126</v>
      </c>
      <c r="H29" s="110">
        <f>IF(H11=0,0,H11/TrRail_act!H17*1000)</f>
        <v>2516.5191086189552</v>
      </c>
      <c r="I29" s="110">
        <f>IF(I11=0,0,I11/TrRail_act!I17*1000)</f>
        <v>2257.461022665032</v>
      </c>
      <c r="J29" s="110">
        <f>IF(J11=0,0,J11/TrRail_act!J17*1000)</f>
        <v>2536.2262691686833</v>
      </c>
      <c r="K29" s="110">
        <f>IF(K11=0,0,K11/TrRail_act!K17*1000)</f>
        <v>1703.8402099494438</v>
      </c>
      <c r="L29" s="110">
        <f>IF(L11=0,0,L11/TrRail_act!L17*1000)</f>
        <v>2148.2433331987568</v>
      </c>
      <c r="M29" s="110">
        <f>IF(M11=0,0,M11/TrRail_act!M17*1000)</f>
        <v>2158.5185374559983</v>
      </c>
      <c r="N29" s="110">
        <f>IF(N11=0,0,N11/TrRail_act!N17*1000)</f>
        <v>2790.902038634144</v>
      </c>
      <c r="O29" s="110">
        <f>IF(O11=0,0,O11/TrRail_act!O17*1000)</f>
        <v>2530.4300160535677</v>
      </c>
      <c r="P29" s="110">
        <f>IF(P11=0,0,P11/TrRail_act!P17*1000)</f>
        <v>1983.3954115661011</v>
      </c>
      <c r="Q29" s="110">
        <f>IF(Q11=0,0,Q11/TrRail_act!Q17*1000)</f>
        <v>1441.0706280467957</v>
      </c>
      <c r="R29" s="110">
        <f>IF(R11=0,0,R11/TrRail_act!R17*1000)</f>
        <v>1434.4150194133003</v>
      </c>
      <c r="S29" s="110">
        <f>IF(S11=0,0,S11/TrRail_act!S17*1000)</f>
        <v>1374.0238379608377</v>
      </c>
      <c r="T29" s="110">
        <f>IF(T11=0,0,T11/TrRail_act!T17*1000)</f>
        <v>1206.7040037266213</v>
      </c>
      <c r="U29" s="110">
        <f>IF(U11=0,0,U11/TrRail_act!U17*1000)</f>
        <v>817.78034297048282</v>
      </c>
      <c r="V29" s="110">
        <f>IF(V11=0,0,V11/TrRail_act!V17*1000)</f>
        <v>844.73705095939977</v>
      </c>
      <c r="W29" s="110">
        <f>IF(W11=0,0,W11/TrRail_act!W17*1000)</f>
        <v>855.89028690958412</v>
      </c>
      <c r="X29" s="110">
        <f>IF(X11=0,0,X11/TrRail_act!X17*1000)</f>
        <v>939.68390456066595</v>
      </c>
      <c r="Y29" s="110">
        <f>IF(Y11=0,0,Y11/TrRail_act!Y17*1000)</f>
        <v>759.91493597187934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8296.763074253633</v>
      </c>
      <c r="C30" s="84">
        <f>IF(C12=0,0,C12/TrRail_act!C18*1000)</f>
        <v>8056.0069262964171</v>
      </c>
      <c r="D30" s="84">
        <f>IF(D12=0,0,D12/TrRail_act!D18*1000)</f>
        <v>7772.0468054806543</v>
      </c>
      <c r="E30" s="84">
        <f>IF(E12=0,0,E12/TrRail_act!E18*1000)</f>
        <v>7522.4823085593061</v>
      </c>
      <c r="F30" s="84">
        <f>IF(F12=0,0,F12/TrRail_act!F18*1000)</f>
        <v>7378.8202049972469</v>
      </c>
      <c r="G30" s="84">
        <f>IF(G12=0,0,G12/TrRail_act!G18*1000)</f>
        <v>7180.6525917000645</v>
      </c>
      <c r="H30" s="84">
        <f>IF(H12=0,0,H12/TrRail_act!H18*1000)</f>
        <v>7388.4166360601885</v>
      </c>
      <c r="I30" s="84">
        <f>IF(I12=0,0,I12/TrRail_act!I18*1000)</f>
        <v>6981.4600390513033</v>
      </c>
      <c r="J30" s="84">
        <f>IF(J12=0,0,J12/TrRail_act!J18*1000)</f>
        <v>6926.6876214962485</v>
      </c>
      <c r="K30" s="84">
        <f>IF(K12=0,0,K12/TrRail_act!K18*1000)</f>
        <v>6794.6310317444468</v>
      </c>
      <c r="L30" s="84">
        <f>IF(L12=0,0,L12/TrRail_act!L18*1000)</f>
        <v>6539.0197309276118</v>
      </c>
      <c r="M30" s="84">
        <f>IF(M12=0,0,M12/TrRail_act!M18*1000)</f>
        <v>5954.7312873378478</v>
      </c>
      <c r="N30" s="84">
        <f>IF(N12=0,0,N12/TrRail_act!N18*1000)</f>
        <v>5837.1416173743437</v>
      </c>
      <c r="O30" s="84">
        <f>IF(O12=0,0,O12/TrRail_act!O18*1000)</f>
        <v>5003.3949291880544</v>
      </c>
      <c r="P30" s="84">
        <f>IF(P12=0,0,P12/TrRail_act!P18*1000)</f>
        <v>5001.7525328773763</v>
      </c>
      <c r="Q30" s="84">
        <f>IF(Q12=0,0,Q12/TrRail_act!Q18*1000)</f>
        <v>4980.1372843908648</v>
      </c>
      <c r="R30" s="84">
        <f>IF(R12=0,0,R12/TrRail_act!R18*1000)</f>
        <v>4353.4167490854725</v>
      </c>
      <c r="S30" s="84">
        <f>IF(S12=0,0,S12/TrRail_act!S18*1000)</f>
        <v>4250.5555472498409</v>
      </c>
      <c r="T30" s="84">
        <f>IF(T12=0,0,T12/TrRail_act!T18*1000)</f>
        <v>4175.0077420207672</v>
      </c>
      <c r="U30" s="84">
        <f>IF(U12=0,0,U12/TrRail_act!U18*1000)</f>
        <v>4119.2293860259924</v>
      </c>
      <c r="V30" s="84">
        <f>IF(V12=0,0,V12/TrRail_act!V18*1000)</f>
        <v>4077.8852047331889</v>
      </c>
      <c r="W30" s="84">
        <f>IF(W12=0,0,W12/TrRail_act!W18*1000)</f>
        <v>4047.1496188790461</v>
      </c>
      <c r="X30" s="84">
        <f>IF(X12=0,0,X12/TrRail_act!X18*1000)</f>
        <v>4024.2500510057671</v>
      </c>
      <c r="Y30" s="84">
        <f>IF(Y12=0,0,Y12/TrRail_act!Y18*1000)</f>
        <v>4007.1604457450921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6459.4761682245553</v>
      </c>
      <c r="C33" s="28">
        <f>IF(C15=0,0,C15/TrRail_act!C21*1000)</f>
        <v>6184.9184391502185</v>
      </c>
      <c r="D33" s="28">
        <f>IF(D15=0,0,D15/TrRail_act!D21*1000)</f>
        <v>6508.2975850663952</v>
      </c>
      <c r="E33" s="28">
        <f>IF(E15=0,0,E15/TrRail_act!E21*1000)</f>
        <v>5851.0350004641377</v>
      </c>
      <c r="F33" s="28">
        <f>IF(F15=0,0,F15/TrRail_act!F21*1000)</f>
        <v>5885.7377171834751</v>
      </c>
      <c r="G33" s="28">
        <f>IF(G15=0,0,G15/TrRail_act!G21*1000)</f>
        <v>5687.1376432917295</v>
      </c>
      <c r="H33" s="28">
        <f>IF(H15=0,0,H15/TrRail_act!H21*1000)</f>
        <v>4922.4977877608171</v>
      </c>
      <c r="I33" s="28">
        <f>IF(I15=0,0,I15/TrRail_act!I21*1000)</f>
        <v>4795.2006810846733</v>
      </c>
      <c r="J33" s="28">
        <f>IF(J15=0,0,J15/TrRail_act!J21*1000)</f>
        <v>6591.3009982882841</v>
      </c>
      <c r="K33" s="28">
        <f>IF(K15=0,0,K15/TrRail_act!K21*1000)</f>
        <v>5387.276873914695</v>
      </c>
      <c r="L33" s="28">
        <f>IF(L15=0,0,L15/TrRail_act!L21*1000)</f>
        <v>5607.7815574907891</v>
      </c>
      <c r="M33" s="28">
        <f>IF(M15=0,0,M15/TrRail_act!M21*1000)</f>
        <v>5080.2543765020891</v>
      </c>
      <c r="N33" s="28">
        <f>IF(N15=0,0,N15/TrRail_act!N21*1000)</f>
        <v>5457.6564745608748</v>
      </c>
      <c r="O33" s="28">
        <f>IF(O15=0,0,O15/TrRail_act!O21*1000)</f>
        <v>3546.1686879696817</v>
      </c>
      <c r="P33" s="28">
        <f>IF(P15=0,0,P15/TrRail_act!P21*1000)</f>
        <v>3579.355814109857</v>
      </c>
      <c r="Q33" s="28">
        <f>IF(Q15=0,0,Q15/TrRail_act!Q21*1000)</f>
        <v>4497.2493851573436</v>
      </c>
      <c r="R33" s="28">
        <f>IF(R15=0,0,R15/TrRail_act!R21*1000)</f>
        <v>2730.3255451503151</v>
      </c>
      <c r="S33" s="28">
        <f>IF(S15=0,0,S15/TrRail_act!S21*1000)</f>
        <v>2624.1316115994978</v>
      </c>
      <c r="T33" s="28">
        <f>IF(T15=0,0,T15/TrRail_act!T21*1000)</f>
        <v>2215.8458705848998</v>
      </c>
      <c r="U33" s="28">
        <f>IF(U15=0,0,U15/TrRail_act!U21*1000)</f>
        <v>1594.6089184297641</v>
      </c>
      <c r="V33" s="28">
        <f>IF(V15=0,0,V15/TrRail_act!V21*1000)</f>
        <v>1531.6408371672831</v>
      </c>
      <c r="W33" s="28">
        <f>IF(W15=0,0,W15/TrRail_act!W21*1000)</f>
        <v>1527.3457045374385</v>
      </c>
      <c r="X33" s="28">
        <f>IF(X15=0,0,X15/TrRail_act!X21*1000)</f>
        <v>1454.8681969094894</v>
      </c>
      <c r="Y33" s="28">
        <f>IF(Y15=0,0,Y15/TrRail_act!Y21*1000)</f>
        <v>1805.0550797350018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17915.522700930651</v>
      </c>
      <c r="C34" s="84">
        <f>IF(C16=0,0,C16/TrRail_act!C22*1000)</f>
        <v>17477.526409457339</v>
      </c>
      <c r="D34" s="84">
        <f>IF(D16=0,0,D16/TrRail_act!D22*1000)</f>
        <v>17327.84210552118</v>
      </c>
      <c r="E34" s="84">
        <f>IF(E16=0,0,E16/TrRail_act!E22*1000)</f>
        <v>16400.732343630851</v>
      </c>
      <c r="F34" s="84">
        <f>IF(F16=0,0,F16/TrRail_act!F22*1000)</f>
        <v>16161.101121715681</v>
      </c>
      <c r="G34" s="84">
        <f>IF(G16=0,0,G16/TrRail_act!G22*1000)</f>
        <v>16308.755773207611</v>
      </c>
      <c r="H34" s="84">
        <f>IF(H16=0,0,H16/TrRail_act!H22*1000)</f>
        <v>16377.210609995973</v>
      </c>
      <c r="I34" s="84">
        <f>IF(I16=0,0,I16/TrRail_act!I22*1000)</f>
        <v>15604.074214702005</v>
      </c>
      <c r="J34" s="84">
        <f>IF(J16=0,0,J16/TrRail_act!J22*1000)</f>
        <v>15417.752813954712</v>
      </c>
      <c r="K34" s="84">
        <f>IF(K16=0,0,K16/TrRail_act!K22*1000)</f>
        <v>15260.285638537009</v>
      </c>
      <c r="L34" s="84">
        <f>IF(L16=0,0,L16/TrRail_act!L22*1000)</f>
        <v>15018.593225559343</v>
      </c>
      <c r="M34" s="84">
        <f>IF(M16=0,0,M16/TrRail_act!M22*1000)</f>
        <v>14487.365636401888</v>
      </c>
      <c r="N34" s="84">
        <f>IF(N16=0,0,N16/TrRail_act!N22*1000)</f>
        <v>14341.479317514202</v>
      </c>
      <c r="O34" s="84">
        <f>IF(O16=0,0,O16/TrRail_act!O22*1000)</f>
        <v>13079.261097061664</v>
      </c>
      <c r="P34" s="84">
        <f>IF(P16=0,0,P16/TrRail_act!P22*1000)</f>
        <v>13788.956613428341</v>
      </c>
      <c r="Q34" s="84">
        <f>IF(Q16=0,0,Q16/TrRail_act!Q22*1000)</f>
        <v>13719.249922373572</v>
      </c>
      <c r="R34" s="84">
        <f>IF(R16=0,0,R16/TrRail_act!R22*1000)</f>
        <v>12751.498770331933</v>
      </c>
      <c r="S34" s="84">
        <f>IF(S16=0,0,S16/TrRail_act!S22*1000)</f>
        <v>12674.291216938214</v>
      </c>
      <c r="T34" s="84">
        <f>IF(T16=0,0,T16/TrRail_act!T22*1000)</f>
        <v>12616.692487415912</v>
      </c>
      <c r="U34" s="84">
        <f>IF(U16=0,0,U16/TrRail_act!U22*1000)</f>
        <v>12573.665284964563</v>
      </c>
      <c r="V34" s="84">
        <f>IF(V16=0,0,V16/TrRail_act!V22*1000)</f>
        <v>12541.49120691488</v>
      </c>
      <c r="W34" s="84">
        <f>IF(W16=0,0,W16/TrRail_act!W22*1000)</f>
        <v>12517.414688001209</v>
      </c>
      <c r="X34" s="84">
        <f>IF(X16=0,0,X16/TrRail_act!X22*1000)</f>
        <v>12499.387636124085</v>
      </c>
      <c r="Y34" s="84">
        <f>IF(Y16=0,0,Y16/TrRail_act!Y22*1000)</f>
        <v>12485.884386692214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14.452998784116071</v>
      </c>
      <c r="C38" s="29">
        <f>IF(C9=0,0,C9/TrRail_act!C4*1000)</f>
        <v>13.681685082662224</v>
      </c>
      <c r="D38" s="29">
        <f>IF(D9=0,0,D9/TrRail_act!D4*1000)</f>
        <v>13.482063792534637</v>
      </c>
      <c r="E38" s="29">
        <f>IF(E9=0,0,E9/TrRail_act!E4*1000)</f>
        <v>10.882085881054962</v>
      </c>
      <c r="F38" s="29">
        <f>IF(F9=0,0,F9/TrRail_act!F4*1000)</f>
        <v>11.85772169759745</v>
      </c>
      <c r="G38" s="29">
        <f>IF(G9=0,0,G9/TrRail_act!G4*1000)</f>
        <v>13.049753606518406</v>
      </c>
      <c r="H38" s="29">
        <f>IF(H9=0,0,H9/TrRail_act!H4*1000)</f>
        <v>15.609943074725765</v>
      </c>
      <c r="I38" s="29">
        <f>IF(I9=0,0,I9/TrRail_act!I4*1000)</f>
        <v>13.200411646209789</v>
      </c>
      <c r="J38" s="29">
        <f>IF(J9=0,0,J9/TrRail_act!J4*1000)</f>
        <v>16.454238224894084</v>
      </c>
      <c r="K38" s="29">
        <f>IF(K9=0,0,K9/TrRail_act!K4*1000)</f>
        <v>11.628129790691835</v>
      </c>
      <c r="L38" s="29">
        <f>IF(L9=0,0,L9/TrRail_act!L4*1000)</f>
        <v>11.790420170841351</v>
      </c>
      <c r="M38" s="29">
        <f>IF(M9=0,0,M9/TrRail_act!M4*1000)</f>
        <v>10.487161138642653</v>
      </c>
      <c r="N38" s="29">
        <f>IF(N9=0,0,N9/TrRail_act!N4*1000)</f>
        <v>15.120059145493741</v>
      </c>
      <c r="O38" s="29">
        <f>IF(O9=0,0,O9/TrRail_act!O4*1000)</f>
        <v>9.561468135567134</v>
      </c>
      <c r="P38" s="29">
        <f>IF(P9=0,0,P9/TrRail_act!P4*1000)</f>
        <v>7.9828438411395712</v>
      </c>
      <c r="Q38" s="29">
        <f>IF(Q9=0,0,Q9/TrRail_act!Q4*1000)</f>
        <v>10.332134696724168</v>
      </c>
      <c r="R38" s="29">
        <f>IF(R9=0,0,R9/TrRail_act!R4*1000)</f>
        <v>9.7748257573836508</v>
      </c>
      <c r="S38" s="29">
        <f>IF(S9=0,0,S9/TrRail_act!S4*1000)</f>
        <v>8.9004465978455212</v>
      </c>
      <c r="T38" s="29">
        <f>IF(T9=0,0,T9/TrRail_act!T4*1000)</f>
        <v>6.9588108806041689</v>
      </c>
      <c r="U38" s="29">
        <f>IF(U9=0,0,U9/TrRail_act!U4*1000)</f>
        <v>6.5242583257318136</v>
      </c>
      <c r="V38" s="29">
        <f>IF(V9=0,0,V9/TrRail_act!V4*1000)</f>
        <v>6.4977044813201248</v>
      </c>
      <c r="W38" s="29">
        <f>IF(W9=0,0,W9/TrRail_act!W4*1000)</f>
        <v>6.4390120669400082</v>
      </c>
      <c r="X38" s="29">
        <f>IF(X9=0,0,X9/TrRail_act!X4*1000)</f>
        <v>5.0843861555109404</v>
      </c>
      <c r="Y38" s="29">
        <f>IF(Y9=0,0,Y9/TrRail_act!Y4*1000)</f>
        <v>5.2637997045998688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16.197182681162335</v>
      </c>
      <c r="C40" s="116">
        <f>IF(C11=0,0,C11/TrRail_act!C6*1000)</f>
        <v>15.827742040444358</v>
      </c>
      <c r="D40" s="116">
        <f>IF(D11=0,0,D11/TrRail_act!D6*1000)</f>
        <v>15.744642627617434</v>
      </c>
      <c r="E40" s="116">
        <f>IF(E11=0,0,E11/TrRail_act!E6*1000)</f>
        <v>12.983275288362357</v>
      </c>
      <c r="F40" s="116">
        <f>IF(F11=0,0,F11/TrRail_act!F6*1000)</f>
        <v>14.02802017802294</v>
      </c>
      <c r="G40" s="116">
        <f>IF(G11=0,0,G11/TrRail_act!G6*1000)</f>
        <v>15.420449740980102</v>
      </c>
      <c r="H40" s="116">
        <f>IF(H11=0,0,H11/TrRail_act!H6*1000)</f>
        <v>18.497555937159479</v>
      </c>
      <c r="I40" s="116">
        <f>IF(I11=0,0,I11/TrRail_act!I6*1000)</f>
        <v>15.632933426272574</v>
      </c>
      <c r="J40" s="116">
        <f>IF(J11=0,0,J11/TrRail_act!J6*1000)</f>
        <v>19.905580381691031</v>
      </c>
      <c r="K40" s="116">
        <f>IF(K11=0,0,K11/TrRail_act!K6*1000)</f>
        <v>15.370016271513158</v>
      </c>
      <c r="L40" s="116">
        <f>IF(L11=0,0,L11/TrRail_act!L6*1000)</f>
        <v>16.918406742752733</v>
      </c>
      <c r="M40" s="116">
        <f>IF(M11=0,0,M11/TrRail_act!M6*1000)</f>
        <v>14.928542640777861</v>
      </c>
      <c r="N40" s="116">
        <f>IF(N11=0,0,N11/TrRail_act!N6*1000)</f>
        <v>23.367364133944871</v>
      </c>
      <c r="O40" s="116">
        <f>IF(O11=0,0,O11/TrRail_act!O6*1000)</f>
        <v>14.864643762652692</v>
      </c>
      <c r="P40" s="116">
        <f>IF(P11=0,0,P11/TrRail_act!P6*1000)</f>
        <v>11.410107186363804</v>
      </c>
      <c r="Q40" s="116">
        <f>IF(Q11=0,0,Q11/TrRail_act!Q6*1000)</f>
        <v>15.271268612773824</v>
      </c>
      <c r="R40" s="116">
        <f>IF(R11=0,0,R11/TrRail_act!R6*1000)</f>
        <v>15.250071800179306</v>
      </c>
      <c r="S40" s="116">
        <f>IF(S11=0,0,S11/TrRail_act!S6*1000)</f>
        <v>15.541644547423422</v>
      </c>
      <c r="T40" s="116">
        <f>IF(T11=0,0,T11/TrRail_act!T6*1000)</f>
        <v>12.074196927660756</v>
      </c>
      <c r="U40" s="116">
        <f>IF(U11=0,0,U11/TrRail_act!U6*1000)</f>
        <v>11.048316401601111</v>
      </c>
      <c r="V40" s="116">
        <f>IF(V11=0,0,V11/TrRail_act!V6*1000)</f>
        <v>10.507915654943458</v>
      </c>
      <c r="W40" s="116">
        <f>IF(W11=0,0,W11/TrRail_act!W6*1000)</f>
        <v>10.453358742089639</v>
      </c>
      <c r="X40" s="116">
        <f>IF(X11=0,0,X11/TrRail_act!X6*1000)</f>
        <v>8.1350178488175047</v>
      </c>
      <c r="Y40" s="116">
        <f>IF(Y11=0,0,Y11/TrRail_act!Y6*1000)</f>
        <v>8.8016550336965143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65.629021045315667</v>
      </c>
      <c r="C41" s="87">
        <f>IF(C12=0,0,C12/TrRail_act!C7*1000)</f>
        <v>73.754027107730906</v>
      </c>
      <c r="D41" s="87">
        <f>IF(D12=0,0,D12/TrRail_act!D7*1000)</f>
        <v>82.141710617004321</v>
      </c>
      <c r="E41" s="87">
        <f>IF(E12=0,0,E12/TrRail_act!E7*1000)</f>
        <v>77.516329912793466</v>
      </c>
      <c r="F41" s="87">
        <f>IF(F12=0,0,F12/TrRail_act!F7*1000)</f>
        <v>76.301323174080892</v>
      </c>
      <c r="G41" s="87">
        <f>IF(G12=0,0,G12/TrRail_act!G7*1000)</f>
        <v>73.09644668496297</v>
      </c>
      <c r="H41" s="87">
        <f>IF(H12=0,0,H12/TrRail_act!H7*1000)</f>
        <v>79.174084165380549</v>
      </c>
      <c r="I41" s="87">
        <f>IF(I12=0,0,I12/TrRail_act!I7*1000)</f>
        <v>74.486296383678336</v>
      </c>
      <c r="J41" s="87">
        <f>IF(J12=0,0,J12/TrRail_act!J7*1000)</f>
        <v>72.580910064258404</v>
      </c>
      <c r="K41" s="87">
        <f>IF(K12=0,0,K12/TrRail_act!K7*1000)</f>
        <v>72.870609900905521</v>
      </c>
      <c r="L41" s="87">
        <f>IF(L12=0,0,L12/TrRail_act!L7*1000)</f>
        <v>68.822650594595174</v>
      </c>
      <c r="M41" s="87">
        <f>IF(M12=0,0,M12/TrRail_act!M7*1000)</f>
        <v>60.158979556419155</v>
      </c>
      <c r="N41" s="87">
        <f>IF(N12=0,0,N12/TrRail_act!N7*1000)</f>
        <v>64.442390615745268</v>
      </c>
      <c r="O41" s="87">
        <f>IF(O12=0,0,O12/TrRail_act!O7*1000)</f>
        <v>45.889609902322164</v>
      </c>
      <c r="P41" s="87">
        <f>IF(P12=0,0,P12/TrRail_act!P7*1000)</f>
        <v>50.479555104872126</v>
      </c>
      <c r="Q41" s="87">
        <f>IF(Q12=0,0,Q12/TrRail_act!Q7*1000)</f>
        <v>69.764937657366019</v>
      </c>
      <c r="R41" s="87">
        <f>IF(R12=0,0,R12/TrRail_act!R7*1000)</f>
        <v>77.473187328971846</v>
      </c>
      <c r="S41" s="87">
        <f>IF(S12=0,0,S12/TrRail_act!S7*1000)</f>
        <v>73.515561809706753</v>
      </c>
      <c r="T41" s="87">
        <f>IF(T12=0,0,T12/TrRail_act!T7*1000)</f>
        <v>66.126545114283019</v>
      </c>
      <c r="U41" s="87">
        <f>IF(U12=0,0,U12/TrRail_act!U7*1000)</f>
        <v>80.74840732534571</v>
      </c>
      <c r="V41" s="87">
        <f>IF(V12=0,0,V12/TrRail_act!V7*1000)</f>
        <v>79.427208687909314</v>
      </c>
      <c r="W41" s="87">
        <f>IF(W12=0,0,W12/TrRail_act!W7*1000)</f>
        <v>78.363156674886866</v>
      </c>
      <c r="X41" s="87">
        <f>IF(X12=0,0,X12/TrRail_act!X7*1000)</f>
        <v>51.479138704488122</v>
      </c>
      <c r="Y41" s="87">
        <f>IF(Y12=0,0,Y12/TrRail_act!Y7*1000)</f>
        <v>63.216759360208208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11.708705556338813</v>
      </c>
      <c r="C44" s="29">
        <f>IF(C15=0,0,C15/TrRail_act!C10*1000)</f>
        <v>11.800620452871712</v>
      </c>
      <c r="D44" s="29">
        <f>IF(D15=0,0,D15/TrRail_act!D10*1000)</f>
        <v>12.507192075524079</v>
      </c>
      <c r="E44" s="29">
        <f>IF(E15=0,0,E15/TrRail_act!E10*1000)</f>
        <v>10.720018494348114</v>
      </c>
      <c r="F44" s="29">
        <f>IF(F15=0,0,F15/TrRail_act!F10*1000)</f>
        <v>10.948121076958907</v>
      </c>
      <c r="G44" s="29">
        <f>IF(G15=0,0,G15/TrRail_act!G10*1000)</f>
        <v>10.761819718922826</v>
      </c>
      <c r="H44" s="29">
        <f>IF(H15=0,0,H15/TrRail_act!H10*1000)</f>
        <v>8.4085503772254437</v>
      </c>
      <c r="I44" s="29">
        <f>IF(I15=0,0,I15/TrRail_act!I10*1000)</f>
        <v>7.7808010004275436</v>
      </c>
      <c r="J44" s="29">
        <f>IF(J15=0,0,J15/TrRail_act!J10*1000)</f>
        <v>11.544967026554843</v>
      </c>
      <c r="K44" s="29">
        <f>IF(K15=0,0,K15/TrRail_act!K10*1000)</f>
        <v>9.4841034058839071</v>
      </c>
      <c r="L44" s="29">
        <f>IF(L15=0,0,L15/TrRail_act!L10*1000)</f>
        <v>8.9194288210335504</v>
      </c>
      <c r="M44" s="29">
        <f>IF(M15=0,0,M15/TrRail_act!M10*1000)</f>
        <v>7.8036677917466992</v>
      </c>
      <c r="N44" s="29">
        <f>IF(N15=0,0,N15/TrRail_act!N10*1000)</f>
        <v>8.6895387236061552</v>
      </c>
      <c r="O44" s="29">
        <f>IF(O15=0,0,O15/TrRail_act!O10*1000)</f>
        <v>5.179760846644931</v>
      </c>
      <c r="P44" s="29">
        <f>IF(P15=0,0,P15/TrRail_act!P10*1000)</f>
        <v>5.3035178823943738</v>
      </c>
      <c r="Q44" s="29">
        <f>IF(Q15=0,0,Q15/TrRail_act!Q10*1000)</f>
        <v>7.2590917585789958</v>
      </c>
      <c r="R44" s="29">
        <f>IF(R15=0,0,R15/TrRail_act!R10*1000)</f>
        <v>5.4044075511762131</v>
      </c>
      <c r="S44" s="29">
        <f>IF(S15=0,0,S15/TrRail_act!S10*1000)</f>
        <v>5.0223658811993941</v>
      </c>
      <c r="T44" s="29">
        <f>IF(T15=0,0,T15/TrRail_act!T10*1000)</f>
        <v>4.358407932733452</v>
      </c>
      <c r="U44" s="29">
        <f>IF(U15=0,0,U15/TrRail_act!U10*1000)</f>
        <v>3.6639937338714259</v>
      </c>
      <c r="V44" s="29">
        <f>IF(V15=0,0,V15/TrRail_act!V10*1000)</f>
        <v>3.9676315651284062</v>
      </c>
      <c r="W44" s="29">
        <f>IF(W15=0,0,W15/TrRail_act!W10*1000)</f>
        <v>4.1877817121035354</v>
      </c>
      <c r="X44" s="29">
        <f>IF(X15=0,0,X15/TrRail_act!X10*1000)</f>
        <v>3.7150350223118904</v>
      </c>
      <c r="Y44" s="29">
        <f>IF(Y15=0,0,Y15/TrRail_act!Y10*1000)</f>
        <v>3.4720090156652357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37.590615852944055</v>
      </c>
      <c r="C45" s="87">
        <f>IF(C16=0,0,C16/TrRail_act!C11*1000)</f>
        <v>38.608928123299037</v>
      </c>
      <c r="D45" s="87">
        <f>IF(D16=0,0,D16/TrRail_act!D11*1000)</f>
        <v>38.529253957863354</v>
      </c>
      <c r="E45" s="87">
        <f>IF(E16=0,0,E16/TrRail_act!E11*1000)</f>
        <v>34.672640519528116</v>
      </c>
      <c r="F45" s="87">
        <f>IF(F16=0,0,F16/TrRail_act!F11*1000)</f>
        <v>34.729681721198048</v>
      </c>
      <c r="G45" s="87">
        <f>IF(G16=0,0,G16/TrRail_act!G11*1000)</f>
        <v>35.680223944936586</v>
      </c>
      <c r="H45" s="87">
        <f>IF(H16=0,0,H16/TrRail_act!H11*1000)</f>
        <v>29.835495585423796</v>
      </c>
      <c r="I45" s="87">
        <f>IF(I16=0,0,I16/TrRail_act!I11*1000)</f>
        <v>28.262607464679874</v>
      </c>
      <c r="J45" s="87">
        <f>IF(J16=0,0,J16/TrRail_act!J11*1000)</f>
        <v>28.88752965753639</v>
      </c>
      <c r="K45" s="87">
        <f>IF(K16=0,0,K16/TrRail_act!K11*1000)</f>
        <v>29.922180469550732</v>
      </c>
      <c r="L45" s="87">
        <f>IF(L16=0,0,L16/TrRail_act!L11*1000)</f>
        <v>28.302686788359011</v>
      </c>
      <c r="M45" s="87">
        <f>IF(M16=0,0,M16/TrRail_act!M11*1000)</f>
        <v>24.210794358022376</v>
      </c>
      <c r="N45" s="87">
        <f>IF(N16=0,0,N16/TrRail_act!N11*1000)</f>
        <v>25.62136367700851</v>
      </c>
      <c r="O45" s="87">
        <f>IF(O16=0,0,O16/TrRail_act!O11*1000)</f>
        <v>18.823790968453316</v>
      </c>
      <c r="P45" s="87">
        <f>IF(P16=0,0,P16/TrRail_act!P11*1000)</f>
        <v>21.542048225958201</v>
      </c>
      <c r="Q45" s="87">
        <f>IF(Q16=0,0,Q16/TrRail_act!Q11*1000)</f>
        <v>25.69915682353983</v>
      </c>
      <c r="R45" s="87">
        <f>IF(R16=0,0,R16/TrRail_act!R11*1000)</f>
        <v>21.83931787752849</v>
      </c>
      <c r="S45" s="87">
        <f>IF(S16=0,0,S16/TrRail_act!S11*1000)</f>
        <v>21.283868899924578</v>
      </c>
      <c r="T45" s="87">
        <f>IF(T16=0,0,T16/TrRail_act!T11*1000)</f>
        <v>20.907006047009098</v>
      </c>
      <c r="U45" s="87">
        <f>IF(U16=0,0,U16/TrRail_act!U11*1000)</f>
        <v>23.678923621359065</v>
      </c>
      <c r="V45" s="87">
        <f>IF(V16=0,0,V16/TrRail_act!V11*1000)</f>
        <v>24.96250390935365</v>
      </c>
      <c r="W45" s="87">
        <f>IF(W16=0,0,W16/TrRail_act!W11*1000)</f>
        <v>26.016384729917576</v>
      </c>
      <c r="X45" s="87">
        <f>IF(X16=0,0,X16/TrRail_act!X11*1000)</f>
        <v>22.83206290970735</v>
      </c>
      <c r="Y45" s="87">
        <f>IF(Y16=0,0,Y16/TrRail_act!Y11*1000)</f>
        <v>21.536140369164411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558.72493772527162</v>
      </c>
      <c r="C48" s="62">
        <f>IF(C8=0,0,1000000*C8/TrRail_act!C25/1000)</f>
        <v>478.71694575533382</v>
      </c>
      <c r="D48" s="62">
        <f>IF(D8=0,0,1000000*D8/TrRail_act!D25/1000)</f>
        <v>442.22536071624</v>
      </c>
      <c r="E48" s="62">
        <f>IF(E8=0,0,1000000*E8/TrRail_act!E25/1000)</f>
        <v>405.3479823712895</v>
      </c>
      <c r="F48" s="62">
        <f>IF(F8=0,0,1000000*F8/TrRail_act!F25/1000)</f>
        <v>429.98769077958218</v>
      </c>
      <c r="G48" s="62">
        <f>IF(G8=0,0,1000000*G8/TrRail_act!G25/1000)</f>
        <v>440.69258192215216</v>
      </c>
      <c r="H48" s="62">
        <f>IF(H8=0,0,1000000*H8/TrRail_act!H25/1000)</f>
        <v>418.48743618739724</v>
      </c>
      <c r="I48" s="62">
        <f>IF(I8=0,0,1000000*I8/TrRail_act!I25/1000)</f>
        <v>385.51165619939087</v>
      </c>
      <c r="J48" s="62">
        <f>IF(J8=0,0,1000000*J8/TrRail_act!J25/1000)</f>
        <v>456.54346231379282</v>
      </c>
      <c r="K48" s="62">
        <f>IF(K8=0,0,1000000*K8/TrRail_act!K25/1000)</f>
        <v>246.7780805813893</v>
      </c>
      <c r="L48" s="62">
        <f>IF(L8=0,0,1000000*L8/TrRail_act!L25/1000)</f>
        <v>238.48564797725624</v>
      </c>
      <c r="M48" s="62">
        <f>IF(M8=0,0,1000000*M8/TrRail_act!M25/1000)</f>
        <v>231.05564235789714</v>
      </c>
      <c r="N48" s="62">
        <f>IF(N8=0,0,1000000*N8/TrRail_act!N25/1000)</f>
        <v>261.3362784368959</v>
      </c>
      <c r="O48" s="62">
        <f>IF(O8=0,0,1000000*O8/TrRail_act!O25/1000)</f>
        <v>173.89145053257494</v>
      </c>
      <c r="P48" s="62">
        <f>IF(P8=0,0,1000000*P8/TrRail_act!P25/1000)</f>
        <v>159.73179272017069</v>
      </c>
      <c r="Q48" s="62">
        <f>IF(Q8=0,0,1000000*Q8/TrRail_act!Q25/1000)</f>
        <v>199.8526870447555</v>
      </c>
      <c r="R48" s="62">
        <f>IF(R8=0,0,1000000*R8/TrRail_act!R25/1000)</f>
        <v>168.70369065973352</v>
      </c>
      <c r="S48" s="62">
        <f>IF(S8=0,0,1000000*S8/TrRail_act!S25/1000)</f>
        <v>152.10821816501513</v>
      </c>
      <c r="T48" s="62">
        <f>IF(T8=0,0,1000000*T8/TrRail_act!T25/1000)</f>
        <v>128.13749263135603</v>
      </c>
      <c r="U48" s="62">
        <f>IF(U8=0,0,1000000*U8/TrRail_act!U25/1000)</f>
        <v>96.371884498339369</v>
      </c>
      <c r="V48" s="62">
        <f>IF(V8=0,0,1000000*V8/TrRail_act!V25/1000)</f>
        <v>92.485892354997645</v>
      </c>
      <c r="W48" s="62">
        <f>IF(W8=0,0,1000000*W8/TrRail_act!W25/1000)</f>
        <v>100.01163241723658</v>
      </c>
      <c r="X48" s="62">
        <f>IF(X8=0,0,1000000*X8/TrRail_act!X25/1000)</f>
        <v>100.89811179187232</v>
      </c>
      <c r="Y48" s="62">
        <f>IF(Y8=0,0,1000000*Y8/TrRail_act!Y25/1000)</f>
        <v>90.951382572510596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337.72768822105019</v>
      </c>
      <c r="C49" s="29">
        <f>IF(C9=0,0,1000000*C9/TrRail_act!C26/1000)</f>
        <v>273.71246025737696</v>
      </c>
      <c r="D49" s="29">
        <f>IF(D9=0,0,1000000*D9/TrRail_act!D26/1000)</f>
        <v>228.64424574382718</v>
      </c>
      <c r="E49" s="29">
        <f>IF(E9=0,0,1000000*E9/TrRail_act!E26/1000)</f>
        <v>190.23251845134274</v>
      </c>
      <c r="F49" s="29">
        <f>IF(F9=0,0,1000000*F9/TrRail_act!F26/1000)</f>
        <v>207.34560199346222</v>
      </c>
      <c r="G49" s="29">
        <f>IF(G9=0,0,1000000*G9/TrRail_act!G26/1000)</f>
        <v>229.06374082857985</v>
      </c>
      <c r="H49" s="29">
        <f>IF(H9=0,0,1000000*H9/TrRail_act!H26/1000)</f>
        <v>266.20796949496213</v>
      </c>
      <c r="I49" s="29">
        <f>IF(I9=0,0,1000000*I9/TrRail_act!I26/1000)</f>
        <v>234.30658828700896</v>
      </c>
      <c r="J49" s="29">
        <f>IF(J9=0,0,1000000*J9/TrRail_act!J26/1000)</f>
        <v>262.22696271266199</v>
      </c>
      <c r="K49" s="29">
        <f>IF(K9=0,0,1000000*K9/TrRail_act!K26/1000)</f>
        <v>152.67745442909919</v>
      </c>
      <c r="L49" s="29">
        <f>IF(L9=0,0,1000000*L9/TrRail_act!L26/1000)</f>
        <v>154.35141085656525</v>
      </c>
      <c r="M49" s="29">
        <f>IF(M9=0,0,1000000*M9/TrRail_act!M26/1000)</f>
        <v>142.68492569249423</v>
      </c>
      <c r="N49" s="29">
        <f>IF(N9=0,0,1000000*N9/TrRail_act!N26/1000)</f>
        <v>182.68170334594117</v>
      </c>
      <c r="O49" s="29">
        <f>IF(O9=0,0,1000000*O9/TrRail_act!O26/1000)</f>
        <v>119.48063257472064</v>
      </c>
      <c r="P49" s="29">
        <f>IF(P9=0,0,1000000*P9/TrRail_act!P26/1000)</f>
        <v>92.302806770170207</v>
      </c>
      <c r="Q49" s="29">
        <f>IF(Q9=0,0,1000000*Q9/TrRail_act!Q26/1000)</f>
        <v>106.80434692764989</v>
      </c>
      <c r="R49" s="29">
        <f>IF(R9=0,0,1000000*R9/TrRail_act!R26/1000)</f>
        <v>107.20416091728332</v>
      </c>
      <c r="S49" s="29">
        <f>IF(S9=0,0,1000000*S9/TrRail_act!S26/1000)</f>
        <v>93.368610670813439</v>
      </c>
      <c r="T49" s="29">
        <f>IF(T9=0,0,1000000*T9/TrRail_act!T26/1000)</f>
        <v>76.969066948138504</v>
      </c>
      <c r="U49" s="29">
        <f>IF(U9=0,0,1000000*U9/TrRail_act!U26/1000)</f>
        <v>60.456085431870633</v>
      </c>
      <c r="V49" s="29">
        <f>IF(V9=0,0,1000000*V9/TrRail_act!V26/1000)</f>
        <v>44.860123757432696</v>
      </c>
      <c r="W49" s="29">
        <f>IF(W9=0,0,1000000*W9/TrRail_act!W26/1000)</f>
        <v>48.951066564227645</v>
      </c>
      <c r="X49" s="29">
        <f>IF(X9=0,0,1000000*X9/TrRail_act!X26/1000)</f>
        <v>51.041149154396393</v>
      </c>
      <c r="Y49" s="29">
        <f>IF(Y9=0,0,1000000*Y9/TrRail_act!Y26/1000)</f>
        <v>52.733172696970151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456.51192719271387</v>
      </c>
      <c r="C51" s="116">
        <f>IF(C11=0,0,1000000*C11/TrRail_act!C28/1000)</f>
        <v>386.06424367994106</v>
      </c>
      <c r="D51" s="116">
        <f>IF(D11=0,0,1000000*D11/TrRail_act!D28/1000)</f>
        <v>313.58293287477329</v>
      </c>
      <c r="E51" s="116">
        <f>IF(E11=0,0,1000000*E11/TrRail_act!E28/1000)</f>
        <v>276.64946134431511</v>
      </c>
      <c r="F51" s="116">
        <f>IF(F11=0,0,1000000*F11/TrRail_act!F28/1000)</f>
        <v>297.60508618155234</v>
      </c>
      <c r="G51" s="116">
        <f>IF(G11=0,0,1000000*G11/TrRail_act!G28/1000)</f>
        <v>325.99778285661165</v>
      </c>
      <c r="H51" s="116">
        <f>IF(H11=0,0,1000000*H11/TrRail_act!H28/1000)</f>
        <v>377.4778645345599</v>
      </c>
      <c r="I51" s="116">
        <f>IF(I11=0,0,1000000*I11/TrRail_act!I28/1000)</f>
        <v>338.61915081292466</v>
      </c>
      <c r="J51" s="116">
        <f>IF(J11=0,0,1000000*J11/TrRail_act!J28/1000)</f>
        <v>380.43393771207155</v>
      </c>
      <c r="K51" s="116">
        <f>IF(K11=0,0,1000000*K11/TrRail_act!K28/1000)</f>
        <v>241.26114251798927</v>
      </c>
      <c r="L51" s="116">
        <f>IF(L11=0,0,1000000*L11/TrRail_act!L28/1000)</f>
        <v>283.82011199161406</v>
      </c>
      <c r="M51" s="116">
        <f>IF(M11=0,0,1000000*M11/TrRail_act!M28/1000)</f>
        <v>266.94413844360986</v>
      </c>
      <c r="N51" s="116">
        <f>IF(N11=0,0,1000000*N11/TrRail_act!N28/1000)</f>
        <v>355.71922919756406</v>
      </c>
      <c r="O51" s="116">
        <f>IF(O11=0,0,1000000*O11/TrRail_act!O28/1000)</f>
        <v>244.91425180485601</v>
      </c>
      <c r="P51" s="116">
        <f>IF(P11=0,0,1000000*P11/TrRail_act!P28/1000)</f>
        <v>197.28757365212422</v>
      </c>
      <c r="Q51" s="116">
        <f>IF(Q11=0,0,1000000*Q11/TrRail_act!Q28/1000)</f>
        <v>207.28731070006484</v>
      </c>
      <c r="R51" s="116">
        <f>IF(R11=0,0,1000000*R11/TrRail_act!R28/1000)</f>
        <v>213.46399392030946</v>
      </c>
      <c r="S51" s="116">
        <f>IF(S11=0,0,1000000*S11/TrRail_act!S28/1000)</f>
        <v>206.10357537955261</v>
      </c>
      <c r="T51" s="116">
        <f>IF(T11=0,0,1000000*T11/TrRail_act!T28/1000)</f>
        <v>177.4394965092072</v>
      </c>
      <c r="U51" s="116">
        <f>IF(U11=0,0,1000000*U11/TrRail_act!U28/1000)</f>
        <v>122.66705021739205</v>
      </c>
      <c r="V51" s="116">
        <f>IF(V11=0,0,1000000*V11/TrRail_act!V28/1000)</f>
        <v>94.296721209579985</v>
      </c>
      <c r="W51" s="116">
        <f>IF(W11=0,0,1000000*W11/TrRail_act!W28/1000)</f>
        <v>109.50501211065036</v>
      </c>
      <c r="X51" s="116">
        <f>IF(X11=0,0,1000000*X11/TrRail_act!X28/1000)</f>
        <v>120.64575366445386</v>
      </c>
      <c r="Y51" s="116">
        <f>IF(Y11=0,0,1000000*Y11/TrRail_act!Y28/1000)</f>
        <v>113.98723980639781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1244.5144410861501</v>
      </c>
      <c r="C52" s="87">
        <f>IF(C12=0,0,1000000*C12/TrRail_act!C29/1000)</f>
        <v>1163.6660859910121</v>
      </c>
      <c r="D52" s="87">
        <f>IF(D12=0,0,1000000*D12/TrRail_act!D29/1000)</f>
        <v>1131.5211901757921</v>
      </c>
      <c r="E52" s="87">
        <f>IF(E12=0,0,1000000*E12/TrRail_act!E29/1000)</f>
        <v>1033.1185314962993</v>
      </c>
      <c r="F52" s="87">
        <f>IF(F12=0,0,1000000*F12/TrRail_act!F29/1000)</f>
        <v>1106.8229989592944</v>
      </c>
      <c r="G52" s="87">
        <f>IF(G12=0,0,1000000*G12/TrRail_act!G29/1000)</f>
        <v>1077.0978855033682</v>
      </c>
      <c r="H52" s="87">
        <f>IF(H12=0,0,1000000*H12/TrRail_act!H29/1000)</f>
        <v>1108.2624870295024</v>
      </c>
      <c r="I52" s="87">
        <f>IF(I12=0,0,1000000*I12/TrRail_act!I29/1000)</f>
        <v>1047.2189893477446</v>
      </c>
      <c r="J52" s="87">
        <f>IF(J12=0,0,1000000*J12/TrRail_act!J29/1000)</f>
        <v>1039.0031365113498</v>
      </c>
      <c r="K52" s="87">
        <f>IF(K12=0,0,1000000*K12/TrRail_act!K29/1000)</f>
        <v>824.18276294717975</v>
      </c>
      <c r="L52" s="87">
        <f>IF(L12=0,0,1000000*L12/TrRail_act!L29/1000)</f>
        <v>980.85294464880701</v>
      </c>
      <c r="M52" s="87">
        <f>IF(M12=0,0,1000000*M12/TrRail_act!M29/1000)</f>
        <v>893.20967994205478</v>
      </c>
      <c r="N52" s="87">
        <f>IF(N12=0,0,1000000*N12/TrRail_act!N29/1000)</f>
        <v>875.57123823766653</v>
      </c>
      <c r="O52" s="87">
        <f>IF(O12=0,0,1000000*O12/TrRail_act!O29/1000)</f>
        <v>596.37973673449017</v>
      </c>
      <c r="P52" s="87">
        <f>IF(P12=0,0,1000000*P12/TrRail_act!P29/1000)</f>
        <v>474.05666107989083</v>
      </c>
      <c r="Q52" s="87">
        <f>IF(Q12=0,0,1000000*Q12/TrRail_act!Q29/1000)</f>
        <v>650.75228685580782</v>
      </c>
      <c r="R52" s="87">
        <f>IF(R12=0,0,1000000*R12/TrRail_act!R29/1000)</f>
        <v>653.0125110372137</v>
      </c>
      <c r="S52" s="87">
        <f>IF(S12=0,0,1000000*S12/TrRail_act!S29/1000)</f>
        <v>637.58332983612684</v>
      </c>
      <c r="T52" s="87">
        <f>IF(T12=0,0,1000000*T12/TrRail_act!T29/1000)</f>
        <v>585.5362068570015</v>
      </c>
      <c r="U52" s="87">
        <f>IF(U12=0,0,1000000*U12/TrRail_act!U29/1000)</f>
        <v>617.88439078517638</v>
      </c>
      <c r="V52" s="87">
        <f>IF(V12=0,0,1000000*V12/TrRail_act!V29/1000)</f>
        <v>518.43589676245199</v>
      </c>
      <c r="W52" s="87">
        <f>IF(W12=0,0,1000000*W12/TrRail_act!W29/1000)</f>
        <v>607.07242594363208</v>
      </c>
      <c r="X52" s="87">
        <f>IF(X12=0,0,1000000*X12/TrRail_act!X29/1000)</f>
        <v>603.63748096862673</v>
      </c>
      <c r="Y52" s="87">
        <f>IF(Y12=0,0,1000000*Y12/TrRail_act!Y29/1000)</f>
        <v>601.07405714178071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1291.8952205835244</v>
      </c>
      <c r="C55" s="29">
        <f>IF(C15=0,0,1000000*C15/TrRail_act!C32/1000)</f>
        <v>1236.9836398383841</v>
      </c>
      <c r="D55" s="29">
        <f>IF(D15=0,0,1000000*D15/TrRail_act!D32/1000)</f>
        <v>1301.6594987162264</v>
      </c>
      <c r="E55" s="29">
        <f>IF(E15=0,0,1000000*E15/TrRail_act!E32/1000)</f>
        <v>1170.2069768515528</v>
      </c>
      <c r="F55" s="29">
        <f>IF(F15=0,0,1000000*F15/TrRail_act!F32/1000)</f>
        <v>1177.1475107472606</v>
      </c>
      <c r="G55" s="29">
        <f>IF(G15=0,0,1000000*G15/TrRail_act!G32/1000)</f>
        <v>1137.4275200620184</v>
      </c>
      <c r="H55" s="29">
        <f>IF(H15=0,0,1000000*H15/TrRail_act!H32/1000)</f>
        <v>956.02277485731406</v>
      </c>
      <c r="I55" s="29">
        <f>IF(I15=0,0,1000000*I15/TrRail_act!I32/1000)</f>
        <v>951.24156655897127</v>
      </c>
      <c r="J55" s="29">
        <f>IF(J15=0,0,1000000*J15/TrRail_act!J32/1000)</f>
        <v>1236.5665410329611</v>
      </c>
      <c r="K55" s="29">
        <f>IF(K15=0,0,1000000*K15/TrRail_act!K32/1000)</f>
        <v>768.82747281266165</v>
      </c>
      <c r="L55" s="29">
        <f>IF(L15=0,0,1000000*L15/TrRail_act!L32/1000)</f>
        <v>809.10718079422134</v>
      </c>
      <c r="M55" s="29">
        <f>IF(M15=0,0,1000000*M15/TrRail_act!M32/1000)</f>
        <v>893.04337209750781</v>
      </c>
      <c r="N55" s="29">
        <f>IF(N15=0,0,1000000*N15/TrRail_act!N32/1000)</f>
        <v>1024.0370435399918</v>
      </c>
      <c r="O55" s="29">
        <f>IF(O15=0,0,1000000*O15/TrRail_act!O32/1000)</f>
        <v>651.64959178104459</v>
      </c>
      <c r="P55" s="29">
        <f>IF(P15=0,0,1000000*P15/TrRail_act!P32/1000)</f>
        <v>713.09516669284574</v>
      </c>
      <c r="Q55" s="29">
        <f>IF(Q15=0,0,1000000*Q15/TrRail_act!Q32/1000)</f>
        <v>899.44984147290927</v>
      </c>
      <c r="R55" s="29">
        <f>IF(R15=0,0,1000000*R15/TrRail_act!R32/1000)</f>
        <v>537.06363517013074</v>
      </c>
      <c r="S55" s="29">
        <f>IF(S15=0,0,1000000*S15/TrRail_act!S32/1000)</f>
        <v>524.82630869223101</v>
      </c>
      <c r="T55" s="29">
        <f>IF(T15=0,0,1000000*T15/TrRail_act!T32/1000)</f>
        <v>443.16917032663247</v>
      </c>
      <c r="U55" s="29">
        <f>IF(U15=0,0,1000000*U15/TrRail_act!U32/1000)</f>
        <v>318.92177767859755</v>
      </c>
      <c r="V55" s="29">
        <f>IF(V15=0,0,1000000*V15/TrRail_act!V32/1000)</f>
        <v>306.32815882177533</v>
      </c>
      <c r="W55" s="29">
        <f>IF(W15=0,0,1000000*W15/TrRail_act!W32/1000)</f>
        <v>305.46913957718539</v>
      </c>
      <c r="X55" s="29">
        <f>IF(X15=0,0,1000000*X15/TrRail_act!X32/1000)</f>
        <v>290.97363552961707</v>
      </c>
      <c r="Y55" s="29">
        <f>IF(Y15=0,0,1000000*Y15/TrRail_act!Y32/1000)</f>
        <v>254.14817222086819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3583.1044923133659</v>
      </c>
      <c r="C56" s="87">
        <f>IF(C16=0,0,1000000*C16/TrRail_act!C33/1000)</f>
        <v>3495.5050917057206</v>
      </c>
      <c r="D56" s="87">
        <f>IF(D16=0,0,1000000*D16/TrRail_act!D33/1000)</f>
        <v>3465.5683751253932</v>
      </c>
      <c r="E56" s="87">
        <f>IF(E16=0,0,1000000*E16/TrRail_act!E33/1000)</f>
        <v>3280.1464043072951</v>
      </c>
      <c r="F56" s="87">
        <f>IF(F16=0,0,1000000*F16/TrRail_act!F33/1000)</f>
        <v>3232.2200592394715</v>
      </c>
      <c r="G56" s="87">
        <f>IF(G16=0,0,1000000*G16/TrRail_act!G33/1000)</f>
        <v>3261.7511488570276</v>
      </c>
      <c r="H56" s="87">
        <f>IF(H16=0,0,1000000*H16/TrRail_act!H33/1000)</f>
        <v>2980.1109466356484</v>
      </c>
      <c r="I56" s="87">
        <f>IF(I16=0,0,1000000*I16/TrRail_act!I33/1000)</f>
        <v>3039.7208918861566</v>
      </c>
      <c r="J56" s="87">
        <f>IF(J16=0,0,1000000*J16/TrRail_act!J33/1000)</f>
        <v>3083.550554517009</v>
      </c>
      <c r="K56" s="87">
        <f>IF(K16=0,0,1000000*K16/TrRail_act!K33/1000)</f>
        <v>1892.4708264517403</v>
      </c>
      <c r="L56" s="87">
        <f>IF(L16=0,0,1000000*L16/TrRail_act!L33/1000)</f>
        <v>1958.8721173198048</v>
      </c>
      <c r="M56" s="87">
        <f>IF(M16=0,0,1000000*M16/TrRail_act!M33/1000)</f>
        <v>2115.1652148728099</v>
      </c>
      <c r="N56" s="87">
        <f>IF(N16=0,0,1000000*N16/TrRail_act!N33/1000)</f>
        <v>2444.8557369009759</v>
      </c>
      <c r="O56" s="87">
        <f>IF(O16=0,0,1000000*O16/TrRail_act!O33/1000)</f>
        <v>1972.8564890765065</v>
      </c>
      <c r="P56" s="87">
        <f>IF(P16=0,0,1000000*P16/TrRail_act!P33/1000)</f>
        <v>2717.0446494013095</v>
      </c>
      <c r="Q56" s="87">
        <f>IF(Q16=0,0,1000000*Q16/TrRail_act!Q33/1000)</f>
        <v>2743.8499189462459</v>
      </c>
      <c r="R56" s="87">
        <f>IF(R16=0,0,1000000*R16/TrRail_act!R33/1000)</f>
        <v>2365.1619928687437</v>
      </c>
      <c r="S56" s="87">
        <f>IF(S16=0,0,1000000*S16/TrRail_act!S33/1000)</f>
        <v>2534.8581676732465</v>
      </c>
      <c r="T56" s="87">
        <f>IF(T16=0,0,1000000*T16/TrRail_act!T33/1000)</f>
        <v>2523.3384322439933</v>
      </c>
      <c r="U56" s="87">
        <f>IF(U16=0,0,1000000*U16/TrRail_act!U33/1000)</f>
        <v>2514.7330278237737</v>
      </c>
      <c r="V56" s="87">
        <f>IF(V16=0,0,1000000*V16/TrRail_act!V33/1000)</f>
        <v>2508.2979268109889</v>
      </c>
      <c r="W56" s="87">
        <f>IF(W16=0,0,1000000*W16/TrRail_act!W33/1000)</f>
        <v>2503.4828525400312</v>
      </c>
      <c r="X56" s="87">
        <f>IF(X16=0,0,1000000*X16/TrRail_act!X33/1000)</f>
        <v>2499.8774639070616</v>
      </c>
      <c r="Y56" s="87">
        <f>IF(Y16=0,0,1000000*Y16/TrRail_act!Y33/1000)</f>
        <v>2497.1765353458454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0.46446054822195182</v>
      </c>
      <c r="C60" s="31">
        <f t="shared" ref="C60:V60" si="13">IF(C9=0,0,C9/C$8)</f>
        <v>0.45007944694914687</v>
      </c>
      <c r="D60" s="31">
        <f t="shared" si="13"/>
        <v>0.41411726411034616</v>
      </c>
      <c r="E60" s="31">
        <f t="shared" si="13"/>
        <v>0.36628856721388192</v>
      </c>
      <c r="F60" s="31">
        <f t="shared" si="13"/>
        <v>0.37150894844154919</v>
      </c>
      <c r="G60" s="31">
        <f t="shared" si="13"/>
        <v>0.39868361654171425</v>
      </c>
      <c r="H60" s="31">
        <f t="shared" si="13"/>
        <v>0.49569340213192747</v>
      </c>
      <c r="I60" s="31">
        <f t="shared" si="13"/>
        <v>0.47959688947284523</v>
      </c>
      <c r="J60" s="31">
        <f t="shared" si="13"/>
        <v>0.4598247303375147</v>
      </c>
      <c r="K60" s="31">
        <f t="shared" si="13"/>
        <v>0.52419570366055579</v>
      </c>
      <c r="L60" s="31">
        <f t="shared" si="13"/>
        <v>0.56404944586979466</v>
      </c>
      <c r="M60" s="31">
        <f t="shared" si="13"/>
        <v>0.544807000127289</v>
      </c>
      <c r="N60" s="31">
        <f t="shared" si="13"/>
        <v>0.633680111339323</v>
      </c>
      <c r="O60" s="31">
        <f t="shared" si="13"/>
        <v>0.61684754466158476</v>
      </c>
      <c r="P60" s="31">
        <f t="shared" si="13"/>
        <v>0.51509530181579377</v>
      </c>
      <c r="Q60" s="31">
        <f t="shared" si="13"/>
        <v>0.47168055837079353</v>
      </c>
      <c r="R60" s="31">
        <f t="shared" si="13"/>
        <v>0.54454397104861629</v>
      </c>
      <c r="S60" s="31">
        <f t="shared" si="13"/>
        <v>0.53026195429183787</v>
      </c>
      <c r="T60" s="31">
        <f t="shared" si="13"/>
        <v>0.5167443821054114</v>
      </c>
      <c r="U60" s="31">
        <f t="shared" si="13"/>
        <v>0.54014972208611867</v>
      </c>
      <c r="V60" s="31">
        <f t="shared" si="13"/>
        <v>0.39669791850934621</v>
      </c>
      <c r="W60" s="31">
        <f t="shared" ref="W60:Y60" si="14">IF(W9=0,0,W9/W$8)</f>
        <v>0.39202673762937135</v>
      </c>
      <c r="X60" s="31">
        <f t="shared" si="14"/>
        <v>0.40075093658170274</v>
      </c>
      <c r="Y60" s="31">
        <f t="shared" si="14"/>
        <v>0.4697798639477837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0.46446054822195182</v>
      </c>
      <c r="C62" s="124">
        <f t="shared" ref="C62:V62" si="17">IF(C11=0,0,C11/C$8)</f>
        <v>0.45007944694914687</v>
      </c>
      <c r="D62" s="124">
        <f t="shared" si="17"/>
        <v>0.41411726411034616</v>
      </c>
      <c r="E62" s="124">
        <f t="shared" si="17"/>
        <v>0.36628856721388192</v>
      </c>
      <c r="F62" s="124">
        <f t="shared" si="17"/>
        <v>0.37150894844154919</v>
      </c>
      <c r="G62" s="124">
        <f t="shared" si="17"/>
        <v>0.39868361654171425</v>
      </c>
      <c r="H62" s="124">
        <f t="shared" si="17"/>
        <v>0.49569340213192747</v>
      </c>
      <c r="I62" s="124">
        <f t="shared" si="17"/>
        <v>0.47959688947284523</v>
      </c>
      <c r="J62" s="124">
        <f t="shared" si="17"/>
        <v>0.4598247303375147</v>
      </c>
      <c r="K62" s="124">
        <f t="shared" si="17"/>
        <v>0.52419570366055579</v>
      </c>
      <c r="L62" s="124">
        <f t="shared" si="17"/>
        <v>0.56404944586979466</v>
      </c>
      <c r="M62" s="124">
        <f t="shared" si="17"/>
        <v>0.544807000127289</v>
      </c>
      <c r="N62" s="124">
        <f t="shared" si="17"/>
        <v>0.633680111339323</v>
      </c>
      <c r="O62" s="124">
        <f t="shared" si="17"/>
        <v>0.61684754466158476</v>
      </c>
      <c r="P62" s="124">
        <f t="shared" si="17"/>
        <v>0.51509530181579377</v>
      </c>
      <c r="Q62" s="124">
        <f t="shared" si="17"/>
        <v>0.47168055837079353</v>
      </c>
      <c r="R62" s="124">
        <f t="shared" si="17"/>
        <v>0.54454397104861629</v>
      </c>
      <c r="S62" s="124">
        <f t="shared" si="17"/>
        <v>0.53026195429183787</v>
      </c>
      <c r="T62" s="124">
        <f t="shared" si="17"/>
        <v>0.5167443821054114</v>
      </c>
      <c r="U62" s="124">
        <f t="shared" si="17"/>
        <v>0.54014972208611867</v>
      </c>
      <c r="V62" s="124">
        <f t="shared" si="17"/>
        <v>0.39669791850934621</v>
      </c>
      <c r="W62" s="124">
        <f t="shared" ref="W62:Y62" si="18">IF(W11=0,0,W11/W$8)</f>
        <v>0.39202673762937135</v>
      </c>
      <c r="X62" s="124">
        <f t="shared" si="18"/>
        <v>0.40075093658170274</v>
      </c>
      <c r="Y62" s="124">
        <f t="shared" si="18"/>
        <v>0.4697798639477837</v>
      </c>
      <c r="DA62" s="176"/>
    </row>
    <row r="63" spans="1:105" ht="11.45" customHeight="1" x14ac:dyDescent="0.25">
      <c r="A63" s="111" t="s">
        <v>92</v>
      </c>
      <c r="B63" s="125">
        <f t="shared" si="10"/>
        <v>0.46446054822195182</v>
      </c>
      <c r="C63" s="125">
        <f t="shared" ref="C63:V63" si="19">IF(C12=0,0,C12/C$8)</f>
        <v>0.45007944694914687</v>
      </c>
      <c r="D63" s="125">
        <f t="shared" si="19"/>
        <v>0.41411726411034616</v>
      </c>
      <c r="E63" s="125">
        <f t="shared" si="19"/>
        <v>0.36628856721388192</v>
      </c>
      <c r="F63" s="125">
        <f t="shared" si="19"/>
        <v>0.37150894844154919</v>
      </c>
      <c r="G63" s="125">
        <f t="shared" si="19"/>
        <v>0.39868361654171425</v>
      </c>
      <c r="H63" s="125">
        <f t="shared" si="19"/>
        <v>0.49569340213192747</v>
      </c>
      <c r="I63" s="125">
        <f t="shared" si="19"/>
        <v>0.47959688947284523</v>
      </c>
      <c r="J63" s="125">
        <f t="shared" si="19"/>
        <v>0.4598247303375147</v>
      </c>
      <c r="K63" s="125">
        <f t="shared" si="19"/>
        <v>0.52419570366055579</v>
      </c>
      <c r="L63" s="125">
        <f t="shared" si="19"/>
        <v>0.56404944586979466</v>
      </c>
      <c r="M63" s="125">
        <f t="shared" si="19"/>
        <v>0.544807000127289</v>
      </c>
      <c r="N63" s="125">
        <f t="shared" si="19"/>
        <v>0.633680111339323</v>
      </c>
      <c r="O63" s="125">
        <f t="shared" si="19"/>
        <v>0.61684754466158476</v>
      </c>
      <c r="P63" s="125">
        <f t="shared" si="19"/>
        <v>0.51509530181579377</v>
      </c>
      <c r="Q63" s="125">
        <f t="shared" si="19"/>
        <v>0.47168055837079353</v>
      </c>
      <c r="R63" s="125">
        <f t="shared" si="19"/>
        <v>0.54454397104861629</v>
      </c>
      <c r="S63" s="125">
        <f t="shared" si="19"/>
        <v>0.53026195429183787</v>
      </c>
      <c r="T63" s="125">
        <f t="shared" si="19"/>
        <v>0.5167443821054114</v>
      </c>
      <c r="U63" s="125">
        <f t="shared" si="19"/>
        <v>0.54014972208611867</v>
      </c>
      <c r="V63" s="125">
        <f t="shared" si="19"/>
        <v>0.39669791850934621</v>
      </c>
      <c r="W63" s="125">
        <f t="shared" ref="W63:Y63" si="20">IF(W12=0,0,W12/W$8)</f>
        <v>0.39202673762937135</v>
      </c>
      <c r="X63" s="125">
        <f t="shared" si="20"/>
        <v>0.40075093658170274</v>
      </c>
      <c r="Y63" s="125">
        <f t="shared" si="20"/>
        <v>0.4697798639477837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0.53553945177804818</v>
      </c>
      <c r="C66" s="31">
        <f t="shared" ref="C66:V66" si="25">IF(C15=0,0,C15/C$8)</f>
        <v>0.54992055305085319</v>
      </c>
      <c r="D66" s="31">
        <f t="shared" si="25"/>
        <v>0.58588273588965389</v>
      </c>
      <c r="E66" s="31">
        <f t="shared" si="25"/>
        <v>0.63371143278611797</v>
      </c>
      <c r="F66" s="31">
        <f t="shared" si="25"/>
        <v>0.62849105155845086</v>
      </c>
      <c r="G66" s="31">
        <f t="shared" si="25"/>
        <v>0.60131638345828564</v>
      </c>
      <c r="H66" s="31">
        <f t="shared" si="25"/>
        <v>0.50430659786807253</v>
      </c>
      <c r="I66" s="31">
        <f t="shared" si="25"/>
        <v>0.52040311052715471</v>
      </c>
      <c r="J66" s="31">
        <f t="shared" si="25"/>
        <v>0.5401752696624853</v>
      </c>
      <c r="K66" s="31">
        <f t="shared" si="25"/>
        <v>0.47580429633944415</v>
      </c>
      <c r="L66" s="31">
        <f t="shared" si="25"/>
        <v>0.43595055413020539</v>
      </c>
      <c r="M66" s="31">
        <f t="shared" si="25"/>
        <v>0.45519299987271089</v>
      </c>
      <c r="N66" s="31">
        <f t="shared" si="25"/>
        <v>0.36631988866067716</v>
      </c>
      <c r="O66" s="31">
        <f t="shared" si="25"/>
        <v>0.3831524553384153</v>
      </c>
      <c r="P66" s="31">
        <f t="shared" si="25"/>
        <v>0.48490469818420612</v>
      </c>
      <c r="Q66" s="31">
        <f t="shared" si="25"/>
        <v>0.52831944162920652</v>
      </c>
      <c r="R66" s="31">
        <f t="shared" si="25"/>
        <v>0.45545602895138376</v>
      </c>
      <c r="S66" s="31">
        <f t="shared" si="25"/>
        <v>0.46973804570816219</v>
      </c>
      <c r="T66" s="31">
        <f t="shared" si="25"/>
        <v>0.48325561789458854</v>
      </c>
      <c r="U66" s="31">
        <f t="shared" si="25"/>
        <v>0.45985027791388139</v>
      </c>
      <c r="V66" s="31">
        <f t="shared" si="25"/>
        <v>0.6033020814906539</v>
      </c>
      <c r="W66" s="31">
        <f t="shared" ref="W66:Y66" si="26">IF(W15=0,0,W15/W$8)</f>
        <v>0.60797326237062865</v>
      </c>
      <c r="X66" s="31">
        <f t="shared" si="26"/>
        <v>0.59924906341829742</v>
      </c>
      <c r="Y66" s="31">
        <f t="shared" si="26"/>
        <v>0.53022013605221641</v>
      </c>
      <c r="DA66" s="173"/>
    </row>
    <row r="67" spans="1:105" ht="11.45" customHeight="1" x14ac:dyDescent="0.25">
      <c r="A67" s="83" t="s">
        <v>92</v>
      </c>
      <c r="B67" s="125">
        <f t="shared" si="10"/>
        <v>0.53553945177804818</v>
      </c>
      <c r="C67" s="125">
        <f t="shared" ref="C67:V67" si="27">IF(C16=0,0,C16/C$8)</f>
        <v>0.54992055305085319</v>
      </c>
      <c r="D67" s="125">
        <f t="shared" si="27"/>
        <v>0.58588273588965389</v>
      </c>
      <c r="E67" s="125">
        <f t="shared" si="27"/>
        <v>0.63371143278611797</v>
      </c>
      <c r="F67" s="125">
        <f t="shared" si="27"/>
        <v>0.62849105155845086</v>
      </c>
      <c r="G67" s="125">
        <f t="shared" si="27"/>
        <v>0.60131638345828564</v>
      </c>
      <c r="H67" s="125">
        <f t="shared" si="27"/>
        <v>0.50430659786807253</v>
      </c>
      <c r="I67" s="125">
        <f t="shared" si="27"/>
        <v>0.52040311052715471</v>
      </c>
      <c r="J67" s="125">
        <f t="shared" si="27"/>
        <v>0.5401752696624853</v>
      </c>
      <c r="K67" s="125">
        <f t="shared" si="27"/>
        <v>0.47580429633944415</v>
      </c>
      <c r="L67" s="125">
        <f t="shared" si="27"/>
        <v>0.43595055413020539</v>
      </c>
      <c r="M67" s="125">
        <f t="shared" si="27"/>
        <v>0.45519299987271089</v>
      </c>
      <c r="N67" s="125">
        <f t="shared" si="27"/>
        <v>0.36631988866067716</v>
      </c>
      <c r="O67" s="125">
        <f t="shared" si="27"/>
        <v>0.3831524553384153</v>
      </c>
      <c r="P67" s="125">
        <f t="shared" si="27"/>
        <v>0.48490469818420612</v>
      </c>
      <c r="Q67" s="125">
        <f t="shared" si="27"/>
        <v>0.52831944162920652</v>
      </c>
      <c r="R67" s="125">
        <f t="shared" si="27"/>
        <v>0.45545602895138376</v>
      </c>
      <c r="S67" s="125">
        <f t="shared" si="27"/>
        <v>0.46973804570816219</v>
      </c>
      <c r="T67" s="125">
        <f t="shared" si="27"/>
        <v>0.48325561789458854</v>
      </c>
      <c r="U67" s="125">
        <f t="shared" si="27"/>
        <v>0.45985027791388139</v>
      </c>
      <c r="V67" s="125">
        <f t="shared" si="27"/>
        <v>0.6033020814906539</v>
      </c>
      <c r="W67" s="125">
        <f t="shared" ref="W67:Y67" si="28">IF(W16=0,0,W16/W$8)</f>
        <v>0.60797326237062865</v>
      </c>
      <c r="X67" s="125">
        <f t="shared" si="28"/>
        <v>0.59924906341829742</v>
      </c>
      <c r="Y67" s="125">
        <f t="shared" si="28"/>
        <v>0.53022013605221641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2063.7650711190831</v>
      </c>
      <c r="C4" s="11">
        <f t="shared" si="0"/>
        <v>2696.8698595008673</v>
      </c>
      <c r="D4" s="11">
        <f t="shared" ref="D4:V4" si="1">SUM(D5:D7)</f>
        <v>3203.4307309144397</v>
      </c>
      <c r="E4" s="11">
        <f t="shared" si="1"/>
        <v>4058.000901705755</v>
      </c>
      <c r="F4" s="11">
        <f t="shared" si="1"/>
        <v>3781.6196186007191</v>
      </c>
      <c r="G4" s="11">
        <f t="shared" si="1"/>
        <v>4413.9622103063321</v>
      </c>
      <c r="H4" s="11">
        <f t="shared" si="1"/>
        <v>5056.4655677108794</v>
      </c>
      <c r="I4" s="11">
        <f t="shared" si="1"/>
        <v>5230.8671391813696</v>
      </c>
      <c r="J4" s="11">
        <f t="shared" si="1"/>
        <v>5298.5341107875938</v>
      </c>
      <c r="K4" s="11">
        <f t="shared" si="1"/>
        <v>4775.4594620464159</v>
      </c>
      <c r="L4" s="11">
        <f t="shared" si="1"/>
        <v>5136.3822634176649</v>
      </c>
      <c r="M4" s="11">
        <f t="shared" si="1"/>
        <v>5346.1137893206014</v>
      </c>
      <c r="N4" s="11">
        <f t="shared" si="1"/>
        <v>5552.0411321884849</v>
      </c>
      <c r="O4" s="11">
        <f t="shared" si="1"/>
        <v>5738.2501449045831</v>
      </c>
      <c r="P4" s="11">
        <f t="shared" si="1"/>
        <v>6150.2960599820281</v>
      </c>
      <c r="Q4" s="11">
        <f t="shared" si="1"/>
        <v>6170.1477754430834</v>
      </c>
      <c r="R4" s="11">
        <f t="shared" si="1"/>
        <v>7776.8898293955181</v>
      </c>
      <c r="S4" s="11">
        <f t="shared" si="1"/>
        <v>9086.7864529918043</v>
      </c>
      <c r="T4" s="11">
        <f t="shared" si="1"/>
        <v>9778.64001828652</v>
      </c>
      <c r="U4" s="11">
        <f t="shared" si="1"/>
        <v>9426.7492209900902</v>
      </c>
      <c r="V4" s="11">
        <f t="shared" si="1"/>
        <v>3229.2922007268762</v>
      </c>
      <c r="W4" s="11">
        <f t="shared" ref="W4:Y4" si="2">SUM(W5:W7)</f>
        <v>4213.2581603472618</v>
      </c>
      <c r="X4" s="11">
        <f t="shared" si="2"/>
        <v>6881.1667029627024</v>
      </c>
      <c r="Y4" s="11">
        <f t="shared" si="2"/>
        <v>8064.7723924524489</v>
      </c>
      <c r="DA4" s="189" t="s">
        <v>190</v>
      </c>
    </row>
    <row r="5" spans="1:105" ht="11.45" customHeight="1" x14ac:dyDescent="0.25">
      <c r="A5" s="83" t="s">
        <v>27</v>
      </c>
      <c r="B5" s="84">
        <v>11.618779579814783</v>
      </c>
      <c r="C5" s="84">
        <v>26.873350389762784</v>
      </c>
      <c r="D5" s="84">
        <v>16.568022702950227</v>
      </c>
      <c r="E5" s="84">
        <v>15.310667331693995</v>
      </c>
      <c r="F5" s="84">
        <v>12.960846365222796</v>
      </c>
      <c r="G5" s="84">
        <v>14.767308342609345</v>
      </c>
      <c r="H5" s="84">
        <v>22.621798444620001</v>
      </c>
      <c r="I5" s="84">
        <v>33.930937893759655</v>
      </c>
      <c r="J5" s="84">
        <v>52.74628370270522</v>
      </c>
      <c r="K5" s="84">
        <v>62.163519633300268</v>
      </c>
      <c r="L5" s="84">
        <v>65.090960892059229</v>
      </c>
      <c r="M5" s="84">
        <v>73.822700867393621</v>
      </c>
      <c r="N5" s="84">
        <v>75.967799852320383</v>
      </c>
      <c r="O5" s="84">
        <v>64.753095412406836</v>
      </c>
      <c r="P5" s="84">
        <v>58.351105668017517</v>
      </c>
      <c r="Q5" s="84">
        <v>59.380850727014987</v>
      </c>
      <c r="R5" s="84">
        <v>59.858682344644123</v>
      </c>
      <c r="S5" s="84">
        <v>105.6945115197579</v>
      </c>
      <c r="T5" s="84">
        <v>118.71147552756409</v>
      </c>
      <c r="U5" s="84">
        <v>108.41214455745151</v>
      </c>
      <c r="V5" s="84">
        <v>51.955464294821184</v>
      </c>
      <c r="W5" s="84">
        <v>80.487459044269571</v>
      </c>
      <c r="X5" s="84">
        <v>90.868958565520757</v>
      </c>
      <c r="Y5" s="84">
        <v>95.077051639987218</v>
      </c>
      <c r="DA5" s="171" t="s">
        <v>191</v>
      </c>
    </row>
    <row r="6" spans="1:105" ht="11.45" customHeight="1" x14ac:dyDescent="0.25">
      <c r="A6" s="83" t="s">
        <v>181</v>
      </c>
      <c r="B6" s="84">
        <v>1789.7737120523484</v>
      </c>
      <c r="C6" s="84">
        <v>2329.2405249806934</v>
      </c>
      <c r="D6" s="84">
        <v>2776.8714122978799</v>
      </c>
      <c r="E6" s="84">
        <v>3512.4919119886749</v>
      </c>
      <c r="F6" s="84">
        <v>3263.857852352493</v>
      </c>
      <c r="G6" s="84">
        <v>3885.8197900599953</v>
      </c>
      <c r="H6" s="84">
        <v>4478.5197386817308</v>
      </c>
      <c r="I6" s="84">
        <v>4491.2972752171745</v>
      </c>
      <c r="J6" s="84">
        <v>4398.4665540873721</v>
      </c>
      <c r="K6" s="84">
        <v>3891.6880686466243</v>
      </c>
      <c r="L6" s="84">
        <v>3998.6673918314759</v>
      </c>
      <c r="M6" s="84">
        <v>4136.8758690715722</v>
      </c>
      <c r="N6" s="84">
        <v>4177.9073024046011</v>
      </c>
      <c r="O6" s="84">
        <v>4157.0063300506463</v>
      </c>
      <c r="P6" s="84">
        <v>4315.8143841354122</v>
      </c>
      <c r="Q6" s="84">
        <v>4512.5973661821254</v>
      </c>
      <c r="R6" s="84">
        <v>5683.3003817099698</v>
      </c>
      <c r="S6" s="84">
        <v>7060.1388011521349</v>
      </c>
      <c r="T6" s="84">
        <v>7662.0470790977106</v>
      </c>
      <c r="U6" s="84">
        <v>7400.5533359022202</v>
      </c>
      <c r="V6" s="84">
        <v>2699.6872281365168</v>
      </c>
      <c r="W6" s="84">
        <v>3276.1369475092388</v>
      </c>
      <c r="X6" s="84">
        <v>5905.5188584399439</v>
      </c>
      <c r="Y6" s="84">
        <v>6927.687115767355</v>
      </c>
      <c r="DA6" s="171" t="s">
        <v>192</v>
      </c>
    </row>
    <row r="7" spans="1:105" ht="11.45" customHeight="1" x14ac:dyDescent="0.25">
      <c r="A7" s="83" t="s">
        <v>182</v>
      </c>
      <c r="B7" s="84">
        <v>262.37257948691979</v>
      </c>
      <c r="C7" s="84">
        <v>340.75598413041081</v>
      </c>
      <c r="D7" s="84">
        <v>409.99129591360929</v>
      </c>
      <c r="E7" s="84">
        <v>530.19832238538629</v>
      </c>
      <c r="F7" s="84">
        <v>504.80091988300313</v>
      </c>
      <c r="G7" s="84">
        <v>513.37511190372788</v>
      </c>
      <c r="H7" s="84">
        <v>555.32403058452826</v>
      </c>
      <c r="I7" s="84">
        <v>705.63892607043567</v>
      </c>
      <c r="J7" s="84">
        <v>847.32127299751676</v>
      </c>
      <c r="K7" s="84">
        <v>821.60787376649125</v>
      </c>
      <c r="L7" s="84">
        <v>1072.6239106941302</v>
      </c>
      <c r="M7" s="84">
        <v>1135.4152193816353</v>
      </c>
      <c r="N7" s="84">
        <v>1298.1660299315633</v>
      </c>
      <c r="O7" s="84">
        <v>1516.4907194415296</v>
      </c>
      <c r="P7" s="84">
        <v>1776.1305701785989</v>
      </c>
      <c r="Q7" s="84">
        <v>1598.1695585339435</v>
      </c>
      <c r="R7" s="84">
        <v>2033.7307653409046</v>
      </c>
      <c r="S7" s="84">
        <v>1920.9531403199123</v>
      </c>
      <c r="T7" s="84">
        <v>1997.8814636612447</v>
      </c>
      <c r="U7" s="84">
        <v>1917.7837405304183</v>
      </c>
      <c r="V7" s="84">
        <v>477.64950829553845</v>
      </c>
      <c r="W7" s="84">
        <v>856.63375379375327</v>
      </c>
      <c r="X7" s="84">
        <v>884.77888595723709</v>
      </c>
      <c r="Y7" s="84">
        <v>1042.0082250451071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9.6690055991351915</v>
      </c>
      <c r="C8" s="13">
        <f t="shared" si="3"/>
        <v>8.6157231398733209</v>
      </c>
      <c r="D8" s="13">
        <f t="shared" ref="D8:V8" si="4">SUM(D9:D11)</f>
        <v>9.4190372028093687</v>
      </c>
      <c r="E8" s="13">
        <f t="shared" si="4"/>
        <v>10.184950317047097</v>
      </c>
      <c r="F8" s="13">
        <f t="shared" si="4"/>
        <v>10.275829492982217</v>
      </c>
      <c r="G8" s="13">
        <f t="shared" si="4"/>
        <v>11.902932789974164</v>
      </c>
      <c r="H8" s="13">
        <f t="shared" si="4"/>
        <v>13.17080611525753</v>
      </c>
      <c r="I8" s="13">
        <f t="shared" si="4"/>
        <v>14.301171394244324</v>
      </c>
      <c r="J8" s="13">
        <f t="shared" si="4"/>
        <v>14.248282952226582</v>
      </c>
      <c r="K8" s="13">
        <f t="shared" si="4"/>
        <v>19.251629469459189</v>
      </c>
      <c r="L8" s="13">
        <f t="shared" si="4"/>
        <v>31.670065687728911</v>
      </c>
      <c r="M8" s="13">
        <f t="shared" si="4"/>
        <v>23.060038220788083</v>
      </c>
      <c r="N8" s="13">
        <f t="shared" si="4"/>
        <v>11.385588891816923</v>
      </c>
      <c r="O8" s="13">
        <f t="shared" si="4"/>
        <v>12.9307624967756</v>
      </c>
      <c r="P8" s="13">
        <f t="shared" si="4"/>
        <v>19.536300175560768</v>
      </c>
      <c r="Q8" s="13">
        <f t="shared" si="4"/>
        <v>37.077867900783282</v>
      </c>
      <c r="R8" s="13">
        <f t="shared" si="4"/>
        <v>46.020499960239675</v>
      </c>
      <c r="S8" s="13">
        <f t="shared" si="4"/>
        <v>50.700834898386361</v>
      </c>
      <c r="T8" s="13">
        <f t="shared" si="4"/>
        <v>39.049090531484396</v>
      </c>
      <c r="U8" s="13">
        <f t="shared" si="4"/>
        <v>25.723798375185048</v>
      </c>
      <c r="V8" s="13">
        <f t="shared" si="4"/>
        <v>18.568527708821648</v>
      </c>
      <c r="W8" s="13">
        <f t="shared" ref="W8:Y8" si="5">SUM(W9:W11)</f>
        <v>17.636486950403139</v>
      </c>
      <c r="X8" s="13">
        <f t="shared" si="5"/>
        <v>26.835930794044494</v>
      </c>
      <c r="Y8" s="13">
        <f t="shared" si="5"/>
        <v>18.099798832722804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6.5658557127147459</v>
      </c>
      <c r="C10" s="102">
        <v>4.2799169988795258</v>
      </c>
      <c r="D10" s="102">
        <v>4.4155330687813699</v>
      </c>
      <c r="E10" s="102">
        <v>4.7087021320457918</v>
      </c>
      <c r="F10" s="102">
        <v>4.5595637733560261</v>
      </c>
      <c r="G10" s="102">
        <v>5.6761226239284159</v>
      </c>
      <c r="H10" s="102">
        <v>6.3289921967257436</v>
      </c>
      <c r="I10" s="102">
        <v>6.6967168124831362</v>
      </c>
      <c r="J10" s="102">
        <v>7.4037313777854123</v>
      </c>
      <c r="K10" s="102">
        <v>6.4533554281422383</v>
      </c>
      <c r="L10" s="102">
        <v>6.638951789084043</v>
      </c>
      <c r="M10" s="102">
        <v>6.1687496549196128</v>
      </c>
      <c r="N10" s="102">
        <v>6.694365795193205</v>
      </c>
      <c r="O10" s="102">
        <v>7.1660275102481901</v>
      </c>
      <c r="P10" s="102">
        <v>8.368337227228885</v>
      </c>
      <c r="Q10" s="102">
        <v>8.702660631556947</v>
      </c>
      <c r="R10" s="102">
        <v>9.2253032464052911</v>
      </c>
      <c r="S10" s="102">
        <v>9.9978959670495371</v>
      </c>
      <c r="T10" s="102">
        <v>11.161510279439531</v>
      </c>
      <c r="U10" s="102">
        <v>13.677114783906868</v>
      </c>
      <c r="V10" s="102">
        <v>11.184544607820907</v>
      </c>
      <c r="W10" s="102">
        <v>10.814912317025033</v>
      </c>
      <c r="X10" s="102">
        <v>17.737396257866472</v>
      </c>
      <c r="Y10" s="102">
        <v>11.555205528947294</v>
      </c>
      <c r="DA10" s="175" t="s">
        <v>196</v>
      </c>
    </row>
    <row r="11" spans="1:105" ht="11.45" customHeight="1" x14ac:dyDescent="0.25">
      <c r="A11" s="85" t="s">
        <v>182</v>
      </c>
      <c r="B11" s="86">
        <v>3.1031498864204452</v>
      </c>
      <c r="C11" s="86">
        <v>4.3358061409937951</v>
      </c>
      <c r="D11" s="86">
        <v>5.0035041340279989</v>
      </c>
      <c r="E11" s="86">
        <v>5.4762481850013058</v>
      </c>
      <c r="F11" s="86">
        <v>5.7162657196261906</v>
      </c>
      <c r="G11" s="86">
        <v>6.2268101660457482</v>
      </c>
      <c r="H11" s="86">
        <v>6.8418139185317877</v>
      </c>
      <c r="I11" s="86">
        <v>7.6044545817611873</v>
      </c>
      <c r="J11" s="86">
        <v>6.8445515744411685</v>
      </c>
      <c r="K11" s="86">
        <v>12.798274041316953</v>
      </c>
      <c r="L11" s="86">
        <v>25.031113898644868</v>
      </c>
      <c r="M11" s="86">
        <v>16.891288565868471</v>
      </c>
      <c r="N11" s="86">
        <v>4.6912230966237169</v>
      </c>
      <c r="O11" s="86">
        <v>5.7647349865274089</v>
      </c>
      <c r="P11" s="86">
        <v>11.167962948331885</v>
      </c>
      <c r="Q11" s="86">
        <v>28.375207269226337</v>
      </c>
      <c r="R11" s="86">
        <v>36.795196713834386</v>
      </c>
      <c r="S11" s="86">
        <v>40.702938931336824</v>
      </c>
      <c r="T11" s="86">
        <v>27.887580252044867</v>
      </c>
      <c r="U11" s="86">
        <v>12.04668359127818</v>
      </c>
      <c r="V11" s="86">
        <v>7.3839831010007391</v>
      </c>
      <c r="W11" s="86">
        <v>6.8215746333781073</v>
      </c>
      <c r="X11" s="86">
        <v>9.0985345361780219</v>
      </c>
      <c r="Y11" s="86">
        <v>6.5445933037755104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16.778360332283675</v>
      </c>
      <c r="C13" s="54">
        <f t="shared" si="6"/>
        <v>22.010479162130185</v>
      </c>
      <c r="D13" s="54">
        <f t="shared" ref="D13:V13" si="7">SUM(D14,D18)</f>
        <v>25.732819772908414</v>
      </c>
      <c r="E13" s="54">
        <f t="shared" si="7"/>
        <v>32.698272358588646</v>
      </c>
      <c r="F13" s="54">
        <f t="shared" si="7"/>
        <v>30.728199110556673</v>
      </c>
      <c r="G13" s="54">
        <f t="shared" si="7"/>
        <v>35.810754827664397</v>
      </c>
      <c r="H13" s="54">
        <f t="shared" si="7"/>
        <v>41.993168757363279</v>
      </c>
      <c r="I13" s="54">
        <f t="shared" si="7"/>
        <v>45.003610985905752</v>
      </c>
      <c r="J13" s="54">
        <f t="shared" si="7"/>
        <v>46.466111174148608</v>
      </c>
      <c r="K13" s="54">
        <f t="shared" si="7"/>
        <v>42.320974978793672</v>
      </c>
      <c r="L13" s="54">
        <f t="shared" si="7"/>
        <v>45.001185161370401</v>
      </c>
      <c r="M13" s="54">
        <f t="shared" si="7"/>
        <v>45.291000351184636</v>
      </c>
      <c r="N13" s="54">
        <f t="shared" si="7"/>
        <v>42.904155136822467</v>
      </c>
      <c r="O13" s="54">
        <f t="shared" si="7"/>
        <v>42.860074706188861</v>
      </c>
      <c r="P13" s="54">
        <f t="shared" si="7"/>
        <v>46.322871886402496</v>
      </c>
      <c r="Q13" s="54">
        <f t="shared" si="7"/>
        <v>47.115344556390795</v>
      </c>
      <c r="R13" s="54">
        <f t="shared" si="7"/>
        <v>57.601961022582557</v>
      </c>
      <c r="S13" s="54">
        <f t="shared" si="7"/>
        <v>63.406493781453108</v>
      </c>
      <c r="T13" s="54">
        <f t="shared" si="7"/>
        <v>68.465058690746531</v>
      </c>
      <c r="U13" s="54">
        <f t="shared" si="7"/>
        <v>64.81893126112935</v>
      </c>
      <c r="V13" s="54">
        <f t="shared" si="7"/>
        <v>27.856250055967148</v>
      </c>
      <c r="W13" s="54">
        <f t="shared" ref="W13:Y13" si="8">SUM(W14,W18)</f>
        <v>35.219259946792747</v>
      </c>
      <c r="X13" s="54">
        <f t="shared" si="8"/>
        <v>48.480968707998784</v>
      </c>
      <c r="Y13" s="54">
        <f t="shared" si="8"/>
        <v>55.090603107091432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16.47175951216213</v>
      </c>
      <c r="C14" s="11">
        <f t="shared" si="9"/>
        <v>21.78644856123055</v>
      </c>
      <c r="D14" s="11">
        <f t="shared" ref="D14:V14" si="10">SUM(D15:D17)</f>
        <v>25.480131399291835</v>
      </c>
      <c r="E14" s="11">
        <f t="shared" si="10"/>
        <v>32.42313398095029</v>
      </c>
      <c r="F14" s="11">
        <f t="shared" si="10"/>
        <v>30.433111333673832</v>
      </c>
      <c r="G14" s="11">
        <f t="shared" si="10"/>
        <v>35.447831985227424</v>
      </c>
      <c r="H14" s="11">
        <f t="shared" si="10"/>
        <v>41.536967225423425</v>
      </c>
      <c r="I14" s="11">
        <f t="shared" si="10"/>
        <v>44.499169592330652</v>
      </c>
      <c r="J14" s="11">
        <f t="shared" si="10"/>
        <v>45.921877879793733</v>
      </c>
      <c r="K14" s="11">
        <f t="shared" si="10"/>
        <v>41.751488575417653</v>
      </c>
      <c r="L14" s="11">
        <f t="shared" si="10"/>
        <v>44.233942908811798</v>
      </c>
      <c r="M14" s="11">
        <f t="shared" si="10"/>
        <v>44.702205673277717</v>
      </c>
      <c r="N14" s="11">
        <f t="shared" si="10"/>
        <v>42.514316760360025</v>
      </c>
      <c r="O14" s="11">
        <f t="shared" si="10"/>
        <v>42.427460769443691</v>
      </c>
      <c r="P14" s="11">
        <f t="shared" si="10"/>
        <v>45.835921740033818</v>
      </c>
      <c r="Q14" s="11">
        <f t="shared" si="10"/>
        <v>46.388122939218711</v>
      </c>
      <c r="R14" s="11">
        <f t="shared" si="10"/>
        <v>56.836886229866153</v>
      </c>
      <c r="S14" s="11">
        <f t="shared" si="10"/>
        <v>62.523281530202524</v>
      </c>
      <c r="T14" s="11">
        <f t="shared" si="10"/>
        <v>67.688379883348802</v>
      </c>
      <c r="U14" s="11">
        <f t="shared" si="10"/>
        <v>64.154502545416435</v>
      </c>
      <c r="V14" s="11">
        <f t="shared" si="10"/>
        <v>27.221147277335813</v>
      </c>
      <c r="W14" s="11">
        <f t="shared" ref="W14:Y14" si="11">SUM(W15:W17)</f>
        <v>34.608546538167545</v>
      </c>
      <c r="X14" s="11">
        <f t="shared" si="11"/>
        <v>47.521424911483003</v>
      </c>
      <c r="Y14" s="11">
        <f t="shared" si="11"/>
        <v>54.456496410315729</v>
      </c>
      <c r="DA14" s="189" t="s">
        <v>199</v>
      </c>
    </row>
    <row r="15" spans="1:105" ht="11.45" customHeight="1" x14ac:dyDescent="0.25">
      <c r="A15" s="83" t="s">
        <v>27</v>
      </c>
      <c r="B15" s="84">
        <v>0.48484103368837667</v>
      </c>
      <c r="C15" s="84">
        <v>1.0677877310849586</v>
      </c>
      <c r="D15" s="84">
        <v>0.6315729828867358</v>
      </c>
      <c r="E15" s="84">
        <v>0.55934446525808612</v>
      </c>
      <c r="F15" s="84">
        <v>0.45270787427090653</v>
      </c>
      <c r="G15" s="84">
        <v>0.49404730537740515</v>
      </c>
      <c r="H15" s="84">
        <v>0.72691568873136903</v>
      </c>
      <c r="I15" s="84">
        <v>1.0470400639802637</v>
      </c>
      <c r="J15" s="84">
        <v>1.1803636787448222</v>
      </c>
      <c r="K15" s="84">
        <v>1.0444883131209881</v>
      </c>
      <c r="L15" s="84">
        <v>0.97103025579831925</v>
      </c>
      <c r="M15" s="84">
        <v>1.2303499019905306</v>
      </c>
      <c r="N15" s="84">
        <v>1.1870699114783123</v>
      </c>
      <c r="O15" s="84">
        <v>0.89985492283069624</v>
      </c>
      <c r="P15" s="84">
        <v>0.81025189637901784</v>
      </c>
      <c r="Q15" s="84">
        <v>0.83954242099850473</v>
      </c>
      <c r="R15" s="84">
        <v>0.79452173085321998</v>
      </c>
      <c r="S15" s="84">
        <v>1.0399201426744002</v>
      </c>
      <c r="T15" s="84">
        <v>1.0605291428571431</v>
      </c>
      <c r="U15" s="84">
        <v>0.98006148178807961</v>
      </c>
      <c r="V15" s="84">
        <v>0.65354343256313807</v>
      </c>
      <c r="W15" s="84">
        <v>0.80744386253842781</v>
      </c>
      <c r="X15" s="84">
        <v>0.8047354394190871</v>
      </c>
      <c r="Y15" s="84">
        <v>0.81782375479566305</v>
      </c>
      <c r="DA15" s="171" t="s">
        <v>200</v>
      </c>
    </row>
    <row r="16" spans="1:105" ht="11.45" customHeight="1" x14ac:dyDescent="0.25">
      <c r="A16" s="83" t="s">
        <v>181</v>
      </c>
      <c r="B16" s="84">
        <v>13.826141430740751</v>
      </c>
      <c r="C16" s="84">
        <v>17.919407164722561</v>
      </c>
      <c r="D16" s="84">
        <v>21.491175752596849</v>
      </c>
      <c r="E16" s="84">
        <v>27.559452767220087</v>
      </c>
      <c r="F16" s="84">
        <v>25.930022579090664</v>
      </c>
      <c r="G16" s="84">
        <v>30.848634178350519</v>
      </c>
      <c r="H16" s="84">
        <v>36.382901385000821</v>
      </c>
      <c r="I16" s="84">
        <v>37.815388355579948</v>
      </c>
      <c r="J16" s="84">
        <v>37.900270899579098</v>
      </c>
      <c r="K16" s="84">
        <v>34.178235022600191</v>
      </c>
      <c r="L16" s="84">
        <v>34.86144590342807</v>
      </c>
      <c r="M16" s="84">
        <v>34.702069687057921</v>
      </c>
      <c r="N16" s="84">
        <v>32.028588817239239</v>
      </c>
      <c r="O16" s="84">
        <v>31.387549348530733</v>
      </c>
      <c r="P16" s="84">
        <v>32.579856667972123</v>
      </c>
      <c r="Q16" s="84">
        <v>33.331707365201652</v>
      </c>
      <c r="R16" s="84">
        <v>41.361325314816597</v>
      </c>
      <c r="S16" s="84">
        <v>47.644610532580373</v>
      </c>
      <c r="T16" s="84">
        <v>51.234514461839275</v>
      </c>
      <c r="U16" s="84">
        <v>48.520776440692167</v>
      </c>
      <c r="V16" s="84">
        <v>22.035715522344347</v>
      </c>
      <c r="W16" s="84">
        <v>25.953846388758222</v>
      </c>
      <c r="X16" s="84">
        <v>39.905956281725352</v>
      </c>
      <c r="Y16" s="84">
        <v>45.85410511234651</v>
      </c>
      <c r="DA16" s="171" t="s">
        <v>201</v>
      </c>
    </row>
    <row r="17" spans="1:105" ht="11.45" customHeight="1" x14ac:dyDescent="0.25">
      <c r="A17" s="83" t="s">
        <v>182</v>
      </c>
      <c r="B17" s="84">
        <v>2.1607770477330019</v>
      </c>
      <c r="C17" s="84">
        <v>2.7992536654230324</v>
      </c>
      <c r="D17" s="84">
        <v>3.3573826638082505</v>
      </c>
      <c r="E17" s="84">
        <v>4.3043367484721156</v>
      </c>
      <c r="F17" s="84">
        <v>4.050380880312261</v>
      </c>
      <c r="G17" s="84">
        <v>4.1051505014994998</v>
      </c>
      <c r="H17" s="84">
        <v>4.4271501516912339</v>
      </c>
      <c r="I17" s="84">
        <v>5.6367411727704395</v>
      </c>
      <c r="J17" s="84">
        <v>6.8412433014698077</v>
      </c>
      <c r="K17" s="84">
        <v>6.5287652396964733</v>
      </c>
      <c r="L17" s="84">
        <v>8.4014667495854063</v>
      </c>
      <c r="M17" s="84">
        <v>8.769786084229267</v>
      </c>
      <c r="N17" s="84">
        <v>9.298658031642475</v>
      </c>
      <c r="O17" s="84">
        <v>10.140056498082258</v>
      </c>
      <c r="P17" s="84">
        <v>12.445813175682678</v>
      </c>
      <c r="Q17" s="84">
        <v>12.216873153018556</v>
      </c>
      <c r="R17" s="84">
        <v>14.681039184196338</v>
      </c>
      <c r="S17" s="84">
        <v>13.838750854947751</v>
      </c>
      <c r="T17" s="84">
        <v>15.39333627865239</v>
      </c>
      <c r="U17" s="84">
        <v>14.653664622936189</v>
      </c>
      <c r="V17" s="84">
        <v>4.5318883224283306</v>
      </c>
      <c r="W17" s="84">
        <v>7.8472562868708975</v>
      </c>
      <c r="X17" s="84">
        <v>6.8107331903385626</v>
      </c>
      <c r="Y17" s="84">
        <v>7.7845675431735604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0.30660082012154527</v>
      </c>
      <c r="C18" s="13">
        <f t="shared" si="12"/>
        <v>0.22403060089963378</v>
      </c>
      <c r="D18" s="13">
        <f t="shared" ref="D18:V18" si="13">SUM(D19:D21)</f>
        <v>0.25268837361658009</v>
      </c>
      <c r="E18" s="13">
        <f t="shared" si="13"/>
        <v>0.27513837763835469</v>
      </c>
      <c r="F18" s="13">
        <f t="shared" si="13"/>
        <v>0.29508777688284149</v>
      </c>
      <c r="G18" s="13">
        <f t="shared" si="13"/>
        <v>0.36292284243697476</v>
      </c>
      <c r="H18" s="13">
        <f t="shared" si="13"/>
        <v>0.45620153193985319</v>
      </c>
      <c r="I18" s="13">
        <f t="shared" si="13"/>
        <v>0.50444139357510154</v>
      </c>
      <c r="J18" s="13">
        <f t="shared" si="13"/>
        <v>0.54423329435487666</v>
      </c>
      <c r="K18" s="13">
        <f t="shared" si="13"/>
        <v>0.56948640337601886</v>
      </c>
      <c r="L18" s="13">
        <f t="shared" si="13"/>
        <v>0.76724225255860024</v>
      </c>
      <c r="M18" s="13">
        <f t="shared" si="13"/>
        <v>0.58879467790691498</v>
      </c>
      <c r="N18" s="13">
        <f t="shared" si="13"/>
        <v>0.38983837646244374</v>
      </c>
      <c r="O18" s="13">
        <f t="shared" si="13"/>
        <v>0.43261393674517068</v>
      </c>
      <c r="P18" s="13">
        <f t="shared" si="13"/>
        <v>0.48695014636867745</v>
      </c>
      <c r="Q18" s="13">
        <f t="shared" si="13"/>
        <v>0.72722161717208711</v>
      </c>
      <c r="R18" s="13">
        <f t="shared" si="13"/>
        <v>0.76507479271640699</v>
      </c>
      <c r="S18" s="13">
        <f t="shared" si="13"/>
        <v>0.88321225125058567</v>
      </c>
      <c r="T18" s="13">
        <f t="shared" si="13"/>
        <v>0.77667880739772732</v>
      </c>
      <c r="U18" s="13">
        <f t="shared" si="13"/>
        <v>0.66442871571291262</v>
      </c>
      <c r="V18" s="13">
        <f t="shared" si="13"/>
        <v>0.6351027786313368</v>
      </c>
      <c r="W18" s="13">
        <f t="shared" ref="W18:Y18" si="14">SUM(W19:W21)</f>
        <v>0.61071340862520029</v>
      </c>
      <c r="X18" s="13">
        <f t="shared" si="14"/>
        <v>0.95954379651577892</v>
      </c>
      <c r="Y18" s="13">
        <f t="shared" si="14"/>
        <v>0.63410669677570164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0.26252805670795337</v>
      </c>
      <c r="C20" s="102">
        <v>0.16526691634817792</v>
      </c>
      <c r="D20" s="102">
        <v>0.18086609249813404</v>
      </c>
      <c r="E20" s="102">
        <v>0.18862517538204471</v>
      </c>
      <c r="F20" s="102">
        <v>0.2020452763430364</v>
      </c>
      <c r="G20" s="102">
        <v>0.25514960714285712</v>
      </c>
      <c r="H20" s="102">
        <v>0.33370580650530929</v>
      </c>
      <c r="I20" s="102">
        <v>0.36598157201577919</v>
      </c>
      <c r="J20" s="102">
        <v>0.41704701841446512</v>
      </c>
      <c r="K20" s="102">
        <v>0.35861677623002952</v>
      </c>
      <c r="L20" s="102">
        <v>0.36154809871244636</v>
      </c>
      <c r="M20" s="102">
        <v>0.32606036582419923</v>
      </c>
      <c r="N20" s="102">
        <v>0.32105985794392522</v>
      </c>
      <c r="O20" s="102">
        <v>0.3485042397893785</v>
      </c>
      <c r="P20" s="102">
        <v>0.34844728447815315</v>
      </c>
      <c r="Q20" s="102">
        <v>0.36561786018286258</v>
      </c>
      <c r="R20" s="102">
        <v>0.35255800929991271</v>
      </c>
      <c r="S20" s="102">
        <v>0.41378887753816695</v>
      </c>
      <c r="T20" s="102">
        <v>0.45529041249326874</v>
      </c>
      <c r="U20" s="102">
        <v>0.52920454162384378</v>
      </c>
      <c r="V20" s="102">
        <v>0.51373342592592597</v>
      </c>
      <c r="W20" s="102">
        <v>0.49656854841014647</v>
      </c>
      <c r="X20" s="102">
        <v>0.82393008510638299</v>
      </c>
      <c r="Y20" s="102">
        <v>0.54061809921472603</v>
      </c>
      <c r="DA20" s="175" t="s">
        <v>205</v>
      </c>
    </row>
    <row r="21" spans="1:105" ht="11.45" customHeight="1" x14ac:dyDescent="0.25">
      <c r="A21" s="85" t="s">
        <v>182</v>
      </c>
      <c r="B21" s="86">
        <v>4.4072763413591891E-2</v>
      </c>
      <c r="C21" s="86">
        <v>5.8763684551455857E-2</v>
      </c>
      <c r="D21" s="86">
        <v>7.1822281118446046E-2</v>
      </c>
      <c r="E21" s="86">
        <v>8.6513202256310012E-2</v>
      </c>
      <c r="F21" s="86">
        <v>9.3042500539805117E-2</v>
      </c>
      <c r="G21" s="86">
        <v>0.10777323529411766</v>
      </c>
      <c r="H21" s="86">
        <v>0.1224957254345439</v>
      </c>
      <c r="I21" s="86">
        <v>0.13845982155932232</v>
      </c>
      <c r="J21" s="86">
        <v>0.12718627594041151</v>
      </c>
      <c r="K21" s="86">
        <v>0.21086962714598936</v>
      </c>
      <c r="L21" s="86">
        <v>0.40569415384615382</v>
      </c>
      <c r="M21" s="86">
        <v>0.26273431208271575</v>
      </c>
      <c r="N21" s="86">
        <v>6.8778518518518517E-2</v>
      </c>
      <c r="O21" s="86">
        <v>8.4109696955792193E-2</v>
      </c>
      <c r="P21" s="86">
        <v>0.1385028618905243</v>
      </c>
      <c r="Q21" s="86">
        <v>0.36160375698922453</v>
      </c>
      <c r="R21" s="86">
        <v>0.41251678341649434</v>
      </c>
      <c r="S21" s="86">
        <v>0.46942337371241871</v>
      </c>
      <c r="T21" s="86">
        <v>0.32138839490445859</v>
      </c>
      <c r="U21" s="86">
        <v>0.13522417408906884</v>
      </c>
      <c r="V21" s="86">
        <v>0.12136935270541083</v>
      </c>
      <c r="W21" s="86">
        <v>0.11414486021505378</v>
      </c>
      <c r="X21" s="86">
        <v>0.13561371140939596</v>
      </c>
      <c r="Y21" s="86">
        <v>9.3488597560975592E-2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12483</v>
      </c>
      <c r="C23" s="54">
        <f t="shared" si="15"/>
        <v>17525</v>
      </c>
      <c r="D23" s="54">
        <f t="shared" ref="D23:V23" si="16">SUM(D24,D28)</f>
        <v>18718</v>
      </c>
      <c r="E23" s="54">
        <f t="shared" si="16"/>
        <v>23069</v>
      </c>
      <c r="F23" s="54">
        <f t="shared" si="16"/>
        <v>21480</v>
      </c>
      <c r="G23" s="54">
        <f t="shared" si="16"/>
        <v>24726</v>
      </c>
      <c r="H23" s="54">
        <f t="shared" si="16"/>
        <v>28763</v>
      </c>
      <c r="I23" s="54">
        <f t="shared" si="16"/>
        <v>31644</v>
      </c>
      <c r="J23" s="54">
        <f t="shared" si="16"/>
        <v>33518</v>
      </c>
      <c r="K23" s="54">
        <f t="shared" si="16"/>
        <v>30708</v>
      </c>
      <c r="L23" s="54">
        <f t="shared" si="16"/>
        <v>31649</v>
      </c>
      <c r="M23" s="54">
        <f t="shared" si="16"/>
        <v>33124</v>
      </c>
      <c r="N23" s="54">
        <f t="shared" si="16"/>
        <v>31046</v>
      </c>
      <c r="O23" s="54">
        <f t="shared" si="16"/>
        <v>30249</v>
      </c>
      <c r="P23" s="54">
        <f t="shared" si="16"/>
        <v>32087</v>
      </c>
      <c r="Q23" s="54">
        <f t="shared" si="16"/>
        <v>32457</v>
      </c>
      <c r="R23" s="54">
        <f t="shared" si="16"/>
        <v>38259</v>
      </c>
      <c r="S23" s="54">
        <f t="shared" si="16"/>
        <v>42115</v>
      </c>
      <c r="T23" s="54">
        <f t="shared" si="16"/>
        <v>45469</v>
      </c>
      <c r="U23" s="54">
        <f t="shared" si="16"/>
        <v>42770</v>
      </c>
      <c r="V23" s="54">
        <f t="shared" si="16"/>
        <v>18103</v>
      </c>
      <c r="W23" s="54">
        <f t="shared" ref="W23:Y23" si="17">SUM(W24,W28)</f>
        <v>23382</v>
      </c>
      <c r="X23" s="54">
        <f t="shared" si="17"/>
        <v>32624</v>
      </c>
      <c r="Y23" s="54">
        <f t="shared" si="17"/>
        <v>37427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12161</v>
      </c>
      <c r="C24" s="11">
        <f t="shared" si="18"/>
        <v>17306</v>
      </c>
      <c r="D24" s="11">
        <f t="shared" ref="D24:V24" si="19">SUM(D25:D27)</f>
        <v>18473</v>
      </c>
      <c r="E24" s="11">
        <f t="shared" si="19"/>
        <v>22807</v>
      </c>
      <c r="F24" s="11">
        <f t="shared" si="19"/>
        <v>21200</v>
      </c>
      <c r="G24" s="11">
        <f t="shared" si="19"/>
        <v>24377</v>
      </c>
      <c r="H24" s="11">
        <f t="shared" si="19"/>
        <v>28337</v>
      </c>
      <c r="I24" s="11">
        <f t="shared" si="19"/>
        <v>31177</v>
      </c>
      <c r="J24" s="11">
        <f t="shared" si="19"/>
        <v>33006</v>
      </c>
      <c r="K24" s="11">
        <f t="shared" si="19"/>
        <v>30244</v>
      </c>
      <c r="L24" s="11">
        <f t="shared" si="19"/>
        <v>31141</v>
      </c>
      <c r="M24" s="11">
        <f t="shared" si="19"/>
        <v>32640</v>
      </c>
      <c r="N24" s="11">
        <f t="shared" si="19"/>
        <v>30638</v>
      </c>
      <c r="O24" s="11">
        <f t="shared" si="19"/>
        <v>29815</v>
      </c>
      <c r="P24" s="11">
        <f t="shared" si="19"/>
        <v>31621</v>
      </c>
      <c r="Q24" s="11">
        <f t="shared" si="19"/>
        <v>31866</v>
      </c>
      <c r="R24" s="11">
        <f t="shared" si="19"/>
        <v>37699</v>
      </c>
      <c r="S24" s="11">
        <f t="shared" si="19"/>
        <v>41493</v>
      </c>
      <c r="T24" s="11">
        <f t="shared" si="19"/>
        <v>44902</v>
      </c>
      <c r="U24" s="11">
        <f t="shared" si="19"/>
        <v>42192</v>
      </c>
      <c r="V24" s="11">
        <f t="shared" si="19"/>
        <v>17491</v>
      </c>
      <c r="W24" s="11">
        <f t="shared" ref="W24:Y24" si="20">SUM(W25:W27)</f>
        <v>22780</v>
      </c>
      <c r="X24" s="11">
        <f t="shared" si="20"/>
        <v>31862</v>
      </c>
      <c r="Y24" s="11">
        <f t="shared" si="20"/>
        <v>36915</v>
      </c>
      <c r="DA24" s="189" t="s">
        <v>208</v>
      </c>
    </row>
    <row r="25" spans="1:105" ht="11.45" customHeight="1" x14ac:dyDescent="0.25">
      <c r="A25" s="83" t="s">
        <v>27</v>
      </c>
      <c r="B25" s="84">
        <v>1705</v>
      </c>
      <c r="C25" s="84">
        <v>3755</v>
      </c>
      <c r="D25" s="84">
        <v>2221</v>
      </c>
      <c r="E25" s="84">
        <v>1967</v>
      </c>
      <c r="F25" s="84">
        <v>1592</v>
      </c>
      <c r="G25" s="84">
        <v>1833</v>
      </c>
      <c r="H25" s="84">
        <v>2366</v>
      </c>
      <c r="I25" s="84">
        <v>2910</v>
      </c>
      <c r="J25" s="84">
        <v>3314</v>
      </c>
      <c r="K25" s="84">
        <v>3057</v>
      </c>
      <c r="L25" s="84">
        <v>2883</v>
      </c>
      <c r="M25" s="84">
        <v>3553</v>
      </c>
      <c r="N25" s="84">
        <v>3326</v>
      </c>
      <c r="O25" s="84">
        <v>2784</v>
      </c>
      <c r="P25" s="84">
        <v>2504</v>
      </c>
      <c r="Q25" s="84">
        <v>2480</v>
      </c>
      <c r="R25" s="84">
        <v>2406</v>
      </c>
      <c r="S25" s="84">
        <v>2871</v>
      </c>
      <c r="T25" s="84">
        <v>2916</v>
      </c>
      <c r="U25" s="84">
        <v>2709</v>
      </c>
      <c r="V25" s="84">
        <v>1768</v>
      </c>
      <c r="W25" s="84">
        <v>2215</v>
      </c>
      <c r="X25" s="84">
        <v>2189</v>
      </c>
      <c r="Y25" s="84">
        <v>2209</v>
      </c>
      <c r="DA25" s="171" t="s">
        <v>209</v>
      </c>
    </row>
    <row r="26" spans="1:105" ht="11.45" customHeight="1" x14ac:dyDescent="0.25">
      <c r="A26" s="83" t="s">
        <v>181</v>
      </c>
      <c r="B26" s="84">
        <v>8950</v>
      </c>
      <c r="C26" s="84">
        <v>11600</v>
      </c>
      <c r="D26" s="84">
        <v>13912</v>
      </c>
      <c r="E26" s="84">
        <v>17840</v>
      </c>
      <c r="F26" s="84">
        <v>16785</v>
      </c>
      <c r="G26" s="84">
        <v>19831</v>
      </c>
      <c r="H26" s="84">
        <v>23092</v>
      </c>
      <c r="I26" s="84">
        <v>24625</v>
      </c>
      <c r="J26" s="84">
        <v>25222</v>
      </c>
      <c r="K26" s="84">
        <v>23027</v>
      </c>
      <c r="L26" s="84">
        <v>23181</v>
      </c>
      <c r="M26" s="84">
        <v>23378</v>
      </c>
      <c r="N26" s="84">
        <v>21475</v>
      </c>
      <c r="O26" s="84">
        <v>20715</v>
      </c>
      <c r="P26" s="84">
        <v>21522</v>
      </c>
      <c r="Q26" s="84">
        <v>21829</v>
      </c>
      <c r="R26" s="84">
        <v>26818</v>
      </c>
      <c r="S26" s="84">
        <v>30512</v>
      </c>
      <c r="T26" s="84">
        <v>32959</v>
      </c>
      <c r="U26" s="84">
        <v>30838</v>
      </c>
      <c r="V26" s="84">
        <v>13792</v>
      </c>
      <c r="W26" s="84">
        <v>17154</v>
      </c>
      <c r="X26" s="84">
        <v>25411</v>
      </c>
      <c r="Y26" s="84">
        <v>29578</v>
      </c>
      <c r="DA26" s="171" t="s">
        <v>210</v>
      </c>
    </row>
    <row r="27" spans="1:105" ht="11.45" customHeight="1" x14ac:dyDescent="0.25">
      <c r="A27" s="83" t="s">
        <v>182</v>
      </c>
      <c r="B27" s="84">
        <v>1506</v>
      </c>
      <c r="C27" s="84">
        <v>1951</v>
      </c>
      <c r="D27" s="84">
        <v>2340</v>
      </c>
      <c r="E27" s="84">
        <v>3000</v>
      </c>
      <c r="F27" s="84">
        <v>2823</v>
      </c>
      <c r="G27" s="84">
        <v>2713</v>
      </c>
      <c r="H27" s="84">
        <v>2879</v>
      </c>
      <c r="I27" s="84">
        <v>3642</v>
      </c>
      <c r="J27" s="84">
        <v>4470</v>
      </c>
      <c r="K27" s="84">
        <v>4160</v>
      </c>
      <c r="L27" s="84">
        <v>5077</v>
      </c>
      <c r="M27" s="84">
        <v>5709</v>
      </c>
      <c r="N27" s="84">
        <v>5837</v>
      </c>
      <c r="O27" s="84">
        <v>6316</v>
      </c>
      <c r="P27" s="84">
        <v>7595</v>
      </c>
      <c r="Q27" s="84">
        <v>7557</v>
      </c>
      <c r="R27" s="84">
        <v>8475</v>
      </c>
      <c r="S27" s="84">
        <v>8110</v>
      </c>
      <c r="T27" s="84">
        <v>9027</v>
      </c>
      <c r="U27" s="84">
        <v>8645</v>
      </c>
      <c r="V27" s="84">
        <v>1931</v>
      </c>
      <c r="W27" s="84">
        <v>3411</v>
      </c>
      <c r="X27" s="84">
        <v>4262</v>
      </c>
      <c r="Y27" s="84">
        <v>5128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322</v>
      </c>
      <c r="C28" s="13">
        <f t="shared" si="21"/>
        <v>219</v>
      </c>
      <c r="D28" s="13">
        <f t="shared" ref="D28:V28" si="22">SUM(D29:D31)</f>
        <v>245</v>
      </c>
      <c r="E28" s="13">
        <f t="shared" si="22"/>
        <v>262</v>
      </c>
      <c r="F28" s="13">
        <f t="shared" si="22"/>
        <v>280</v>
      </c>
      <c r="G28" s="13">
        <f t="shared" si="22"/>
        <v>349</v>
      </c>
      <c r="H28" s="13">
        <f t="shared" si="22"/>
        <v>426</v>
      </c>
      <c r="I28" s="13">
        <f t="shared" si="22"/>
        <v>467</v>
      </c>
      <c r="J28" s="13">
        <f t="shared" si="22"/>
        <v>512</v>
      </c>
      <c r="K28" s="13">
        <f t="shared" si="22"/>
        <v>464</v>
      </c>
      <c r="L28" s="13">
        <f t="shared" si="22"/>
        <v>508</v>
      </c>
      <c r="M28" s="13">
        <f t="shared" si="22"/>
        <v>484</v>
      </c>
      <c r="N28" s="13">
        <f t="shared" si="22"/>
        <v>408</v>
      </c>
      <c r="O28" s="13">
        <f t="shared" si="22"/>
        <v>434</v>
      </c>
      <c r="P28" s="13">
        <f t="shared" si="22"/>
        <v>466</v>
      </c>
      <c r="Q28" s="13">
        <f t="shared" si="22"/>
        <v>591</v>
      </c>
      <c r="R28" s="13">
        <f t="shared" si="22"/>
        <v>560</v>
      </c>
      <c r="S28" s="13">
        <f t="shared" si="22"/>
        <v>622</v>
      </c>
      <c r="T28" s="13">
        <f t="shared" si="22"/>
        <v>567</v>
      </c>
      <c r="U28" s="13">
        <f t="shared" si="22"/>
        <v>578</v>
      </c>
      <c r="V28" s="13">
        <f t="shared" si="22"/>
        <v>612</v>
      </c>
      <c r="W28" s="13">
        <f t="shared" ref="W28:Y28" si="23">SUM(W29:W31)</f>
        <v>602</v>
      </c>
      <c r="X28" s="13">
        <f t="shared" si="23"/>
        <v>762</v>
      </c>
      <c r="Y28" s="13">
        <f t="shared" si="23"/>
        <v>512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295</v>
      </c>
      <c r="C30" s="102">
        <v>183</v>
      </c>
      <c r="D30" s="102">
        <v>201</v>
      </c>
      <c r="E30" s="102">
        <v>209</v>
      </c>
      <c r="F30" s="102">
        <v>223</v>
      </c>
      <c r="G30" s="102">
        <v>286</v>
      </c>
      <c r="H30" s="102">
        <v>363</v>
      </c>
      <c r="I30" s="102">
        <v>403</v>
      </c>
      <c r="J30" s="102">
        <v>458</v>
      </c>
      <c r="K30" s="102">
        <v>383</v>
      </c>
      <c r="L30" s="102">
        <v>368</v>
      </c>
      <c r="M30" s="102">
        <v>345</v>
      </c>
      <c r="N30" s="102">
        <v>343</v>
      </c>
      <c r="O30" s="102">
        <v>367</v>
      </c>
      <c r="P30" s="102">
        <v>372</v>
      </c>
      <c r="Q30" s="102">
        <v>370</v>
      </c>
      <c r="R30" s="102">
        <v>347</v>
      </c>
      <c r="S30" s="102">
        <v>398</v>
      </c>
      <c r="T30" s="102">
        <v>426</v>
      </c>
      <c r="U30" s="102">
        <v>471</v>
      </c>
      <c r="V30" s="102">
        <v>471</v>
      </c>
      <c r="W30" s="102">
        <v>490</v>
      </c>
      <c r="X30" s="102">
        <v>705</v>
      </c>
      <c r="Y30" s="102">
        <v>461</v>
      </c>
      <c r="DA30" s="175" t="s">
        <v>214</v>
      </c>
    </row>
    <row r="31" spans="1:105" ht="11.45" customHeight="1" x14ac:dyDescent="0.25">
      <c r="A31" s="85" t="s">
        <v>182</v>
      </c>
      <c r="B31" s="86">
        <v>27</v>
      </c>
      <c r="C31" s="86">
        <v>36</v>
      </c>
      <c r="D31" s="86">
        <v>44</v>
      </c>
      <c r="E31" s="86">
        <v>53</v>
      </c>
      <c r="F31" s="86">
        <v>57</v>
      </c>
      <c r="G31" s="86">
        <v>63</v>
      </c>
      <c r="H31" s="86">
        <v>63</v>
      </c>
      <c r="I31" s="86">
        <v>64</v>
      </c>
      <c r="J31" s="86">
        <v>54</v>
      </c>
      <c r="K31" s="86">
        <v>81</v>
      </c>
      <c r="L31" s="86">
        <v>140</v>
      </c>
      <c r="M31" s="86">
        <v>139</v>
      </c>
      <c r="N31" s="86">
        <v>65</v>
      </c>
      <c r="O31" s="86">
        <v>67</v>
      </c>
      <c r="P31" s="86">
        <v>94</v>
      </c>
      <c r="Q31" s="86">
        <v>221</v>
      </c>
      <c r="R31" s="86">
        <v>213</v>
      </c>
      <c r="S31" s="86">
        <v>224</v>
      </c>
      <c r="T31" s="86">
        <v>141</v>
      </c>
      <c r="U31" s="86">
        <v>107</v>
      </c>
      <c r="V31" s="86">
        <v>141</v>
      </c>
      <c r="W31" s="86">
        <v>112</v>
      </c>
      <c r="X31" s="86">
        <v>57</v>
      </c>
      <c r="Y31" s="86">
        <v>51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1090188</v>
      </c>
      <c r="C34" s="11">
        <f t="shared" si="24"/>
        <v>1458465</v>
      </c>
      <c r="D34" s="11">
        <f t="shared" ref="D34:V34" si="25">SUM(D35:D37)</f>
        <v>1701735</v>
      </c>
      <c r="E34" s="11">
        <f t="shared" si="25"/>
        <v>2179173</v>
      </c>
      <c r="F34" s="11">
        <f t="shared" si="25"/>
        <v>2065396</v>
      </c>
      <c r="G34" s="11">
        <f t="shared" si="25"/>
        <v>2404156</v>
      </c>
      <c r="H34" s="11">
        <f t="shared" si="25"/>
        <v>2824804</v>
      </c>
      <c r="I34" s="11">
        <f t="shared" si="25"/>
        <v>3115213</v>
      </c>
      <c r="J34" s="11">
        <f t="shared" si="25"/>
        <v>3334794</v>
      </c>
      <c r="K34" s="11">
        <f t="shared" si="25"/>
        <v>3050763</v>
      </c>
      <c r="L34" s="11">
        <f t="shared" si="25"/>
        <v>3225888</v>
      </c>
      <c r="M34" s="11">
        <f t="shared" si="25"/>
        <v>3466999</v>
      </c>
      <c r="N34" s="11">
        <f t="shared" si="25"/>
        <v>3551066</v>
      </c>
      <c r="O34" s="11">
        <f t="shared" si="25"/>
        <v>3668784</v>
      </c>
      <c r="P34" s="11">
        <f t="shared" si="25"/>
        <v>3889030</v>
      </c>
      <c r="Q34" s="11">
        <f t="shared" si="25"/>
        <v>3958648</v>
      </c>
      <c r="R34" s="11">
        <f t="shared" si="25"/>
        <v>4801455</v>
      </c>
      <c r="S34" s="11">
        <f t="shared" si="25"/>
        <v>5756083</v>
      </c>
      <c r="T34" s="11">
        <f t="shared" si="25"/>
        <v>6282479</v>
      </c>
      <c r="U34" s="11">
        <f t="shared" si="25"/>
        <v>6040900</v>
      </c>
      <c r="V34" s="11">
        <f t="shared" si="25"/>
        <v>1945694</v>
      </c>
      <c r="W34" s="11">
        <f t="shared" ref="W34:Y34" si="26">SUM(W35:W37)</f>
        <v>2702751</v>
      </c>
      <c r="X34" s="11">
        <f t="shared" si="26"/>
        <v>4565477</v>
      </c>
      <c r="Y34" s="11">
        <f t="shared" si="26"/>
        <v>5432738</v>
      </c>
      <c r="DA34" s="189" t="s">
        <v>216</v>
      </c>
    </row>
    <row r="35" spans="1:105" ht="11.45" customHeight="1" x14ac:dyDescent="0.25">
      <c r="A35" s="83" t="s">
        <v>27</v>
      </c>
      <c r="B35" s="84">
        <v>41010</v>
      </c>
      <c r="C35" s="84">
        <v>94853</v>
      </c>
      <c r="D35" s="84">
        <v>58479</v>
      </c>
      <c r="E35" s="84">
        <v>54041</v>
      </c>
      <c r="F35" s="84">
        <v>45747</v>
      </c>
      <c r="G35" s="84">
        <v>54992</v>
      </c>
      <c r="H35" s="84">
        <v>73903</v>
      </c>
      <c r="I35" s="84">
        <v>94652</v>
      </c>
      <c r="J35" s="84">
        <v>148639</v>
      </c>
      <c r="K35" s="84">
        <v>182613</v>
      </c>
      <c r="L35" s="84">
        <v>193971</v>
      </c>
      <c r="M35" s="84">
        <v>214399</v>
      </c>
      <c r="N35" s="84">
        <v>213914</v>
      </c>
      <c r="O35" s="84">
        <v>196376</v>
      </c>
      <c r="P35" s="84">
        <v>177915</v>
      </c>
      <c r="Q35" s="84">
        <v>173520</v>
      </c>
      <c r="R35" s="84">
        <v>175901</v>
      </c>
      <c r="S35" s="84">
        <v>291668</v>
      </c>
      <c r="T35" s="84">
        <v>322869</v>
      </c>
      <c r="U35" s="84">
        <v>300618</v>
      </c>
      <c r="V35" s="84">
        <v>136620</v>
      </c>
      <c r="W35" s="84">
        <v>216546</v>
      </c>
      <c r="X35" s="84">
        <v>245161</v>
      </c>
      <c r="Y35" s="84">
        <v>257628</v>
      </c>
      <c r="DA35" s="171" t="s">
        <v>217</v>
      </c>
    </row>
    <row r="36" spans="1:105" ht="11.45" customHeight="1" x14ac:dyDescent="0.25">
      <c r="A36" s="83" t="s">
        <v>181</v>
      </c>
      <c r="B36" s="84">
        <v>880106</v>
      </c>
      <c r="C36" s="84">
        <v>1144030</v>
      </c>
      <c r="D36" s="84">
        <v>1379059</v>
      </c>
      <c r="E36" s="84">
        <v>1783474</v>
      </c>
      <c r="F36" s="84">
        <v>1694357</v>
      </c>
      <c r="G36" s="84">
        <v>2035479</v>
      </c>
      <c r="H36" s="84">
        <v>2417012</v>
      </c>
      <c r="I36" s="84">
        <v>2599027</v>
      </c>
      <c r="J36" s="84">
        <v>2674286</v>
      </c>
      <c r="K36" s="84">
        <v>2384128</v>
      </c>
      <c r="L36" s="84">
        <v>2432626</v>
      </c>
      <c r="M36" s="84">
        <v>2568669</v>
      </c>
      <c r="N36" s="84">
        <v>2562184</v>
      </c>
      <c r="O36" s="84">
        <v>2570207</v>
      </c>
      <c r="P36" s="84">
        <v>2700245</v>
      </c>
      <c r="Q36" s="84">
        <v>2839749</v>
      </c>
      <c r="R36" s="84">
        <v>3550558</v>
      </c>
      <c r="S36" s="84">
        <v>4409502</v>
      </c>
      <c r="T36" s="84">
        <v>4842673</v>
      </c>
      <c r="U36" s="84">
        <v>4644731</v>
      </c>
      <c r="V36" s="84">
        <v>1620073</v>
      </c>
      <c r="W36" s="84">
        <v>2121335</v>
      </c>
      <c r="X36" s="84">
        <v>3781000</v>
      </c>
      <c r="Y36" s="84">
        <v>4510451</v>
      </c>
      <c r="DA36" s="171" t="s">
        <v>218</v>
      </c>
    </row>
    <row r="37" spans="1:105" ht="11.45" customHeight="1" x14ac:dyDescent="0.25">
      <c r="A37" s="83" t="s">
        <v>182</v>
      </c>
      <c r="B37" s="84">
        <v>169072</v>
      </c>
      <c r="C37" s="84">
        <v>219582</v>
      </c>
      <c r="D37" s="84">
        <v>264197</v>
      </c>
      <c r="E37" s="84">
        <v>341658</v>
      </c>
      <c r="F37" s="84">
        <v>325292</v>
      </c>
      <c r="G37" s="84">
        <v>313685</v>
      </c>
      <c r="H37" s="84">
        <v>333889</v>
      </c>
      <c r="I37" s="84">
        <v>421534</v>
      </c>
      <c r="J37" s="84">
        <v>511869</v>
      </c>
      <c r="K37" s="84">
        <v>484022</v>
      </c>
      <c r="L37" s="84">
        <v>599291</v>
      </c>
      <c r="M37" s="84">
        <v>683931</v>
      </c>
      <c r="N37" s="84">
        <v>774968</v>
      </c>
      <c r="O37" s="84">
        <v>902201</v>
      </c>
      <c r="P37" s="84">
        <v>1010870</v>
      </c>
      <c r="Q37" s="84">
        <v>945379</v>
      </c>
      <c r="R37" s="84">
        <v>1074996</v>
      </c>
      <c r="S37" s="84">
        <v>1054913</v>
      </c>
      <c r="T37" s="84">
        <v>1116937</v>
      </c>
      <c r="U37" s="84">
        <v>1095551</v>
      </c>
      <c r="V37" s="84">
        <v>189001</v>
      </c>
      <c r="W37" s="84">
        <v>364870</v>
      </c>
      <c r="X37" s="84">
        <v>539316</v>
      </c>
      <c r="Y37" s="84">
        <v>664659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6177.2380052166454</v>
      </c>
      <c r="C38" s="13">
        <f t="shared" si="27"/>
        <v>4930.8240685065693</v>
      </c>
      <c r="D38" s="13">
        <f t="shared" ref="D38:V38" si="28">SUM(D39:D41)</f>
        <v>5617.1342221184868</v>
      </c>
      <c r="E38" s="13">
        <f t="shared" si="28"/>
        <v>6181.8446715230057</v>
      </c>
      <c r="F38" s="13">
        <f t="shared" si="28"/>
        <v>6322.1056583541576</v>
      </c>
      <c r="G38" s="13">
        <f t="shared" si="28"/>
        <v>7133.4872076330121</v>
      </c>
      <c r="H38" s="13">
        <f t="shared" si="28"/>
        <v>7933.8191267137045</v>
      </c>
      <c r="I38" s="13">
        <f t="shared" si="28"/>
        <v>8447.9906531535562</v>
      </c>
      <c r="J38" s="13">
        <f t="shared" si="28"/>
        <v>8702.6791454000158</v>
      </c>
      <c r="K38" s="13">
        <f t="shared" si="28"/>
        <v>9288.5711094260623</v>
      </c>
      <c r="L38" s="13">
        <f t="shared" si="28"/>
        <v>12691.666582040598</v>
      </c>
      <c r="M38" s="13">
        <f t="shared" si="28"/>
        <v>13034.158368904558</v>
      </c>
      <c r="N38" s="13">
        <f t="shared" si="28"/>
        <v>9557.5510901495218</v>
      </c>
      <c r="O38" s="13">
        <f t="shared" si="28"/>
        <v>10147.35571930146</v>
      </c>
      <c r="P38" s="13">
        <f t="shared" si="28"/>
        <v>13110.591463017648</v>
      </c>
      <c r="Q38" s="13">
        <f t="shared" si="28"/>
        <v>21481.153274920183</v>
      </c>
      <c r="R38" s="13">
        <f t="shared" si="28"/>
        <v>22877.441512213729</v>
      </c>
      <c r="S38" s="13">
        <f t="shared" si="28"/>
        <v>24137.263549713451</v>
      </c>
      <c r="T38" s="13">
        <f t="shared" si="28"/>
        <v>18566.622923495182</v>
      </c>
      <c r="U38" s="13">
        <f t="shared" si="28"/>
        <v>17347.886923393264</v>
      </c>
      <c r="V38" s="13">
        <f t="shared" si="28"/>
        <v>15433.159550225075</v>
      </c>
      <c r="W38" s="13">
        <f t="shared" ref="W38:Y38" si="29">SUM(W39:W41)</f>
        <v>14708.259268971702</v>
      </c>
      <c r="X38" s="13">
        <f t="shared" si="29"/>
        <v>16061.379683254714</v>
      </c>
      <c r="Y38" s="13">
        <f t="shared" si="29"/>
        <v>11500.6266508894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4769.503290802314</v>
      </c>
      <c r="C40" s="102">
        <v>2991.5983157848809</v>
      </c>
      <c r="D40" s="102">
        <v>3289.3939309503467</v>
      </c>
      <c r="E40" s="102">
        <v>3599.3346055575184</v>
      </c>
      <c r="F40" s="102">
        <v>3582.7062314691216</v>
      </c>
      <c r="G40" s="102">
        <v>4347.9081056963932</v>
      </c>
      <c r="H40" s="102">
        <v>5088.4787667426181</v>
      </c>
      <c r="I40" s="102">
        <v>5556.0980362095697</v>
      </c>
      <c r="J40" s="102">
        <v>6277.3706781682813</v>
      </c>
      <c r="K40" s="102">
        <v>5246.6764993982069</v>
      </c>
      <c r="L40" s="102">
        <v>5337.7569933960112</v>
      </c>
      <c r="M40" s="102">
        <v>5379.9268870537953</v>
      </c>
      <c r="N40" s="102">
        <v>5717.2174485319165</v>
      </c>
      <c r="O40" s="102">
        <v>6149.8214167136857</v>
      </c>
      <c r="P40" s="102">
        <v>6863.1815164631971</v>
      </c>
      <c r="Q40" s="102">
        <v>6836.7144266426285</v>
      </c>
      <c r="R40" s="102">
        <v>7234.2280328489987</v>
      </c>
      <c r="S40" s="102">
        <v>7712.2550236606367</v>
      </c>
      <c r="T40" s="102">
        <v>8190.0464696273684</v>
      </c>
      <c r="U40" s="102">
        <v>9279.9239489046504</v>
      </c>
      <c r="V40" s="102">
        <v>8308.6783799241948</v>
      </c>
      <c r="W40" s="102">
        <v>8706.5139201802012</v>
      </c>
      <c r="X40" s="102">
        <v>12612.784261749424</v>
      </c>
      <c r="Y40" s="102">
        <v>8284.1871691809865</v>
      </c>
      <c r="DA40" s="175" t="s">
        <v>222</v>
      </c>
    </row>
    <row r="41" spans="1:105" ht="11.45" customHeight="1" x14ac:dyDescent="0.25">
      <c r="A41" s="85" t="s">
        <v>182</v>
      </c>
      <c r="B41" s="86">
        <v>1407.7347144143316</v>
      </c>
      <c r="C41" s="86">
        <v>1939.2257527216884</v>
      </c>
      <c r="D41" s="86">
        <v>2327.7402911681402</v>
      </c>
      <c r="E41" s="86">
        <v>2582.5100659654877</v>
      </c>
      <c r="F41" s="86">
        <v>2739.3994268850365</v>
      </c>
      <c r="G41" s="86">
        <v>2785.5791019366188</v>
      </c>
      <c r="H41" s="86">
        <v>2845.3403599710859</v>
      </c>
      <c r="I41" s="86">
        <v>2891.892616943986</v>
      </c>
      <c r="J41" s="86">
        <v>2425.308467231735</v>
      </c>
      <c r="K41" s="86">
        <v>4041.8946100278549</v>
      </c>
      <c r="L41" s="86">
        <v>7353.9095886445866</v>
      </c>
      <c r="M41" s="86">
        <v>7654.2314818507639</v>
      </c>
      <c r="N41" s="86">
        <v>3840.3336416176053</v>
      </c>
      <c r="O41" s="86">
        <v>3997.5343025877746</v>
      </c>
      <c r="P41" s="86">
        <v>6247.4099465544514</v>
      </c>
      <c r="Q41" s="86">
        <v>14644.438848277556</v>
      </c>
      <c r="R41" s="86">
        <v>15643.213479364729</v>
      </c>
      <c r="S41" s="86">
        <v>16425.008526052814</v>
      </c>
      <c r="T41" s="86">
        <v>10376.576453867816</v>
      </c>
      <c r="U41" s="86">
        <v>8067.9629744886115</v>
      </c>
      <c r="V41" s="86">
        <v>7124.4811703008791</v>
      </c>
      <c r="W41" s="86">
        <v>6001.7453487915009</v>
      </c>
      <c r="X41" s="86">
        <v>3448.5954215052902</v>
      </c>
      <c r="Y41" s="86">
        <v>3216.4394817084149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10.536654122214502</v>
      </c>
      <c r="C43" s="54">
        <f t="shared" si="30"/>
        <v>14.176540587939373</v>
      </c>
      <c r="D43" s="54">
        <f t="shared" ref="D43:V43" si="31">SUM(D44,D48)</f>
        <v>16.559097826639238</v>
      </c>
      <c r="E43" s="54">
        <f t="shared" si="31"/>
        <v>20.666600063350209</v>
      </c>
      <c r="F43" s="54">
        <f t="shared" si="31"/>
        <v>19.661175663026057</v>
      </c>
      <c r="G43" s="54">
        <f t="shared" si="31"/>
        <v>22.263263228937703</v>
      </c>
      <c r="H43" s="54">
        <f t="shared" si="31"/>
        <v>25.50326031550874</v>
      </c>
      <c r="I43" s="54">
        <f t="shared" si="31"/>
        <v>27.583335126074168</v>
      </c>
      <c r="J43" s="54">
        <f t="shared" si="31"/>
        <v>29.120859155049512</v>
      </c>
      <c r="K43" s="54">
        <f t="shared" si="31"/>
        <v>28.121605639840176</v>
      </c>
      <c r="L43" s="54">
        <f t="shared" si="31"/>
        <v>28.720313802853521</v>
      </c>
      <c r="M43" s="54">
        <f t="shared" si="31"/>
        <v>29.330008830051639</v>
      </c>
      <c r="N43" s="54">
        <f t="shared" si="31"/>
        <v>28.748602685261137</v>
      </c>
      <c r="O43" s="54">
        <f t="shared" si="31"/>
        <v>28.761755024992592</v>
      </c>
      <c r="P43" s="54">
        <f t="shared" si="31"/>
        <v>30.170266387613204</v>
      </c>
      <c r="Q43" s="54">
        <f t="shared" si="31"/>
        <v>30.253161094255116</v>
      </c>
      <c r="R43" s="54">
        <f t="shared" si="31"/>
        <v>36.114347466761899</v>
      </c>
      <c r="S43" s="54">
        <f t="shared" si="31"/>
        <v>39.611957785912104</v>
      </c>
      <c r="T43" s="54">
        <f t="shared" si="31"/>
        <v>42.536179289067434</v>
      </c>
      <c r="U43" s="54">
        <f t="shared" si="31"/>
        <v>42.059104052939574</v>
      </c>
      <c r="V43" s="54">
        <f t="shared" si="31"/>
        <v>41.539387705807407</v>
      </c>
      <c r="W43" s="54">
        <f t="shared" ref="W43:Y43" si="32">SUM(W44,W48)</f>
        <v>41.048318458357372</v>
      </c>
      <c r="X43" s="54">
        <f t="shared" si="32"/>
        <v>40.76490590887866</v>
      </c>
      <c r="Y43" s="54">
        <f t="shared" si="32"/>
        <v>40.238073202767936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10.23586798460224</v>
      </c>
      <c r="C44" s="11">
        <f t="shared" si="33"/>
        <v>13.888491609487989</v>
      </c>
      <c r="D44" s="11">
        <f t="shared" ref="D44:V44" si="34">SUM(D45:D47)</f>
        <v>16.286320510534875</v>
      </c>
      <c r="E44" s="11">
        <f t="shared" si="34"/>
        <v>20.407203494576642</v>
      </c>
      <c r="F44" s="11">
        <f t="shared" si="34"/>
        <v>19.383616696116416</v>
      </c>
      <c r="G44" s="11">
        <f t="shared" si="34"/>
        <v>21.920001653183913</v>
      </c>
      <c r="H44" s="11">
        <f t="shared" si="34"/>
        <v>25.080869033119718</v>
      </c>
      <c r="I44" s="11">
        <f t="shared" si="34"/>
        <v>27.118569654852202</v>
      </c>
      <c r="J44" s="11">
        <f t="shared" si="34"/>
        <v>28.608202637663929</v>
      </c>
      <c r="K44" s="11">
        <f t="shared" si="34"/>
        <v>27.584615839203703</v>
      </c>
      <c r="L44" s="11">
        <f t="shared" si="34"/>
        <v>28.087498618015456</v>
      </c>
      <c r="M44" s="11">
        <f t="shared" si="34"/>
        <v>28.723138531562384</v>
      </c>
      <c r="N44" s="11">
        <f t="shared" si="34"/>
        <v>28.160240289371295</v>
      </c>
      <c r="O44" s="11">
        <f t="shared" si="34"/>
        <v>28.163012991314993</v>
      </c>
      <c r="P44" s="11">
        <f t="shared" si="34"/>
        <v>29.559853707373769</v>
      </c>
      <c r="Q44" s="11">
        <f t="shared" si="34"/>
        <v>29.601368160783309</v>
      </c>
      <c r="R44" s="11">
        <f t="shared" si="34"/>
        <v>35.45927364100914</v>
      </c>
      <c r="S44" s="11">
        <f t="shared" si="34"/>
        <v>38.876502647222189</v>
      </c>
      <c r="T44" s="11">
        <f t="shared" si="34"/>
        <v>41.775488136186652</v>
      </c>
      <c r="U44" s="11">
        <f t="shared" si="34"/>
        <v>41.250977106082409</v>
      </c>
      <c r="V44" s="11">
        <f t="shared" si="34"/>
        <v>40.739183706852302</v>
      </c>
      <c r="W44" s="11">
        <f t="shared" ref="W44:Y44" si="35">SUM(W45:W47)</f>
        <v>40.227390307622187</v>
      </c>
      <c r="X44" s="11">
        <f t="shared" si="35"/>
        <v>39.715596908392079</v>
      </c>
      <c r="Y44" s="11">
        <f t="shared" si="35"/>
        <v>39.203803509161965</v>
      </c>
      <c r="DA44" s="189" t="s">
        <v>225</v>
      </c>
    </row>
    <row r="45" spans="1:105" ht="11.45" customHeight="1" x14ac:dyDescent="0.25">
      <c r="A45" s="83" t="s">
        <v>27</v>
      </c>
      <c r="B45" s="84">
        <v>0.6875</v>
      </c>
      <c r="C45" s="84">
        <v>1.5141129032258065</v>
      </c>
      <c r="D45" s="84">
        <v>1.4453629032258064</v>
      </c>
      <c r="E45" s="84">
        <v>1.3766129032258063</v>
      </c>
      <c r="F45" s="84">
        <v>1.3078629032258062</v>
      </c>
      <c r="G45" s="84">
        <v>1.2391129032258061</v>
      </c>
      <c r="H45" s="84">
        <v>1.1703629032258061</v>
      </c>
      <c r="I45" s="84">
        <v>1.2478559176672384</v>
      </c>
      <c r="J45" s="84">
        <v>1.4168448054724241</v>
      </c>
      <c r="K45" s="84">
        <v>1.348094805472424</v>
      </c>
      <c r="L45" s="84">
        <v>1.2793448054724239</v>
      </c>
      <c r="M45" s="84">
        <v>1.5074246924056003</v>
      </c>
      <c r="N45" s="84">
        <v>1.4386746924056002</v>
      </c>
      <c r="O45" s="84">
        <v>1.3699246924056001</v>
      </c>
      <c r="P45" s="84">
        <v>1.3011746924056</v>
      </c>
      <c r="Q45" s="84">
        <v>1.2324246924055999</v>
      </c>
      <c r="R45" s="84">
        <v>1.1636746924055998</v>
      </c>
      <c r="S45" s="84">
        <v>1.2337773957885689</v>
      </c>
      <c r="T45" s="84">
        <v>1.2541935483870967</v>
      </c>
      <c r="U45" s="84">
        <v>1.1854435483870966</v>
      </c>
      <c r="V45" s="84">
        <v>1.1510685483870966</v>
      </c>
      <c r="W45" s="84">
        <v>1.1166935483870966</v>
      </c>
      <c r="X45" s="84">
        <v>1.0823185483870965</v>
      </c>
      <c r="Y45" s="84">
        <v>1.0479435483870965</v>
      </c>
      <c r="DA45" s="171" t="s">
        <v>226</v>
      </c>
    </row>
    <row r="46" spans="1:105" ht="11.45" customHeight="1" x14ac:dyDescent="0.25">
      <c r="A46" s="83" t="s">
        <v>181</v>
      </c>
      <c r="B46" s="84">
        <v>7.8952395543058627</v>
      </c>
      <c r="C46" s="84">
        <v>10.232776071794564</v>
      </c>
      <c r="D46" s="84">
        <v>12.272351679756927</v>
      </c>
      <c r="E46" s="84">
        <v>15.73750606884809</v>
      </c>
      <c r="F46" s="84">
        <v>14.947982113417504</v>
      </c>
      <c r="G46" s="84">
        <v>17.601433585372408</v>
      </c>
      <c r="H46" s="84">
        <v>20.612682533101246</v>
      </c>
      <c r="I46" s="84">
        <v>21.679689571477255</v>
      </c>
      <c r="J46" s="84">
        <v>22.082786403620073</v>
      </c>
      <c r="K46" s="84">
        <v>21.293262448189488</v>
      </c>
      <c r="L46" s="84">
        <v>20.713315877368963</v>
      </c>
      <c r="M46" s="84">
        <v>20.676194938813143</v>
      </c>
      <c r="N46" s="84">
        <v>19.886670983382558</v>
      </c>
      <c r="O46" s="84">
        <v>19.35374789843825</v>
      </c>
      <c r="P46" s="84">
        <v>19.195433191579149</v>
      </c>
      <c r="Q46" s="84">
        <v>19.43631935490253</v>
      </c>
      <c r="R46" s="84">
        <v>23.819702780494765</v>
      </c>
      <c r="S46" s="84">
        <v>27.332141926354485</v>
      </c>
      <c r="T46" s="84">
        <v>29.472334979476418</v>
      </c>
      <c r="U46" s="84">
        <v>29.181886792401819</v>
      </c>
      <c r="V46" s="84">
        <v>28.787124814686525</v>
      </c>
      <c r="W46" s="84">
        <v>28.392362836971234</v>
      </c>
      <c r="X46" s="84">
        <v>27.997600859255943</v>
      </c>
      <c r="Y46" s="84">
        <v>27.602838881540649</v>
      </c>
      <c r="DA46" s="171" t="s">
        <v>227</v>
      </c>
    </row>
    <row r="47" spans="1:105" ht="11.45" customHeight="1" x14ac:dyDescent="0.25">
      <c r="A47" s="83" t="s">
        <v>182</v>
      </c>
      <c r="B47" s="84">
        <v>1.6531284302963776</v>
      </c>
      <c r="C47" s="84">
        <v>2.1416026344676178</v>
      </c>
      <c r="D47" s="84">
        <v>2.5686059275521407</v>
      </c>
      <c r="E47" s="84">
        <v>3.2930845225027441</v>
      </c>
      <c r="F47" s="84">
        <v>3.1277716794731063</v>
      </c>
      <c r="G47" s="84">
        <v>3.0794551645856982</v>
      </c>
      <c r="H47" s="84">
        <v>3.2978235967926688</v>
      </c>
      <c r="I47" s="84">
        <v>4.1910241657077103</v>
      </c>
      <c r="J47" s="84">
        <v>5.1085714285714285</v>
      </c>
      <c r="K47" s="84">
        <v>4.9432585855417912</v>
      </c>
      <c r="L47" s="84">
        <v>6.0948379351740698</v>
      </c>
      <c r="M47" s="84">
        <v>6.5395189003436425</v>
      </c>
      <c r="N47" s="84">
        <v>6.8348946135831383</v>
      </c>
      <c r="O47" s="84">
        <v>7.4393404004711421</v>
      </c>
      <c r="P47" s="84">
        <v>9.0632458233890212</v>
      </c>
      <c r="Q47" s="84">
        <v>8.9326241134751765</v>
      </c>
      <c r="R47" s="84">
        <v>10.475896168108775</v>
      </c>
      <c r="S47" s="84">
        <v>10.310583325079138</v>
      </c>
      <c r="T47" s="84">
        <v>11.048959608323134</v>
      </c>
      <c r="U47" s="84">
        <v>10.883646765293497</v>
      </c>
      <c r="V47" s="84">
        <v>10.800990343778677</v>
      </c>
      <c r="W47" s="84">
        <v>10.718333922263858</v>
      </c>
      <c r="X47" s="84">
        <v>10.635677500749038</v>
      </c>
      <c r="Y47" s="84">
        <v>10.553021079234219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0.30078613761226153</v>
      </c>
      <c r="C48" s="13">
        <f t="shared" si="36"/>
        <v>0.288048978451384</v>
      </c>
      <c r="D48" s="13">
        <f t="shared" ref="D48:V48" si="37">SUM(D49:D51)</f>
        <v>0.27277731610436534</v>
      </c>
      <c r="E48" s="13">
        <f t="shared" si="37"/>
        <v>0.2593965687735672</v>
      </c>
      <c r="F48" s="13">
        <f t="shared" si="37"/>
        <v>0.27755896690964255</v>
      </c>
      <c r="G48" s="13">
        <f t="shared" si="37"/>
        <v>0.34326157575378979</v>
      </c>
      <c r="H48" s="13">
        <f t="shared" si="37"/>
        <v>0.4223912823890229</v>
      </c>
      <c r="I48" s="13">
        <f t="shared" si="37"/>
        <v>0.46476547122196499</v>
      </c>
      <c r="J48" s="13">
        <f t="shared" si="37"/>
        <v>0.51265651738558216</v>
      </c>
      <c r="K48" s="13">
        <f t="shared" si="37"/>
        <v>0.5369898006364715</v>
      </c>
      <c r="L48" s="13">
        <f t="shared" si="37"/>
        <v>0.63281518483806687</v>
      </c>
      <c r="M48" s="13">
        <f t="shared" si="37"/>
        <v>0.60687029848925467</v>
      </c>
      <c r="N48" s="13">
        <f t="shared" si="37"/>
        <v>0.5883623958898424</v>
      </c>
      <c r="O48" s="13">
        <f t="shared" si="37"/>
        <v>0.59874203367760037</v>
      </c>
      <c r="P48" s="13">
        <f t="shared" si="37"/>
        <v>0.61041268023943551</v>
      </c>
      <c r="Q48" s="13">
        <f t="shared" si="37"/>
        <v>0.65179293347180689</v>
      </c>
      <c r="R48" s="13">
        <f t="shared" si="37"/>
        <v>0.65507382575275996</v>
      </c>
      <c r="S48" s="13">
        <f t="shared" si="37"/>
        <v>0.73545513868991497</v>
      </c>
      <c r="T48" s="13">
        <f t="shared" si="37"/>
        <v>0.7606911528807816</v>
      </c>
      <c r="U48" s="13">
        <f t="shared" si="37"/>
        <v>0.80812694685716147</v>
      </c>
      <c r="V48" s="13">
        <f t="shared" si="37"/>
        <v>0.80020399895510785</v>
      </c>
      <c r="W48" s="13">
        <f t="shared" ref="W48:Y48" si="38">SUM(W49:W51)</f>
        <v>0.82092815073518222</v>
      </c>
      <c r="X48" s="13">
        <f t="shared" si="38"/>
        <v>1.0493090004865815</v>
      </c>
      <c r="Y48" s="13">
        <f t="shared" si="38"/>
        <v>1.0342696936059683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0.26468988092776957</v>
      </c>
      <c r="C50" s="102">
        <v>0.23992063620539467</v>
      </c>
      <c r="D50" s="102">
        <v>0.21395378669260062</v>
      </c>
      <c r="E50" s="102">
        <v>0.18854095380030517</v>
      </c>
      <c r="F50" s="102">
        <v>0.20135575835349279</v>
      </c>
      <c r="G50" s="102">
        <v>0.25684182266737005</v>
      </c>
      <c r="H50" s="102">
        <v>0.32947092840672199</v>
      </c>
      <c r="I50" s="102">
        <v>0.36413654040435489</v>
      </c>
      <c r="J50" s="102">
        <v>0.41563721223642125</v>
      </c>
      <c r="K50" s="102">
        <v>0.39413265777932871</v>
      </c>
      <c r="L50" s="102">
        <v>0.36766366968655173</v>
      </c>
      <c r="M50" s="102">
        <v>0.34532840900618872</v>
      </c>
      <c r="N50" s="102">
        <v>0.33043013207522565</v>
      </c>
      <c r="O50" s="102">
        <v>0.34441939553143275</v>
      </c>
      <c r="P50" s="102">
        <v>0.35969966776171713</v>
      </c>
      <c r="Q50" s="102">
        <v>0.35594286653740259</v>
      </c>
      <c r="R50" s="102">
        <v>0.34183853163511285</v>
      </c>
      <c r="S50" s="102">
        <v>0.39030875964523082</v>
      </c>
      <c r="T50" s="102">
        <v>0.41915439950454658</v>
      </c>
      <c r="U50" s="102">
        <v>0.47019981914937564</v>
      </c>
      <c r="V50" s="102">
        <v>0.46408168408154671</v>
      </c>
      <c r="W50" s="102">
        <v>0.48661064869584575</v>
      </c>
      <c r="X50" s="102">
        <v>0.7167963112814697</v>
      </c>
      <c r="Y50" s="102">
        <v>0.70356181723508115</v>
      </c>
      <c r="DA50" s="175" t="s">
        <v>231</v>
      </c>
    </row>
    <row r="51" spans="1:105" ht="11.45" customHeight="1" x14ac:dyDescent="0.25">
      <c r="A51" s="85" t="s">
        <v>182</v>
      </c>
      <c r="B51" s="86">
        <v>3.6096256684491977E-2</v>
      </c>
      <c r="C51" s="86">
        <v>4.8128342245989303E-2</v>
      </c>
      <c r="D51" s="86">
        <v>5.8823529411764705E-2</v>
      </c>
      <c r="E51" s="86">
        <v>7.0855614973262038E-2</v>
      </c>
      <c r="F51" s="86">
        <v>7.6203208556149732E-2</v>
      </c>
      <c r="G51" s="86">
        <v>8.6419753086419748E-2</v>
      </c>
      <c r="H51" s="86">
        <v>9.2920353982300891E-2</v>
      </c>
      <c r="I51" s="86">
        <v>0.10062893081761007</v>
      </c>
      <c r="J51" s="86">
        <v>9.7019305149160864E-2</v>
      </c>
      <c r="K51" s="86">
        <v>0.14285714285714285</v>
      </c>
      <c r="L51" s="86">
        <v>0.26515151515151514</v>
      </c>
      <c r="M51" s="86">
        <v>0.26154188948306595</v>
      </c>
      <c r="N51" s="86">
        <v>0.25793226381461676</v>
      </c>
      <c r="O51" s="86">
        <v>0.25432263814616757</v>
      </c>
      <c r="P51" s="86">
        <v>0.25071301247771838</v>
      </c>
      <c r="Q51" s="86">
        <v>0.2958500669344043</v>
      </c>
      <c r="R51" s="86">
        <v>0.31323529411764706</v>
      </c>
      <c r="S51" s="86">
        <v>0.34514637904468415</v>
      </c>
      <c r="T51" s="86">
        <v>0.34153675337623496</v>
      </c>
      <c r="U51" s="86">
        <v>0.33792712770778577</v>
      </c>
      <c r="V51" s="86">
        <v>0.33612231487356115</v>
      </c>
      <c r="W51" s="86">
        <v>0.33431750203933652</v>
      </c>
      <c r="X51" s="86">
        <v>0.3325126892051119</v>
      </c>
      <c r="Y51" s="86">
        <v>0.33070787637088728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1.7072556744550698</v>
      </c>
      <c r="C53" s="54">
        <f t="shared" si="39"/>
        <v>4.1306146133166655</v>
      </c>
      <c r="D53" s="54">
        <f t="shared" ref="D53:V53" si="40">SUM(D54,D58)</f>
        <v>2.8915649561836618</v>
      </c>
      <c r="E53" s="54">
        <f t="shared" si="40"/>
        <v>4.6159559375742631</v>
      </c>
      <c r="F53" s="54">
        <f t="shared" si="40"/>
        <v>2.7764030752075276E-2</v>
      </c>
      <c r="G53" s="54">
        <f t="shared" si="40"/>
        <v>3.1004074755204787</v>
      </c>
      <c r="H53" s="54">
        <f t="shared" si="40"/>
        <v>3.7383169961798819</v>
      </c>
      <c r="I53" s="54">
        <f t="shared" si="40"/>
        <v>2.5673342427714401</v>
      </c>
      <c r="J53" s="54">
        <f t="shared" si="40"/>
        <v>2.0174080774011536</v>
      </c>
      <c r="K53" s="54">
        <f t="shared" si="40"/>
        <v>5.2111710525683475E-2</v>
      </c>
      <c r="L53" s="54">
        <f t="shared" si="40"/>
        <v>1.3468647544836507</v>
      </c>
      <c r="M53" s="54">
        <f t="shared" si="40"/>
        <v>1.1847014666651583</v>
      </c>
      <c r="N53" s="54">
        <f t="shared" si="40"/>
        <v>0.3764927884342088</v>
      </c>
      <c r="O53" s="54">
        <f t="shared" si="40"/>
        <v>0.8837657946722105</v>
      </c>
      <c r="P53" s="54">
        <f t="shared" si="40"/>
        <v>1.9160800539495912</v>
      </c>
      <c r="Q53" s="54">
        <f t="shared" si="40"/>
        <v>0.64769300580928124</v>
      </c>
      <c r="R53" s="54">
        <f t="shared" si="40"/>
        <v>6.3633277185725463</v>
      </c>
      <c r="S53" s="54">
        <f t="shared" si="40"/>
        <v>4.0788201815413689</v>
      </c>
      <c r="T53" s="54">
        <f t="shared" si="40"/>
        <v>3.4844596986665608</v>
      </c>
      <c r="U53" s="54">
        <f t="shared" si="40"/>
        <v>0.48844391873277609</v>
      </c>
      <c r="V53" s="54">
        <f t="shared" si="40"/>
        <v>2.2122686108488478E-2</v>
      </c>
      <c r="W53" s="54">
        <f t="shared" ref="W53:Y53" si="41">SUM(W54,W58)</f>
        <v>4.7164133824412258E-2</v>
      </c>
      <c r="X53" s="54">
        <f t="shared" si="41"/>
        <v>0.254820831795737</v>
      </c>
      <c r="Y53" s="54">
        <f t="shared" si="41"/>
        <v>1.6095430107999853E-2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1.645298355814796</v>
      </c>
      <c r="C54" s="11">
        <f t="shared" si="42"/>
        <v>4.1155733452027485</v>
      </c>
      <c r="D54" s="11">
        <f t="shared" ref="D54:V54" si="43">SUM(D55:D57)</f>
        <v>2.8790581912558864</v>
      </c>
      <c r="E54" s="11">
        <f t="shared" si="43"/>
        <v>4.6021122742507661</v>
      </c>
      <c r="F54" s="11">
        <f t="shared" si="43"/>
        <v>0</v>
      </c>
      <c r="G54" s="11">
        <f t="shared" si="43"/>
        <v>3.0251032340603317</v>
      </c>
      <c r="H54" s="11">
        <f t="shared" si="43"/>
        <v>3.6495856569286489</v>
      </c>
      <c r="I54" s="11">
        <f t="shared" si="43"/>
        <v>2.5153584213224982</v>
      </c>
      <c r="J54" s="11">
        <f t="shared" si="43"/>
        <v>1.957786146008192</v>
      </c>
      <c r="K54" s="11">
        <f t="shared" si="43"/>
        <v>0</v>
      </c>
      <c r="L54" s="11">
        <f t="shared" si="43"/>
        <v>1.2229661041142785</v>
      </c>
      <c r="M54" s="11">
        <f t="shared" si="43"/>
        <v>1.1822311376014898</v>
      </c>
      <c r="N54" s="11">
        <f t="shared" si="43"/>
        <v>0.36676246772149579</v>
      </c>
      <c r="O54" s="11">
        <f t="shared" si="43"/>
        <v>0.86148433778202049</v>
      </c>
      <c r="P54" s="11">
        <f t="shared" si="43"/>
        <v>1.8907624359310802</v>
      </c>
      <c r="Q54" s="11">
        <f t="shared" si="43"/>
        <v>0.59467112871368322</v>
      </c>
      <c r="R54" s="11">
        <f t="shared" si="43"/>
        <v>6.3443382133143036</v>
      </c>
      <c r="S54" s="11">
        <f t="shared" si="43"/>
        <v>3.9867972447409867</v>
      </c>
      <c r="T54" s="11">
        <f t="shared" si="43"/>
        <v>3.4455767130190185</v>
      </c>
      <c r="U54" s="11">
        <f t="shared" si="43"/>
        <v>0.42812669428173145</v>
      </c>
      <c r="V54" s="11">
        <f t="shared" si="43"/>
        <v>1.6095430107999853E-2</v>
      </c>
      <c r="W54" s="11">
        <f t="shared" ref="W54:Y54" si="44">SUM(W55:W57)</f>
        <v>1.6095430107999853E-2</v>
      </c>
      <c r="X54" s="11">
        <f t="shared" si="44"/>
        <v>1.6095430107999853E-2</v>
      </c>
      <c r="Y54" s="11">
        <f t="shared" si="44"/>
        <v>1.6095430107999853E-2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0.87708333333380639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0.1279634445494322</v>
      </c>
      <c r="J55" s="84">
        <v>0.21945931791318563</v>
      </c>
      <c r="K55" s="84">
        <v>0</v>
      </c>
      <c r="L55" s="84">
        <v>0</v>
      </c>
      <c r="M55" s="84">
        <v>0.27855031704117628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0.12057313349096899</v>
      </c>
      <c r="T55" s="84">
        <v>7.0886582706527701E-2</v>
      </c>
      <c r="U55" s="84">
        <v>0</v>
      </c>
      <c r="V55" s="84">
        <v>1.6095430107999853E-2</v>
      </c>
      <c r="W55" s="84">
        <v>1.6095430107999853E-2</v>
      </c>
      <c r="X55" s="84">
        <v>1.6095430107999853E-2</v>
      </c>
      <c r="Y55" s="84">
        <v>1.6095430107999853E-2</v>
      </c>
      <c r="DA55" s="171" t="s">
        <v>235</v>
      </c>
    </row>
    <row r="56" spans="1:105" ht="11.45" customHeight="1" x14ac:dyDescent="0.25">
      <c r="A56" s="83" t="s">
        <v>181</v>
      </c>
      <c r="B56" s="84">
        <v>1.3598611073701177</v>
      </c>
      <c r="C56" s="84">
        <v>2.678629053215702</v>
      </c>
      <c r="D56" s="84">
        <v>2.3806681436893635</v>
      </c>
      <c r="E56" s="84">
        <v>3.8062469248181632</v>
      </c>
      <c r="F56" s="84">
        <v>0</v>
      </c>
      <c r="G56" s="84">
        <v>3.0020329944657398</v>
      </c>
      <c r="H56" s="84">
        <v>3.3598304702396784</v>
      </c>
      <c r="I56" s="84">
        <v>1.4228076533760246</v>
      </c>
      <c r="J56" s="84">
        <v>0.74939281074928821</v>
      </c>
      <c r="K56" s="84">
        <v>0</v>
      </c>
      <c r="L56" s="84">
        <v>0</v>
      </c>
      <c r="M56" s="84">
        <v>0.3876131009087409</v>
      </c>
      <c r="N56" s="84">
        <v>0</v>
      </c>
      <c r="O56" s="84">
        <v>0.18565179641201679</v>
      </c>
      <c r="P56" s="84">
        <v>0.19547025853120026</v>
      </c>
      <c r="Q56" s="84">
        <v>0.59467112871368322</v>
      </c>
      <c r="R56" s="84">
        <v>4.7296794041987038</v>
      </c>
      <c r="S56" s="84">
        <v>3.866224111250018</v>
      </c>
      <c r="T56" s="84">
        <v>2.564927092586494</v>
      </c>
      <c r="U56" s="84">
        <v>0.42812669428173145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0.28543724844467833</v>
      </c>
      <c r="C57" s="84">
        <v>0.55986095865324015</v>
      </c>
      <c r="D57" s="84">
        <v>0.49839004756652283</v>
      </c>
      <c r="E57" s="84">
        <v>0.79586534943260334</v>
      </c>
      <c r="F57" s="84">
        <v>0</v>
      </c>
      <c r="G57" s="84">
        <v>2.3070239594591868E-2</v>
      </c>
      <c r="H57" s="84">
        <v>0.28975518668897049</v>
      </c>
      <c r="I57" s="84">
        <v>0.96458732339704145</v>
      </c>
      <c r="J57" s="84">
        <v>0.98893401734571817</v>
      </c>
      <c r="K57" s="84">
        <v>0</v>
      </c>
      <c r="L57" s="84">
        <v>1.2229661041142785</v>
      </c>
      <c r="M57" s="84">
        <v>0.51606771965157261</v>
      </c>
      <c r="N57" s="84">
        <v>0.36676246772149579</v>
      </c>
      <c r="O57" s="84">
        <v>0.6758325413700037</v>
      </c>
      <c r="P57" s="84">
        <v>1.6952921773998799</v>
      </c>
      <c r="Q57" s="84">
        <v>0</v>
      </c>
      <c r="R57" s="84">
        <v>1.6146588091155998</v>
      </c>
      <c r="S57" s="84">
        <v>0</v>
      </c>
      <c r="T57" s="84">
        <v>0.80976303772599678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6.195731864027379E-2</v>
      </c>
      <c r="C58" s="13">
        <f t="shared" si="45"/>
        <v>1.5041268113916487E-2</v>
      </c>
      <c r="D58" s="13">
        <f t="shared" ref="D58:V58" si="46">SUM(D59:D61)</f>
        <v>1.2506764927775402E-2</v>
      </c>
      <c r="E58" s="13">
        <f t="shared" si="46"/>
        <v>1.3843663323497325E-2</v>
      </c>
      <c r="F58" s="13">
        <f t="shared" si="46"/>
        <v>2.7764030752075276E-2</v>
      </c>
      <c r="G58" s="13">
        <f t="shared" si="46"/>
        <v>7.530424146014722E-2</v>
      </c>
      <c r="H58" s="13">
        <f t="shared" si="46"/>
        <v>8.8731339251233138E-2</v>
      </c>
      <c r="I58" s="13">
        <f t="shared" si="46"/>
        <v>5.1975821448941979E-2</v>
      </c>
      <c r="J58" s="13">
        <f t="shared" si="46"/>
        <v>5.9621931392961715E-2</v>
      </c>
      <c r="K58" s="13">
        <f t="shared" si="46"/>
        <v>5.2111710525683475E-2</v>
      </c>
      <c r="L58" s="13">
        <f t="shared" si="46"/>
        <v>0.12389865036937231</v>
      </c>
      <c r="M58" s="13">
        <f t="shared" si="46"/>
        <v>2.4703290636686054E-3</v>
      </c>
      <c r="N58" s="13">
        <f t="shared" si="46"/>
        <v>9.7303207127130142E-3</v>
      </c>
      <c r="O58" s="13">
        <f t="shared" si="46"/>
        <v>2.2281456890189968E-2</v>
      </c>
      <c r="P58" s="13">
        <f t="shared" si="46"/>
        <v>2.5317618018511012E-2</v>
      </c>
      <c r="Q58" s="13">
        <f t="shared" si="46"/>
        <v>5.3021877095598025E-2</v>
      </c>
      <c r="R58" s="13">
        <f t="shared" si="46"/>
        <v>1.8989505258242778E-2</v>
      </c>
      <c r="S58" s="13">
        <f t="shared" si="46"/>
        <v>9.2022936800381816E-2</v>
      </c>
      <c r="T58" s="13">
        <f t="shared" si="46"/>
        <v>3.8882985647542334E-2</v>
      </c>
      <c r="U58" s="13">
        <f t="shared" si="46"/>
        <v>6.0317224451044649E-2</v>
      </c>
      <c r="V58" s="13">
        <f t="shared" si="46"/>
        <v>6.0272560004886247E-3</v>
      </c>
      <c r="W58" s="13">
        <f t="shared" ref="W58:Y58" si="47">SUM(W59:W61)</f>
        <v>3.1068703716412405E-2</v>
      </c>
      <c r="X58" s="13">
        <f t="shared" si="47"/>
        <v>0.23872540168773715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5.6342345378108019E-2</v>
      </c>
      <c r="C60" s="102">
        <v>1.4049044774191619E-3</v>
      </c>
      <c r="D60" s="102">
        <v>2.0729968700000027E-4</v>
      </c>
      <c r="E60" s="102">
        <v>2.0729968700000027E-4</v>
      </c>
      <c r="F60" s="102">
        <v>2.0812159094187588E-2</v>
      </c>
      <c r="G60" s="102">
        <v>6.348341885487721E-2</v>
      </c>
      <c r="H60" s="102">
        <v>8.0626460280352003E-2</v>
      </c>
      <c r="I60" s="102">
        <v>4.2662966538632809E-2</v>
      </c>
      <c r="J60" s="102">
        <v>5.9621931392961715E-2</v>
      </c>
      <c r="K60" s="102">
        <v>4.6695947427014949E-3</v>
      </c>
      <c r="L60" s="102">
        <v>0</v>
      </c>
      <c r="M60" s="102">
        <v>2.4703290636686054E-3</v>
      </c>
      <c r="N60" s="102">
        <v>9.7303207127130142E-3</v>
      </c>
      <c r="O60" s="102">
        <v>2.2281456890189968E-2</v>
      </c>
      <c r="P60" s="102">
        <v>2.5317618018511012E-2</v>
      </c>
      <c r="Q60" s="102">
        <v>6.2805445639120827E-3</v>
      </c>
      <c r="R60" s="102">
        <v>0</v>
      </c>
      <c r="S60" s="102">
        <v>5.8507573798344703E-2</v>
      </c>
      <c r="T60" s="102">
        <v>3.8882985647542334E-2</v>
      </c>
      <c r="U60" s="102">
        <v>6.0317224451044649E-2</v>
      </c>
      <c r="V60" s="102">
        <v>6.0272560004886247E-3</v>
      </c>
      <c r="W60" s="102">
        <v>3.1068703716412405E-2</v>
      </c>
      <c r="X60" s="102">
        <v>0.23872540168773715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5.6149732621657705E-3</v>
      </c>
      <c r="C61" s="86">
        <v>1.3636363636497326E-2</v>
      </c>
      <c r="D61" s="86">
        <v>1.2299465240775402E-2</v>
      </c>
      <c r="E61" s="86">
        <v>1.3636363636497326E-2</v>
      </c>
      <c r="F61" s="86">
        <v>6.9518716578876871E-3</v>
      </c>
      <c r="G61" s="86">
        <v>1.1820822605270009E-2</v>
      </c>
      <c r="H61" s="86">
        <v>8.1048789708811353E-3</v>
      </c>
      <c r="I61" s="86">
        <v>9.3128549103091707E-3</v>
      </c>
      <c r="J61" s="86">
        <v>0</v>
      </c>
      <c r="K61" s="86">
        <v>4.7442115782981978E-2</v>
      </c>
      <c r="L61" s="86">
        <v>0.12389865036937231</v>
      </c>
      <c r="M61" s="86">
        <v>0</v>
      </c>
      <c r="N61" s="86">
        <v>0</v>
      </c>
      <c r="O61" s="86">
        <v>0</v>
      </c>
      <c r="P61" s="86">
        <v>0</v>
      </c>
      <c r="Q61" s="86">
        <v>4.6741332531685942E-2</v>
      </c>
      <c r="R61" s="86">
        <v>1.8989505258242778E-2</v>
      </c>
      <c r="S61" s="86">
        <v>3.3515363002037113E-2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89.646246196858812</v>
      </c>
      <c r="C66" s="14">
        <f t="shared" si="48"/>
        <v>84.275106899341267</v>
      </c>
      <c r="D66" s="14">
        <f t="shared" ref="D66:V66" si="49">IF(D34=0,0,D34/D24)</f>
        <v>92.120121258052293</v>
      </c>
      <c r="E66" s="14">
        <f t="shared" si="49"/>
        <v>95.548428114175479</v>
      </c>
      <c r="F66" s="14">
        <f t="shared" si="49"/>
        <v>97.424339622641511</v>
      </c>
      <c r="G66" s="14">
        <f t="shared" si="49"/>
        <v>98.62394880420068</v>
      </c>
      <c r="H66" s="14">
        <f t="shared" si="49"/>
        <v>99.68606415640329</v>
      </c>
      <c r="I66" s="14">
        <f t="shared" si="49"/>
        <v>99.920229656477531</v>
      </c>
      <c r="J66" s="14">
        <f t="shared" si="49"/>
        <v>101.03599345573532</v>
      </c>
      <c r="K66" s="14">
        <f t="shared" si="49"/>
        <v>100.8716770268483</v>
      </c>
      <c r="L66" s="14">
        <f t="shared" si="49"/>
        <v>103.5897370026653</v>
      </c>
      <c r="M66" s="14">
        <f t="shared" si="49"/>
        <v>106.21933210784314</v>
      </c>
      <c r="N66" s="14">
        <f t="shared" si="49"/>
        <v>115.90397545531692</v>
      </c>
      <c r="O66" s="14">
        <f t="shared" si="49"/>
        <v>123.05161831292973</v>
      </c>
      <c r="P66" s="14">
        <f t="shared" si="49"/>
        <v>122.98883653268398</v>
      </c>
      <c r="Q66" s="14">
        <f t="shared" si="49"/>
        <v>124.22795455971882</v>
      </c>
      <c r="R66" s="14">
        <f t="shared" si="49"/>
        <v>127.36292739860474</v>
      </c>
      <c r="S66" s="14">
        <f t="shared" si="49"/>
        <v>138.72419444243607</v>
      </c>
      <c r="T66" s="14">
        <f t="shared" si="49"/>
        <v>139.91534898222795</v>
      </c>
      <c r="U66" s="14">
        <f t="shared" si="49"/>
        <v>143.17643155100492</v>
      </c>
      <c r="V66" s="14">
        <f t="shared" si="49"/>
        <v>111.23972328626151</v>
      </c>
      <c r="W66" s="14">
        <f t="shared" ref="W66:Y66" si="50">IF(W34=0,0,W34/W24)</f>
        <v>118.64578577699737</v>
      </c>
      <c r="X66" s="14">
        <f t="shared" si="50"/>
        <v>143.28909045257674</v>
      </c>
      <c r="Y66" s="14">
        <f t="shared" si="50"/>
        <v>147.16884735202493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24.052785923753667</v>
      </c>
      <c r="C67" s="87">
        <f t="shared" si="48"/>
        <v>25.260452729693743</v>
      </c>
      <c r="D67" s="87">
        <f t="shared" ref="D67:V67" si="51">IF(D35=0,0,D35/D25)</f>
        <v>26.330031517334533</v>
      </c>
      <c r="E67" s="87">
        <f t="shared" si="51"/>
        <v>27.47381799694967</v>
      </c>
      <c r="F67" s="87">
        <f t="shared" si="51"/>
        <v>28.735552763819097</v>
      </c>
      <c r="G67" s="87">
        <f t="shared" si="51"/>
        <v>30.001091107474085</v>
      </c>
      <c r="H67" s="87">
        <f t="shared" si="51"/>
        <v>31.23541842772612</v>
      </c>
      <c r="I67" s="87">
        <f t="shared" si="51"/>
        <v>32.526460481099654</v>
      </c>
      <c r="J67" s="87">
        <f t="shared" si="51"/>
        <v>44.851840675920336</v>
      </c>
      <c r="K67" s="87">
        <f t="shared" si="51"/>
        <v>59.7360157016683</v>
      </c>
      <c r="L67" s="87">
        <f t="shared" si="51"/>
        <v>67.280957336108216</v>
      </c>
      <c r="M67" s="87">
        <f t="shared" si="51"/>
        <v>60.343090346186322</v>
      </c>
      <c r="N67" s="87">
        <f t="shared" si="51"/>
        <v>64.315694527961512</v>
      </c>
      <c r="O67" s="87">
        <f t="shared" si="51"/>
        <v>70.537356321839084</v>
      </c>
      <c r="P67" s="87">
        <f t="shared" si="51"/>
        <v>71.052316293929707</v>
      </c>
      <c r="Q67" s="87">
        <f t="shared" si="51"/>
        <v>69.967741935483872</v>
      </c>
      <c r="R67" s="87">
        <f t="shared" si="51"/>
        <v>73.109310058187859</v>
      </c>
      <c r="S67" s="87">
        <f t="shared" si="51"/>
        <v>101.59108324625566</v>
      </c>
      <c r="T67" s="87">
        <f t="shared" si="51"/>
        <v>110.72325102880659</v>
      </c>
      <c r="U67" s="87">
        <f t="shared" si="51"/>
        <v>110.97009966777409</v>
      </c>
      <c r="V67" s="87">
        <f t="shared" si="51"/>
        <v>77.273755656108591</v>
      </c>
      <c r="W67" s="87">
        <f t="shared" ref="W67:Y67" si="52">IF(W35=0,0,W35/W25)</f>
        <v>97.763431151241534</v>
      </c>
      <c r="X67" s="87">
        <f t="shared" si="52"/>
        <v>111.9968021927821</v>
      </c>
      <c r="Y67" s="87">
        <f t="shared" si="52"/>
        <v>116.62652784065187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98.335865921787715</v>
      </c>
      <c r="C68" s="87">
        <f t="shared" si="48"/>
        <v>98.623275862068965</v>
      </c>
      <c r="D68" s="87">
        <f t="shared" ref="D68:V68" si="53">IF(D36=0,0,D36/D26)</f>
        <v>99.127300172512932</v>
      </c>
      <c r="E68" s="87">
        <f t="shared" si="53"/>
        <v>99.970515695067263</v>
      </c>
      <c r="F68" s="87">
        <f t="shared" si="53"/>
        <v>100.94471254095919</v>
      </c>
      <c r="G68" s="87">
        <f t="shared" si="53"/>
        <v>102.64126872068982</v>
      </c>
      <c r="H68" s="87">
        <f t="shared" si="53"/>
        <v>104.66880304867486</v>
      </c>
      <c r="I68" s="87">
        <f t="shared" si="53"/>
        <v>105.54424365482234</v>
      </c>
      <c r="J68" s="87">
        <f t="shared" si="53"/>
        <v>106.02989453651574</v>
      </c>
      <c r="K68" s="87">
        <f t="shared" si="53"/>
        <v>103.53619663872846</v>
      </c>
      <c r="L68" s="87">
        <f t="shared" si="53"/>
        <v>104.94051162590053</v>
      </c>
      <c r="M68" s="87">
        <f t="shared" si="53"/>
        <v>109.87548122166139</v>
      </c>
      <c r="N68" s="87">
        <f t="shared" si="53"/>
        <v>119.31008149010478</v>
      </c>
      <c r="O68" s="87">
        <f t="shared" si="53"/>
        <v>124.07468018344196</v>
      </c>
      <c r="P68" s="87">
        <f t="shared" si="53"/>
        <v>125.46440851222006</v>
      </c>
      <c r="Q68" s="87">
        <f t="shared" si="53"/>
        <v>130.09065921480598</v>
      </c>
      <c r="R68" s="87">
        <f t="shared" si="53"/>
        <v>132.39458572600492</v>
      </c>
      <c r="S68" s="87">
        <f t="shared" si="53"/>
        <v>144.51697692711065</v>
      </c>
      <c r="T68" s="87">
        <f t="shared" si="53"/>
        <v>146.93021632937894</v>
      </c>
      <c r="U68" s="87">
        <f t="shared" si="53"/>
        <v>150.61712821843182</v>
      </c>
      <c r="V68" s="87">
        <f t="shared" si="53"/>
        <v>117.46468967517401</v>
      </c>
      <c r="W68" s="87">
        <f t="shared" ref="W68:Y68" si="54">IF(W36=0,0,W36/W26)</f>
        <v>123.66415996269092</v>
      </c>
      <c r="X68" s="87">
        <f t="shared" si="54"/>
        <v>148.7938294439416</v>
      </c>
      <c r="Y68" s="87">
        <f t="shared" si="54"/>
        <v>152.49344107106634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112.265604249668</v>
      </c>
      <c r="C69" s="87">
        <f t="shared" si="48"/>
        <v>112.54843669912866</v>
      </c>
      <c r="D69" s="87">
        <f t="shared" ref="D69:V69" si="55">IF(D37=0,0,D37/D27)</f>
        <v>112.90470085470085</v>
      </c>
      <c r="E69" s="87">
        <f t="shared" si="55"/>
        <v>113.886</v>
      </c>
      <c r="F69" s="87">
        <f t="shared" si="55"/>
        <v>115.2291888062345</v>
      </c>
      <c r="G69" s="87">
        <f t="shared" si="55"/>
        <v>115.62292664946554</v>
      </c>
      <c r="H69" s="87">
        <f t="shared" si="55"/>
        <v>115.97394928794721</v>
      </c>
      <c r="I69" s="87">
        <f t="shared" si="55"/>
        <v>115.74244920373421</v>
      </c>
      <c r="J69" s="87">
        <f t="shared" si="55"/>
        <v>114.51208053691275</v>
      </c>
      <c r="K69" s="87">
        <f t="shared" si="55"/>
        <v>116.35144230769231</v>
      </c>
      <c r="L69" s="87">
        <f t="shared" si="55"/>
        <v>118.04037817608824</v>
      </c>
      <c r="M69" s="87">
        <f t="shared" si="55"/>
        <v>119.79873883342091</v>
      </c>
      <c r="N69" s="87">
        <f t="shared" si="55"/>
        <v>132.76820284392667</v>
      </c>
      <c r="O69" s="87">
        <f t="shared" si="55"/>
        <v>142.84373020899304</v>
      </c>
      <c r="P69" s="87">
        <f t="shared" si="55"/>
        <v>133.09677419354838</v>
      </c>
      <c r="Q69" s="87">
        <f t="shared" si="55"/>
        <v>125.09977504300649</v>
      </c>
      <c r="R69" s="87">
        <f t="shared" si="55"/>
        <v>126.84318584070796</v>
      </c>
      <c r="S69" s="87">
        <f t="shared" si="55"/>
        <v>130.07558569667077</v>
      </c>
      <c r="T69" s="87">
        <f t="shared" si="55"/>
        <v>123.73291237398914</v>
      </c>
      <c r="U69" s="87">
        <f t="shared" si="55"/>
        <v>126.72654713707345</v>
      </c>
      <c r="V69" s="87">
        <f t="shared" si="55"/>
        <v>97.87726566545831</v>
      </c>
      <c r="W69" s="87">
        <f t="shared" ref="W69:Y69" si="56">IF(W37=0,0,W37/W27)</f>
        <v>106.96863090002931</v>
      </c>
      <c r="X69" s="87">
        <f t="shared" si="56"/>
        <v>126.54059127170342</v>
      </c>
      <c r="Y69" s="87">
        <f t="shared" si="56"/>
        <v>129.61368954758191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19.183968960300142</v>
      </c>
      <c r="C70" s="15">
        <f t="shared" si="48"/>
        <v>22.515178395007165</v>
      </c>
      <c r="D70" s="15">
        <f t="shared" ref="D70:V70" si="57">IF(D38=0,0,D38/D28)</f>
        <v>22.927078457626475</v>
      </c>
      <c r="E70" s="15">
        <f t="shared" si="57"/>
        <v>23.594826990545823</v>
      </c>
      <c r="F70" s="15">
        <f t="shared" si="57"/>
        <v>22.578948779836278</v>
      </c>
      <c r="G70" s="15">
        <f t="shared" si="57"/>
        <v>20.439791425882557</v>
      </c>
      <c r="H70" s="15">
        <f t="shared" si="57"/>
        <v>18.623988560360807</v>
      </c>
      <c r="I70" s="15">
        <f t="shared" si="57"/>
        <v>18.089915745510826</v>
      </c>
      <c r="J70" s="15">
        <f t="shared" si="57"/>
        <v>16.997420205859406</v>
      </c>
      <c r="K70" s="15">
        <f t="shared" si="57"/>
        <v>20.018472218590652</v>
      </c>
      <c r="L70" s="15">
        <f t="shared" si="57"/>
        <v>24.983595633938183</v>
      </c>
      <c r="M70" s="15">
        <f t="shared" si="57"/>
        <v>26.930079274596196</v>
      </c>
      <c r="N70" s="15">
        <f t="shared" si="57"/>
        <v>23.425370318993927</v>
      </c>
      <c r="O70" s="15">
        <f t="shared" si="57"/>
        <v>23.381003961524101</v>
      </c>
      <c r="P70" s="15">
        <f t="shared" si="57"/>
        <v>28.134316444243879</v>
      </c>
      <c r="Q70" s="15">
        <f t="shared" si="57"/>
        <v>36.347129060778649</v>
      </c>
      <c r="R70" s="15">
        <f t="shared" si="57"/>
        <v>40.852574128953087</v>
      </c>
      <c r="S70" s="15">
        <f t="shared" si="57"/>
        <v>38.805889951307798</v>
      </c>
      <c r="T70" s="15">
        <f t="shared" si="57"/>
        <v>32.745366708104378</v>
      </c>
      <c r="U70" s="15">
        <f t="shared" si="57"/>
        <v>30.013645196182118</v>
      </c>
      <c r="V70" s="15">
        <f t="shared" si="57"/>
        <v>25.217580964420058</v>
      </c>
      <c r="W70" s="15">
        <f t="shared" ref="W70:Y70" si="58">IF(W38=0,0,W38/W28)</f>
        <v>24.432324367062627</v>
      </c>
      <c r="X70" s="15">
        <f t="shared" si="58"/>
        <v>21.077926093510122</v>
      </c>
      <c r="Y70" s="15">
        <f t="shared" si="58"/>
        <v>22.46216142751836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16.167807765431572</v>
      </c>
      <c r="C72" s="41">
        <f t="shared" si="48"/>
        <v>16.347531780245252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16.065947226318929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13.698894254303413</v>
      </c>
      <c r="L72" s="41">
        <f t="shared" si="61"/>
        <v>14.504774438576117</v>
      </c>
      <c r="M72" s="41">
        <f t="shared" si="61"/>
        <v>15.593990976967524</v>
      </c>
      <c r="N72" s="41">
        <f t="shared" si="61"/>
        <v>16.668272444699465</v>
      </c>
      <c r="O72" s="41">
        <f t="shared" si="61"/>
        <v>16.757006585050913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19.702598617631953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52.138322756086353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1344.0967982282846</v>
      </c>
      <c r="C75" s="62">
        <f t="shared" si="65"/>
        <v>1255.9474557563585</v>
      </c>
      <c r="D75" s="62">
        <f t="shared" ref="D75:V75" si="66">IF(D13=0,0,D13*1000000/D23)</f>
        <v>1374.7633172832789</v>
      </c>
      <c r="E75" s="62">
        <f t="shared" si="66"/>
        <v>1417.4117802500605</v>
      </c>
      <c r="F75" s="62">
        <f t="shared" si="66"/>
        <v>1430.5493068229364</v>
      </c>
      <c r="G75" s="62">
        <f t="shared" si="66"/>
        <v>1448.30360056881</v>
      </c>
      <c r="H75" s="62">
        <f t="shared" si="66"/>
        <v>1459.9717956180955</v>
      </c>
      <c r="I75" s="62">
        <f t="shared" si="66"/>
        <v>1422.1846475131383</v>
      </c>
      <c r="J75" s="62">
        <f t="shared" si="66"/>
        <v>1386.3032154110811</v>
      </c>
      <c r="K75" s="62">
        <f t="shared" si="66"/>
        <v>1378.1742535754095</v>
      </c>
      <c r="L75" s="62">
        <f t="shared" si="66"/>
        <v>1421.8833189475308</v>
      </c>
      <c r="M75" s="62">
        <f t="shared" si="66"/>
        <v>1367.3167597870015</v>
      </c>
      <c r="N75" s="62">
        <f t="shared" si="66"/>
        <v>1381.9543624564346</v>
      </c>
      <c r="O75" s="62">
        <f t="shared" si="66"/>
        <v>1416.9088137190934</v>
      </c>
      <c r="P75" s="62">
        <f t="shared" si="66"/>
        <v>1443.6647828217813</v>
      </c>
      <c r="Q75" s="62">
        <f t="shared" si="66"/>
        <v>1451.6235190064021</v>
      </c>
      <c r="R75" s="62">
        <f t="shared" si="66"/>
        <v>1505.5793675365942</v>
      </c>
      <c r="S75" s="62">
        <f t="shared" si="66"/>
        <v>1505.5560674689091</v>
      </c>
      <c r="T75" s="62">
        <f t="shared" si="66"/>
        <v>1505.7524619135352</v>
      </c>
      <c r="U75" s="62">
        <f t="shared" si="66"/>
        <v>1515.5232934563794</v>
      </c>
      <c r="V75" s="62">
        <f t="shared" si="66"/>
        <v>1538.7642963026651</v>
      </c>
      <c r="W75" s="62">
        <f t="shared" ref="W75:Y75" si="67">IF(W13=0,0,W13*1000000/W23)</f>
        <v>1506.2552367972262</v>
      </c>
      <c r="X75" s="62">
        <f t="shared" si="67"/>
        <v>1486.0522531877998</v>
      </c>
      <c r="Y75" s="62">
        <f t="shared" si="67"/>
        <v>1471.9481419053473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1354.4740985249675</v>
      </c>
      <c r="C76" s="14">
        <f t="shared" si="65"/>
        <v>1258.8956755593754</v>
      </c>
      <c r="D76" s="14">
        <f t="shared" ref="D76:V76" si="68">IF(D14=0,0,D14*1000000/D24)</f>
        <v>1379.3174578732114</v>
      </c>
      <c r="E76" s="14">
        <f t="shared" si="68"/>
        <v>1421.6308142653697</v>
      </c>
      <c r="F76" s="14">
        <f t="shared" si="68"/>
        <v>1435.5241195129165</v>
      </c>
      <c r="G76" s="14">
        <f t="shared" si="68"/>
        <v>1454.1507152326956</v>
      </c>
      <c r="H76" s="14">
        <f t="shared" si="68"/>
        <v>1465.820913484964</v>
      </c>
      <c r="I76" s="14">
        <f t="shared" si="68"/>
        <v>1427.3076175491756</v>
      </c>
      <c r="J76" s="14">
        <f t="shared" si="68"/>
        <v>1391.3190898562</v>
      </c>
      <c r="K76" s="14">
        <f t="shared" si="68"/>
        <v>1380.4883142248925</v>
      </c>
      <c r="L76" s="14">
        <f t="shared" si="68"/>
        <v>1420.4406701394239</v>
      </c>
      <c r="M76" s="14">
        <f t="shared" si="68"/>
        <v>1369.5528698920871</v>
      </c>
      <c r="N76" s="14">
        <f t="shared" si="68"/>
        <v>1387.6335518101712</v>
      </c>
      <c r="O76" s="14">
        <f t="shared" si="68"/>
        <v>1423.0240070247758</v>
      </c>
      <c r="P76" s="14">
        <f t="shared" si="68"/>
        <v>1449.540550268297</v>
      </c>
      <c r="Q76" s="14">
        <f t="shared" si="68"/>
        <v>1455.7246889857122</v>
      </c>
      <c r="R76" s="14">
        <f t="shared" si="68"/>
        <v>1507.6497050284133</v>
      </c>
      <c r="S76" s="14">
        <f t="shared" si="68"/>
        <v>1506.8392627720946</v>
      </c>
      <c r="T76" s="14">
        <f t="shared" si="68"/>
        <v>1507.4691524508664</v>
      </c>
      <c r="U76" s="14">
        <f t="shared" si="68"/>
        <v>1520.5371289679663</v>
      </c>
      <c r="V76" s="14">
        <f t="shared" si="68"/>
        <v>1556.2945101672753</v>
      </c>
      <c r="W76" s="14">
        <f t="shared" ref="W76:Y76" si="69">IF(W14=0,0,W14*1000000/W24)</f>
        <v>1519.2513844674074</v>
      </c>
      <c r="X76" s="14">
        <f t="shared" si="69"/>
        <v>1491.4765209805726</v>
      </c>
      <c r="Y76" s="14">
        <f t="shared" si="69"/>
        <v>1475.1861414144855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284.36424263247898</v>
      </c>
      <c r="C77" s="39">
        <f t="shared" si="65"/>
        <v>284.36424263247898</v>
      </c>
      <c r="D77" s="39">
        <f t="shared" ref="D77:V77" si="70">IF(D15=0,0,D15*1000000/D25)</f>
        <v>284.36424263247898</v>
      </c>
      <c r="E77" s="39">
        <f t="shared" si="70"/>
        <v>284.36424263247898</v>
      </c>
      <c r="F77" s="39">
        <f t="shared" si="70"/>
        <v>284.36424263247898</v>
      </c>
      <c r="G77" s="39">
        <f t="shared" si="70"/>
        <v>269.52935372471637</v>
      </c>
      <c r="H77" s="39">
        <f t="shared" si="70"/>
        <v>307.23401890590407</v>
      </c>
      <c r="I77" s="39">
        <f t="shared" si="70"/>
        <v>359.80758212380198</v>
      </c>
      <c r="J77" s="39">
        <f t="shared" si="70"/>
        <v>356.1749181487092</v>
      </c>
      <c r="K77" s="39">
        <f t="shared" si="70"/>
        <v>341.6710216293713</v>
      </c>
      <c r="L77" s="39">
        <f t="shared" si="70"/>
        <v>336.81243697478988</v>
      </c>
      <c r="M77" s="39">
        <f t="shared" si="70"/>
        <v>346.28480213637221</v>
      </c>
      <c r="N77" s="39">
        <f t="shared" si="70"/>
        <v>356.90616701091767</v>
      </c>
      <c r="O77" s="39">
        <f t="shared" si="70"/>
        <v>323.22375101677306</v>
      </c>
      <c r="P77" s="39">
        <f t="shared" si="70"/>
        <v>323.58302571047039</v>
      </c>
      <c r="Q77" s="39">
        <f t="shared" si="70"/>
        <v>338.52516975746158</v>
      </c>
      <c r="R77" s="39">
        <f t="shared" si="70"/>
        <v>330.2251582931089</v>
      </c>
      <c r="S77" s="39">
        <f t="shared" si="70"/>
        <v>362.2153057033787</v>
      </c>
      <c r="T77" s="39">
        <f t="shared" si="70"/>
        <v>363.69312169312173</v>
      </c>
      <c r="U77" s="39">
        <f t="shared" si="70"/>
        <v>361.77980132450335</v>
      </c>
      <c r="V77" s="39">
        <f t="shared" si="70"/>
        <v>369.65126276195593</v>
      </c>
      <c r="W77" s="39">
        <f t="shared" ref="W77:Y77" si="71">IF(W15=0,0,W15*1000000/W25)</f>
        <v>364.5344751866491</v>
      </c>
      <c r="X77" s="39">
        <f t="shared" si="71"/>
        <v>367.62697095435686</v>
      </c>
      <c r="Y77" s="39">
        <f t="shared" si="71"/>
        <v>370.22351959966642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1544.8202715911455</v>
      </c>
      <c r="C78" s="39">
        <f t="shared" si="65"/>
        <v>1544.7764797174623</v>
      </c>
      <c r="D78" s="39">
        <f t="shared" ref="D78:V78" si="72">IF(D16=0,0,D16*1000000/D26)</f>
        <v>1544.7941167766567</v>
      </c>
      <c r="E78" s="39">
        <f t="shared" si="72"/>
        <v>1544.8123748441753</v>
      </c>
      <c r="F78" s="39">
        <f t="shared" si="72"/>
        <v>1544.8330401603018</v>
      </c>
      <c r="G78" s="39">
        <f t="shared" si="72"/>
        <v>1555.5763288967032</v>
      </c>
      <c r="H78" s="39">
        <f t="shared" si="72"/>
        <v>1575.5630255067044</v>
      </c>
      <c r="I78" s="39">
        <f t="shared" si="72"/>
        <v>1535.6502885514701</v>
      </c>
      <c r="J78" s="39">
        <f t="shared" si="72"/>
        <v>1502.6671516762788</v>
      </c>
      <c r="K78" s="39">
        <f t="shared" si="72"/>
        <v>1484.2678170235024</v>
      </c>
      <c r="L78" s="39">
        <f t="shared" si="72"/>
        <v>1503.880156310257</v>
      </c>
      <c r="M78" s="39">
        <f t="shared" si="72"/>
        <v>1484.3900114234716</v>
      </c>
      <c r="N78" s="39">
        <f t="shared" si="72"/>
        <v>1491.4360333988004</v>
      </c>
      <c r="O78" s="39">
        <f t="shared" si="72"/>
        <v>1515.2087544547783</v>
      </c>
      <c r="P78" s="39">
        <f t="shared" si="72"/>
        <v>1513.7931729380227</v>
      </c>
      <c r="Q78" s="39">
        <f t="shared" si="72"/>
        <v>1526.9461434422856</v>
      </c>
      <c r="R78" s="39">
        <f t="shared" si="72"/>
        <v>1542.2971629061301</v>
      </c>
      <c r="S78" s="39">
        <f t="shared" si="72"/>
        <v>1561.5040158816328</v>
      </c>
      <c r="T78" s="39">
        <f t="shared" si="72"/>
        <v>1554.4923833198602</v>
      </c>
      <c r="U78" s="39">
        <f t="shared" si="72"/>
        <v>1573.4086659540878</v>
      </c>
      <c r="V78" s="39">
        <f t="shared" si="72"/>
        <v>1597.7171927453849</v>
      </c>
      <c r="W78" s="39">
        <f t="shared" ref="W78:Y78" si="73">IF(W16=0,0,W16*1000000/W26)</f>
        <v>1512.99092857399</v>
      </c>
      <c r="X78" s="39">
        <f t="shared" si="73"/>
        <v>1570.420537630371</v>
      </c>
      <c r="Y78" s="39">
        <f t="shared" si="73"/>
        <v>1550.2774059215128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1434.7789161573717</v>
      </c>
      <c r="C79" s="39">
        <f t="shared" si="65"/>
        <v>1434.7789161573719</v>
      </c>
      <c r="D79" s="39">
        <f t="shared" ref="D79:V79" si="74">IF(D17=0,0,D17*1000000/D27)</f>
        <v>1434.7789161573719</v>
      </c>
      <c r="E79" s="39">
        <f t="shared" si="74"/>
        <v>1434.7789161573719</v>
      </c>
      <c r="F79" s="39">
        <f t="shared" si="74"/>
        <v>1434.7789161573719</v>
      </c>
      <c r="G79" s="39">
        <f t="shared" si="74"/>
        <v>1513.140619793402</v>
      </c>
      <c r="H79" s="39">
        <f t="shared" si="74"/>
        <v>1537.7388508826793</v>
      </c>
      <c r="I79" s="39">
        <f t="shared" si="74"/>
        <v>1547.7048799479517</v>
      </c>
      <c r="J79" s="39">
        <f t="shared" si="74"/>
        <v>1530.479485787429</v>
      </c>
      <c r="K79" s="39">
        <f t="shared" si="74"/>
        <v>1569.4147210808828</v>
      </c>
      <c r="L79" s="39">
        <f t="shared" si="74"/>
        <v>1654.8092868988392</v>
      </c>
      <c r="M79" s="39">
        <f t="shared" si="74"/>
        <v>1536.1334882167221</v>
      </c>
      <c r="N79" s="39">
        <f t="shared" si="74"/>
        <v>1593.0543141412497</v>
      </c>
      <c r="O79" s="39">
        <f t="shared" si="74"/>
        <v>1605.4554303486791</v>
      </c>
      <c r="P79" s="39">
        <f t="shared" si="74"/>
        <v>1638.685079089227</v>
      </c>
      <c r="Q79" s="39">
        <f t="shared" si="74"/>
        <v>1616.6300321580729</v>
      </c>
      <c r="R79" s="39">
        <f t="shared" si="74"/>
        <v>1732.2760099346713</v>
      </c>
      <c r="S79" s="39">
        <f t="shared" si="74"/>
        <v>1706.3811165163688</v>
      </c>
      <c r="T79" s="39">
        <f t="shared" si="74"/>
        <v>1705.2549328295547</v>
      </c>
      <c r="U79" s="39">
        <f t="shared" si="74"/>
        <v>1695.045069165551</v>
      </c>
      <c r="V79" s="39">
        <f t="shared" si="74"/>
        <v>2346.9126475548064</v>
      </c>
      <c r="W79" s="39">
        <f t="shared" ref="W79:Y79" si="75">IF(W17=0,0,W17*1000000/W27)</f>
        <v>2300.5735229759302</v>
      </c>
      <c r="X79" s="39">
        <f t="shared" si="75"/>
        <v>1598.0134186622624</v>
      </c>
      <c r="Y79" s="39">
        <f t="shared" si="75"/>
        <v>1518.0513929745632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952.17646000479908</v>
      </c>
      <c r="C80" s="15">
        <f t="shared" si="65"/>
        <v>1022.9707803636245</v>
      </c>
      <c r="D80" s="15">
        <f t="shared" ref="D80:V80" si="76">IF(D18=0,0,D18*1000000/D28)</f>
        <v>1031.3811168023678</v>
      </c>
      <c r="E80" s="15">
        <f t="shared" si="76"/>
        <v>1050.1464795357049</v>
      </c>
      <c r="F80" s="15">
        <f t="shared" si="76"/>
        <v>1053.8849174387196</v>
      </c>
      <c r="G80" s="15">
        <f t="shared" si="76"/>
        <v>1039.8935313380366</v>
      </c>
      <c r="H80" s="15">
        <f t="shared" si="76"/>
        <v>1070.8956148822845</v>
      </c>
      <c r="I80" s="15">
        <f t="shared" si="76"/>
        <v>1080.1742903107099</v>
      </c>
      <c r="J80" s="15">
        <f t="shared" si="76"/>
        <v>1062.9556530368684</v>
      </c>
      <c r="K80" s="15">
        <f t="shared" si="76"/>
        <v>1227.3413865862476</v>
      </c>
      <c r="L80" s="15">
        <f t="shared" si="76"/>
        <v>1510.3193948003943</v>
      </c>
      <c r="M80" s="15">
        <f t="shared" si="76"/>
        <v>1216.5179295597416</v>
      </c>
      <c r="N80" s="15">
        <f t="shared" si="76"/>
        <v>955.48621681971508</v>
      </c>
      <c r="O80" s="15">
        <f t="shared" si="76"/>
        <v>996.80630586444852</v>
      </c>
      <c r="P80" s="15">
        <f t="shared" si="76"/>
        <v>1044.9573956409388</v>
      </c>
      <c r="Q80" s="15">
        <f t="shared" si="76"/>
        <v>1230.4934300712134</v>
      </c>
      <c r="R80" s="15">
        <f t="shared" si="76"/>
        <v>1366.2049869935838</v>
      </c>
      <c r="S80" s="15">
        <f t="shared" si="76"/>
        <v>1419.955387862678</v>
      </c>
      <c r="T80" s="15">
        <f t="shared" si="76"/>
        <v>1369.8038931176848</v>
      </c>
      <c r="U80" s="15">
        <f t="shared" si="76"/>
        <v>1149.5306500223401</v>
      </c>
      <c r="V80" s="15">
        <f t="shared" si="76"/>
        <v>1037.7496382864979</v>
      </c>
      <c r="W80" s="15">
        <f t="shared" ref="W80:Y80" si="77">IF(W18=0,0,W18*1000000/W28)</f>
        <v>1014.4741007063127</v>
      </c>
      <c r="X80" s="15">
        <f t="shared" si="77"/>
        <v>1259.2438274485287</v>
      </c>
      <c r="Y80" s="15">
        <f t="shared" si="77"/>
        <v>1238.4896421400422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889.92561595916402</v>
      </c>
      <c r="C82" s="41">
        <f t="shared" si="65"/>
        <v>903.09790354195582</v>
      </c>
      <c r="D82" s="41">
        <f t="shared" ref="D82:V82" si="80">IF(D20=0,0,D20*1000000/D30)</f>
        <v>899.83130596086585</v>
      </c>
      <c r="E82" s="41">
        <f t="shared" si="80"/>
        <v>902.51280087102737</v>
      </c>
      <c r="F82" s="41">
        <f t="shared" si="80"/>
        <v>906.03262934097052</v>
      </c>
      <c r="G82" s="41">
        <f t="shared" si="80"/>
        <v>892.13149350649337</v>
      </c>
      <c r="H82" s="41">
        <f t="shared" si="80"/>
        <v>919.29974243886863</v>
      </c>
      <c r="I82" s="41">
        <f t="shared" si="80"/>
        <v>908.14285859994845</v>
      </c>
      <c r="J82" s="41">
        <f t="shared" si="80"/>
        <v>910.58300963857016</v>
      </c>
      <c r="K82" s="41">
        <f t="shared" si="80"/>
        <v>936.33623036561232</v>
      </c>
      <c r="L82" s="41">
        <f t="shared" si="80"/>
        <v>982.46765954469117</v>
      </c>
      <c r="M82" s="41">
        <f t="shared" si="80"/>
        <v>945.10250963536009</v>
      </c>
      <c r="N82" s="41">
        <f t="shared" si="80"/>
        <v>936.03457126508806</v>
      </c>
      <c r="O82" s="41">
        <f t="shared" si="80"/>
        <v>949.6028332135653</v>
      </c>
      <c r="P82" s="41">
        <f t="shared" si="80"/>
        <v>936.68624859718591</v>
      </c>
      <c r="Q82" s="41">
        <f t="shared" si="80"/>
        <v>988.15637887260152</v>
      </c>
      <c r="R82" s="41">
        <f t="shared" si="80"/>
        <v>1016.0173178671837</v>
      </c>
      <c r="S82" s="41">
        <f t="shared" si="80"/>
        <v>1039.6705465783089</v>
      </c>
      <c r="T82" s="41">
        <f t="shared" si="80"/>
        <v>1068.756836838659</v>
      </c>
      <c r="U82" s="41">
        <f t="shared" si="80"/>
        <v>1123.5765214943606</v>
      </c>
      <c r="V82" s="41">
        <f t="shared" si="80"/>
        <v>1090.7291420932611</v>
      </c>
      <c r="W82" s="41">
        <f t="shared" ref="W82:Y82" si="81">IF(W20=0,0,W20*1000000/W30)</f>
        <v>1013.4052008370337</v>
      </c>
      <c r="X82" s="41">
        <f t="shared" si="81"/>
        <v>1168.6951561792666</v>
      </c>
      <c r="Y82" s="41">
        <f t="shared" si="81"/>
        <v>1172.7073735677354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1632.3245708737738</v>
      </c>
      <c r="C83" s="40">
        <f t="shared" si="65"/>
        <v>1632.3245708737738</v>
      </c>
      <c r="D83" s="40">
        <f t="shared" ref="D83:V83" si="82">IF(D21=0,0,D21*1000000/D31)</f>
        <v>1632.3245708737738</v>
      </c>
      <c r="E83" s="40">
        <f t="shared" si="82"/>
        <v>1632.3245708737738</v>
      </c>
      <c r="F83" s="40">
        <f t="shared" si="82"/>
        <v>1632.3245708737738</v>
      </c>
      <c r="G83" s="40">
        <f t="shared" si="82"/>
        <v>1710.686274509804</v>
      </c>
      <c r="H83" s="40">
        <f t="shared" si="82"/>
        <v>1944.3765941991096</v>
      </c>
      <c r="I83" s="40">
        <f t="shared" si="82"/>
        <v>2163.4347118644114</v>
      </c>
      <c r="J83" s="40">
        <f t="shared" si="82"/>
        <v>2355.3014063039172</v>
      </c>
      <c r="K83" s="40">
        <f t="shared" si="82"/>
        <v>2603.3287301973996</v>
      </c>
      <c r="L83" s="40">
        <f t="shared" si="82"/>
        <v>2897.8153846153846</v>
      </c>
      <c r="M83" s="40">
        <f t="shared" si="82"/>
        <v>1890.1749070698975</v>
      </c>
      <c r="N83" s="40">
        <f t="shared" si="82"/>
        <v>1058.131054131054</v>
      </c>
      <c r="O83" s="40">
        <f t="shared" si="82"/>
        <v>1255.3686112804805</v>
      </c>
      <c r="P83" s="40">
        <f t="shared" si="82"/>
        <v>1473.4347009630246</v>
      </c>
      <c r="Q83" s="40">
        <f t="shared" si="82"/>
        <v>1636.2160949738666</v>
      </c>
      <c r="R83" s="40">
        <f t="shared" si="82"/>
        <v>1936.6985136924616</v>
      </c>
      <c r="S83" s="40">
        <f t="shared" si="82"/>
        <v>2095.6400612161551</v>
      </c>
      <c r="T83" s="40">
        <f t="shared" si="82"/>
        <v>2279.3503184713377</v>
      </c>
      <c r="U83" s="40">
        <f t="shared" si="82"/>
        <v>1263.7773279352227</v>
      </c>
      <c r="V83" s="40">
        <f t="shared" si="82"/>
        <v>860.77555110220442</v>
      </c>
      <c r="W83" s="40">
        <f t="shared" ref="W83:Y83" si="83">IF(W21=0,0,W21*1000000/W31)</f>
        <v>1019.1505376344087</v>
      </c>
      <c r="X83" s="40">
        <f t="shared" si="83"/>
        <v>2379.1879194630874</v>
      </c>
      <c r="Y83" s="40">
        <f t="shared" si="83"/>
        <v>1833.1097560975606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169703.56641058164</v>
      </c>
      <c r="C86" s="11">
        <f t="shared" si="84"/>
        <v>155834.38457765325</v>
      </c>
      <c r="D86" s="11">
        <f t="shared" ref="D86:V86" si="85">IF(D4=0,0,D4*1000000/D24)</f>
        <v>173411.50494854327</v>
      </c>
      <c r="E86" s="11">
        <f t="shared" si="85"/>
        <v>177927.86871161289</v>
      </c>
      <c r="F86" s="11">
        <f t="shared" si="85"/>
        <v>178378.28389626034</v>
      </c>
      <c r="G86" s="11">
        <f t="shared" si="85"/>
        <v>181070.77205178372</v>
      </c>
      <c r="H86" s="11">
        <f t="shared" si="85"/>
        <v>178440.39833824607</v>
      </c>
      <c r="I86" s="11">
        <f t="shared" si="85"/>
        <v>167779.68179046636</v>
      </c>
      <c r="J86" s="11">
        <f t="shared" si="85"/>
        <v>160532.45200229032</v>
      </c>
      <c r="K86" s="11">
        <f t="shared" si="85"/>
        <v>157897.74705880228</v>
      </c>
      <c r="L86" s="11">
        <f t="shared" si="85"/>
        <v>164939.54155029269</v>
      </c>
      <c r="M86" s="11">
        <f t="shared" si="85"/>
        <v>163790.25089830274</v>
      </c>
      <c r="N86" s="11">
        <f t="shared" si="85"/>
        <v>181214.21542491301</v>
      </c>
      <c r="O86" s="11">
        <f t="shared" si="85"/>
        <v>192461.85292317905</v>
      </c>
      <c r="P86" s="11">
        <f t="shared" si="85"/>
        <v>194500.36557926782</v>
      </c>
      <c r="Q86" s="11">
        <f t="shared" si="85"/>
        <v>193627.93496024239</v>
      </c>
      <c r="R86" s="11">
        <f t="shared" si="85"/>
        <v>206289.02170867976</v>
      </c>
      <c r="S86" s="11">
        <f t="shared" si="85"/>
        <v>218995.64873573385</v>
      </c>
      <c r="T86" s="11">
        <f t="shared" si="85"/>
        <v>217777.382261069</v>
      </c>
      <c r="U86" s="11">
        <f t="shared" si="85"/>
        <v>223425.03841937071</v>
      </c>
      <c r="V86" s="11">
        <f t="shared" si="85"/>
        <v>184625.93337870197</v>
      </c>
      <c r="W86" s="11">
        <f t="shared" ref="W86:Y86" si="86">IF(W4=0,0,W4*1000000/W24)</f>
        <v>184954.26516010807</v>
      </c>
      <c r="X86" s="11">
        <f t="shared" si="86"/>
        <v>215967.82069432875</v>
      </c>
      <c r="Y86" s="11">
        <f t="shared" si="86"/>
        <v>218468.7089923459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6814.5334778972328</v>
      </c>
      <c r="C87" s="36">
        <f t="shared" si="84"/>
        <v>7156.6845245706481</v>
      </c>
      <c r="D87" s="36">
        <f t="shared" ref="D87:V87" si="87">IF(D5=0,0,D5*1000000/D25)</f>
        <v>7459.7130585097821</v>
      </c>
      <c r="E87" s="36">
        <f t="shared" si="87"/>
        <v>7783.7658015729512</v>
      </c>
      <c r="F87" s="36">
        <f t="shared" si="87"/>
        <v>8141.2351540344198</v>
      </c>
      <c r="G87" s="36">
        <f t="shared" si="87"/>
        <v>8056.3602523782574</v>
      </c>
      <c r="H87" s="36">
        <f t="shared" si="87"/>
        <v>9561.199680735419</v>
      </c>
      <c r="I87" s="36">
        <f t="shared" si="87"/>
        <v>11660.116114694039</v>
      </c>
      <c r="J87" s="36">
        <f t="shared" si="87"/>
        <v>15916.199065390832</v>
      </c>
      <c r="K87" s="36">
        <f t="shared" si="87"/>
        <v>20334.811787144346</v>
      </c>
      <c r="L87" s="36">
        <f t="shared" si="87"/>
        <v>22577.509848095466</v>
      </c>
      <c r="M87" s="36">
        <f t="shared" si="87"/>
        <v>20777.568496311182</v>
      </c>
      <c r="N87" s="36">
        <f t="shared" si="87"/>
        <v>22840.589252050628</v>
      </c>
      <c r="O87" s="36">
        <f t="shared" si="87"/>
        <v>23259.014156755329</v>
      </c>
      <c r="P87" s="36">
        <f t="shared" si="87"/>
        <v>23303.157215661948</v>
      </c>
      <c r="Q87" s="36">
        <f t="shared" si="87"/>
        <v>23943.891422183464</v>
      </c>
      <c r="R87" s="36">
        <f t="shared" si="87"/>
        <v>24878.920342744856</v>
      </c>
      <c r="S87" s="36">
        <f t="shared" si="87"/>
        <v>36814.528568358721</v>
      </c>
      <c r="T87" s="36">
        <f t="shared" si="87"/>
        <v>40710.382554034324</v>
      </c>
      <c r="U87" s="36">
        <f t="shared" si="87"/>
        <v>40019.248636933007</v>
      </c>
      <c r="V87" s="36">
        <f t="shared" si="87"/>
        <v>29386.574827387547</v>
      </c>
      <c r="W87" s="36">
        <f t="shared" ref="W87:Y87" si="88">IF(W5=0,0,W5*1000000/W25)</f>
        <v>36337.453293123959</v>
      </c>
      <c r="X87" s="36">
        <f t="shared" si="88"/>
        <v>41511.63022636855</v>
      </c>
      <c r="Y87" s="36">
        <f t="shared" si="88"/>
        <v>43040.76579447135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199974.71643042998</v>
      </c>
      <c r="C88" s="36">
        <f t="shared" si="84"/>
        <v>200796.59698109425</v>
      </c>
      <c r="D88" s="36">
        <f t="shared" ref="D88:V88" si="89">IF(D6=0,0,D6*1000000/D26)</f>
        <v>199602.6029541317</v>
      </c>
      <c r="E88" s="36">
        <f t="shared" si="89"/>
        <v>196888.56008905129</v>
      </c>
      <c r="F88" s="36">
        <f t="shared" si="89"/>
        <v>194450.86996440231</v>
      </c>
      <c r="G88" s="36">
        <f t="shared" si="89"/>
        <v>195946.73945136377</v>
      </c>
      <c r="H88" s="36">
        <f t="shared" si="89"/>
        <v>193942.47958954319</v>
      </c>
      <c r="I88" s="36">
        <f t="shared" si="89"/>
        <v>182387.70660780405</v>
      </c>
      <c r="J88" s="36">
        <f t="shared" si="89"/>
        <v>174390.07826847085</v>
      </c>
      <c r="K88" s="36">
        <f t="shared" si="89"/>
        <v>169005.43139126347</v>
      </c>
      <c r="L88" s="36">
        <f t="shared" si="89"/>
        <v>172497.62270098252</v>
      </c>
      <c r="M88" s="36">
        <f t="shared" si="89"/>
        <v>176955.9358829486</v>
      </c>
      <c r="N88" s="36">
        <f t="shared" si="89"/>
        <v>194547.48788845641</v>
      </c>
      <c r="O88" s="36">
        <f t="shared" si="89"/>
        <v>200676.14434229527</v>
      </c>
      <c r="P88" s="36">
        <f t="shared" si="89"/>
        <v>200530.35889487094</v>
      </c>
      <c r="Q88" s="36">
        <f t="shared" si="89"/>
        <v>206724.87819790762</v>
      </c>
      <c r="R88" s="36">
        <f t="shared" si="89"/>
        <v>211921.11200350398</v>
      </c>
      <c r="S88" s="36">
        <f t="shared" si="89"/>
        <v>231388.92242895041</v>
      </c>
      <c r="T88" s="36">
        <f t="shared" si="89"/>
        <v>232472.07376127038</v>
      </c>
      <c r="U88" s="36">
        <f t="shared" si="89"/>
        <v>239981.62448609571</v>
      </c>
      <c r="V88" s="36">
        <f t="shared" si="89"/>
        <v>195742.98347857574</v>
      </c>
      <c r="W88" s="36">
        <f t="shared" ref="W88:Y88" si="90">IF(W6=0,0,W6*1000000/W26)</f>
        <v>190983.84910278878</v>
      </c>
      <c r="X88" s="36">
        <f t="shared" si="90"/>
        <v>232400.09674707585</v>
      </c>
      <c r="Y88" s="36">
        <f t="shared" si="90"/>
        <v>234217.56426287629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174218.18027019905</v>
      </c>
      <c r="C89" s="36">
        <f t="shared" si="84"/>
        <v>174657.09078954934</v>
      </c>
      <c r="D89" s="36">
        <f t="shared" ref="D89:V89" si="91">IF(D7=0,0,D7*1000000/D27)</f>
        <v>175209.95551863645</v>
      </c>
      <c r="E89" s="36">
        <f t="shared" si="91"/>
        <v>176732.7741284621</v>
      </c>
      <c r="F89" s="36">
        <f t="shared" si="91"/>
        <v>178817.18734785798</v>
      </c>
      <c r="G89" s="36">
        <f t="shared" si="91"/>
        <v>189227.83335928046</v>
      </c>
      <c r="H89" s="36">
        <f t="shared" si="91"/>
        <v>192887.81889007578</v>
      </c>
      <c r="I89" s="36">
        <f t="shared" si="91"/>
        <v>193750.391562448</v>
      </c>
      <c r="J89" s="36">
        <f t="shared" si="91"/>
        <v>189557.33176678227</v>
      </c>
      <c r="K89" s="36">
        <f t="shared" si="91"/>
        <v>197501.89273232964</v>
      </c>
      <c r="L89" s="36">
        <f t="shared" si="91"/>
        <v>211271.20557300182</v>
      </c>
      <c r="M89" s="36">
        <f t="shared" si="91"/>
        <v>198881.62889851732</v>
      </c>
      <c r="N89" s="36">
        <f t="shared" si="91"/>
        <v>222402.95184710698</v>
      </c>
      <c r="O89" s="36">
        <f t="shared" si="91"/>
        <v>240103.02714400404</v>
      </c>
      <c r="P89" s="36">
        <f t="shared" si="91"/>
        <v>233855.24294649097</v>
      </c>
      <c r="Q89" s="36">
        <f t="shared" si="91"/>
        <v>211482.01118617749</v>
      </c>
      <c r="R89" s="36">
        <f t="shared" si="91"/>
        <v>239968.23189863178</v>
      </c>
      <c r="S89" s="36">
        <f t="shared" si="91"/>
        <v>236862.28610603113</v>
      </c>
      <c r="T89" s="36">
        <f t="shared" si="91"/>
        <v>221322.86071355318</v>
      </c>
      <c r="U89" s="36">
        <f t="shared" si="91"/>
        <v>221837.33262353018</v>
      </c>
      <c r="V89" s="36">
        <f t="shared" si="91"/>
        <v>247358.62677138188</v>
      </c>
      <c r="W89" s="36">
        <f t="shared" ref="W89:Y89" si="92">IF(W7=0,0,W7*1000000/W27)</f>
        <v>251138.59683194174</v>
      </c>
      <c r="X89" s="36">
        <f t="shared" si="92"/>
        <v>207597.11073609506</v>
      </c>
      <c r="Y89" s="36">
        <f t="shared" si="92"/>
        <v>203199.73187307082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30027.967699177614</v>
      </c>
      <c r="C90" s="13">
        <f t="shared" si="84"/>
        <v>39341.201551932973</v>
      </c>
      <c r="D90" s="13">
        <f t="shared" ref="D90:V90" si="93">IF(D8=0,0,D8*1000000/D28)</f>
        <v>38445.049807385178</v>
      </c>
      <c r="E90" s="13">
        <f t="shared" si="93"/>
        <v>38873.856171935484</v>
      </c>
      <c r="F90" s="13">
        <f t="shared" si="93"/>
        <v>36699.391046365061</v>
      </c>
      <c r="G90" s="13">
        <f t="shared" si="93"/>
        <v>34105.824613106488</v>
      </c>
      <c r="H90" s="13">
        <f t="shared" si="93"/>
        <v>30917.385247083403</v>
      </c>
      <c r="I90" s="13">
        <f t="shared" si="93"/>
        <v>30623.49334955958</v>
      </c>
      <c r="J90" s="13">
        <f t="shared" si="93"/>
        <v>27828.677641067541</v>
      </c>
      <c r="K90" s="13">
        <f t="shared" si="93"/>
        <v>41490.580753144808</v>
      </c>
      <c r="L90" s="13">
        <f t="shared" si="93"/>
        <v>62342.648991592345</v>
      </c>
      <c r="M90" s="13">
        <f t="shared" si="93"/>
        <v>47644.707067743977</v>
      </c>
      <c r="N90" s="13">
        <f t="shared" si="93"/>
        <v>27905.855127002262</v>
      </c>
      <c r="O90" s="13">
        <f t="shared" si="93"/>
        <v>29794.3836331235</v>
      </c>
      <c r="P90" s="13">
        <f t="shared" si="93"/>
        <v>41923.390934679759</v>
      </c>
      <c r="Q90" s="13">
        <f t="shared" si="93"/>
        <v>62737.509138381196</v>
      </c>
      <c r="R90" s="13">
        <f t="shared" si="93"/>
        <v>82179.464214713706</v>
      </c>
      <c r="S90" s="13">
        <f t="shared" si="93"/>
        <v>81512.596299656521</v>
      </c>
      <c r="T90" s="13">
        <f t="shared" si="93"/>
        <v>68869.648203676188</v>
      </c>
      <c r="U90" s="13">
        <f t="shared" si="93"/>
        <v>44504.841479558905</v>
      </c>
      <c r="V90" s="13">
        <f t="shared" si="93"/>
        <v>30340.731550362168</v>
      </c>
      <c r="W90" s="13">
        <f t="shared" ref="W90:Y90" si="94">IF(W8=0,0,W8*1000000/W28)</f>
        <v>29296.489950835778</v>
      </c>
      <c r="X90" s="13">
        <f t="shared" si="94"/>
        <v>35217.756947564951</v>
      </c>
      <c r="Y90" s="13">
        <f t="shared" si="94"/>
        <v>35351.169595161729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22257.138009202528</v>
      </c>
      <c r="C92" s="34">
        <f t="shared" si="84"/>
        <v>23387.524584041126</v>
      </c>
      <c r="D92" s="34">
        <f t="shared" ref="D92:V92" si="97">IF(D10=0,0,D10*1000000/D30)</f>
        <v>21967.82621284264</v>
      </c>
      <c r="E92" s="34">
        <f t="shared" si="97"/>
        <v>22529.67527294637</v>
      </c>
      <c r="F92" s="34">
        <f t="shared" si="97"/>
        <v>20446.474319982179</v>
      </c>
      <c r="G92" s="34">
        <f t="shared" si="97"/>
        <v>19846.582601148308</v>
      </c>
      <c r="H92" s="34">
        <f t="shared" si="97"/>
        <v>17435.240211365686</v>
      </c>
      <c r="I92" s="34">
        <f t="shared" si="97"/>
        <v>16617.16330640977</v>
      </c>
      <c r="J92" s="34">
        <f t="shared" si="97"/>
        <v>16165.352353243259</v>
      </c>
      <c r="K92" s="34">
        <f t="shared" si="97"/>
        <v>16849.49197948365</v>
      </c>
      <c r="L92" s="34">
        <f t="shared" si="97"/>
        <v>18040.629861641421</v>
      </c>
      <c r="M92" s="34">
        <f t="shared" si="97"/>
        <v>17880.43378237569</v>
      </c>
      <c r="N92" s="34">
        <f t="shared" si="97"/>
        <v>19517.101443711967</v>
      </c>
      <c r="O92" s="34">
        <f t="shared" si="97"/>
        <v>19525.960518387437</v>
      </c>
      <c r="P92" s="34">
        <f t="shared" si="97"/>
        <v>22495.53018072281</v>
      </c>
      <c r="Q92" s="34">
        <f t="shared" si="97"/>
        <v>23520.704409613369</v>
      </c>
      <c r="R92" s="34">
        <f t="shared" si="97"/>
        <v>26585.888318170866</v>
      </c>
      <c r="S92" s="34">
        <f t="shared" si="97"/>
        <v>25120.341625752608</v>
      </c>
      <c r="T92" s="34">
        <f t="shared" si="97"/>
        <v>26200.728355491858</v>
      </c>
      <c r="U92" s="34">
        <f t="shared" si="97"/>
        <v>29038.460263071906</v>
      </c>
      <c r="V92" s="34">
        <f t="shared" si="97"/>
        <v>23746.379209810842</v>
      </c>
      <c r="W92" s="34">
        <f t="shared" ref="W92:Y92" si="98">IF(W10=0,0,W10*1000000/W30)</f>
        <v>22071.249626581703</v>
      </c>
      <c r="X92" s="34">
        <f t="shared" si="98"/>
        <v>25159.427316122656</v>
      </c>
      <c r="Y92" s="34">
        <f t="shared" si="98"/>
        <v>25065.521754766363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114931.4772748313</v>
      </c>
      <c r="C93" s="35">
        <f t="shared" si="84"/>
        <v>120439.05947204988</v>
      </c>
      <c r="D93" s="35">
        <f t="shared" ref="D93:V93" si="99">IF(D11=0,0,D11*1000000/D31)</f>
        <v>113716.00304609089</v>
      </c>
      <c r="E93" s="35">
        <f t="shared" si="99"/>
        <v>103325.43745285484</v>
      </c>
      <c r="F93" s="35">
        <f t="shared" si="99"/>
        <v>100285.36350221386</v>
      </c>
      <c r="G93" s="35">
        <f t="shared" si="99"/>
        <v>98838.256603900765</v>
      </c>
      <c r="H93" s="35">
        <f t="shared" si="99"/>
        <v>108600.22092907599</v>
      </c>
      <c r="I93" s="35">
        <f t="shared" si="99"/>
        <v>118819.60284001855</v>
      </c>
      <c r="J93" s="35">
        <f t="shared" si="99"/>
        <v>126750.95508224386</v>
      </c>
      <c r="K93" s="35">
        <f t="shared" si="99"/>
        <v>158003.38322613522</v>
      </c>
      <c r="L93" s="35">
        <f t="shared" si="99"/>
        <v>178793.67070460619</v>
      </c>
      <c r="M93" s="35">
        <f t="shared" si="99"/>
        <v>121520.06162495303</v>
      </c>
      <c r="N93" s="35">
        <f t="shared" si="99"/>
        <v>72172.663024980255</v>
      </c>
      <c r="O93" s="35">
        <f t="shared" si="99"/>
        <v>86040.820694438939</v>
      </c>
      <c r="P93" s="35">
        <f t="shared" si="99"/>
        <v>118808.11647161579</v>
      </c>
      <c r="Q93" s="35">
        <f t="shared" si="99"/>
        <v>128394.60302817346</v>
      </c>
      <c r="R93" s="35">
        <f t="shared" si="99"/>
        <v>172747.40241236798</v>
      </c>
      <c r="S93" s="35">
        <f t="shared" si="99"/>
        <v>181709.54880061085</v>
      </c>
      <c r="T93" s="35">
        <f t="shared" si="99"/>
        <v>197784.2571067012</v>
      </c>
      <c r="U93" s="35">
        <f t="shared" si="99"/>
        <v>112585.82795587085</v>
      </c>
      <c r="V93" s="35">
        <f t="shared" si="99"/>
        <v>52368.674475182546</v>
      </c>
      <c r="W93" s="35">
        <f t="shared" ref="W93:Y93" si="100">IF(W11=0,0,W11*1000000/W31)</f>
        <v>60906.916369447383</v>
      </c>
      <c r="X93" s="35">
        <f t="shared" si="100"/>
        <v>159623.4129154039</v>
      </c>
      <c r="Y93" s="35">
        <f t="shared" si="100"/>
        <v>128325.35889755904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1184.7214357812129</v>
      </c>
      <c r="C95" s="62">
        <f t="shared" si="101"/>
        <v>1236.1972154835371</v>
      </c>
      <c r="D95" s="62">
        <f t="shared" ref="D95:V95" si="102">IF(D23=0,0,D23/D43)</f>
        <v>1130.375591470186</v>
      </c>
      <c r="E95" s="62">
        <f t="shared" si="102"/>
        <v>1116.2455328542485</v>
      </c>
      <c r="F95" s="62">
        <f t="shared" si="102"/>
        <v>1092.5084220876142</v>
      </c>
      <c r="G95" s="62">
        <f t="shared" si="102"/>
        <v>1110.6188587781346</v>
      </c>
      <c r="H95" s="62">
        <f t="shared" si="102"/>
        <v>1127.8165867486748</v>
      </c>
      <c r="I95" s="62">
        <f t="shared" si="102"/>
        <v>1147.2144269489493</v>
      </c>
      <c r="J95" s="62">
        <f t="shared" si="102"/>
        <v>1150.9962608430812</v>
      </c>
      <c r="K95" s="62">
        <f t="shared" si="102"/>
        <v>1091.9717882856464</v>
      </c>
      <c r="L95" s="62">
        <f t="shared" si="102"/>
        <v>1101.972639200603</v>
      </c>
      <c r="M95" s="62">
        <f t="shared" si="102"/>
        <v>1129.3552685896577</v>
      </c>
      <c r="N95" s="62">
        <f t="shared" si="102"/>
        <v>1079.913355786043</v>
      </c>
      <c r="O95" s="62">
        <f t="shared" si="102"/>
        <v>1051.7091176708466</v>
      </c>
      <c r="P95" s="62">
        <f t="shared" si="102"/>
        <v>1063.5305498387556</v>
      </c>
      <c r="Q95" s="62">
        <f t="shared" si="102"/>
        <v>1072.846566310169</v>
      </c>
      <c r="R95" s="62">
        <f t="shared" si="102"/>
        <v>1059.3850556267685</v>
      </c>
      <c r="S95" s="62">
        <f t="shared" si="102"/>
        <v>1063.1890558809516</v>
      </c>
      <c r="T95" s="62">
        <f t="shared" si="102"/>
        <v>1068.9488515412186</v>
      </c>
      <c r="U95" s="62">
        <f t="shared" si="102"/>
        <v>1016.9023083840689</v>
      </c>
      <c r="V95" s="62">
        <f t="shared" si="102"/>
        <v>435.80324602302966</v>
      </c>
      <c r="W95" s="62">
        <f t="shared" ref="W95:Y95" si="103">IF(W23=0,0,W23/W43)</f>
        <v>569.62138470350578</v>
      </c>
      <c r="X95" s="62">
        <f t="shared" si="103"/>
        <v>800.29621736216109</v>
      </c>
      <c r="Y95" s="62">
        <f t="shared" si="103"/>
        <v>930.13897090443777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1188.077065696209</v>
      </c>
      <c r="C96" s="11">
        <f t="shared" si="104"/>
        <v>1246.0676426644723</v>
      </c>
      <c r="D96" s="11">
        <f t="shared" ref="D96:V96" si="105">IF(D24=0,0,D24/D44)</f>
        <v>1134.2647952955772</v>
      </c>
      <c r="E96" s="11">
        <f t="shared" si="105"/>
        <v>1117.5955591397478</v>
      </c>
      <c r="F96" s="11">
        <f t="shared" si="105"/>
        <v>1093.707141054203</v>
      </c>
      <c r="G96" s="11">
        <f t="shared" si="105"/>
        <v>1112.0893321857575</v>
      </c>
      <c r="H96" s="11">
        <f t="shared" si="105"/>
        <v>1129.825284864751</v>
      </c>
      <c r="I96" s="11">
        <f t="shared" si="105"/>
        <v>1149.6550296273329</v>
      </c>
      <c r="J96" s="11">
        <f t="shared" si="105"/>
        <v>1153.7250493516212</v>
      </c>
      <c r="K96" s="11">
        <f t="shared" si="105"/>
        <v>1096.4082362538011</v>
      </c>
      <c r="L96" s="11">
        <f t="shared" si="105"/>
        <v>1108.713895228321</v>
      </c>
      <c r="M96" s="11">
        <f t="shared" si="105"/>
        <v>1136.3660682182617</v>
      </c>
      <c r="N96" s="11">
        <f t="shared" si="105"/>
        <v>1087.9878752868419</v>
      </c>
      <c r="O96" s="11">
        <f t="shared" si="105"/>
        <v>1058.6580352462449</v>
      </c>
      <c r="P96" s="11">
        <f t="shared" si="105"/>
        <v>1069.7278921956258</v>
      </c>
      <c r="Q96" s="11">
        <f t="shared" si="105"/>
        <v>1076.504296251311</v>
      </c>
      <c r="R96" s="11">
        <f t="shared" si="105"/>
        <v>1063.1633456924674</v>
      </c>
      <c r="S96" s="11">
        <f t="shared" si="105"/>
        <v>1067.3027966666843</v>
      </c>
      <c r="T96" s="11">
        <f t="shared" si="105"/>
        <v>1074.8408218144818</v>
      </c>
      <c r="U96" s="11">
        <f t="shared" si="105"/>
        <v>1022.8121358555368</v>
      </c>
      <c r="V96" s="11">
        <f t="shared" si="105"/>
        <v>429.34095405200833</v>
      </c>
      <c r="W96" s="11">
        <f t="shared" ref="W96:Y96" si="106">IF(W24=0,0,W24/W44)</f>
        <v>566.28083069270599</v>
      </c>
      <c r="X96" s="11">
        <f t="shared" si="106"/>
        <v>802.25408857615378</v>
      </c>
      <c r="Y96" s="11">
        <f t="shared" si="106"/>
        <v>941.61782010189222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2480</v>
      </c>
      <c r="C97" s="36">
        <f t="shared" si="104"/>
        <v>2480</v>
      </c>
      <c r="D97" s="36">
        <f t="shared" ref="D97:V97" si="107">IF(D25=0,0,D25/D45)</f>
        <v>1536.6383038080626</v>
      </c>
      <c r="E97" s="36">
        <f t="shared" si="107"/>
        <v>1428.8693614528413</v>
      </c>
      <c r="F97" s="36">
        <f t="shared" si="107"/>
        <v>1217.2529674734085</v>
      </c>
      <c r="G97" s="36">
        <f t="shared" si="107"/>
        <v>1479.2840872111947</v>
      </c>
      <c r="H97" s="36">
        <f t="shared" si="107"/>
        <v>2021.5951765719215</v>
      </c>
      <c r="I97" s="36">
        <f t="shared" si="107"/>
        <v>2332</v>
      </c>
      <c r="J97" s="36">
        <f t="shared" si="107"/>
        <v>2339</v>
      </c>
      <c r="K97" s="36">
        <f t="shared" si="107"/>
        <v>2267.6446697891624</v>
      </c>
      <c r="L97" s="36">
        <f t="shared" si="107"/>
        <v>2253.4972492700231</v>
      </c>
      <c r="M97" s="36">
        <f t="shared" si="107"/>
        <v>2357</v>
      </c>
      <c r="N97" s="36">
        <f t="shared" si="107"/>
        <v>2311.8499390842926</v>
      </c>
      <c r="O97" s="36">
        <f t="shared" si="107"/>
        <v>2032.2284979850031</v>
      </c>
      <c r="P97" s="36">
        <f t="shared" si="107"/>
        <v>1924.4149264620476</v>
      </c>
      <c r="Q97" s="36">
        <f t="shared" si="107"/>
        <v>2012.2933395299208</v>
      </c>
      <c r="R97" s="36">
        <f t="shared" si="107"/>
        <v>2067.5881461563886</v>
      </c>
      <c r="S97" s="36">
        <f t="shared" si="107"/>
        <v>2327</v>
      </c>
      <c r="T97" s="36">
        <f t="shared" si="107"/>
        <v>2325</v>
      </c>
      <c r="U97" s="36">
        <f t="shared" si="107"/>
        <v>2285.2205857342087</v>
      </c>
      <c r="V97" s="36">
        <f t="shared" si="107"/>
        <v>1535.964128702293</v>
      </c>
      <c r="W97" s="36">
        <f t="shared" ref="W97:Y97" si="108">IF(W25=0,0,W25/W45)</f>
        <v>1983.534339568138</v>
      </c>
      <c r="X97" s="36">
        <f t="shared" si="108"/>
        <v>2022.5099193413189</v>
      </c>
      <c r="Y97" s="36">
        <f t="shared" si="108"/>
        <v>2107.9379737581289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1133.5944829082352</v>
      </c>
      <c r="C98" s="36">
        <f t="shared" si="104"/>
        <v>1133.6122200478935</v>
      </c>
      <c r="D98" s="36">
        <f t="shared" ref="D98:V98" si="109">IF(D26=0,0,D26/D46)</f>
        <v>1133.6050630742313</v>
      </c>
      <c r="E98" s="36">
        <f t="shared" si="109"/>
        <v>1133.5976565762051</v>
      </c>
      <c r="F98" s="36">
        <f t="shared" si="109"/>
        <v>1122.8940383152831</v>
      </c>
      <c r="G98" s="36">
        <f t="shared" si="109"/>
        <v>1126.6695922132424</v>
      </c>
      <c r="H98" s="36">
        <f t="shared" si="109"/>
        <v>1120.2811649050188</v>
      </c>
      <c r="I98" s="36">
        <f t="shared" si="109"/>
        <v>1135.855747325724</v>
      </c>
      <c r="J98" s="36">
        <f t="shared" si="109"/>
        <v>1142.156589254756</v>
      </c>
      <c r="K98" s="36">
        <f t="shared" si="109"/>
        <v>1081.421884318057</v>
      </c>
      <c r="L98" s="36">
        <f t="shared" si="109"/>
        <v>1119.1351562077605</v>
      </c>
      <c r="M98" s="36">
        <f t="shared" si="109"/>
        <v>1130.672257114149</v>
      </c>
      <c r="N98" s="36">
        <f t="shared" si="109"/>
        <v>1079.8690247324282</v>
      </c>
      <c r="O98" s="36">
        <f t="shared" si="109"/>
        <v>1070.3353225796434</v>
      </c>
      <c r="P98" s="36">
        <f t="shared" si="109"/>
        <v>1121.2041835784928</v>
      </c>
      <c r="Q98" s="36">
        <f t="shared" si="109"/>
        <v>1123.1035877424988</v>
      </c>
      <c r="R98" s="36">
        <f t="shared" si="109"/>
        <v>1125.874669685654</v>
      </c>
      <c r="S98" s="36">
        <f t="shared" si="109"/>
        <v>1116.3413420804536</v>
      </c>
      <c r="T98" s="36">
        <f t="shared" si="109"/>
        <v>1118.3029788088247</v>
      </c>
      <c r="U98" s="36">
        <f t="shared" si="109"/>
        <v>1056.7514095089077</v>
      </c>
      <c r="V98" s="36">
        <f t="shared" si="109"/>
        <v>479.10307433563634</v>
      </c>
      <c r="W98" s="36">
        <f t="shared" ref="W98:Y98" si="110">IF(W26=0,0,W26/W46)</f>
        <v>604.17655615695526</v>
      </c>
      <c r="X98" s="36">
        <f t="shared" si="110"/>
        <v>907.61348187443639</v>
      </c>
      <c r="Y98" s="36">
        <f t="shared" si="110"/>
        <v>1071.5564484847332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911</v>
      </c>
      <c r="C99" s="36">
        <f t="shared" si="104"/>
        <v>911.00000000000011</v>
      </c>
      <c r="D99" s="36">
        <f t="shared" ref="D99:V99" si="111">IF(D27=0,0,D27/D47)</f>
        <v>910.99999999999989</v>
      </c>
      <c r="E99" s="36">
        <f t="shared" si="111"/>
        <v>911</v>
      </c>
      <c r="F99" s="36">
        <f t="shared" si="111"/>
        <v>902.55948620762274</v>
      </c>
      <c r="G99" s="36">
        <f t="shared" si="111"/>
        <v>881</v>
      </c>
      <c r="H99" s="36">
        <f t="shared" si="111"/>
        <v>873</v>
      </c>
      <c r="I99" s="36">
        <f t="shared" si="111"/>
        <v>868.99999999999989</v>
      </c>
      <c r="J99" s="36">
        <f t="shared" si="111"/>
        <v>875</v>
      </c>
      <c r="K99" s="36">
        <f t="shared" si="111"/>
        <v>841.55014916017296</v>
      </c>
      <c r="L99" s="36">
        <f t="shared" si="111"/>
        <v>833</v>
      </c>
      <c r="M99" s="36">
        <f t="shared" si="111"/>
        <v>873</v>
      </c>
      <c r="N99" s="36">
        <f t="shared" si="111"/>
        <v>854</v>
      </c>
      <c r="O99" s="36">
        <f t="shared" si="111"/>
        <v>849</v>
      </c>
      <c r="P99" s="36">
        <f t="shared" si="111"/>
        <v>838</v>
      </c>
      <c r="Q99" s="36">
        <f t="shared" si="111"/>
        <v>846.00000000000011</v>
      </c>
      <c r="R99" s="36">
        <f t="shared" si="111"/>
        <v>809.00000000000011</v>
      </c>
      <c r="S99" s="36">
        <f t="shared" si="111"/>
        <v>786.57043392234573</v>
      </c>
      <c r="T99" s="36">
        <f t="shared" si="111"/>
        <v>817</v>
      </c>
      <c r="U99" s="36">
        <f t="shared" si="111"/>
        <v>794.31096822875179</v>
      </c>
      <c r="V99" s="36">
        <f t="shared" si="111"/>
        <v>178.77990244776467</v>
      </c>
      <c r="W99" s="36">
        <f t="shared" ref="W99:Y99" si="112">IF(W27=0,0,W27/W47)</f>
        <v>318.23975859855938</v>
      </c>
      <c r="X99" s="36">
        <f t="shared" si="112"/>
        <v>400.72670497011973</v>
      </c>
      <c r="Y99" s="36">
        <f t="shared" si="112"/>
        <v>485.92720146183143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1070.5280587600912</v>
      </c>
      <c r="C100" s="13">
        <f t="shared" si="104"/>
        <v>760.28736910435578</v>
      </c>
      <c r="D100" s="13">
        <f t="shared" ref="D100:V100" si="113">IF(D28=0,0,D28/D48)</f>
        <v>898.16852625040985</v>
      </c>
      <c r="E100" s="13">
        <f t="shared" si="113"/>
        <v>1010.0364906087304</v>
      </c>
      <c r="F100" s="13">
        <f t="shared" si="113"/>
        <v>1008.7946468368003</v>
      </c>
      <c r="G100" s="13">
        <f t="shared" si="113"/>
        <v>1016.7173509986046</v>
      </c>
      <c r="H100" s="13">
        <f t="shared" si="113"/>
        <v>1008.5435418803304</v>
      </c>
      <c r="I100" s="13">
        <f t="shared" si="113"/>
        <v>1004.8078631404351</v>
      </c>
      <c r="J100" s="13">
        <f t="shared" si="113"/>
        <v>998.71938156774013</v>
      </c>
      <c r="K100" s="13">
        <f t="shared" si="113"/>
        <v>864.07600190923597</v>
      </c>
      <c r="L100" s="13">
        <f t="shared" si="113"/>
        <v>802.76202621464233</v>
      </c>
      <c r="M100" s="13">
        <f t="shared" si="113"/>
        <v>797.53449988386569</v>
      </c>
      <c r="N100" s="13">
        <f t="shared" si="113"/>
        <v>693.45016413385599</v>
      </c>
      <c r="O100" s="13">
        <f t="shared" si="113"/>
        <v>724.85306791353878</v>
      </c>
      <c r="P100" s="13">
        <f t="shared" si="113"/>
        <v>763.41795491078369</v>
      </c>
      <c r="Q100" s="13">
        <f t="shared" si="113"/>
        <v>906.7296830789644</v>
      </c>
      <c r="R100" s="13">
        <f t="shared" si="113"/>
        <v>854.86547925570301</v>
      </c>
      <c r="S100" s="13">
        <f t="shared" si="113"/>
        <v>845.7347937060913</v>
      </c>
      <c r="T100" s="13">
        <f t="shared" si="113"/>
        <v>745.37477904500145</v>
      </c>
      <c r="U100" s="13">
        <f t="shared" si="113"/>
        <v>715.23416246403553</v>
      </c>
      <c r="V100" s="13">
        <f t="shared" si="113"/>
        <v>764.80497573011223</v>
      </c>
      <c r="W100" s="13">
        <f t="shared" ref="W100:Y100" si="114">IF(W28=0,0,W28/W48)</f>
        <v>733.31630723209935</v>
      </c>
      <c r="X100" s="13">
        <f t="shared" si="114"/>
        <v>726.19218899928273</v>
      </c>
      <c r="Y100" s="13">
        <f t="shared" si="114"/>
        <v>495.03529221176194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1114.5118164925302</v>
      </c>
      <c r="C102" s="34">
        <f t="shared" si="104"/>
        <v>762.75222879675414</v>
      </c>
      <c r="D102" s="34">
        <f t="shared" ref="D102:V102" si="117">IF(D30=0,0,D30/D50)</f>
        <v>939.45521183407675</v>
      </c>
      <c r="E102" s="34">
        <f t="shared" si="117"/>
        <v>1108.5124785215853</v>
      </c>
      <c r="F102" s="34">
        <f t="shared" si="117"/>
        <v>1107.4925386961588</v>
      </c>
      <c r="G102" s="34">
        <f t="shared" si="117"/>
        <v>1113.5258153435238</v>
      </c>
      <c r="H102" s="34">
        <f t="shared" si="117"/>
        <v>1101.7664039598885</v>
      </c>
      <c r="I102" s="34">
        <f t="shared" si="117"/>
        <v>1106.7277114032258</v>
      </c>
      <c r="J102" s="34">
        <f t="shared" si="117"/>
        <v>1101.9225096223629</v>
      </c>
      <c r="K102" s="34">
        <f t="shared" si="117"/>
        <v>971.75403367471824</v>
      </c>
      <c r="L102" s="34">
        <f t="shared" si="117"/>
        <v>1000.9147771215333</v>
      </c>
      <c r="M102" s="34">
        <f t="shared" si="117"/>
        <v>999.04899510835548</v>
      </c>
      <c r="N102" s="34">
        <f t="shared" si="117"/>
        <v>1038.0409251596725</v>
      </c>
      <c r="O102" s="34">
        <f t="shared" si="117"/>
        <v>1065.5613614144052</v>
      </c>
      <c r="P102" s="34">
        <f t="shared" si="117"/>
        <v>1034.1961178747354</v>
      </c>
      <c r="Q102" s="34">
        <f t="shared" si="117"/>
        <v>1039.4926680209794</v>
      </c>
      <c r="R102" s="34">
        <f t="shared" si="117"/>
        <v>1015.0991415163128</v>
      </c>
      <c r="S102" s="34">
        <f t="shared" si="117"/>
        <v>1019.7055284174511</v>
      </c>
      <c r="T102" s="34">
        <f t="shared" si="117"/>
        <v>1016.3319304379129</v>
      </c>
      <c r="U102" s="34">
        <f t="shared" si="117"/>
        <v>1001.7017889374605</v>
      </c>
      <c r="V102" s="34">
        <f t="shared" si="117"/>
        <v>1014.9075392452628</v>
      </c>
      <c r="W102" s="34">
        <f t="shared" ref="W102:Y102" si="118">IF(W30=0,0,W30/W50)</f>
        <v>1006.9652222228141</v>
      </c>
      <c r="X102" s="34">
        <f t="shared" si="118"/>
        <v>983.54300783108022</v>
      </c>
      <c r="Y102" s="34">
        <f t="shared" si="118"/>
        <v>655.23737745132075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748</v>
      </c>
      <c r="C103" s="35">
        <f t="shared" si="104"/>
        <v>748</v>
      </c>
      <c r="D103" s="35">
        <f t="shared" ref="D103:V103" si="119">IF(D31=0,0,D31/D51)</f>
        <v>748</v>
      </c>
      <c r="E103" s="35">
        <f t="shared" si="119"/>
        <v>747.99999999999989</v>
      </c>
      <c r="F103" s="35">
        <f t="shared" si="119"/>
        <v>748</v>
      </c>
      <c r="G103" s="35">
        <f t="shared" si="119"/>
        <v>729</v>
      </c>
      <c r="H103" s="35">
        <f t="shared" si="119"/>
        <v>678</v>
      </c>
      <c r="I103" s="35">
        <f t="shared" si="119"/>
        <v>636</v>
      </c>
      <c r="J103" s="35">
        <f t="shared" si="119"/>
        <v>556.59025713468588</v>
      </c>
      <c r="K103" s="35">
        <f t="shared" si="119"/>
        <v>567</v>
      </c>
      <c r="L103" s="35">
        <f t="shared" si="119"/>
        <v>528</v>
      </c>
      <c r="M103" s="35">
        <f t="shared" si="119"/>
        <v>531.46362242290002</v>
      </c>
      <c r="N103" s="35">
        <f t="shared" si="119"/>
        <v>252.00414651002072</v>
      </c>
      <c r="O103" s="35">
        <f t="shared" si="119"/>
        <v>263.44489223760291</v>
      </c>
      <c r="P103" s="35">
        <f t="shared" si="119"/>
        <v>374.9306789904017</v>
      </c>
      <c r="Q103" s="35">
        <f t="shared" si="119"/>
        <v>747</v>
      </c>
      <c r="R103" s="35">
        <f t="shared" si="119"/>
        <v>680</v>
      </c>
      <c r="S103" s="35">
        <f t="shared" si="119"/>
        <v>649</v>
      </c>
      <c r="T103" s="35">
        <f t="shared" si="119"/>
        <v>412.83990260537257</v>
      </c>
      <c r="U103" s="35">
        <f t="shared" si="119"/>
        <v>316.63631365081062</v>
      </c>
      <c r="V103" s="35">
        <f t="shared" si="119"/>
        <v>419.49014915311369</v>
      </c>
      <c r="W103" s="35">
        <f t="shared" ref="W103:Y103" si="120">IF(W31=0,0,W31/W51)</f>
        <v>335.01087833212466</v>
      </c>
      <c r="X103" s="35">
        <f t="shared" si="120"/>
        <v>171.42202944573734</v>
      </c>
      <c r="Y103" s="35">
        <f t="shared" si="120"/>
        <v>154.21465179378959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5.6298944789846955E-3</v>
      </c>
      <c r="C107" s="43">
        <f t="shared" si="124"/>
        <v>9.9646448622984218E-3</v>
      </c>
      <c r="D107" s="43">
        <f t="shared" ref="D107:V107" si="125">IF(D5=0,0,D5/D$4)</f>
        <v>5.1719622163394745E-3</v>
      </c>
      <c r="E107" s="43">
        <f t="shared" si="125"/>
        <v>3.7729580900926498E-3</v>
      </c>
      <c r="F107" s="43">
        <f t="shared" si="125"/>
        <v>3.4273268261757616E-3</v>
      </c>
      <c r="G107" s="43">
        <f t="shared" si="125"/>
        <v>3.3455901158665523E-3</v>
      </c>
      <c r="H107" s="43">
        <f t="shared" si="125"/>
        <v>4.4738361493206315E-3</v>
      </c>
      <c r="I107" s="43">
        <f t="shared" si="125"/>
        <v>6.4866755340816868E-3</v>
      </c>
      <c r="J107" s="43">
        <f t="shared" si="125"/>
        <v>9.9548823504440574E-3</v>
      </c>
      <c r="K107" s="43">
        <f t="shared" si="125"/>
        <v>1.3017285588403149E-2</v>
      </c>
      <c r="L107" s="43">
        <f t="shared" si="125"/>
        <v>1.2672530499852005E-2</v>
      </c>
      <c r="M107" s="43">
        <f t="shared" si="125"/>
        <v>1.3808666215609153E-2</v>
      </c>
      <c r="N107" s="43">
        <f t="shared" si="125"/>
        <v>1.3682859698551198E-2</v>
      </c>
      <c r="O107" s="43">
        <f t="shared" si="125"/>
        <v>1.1284467176793591E-2</v>
      </c>
      <c r="P107" s="43">
        <f t="shared" si="125"/>
        <v>9.48752793344196E-3</v>
      </c>
      <c r="Q107" s="43">
        <f t="shared" si="125"/>
        <v>9.623894416815779E-3</v>
      </c>
      <c r="R107" s="43">
        <f t="shared" si="125"/>
        <v>7.6969950272905967E-3</v>
      </c>
      <c r="S107" s="43">
        <f t="shared" si="125"/>
        <v>1.1631671115695496E-2</v>
      </c>
      <c r="T107" s="43">
        <f t="shared" si="125"/>
        <v>1.2139875821746993E-2</v>
      </c>
      <c r="U107" s="43">
        <f t="shared" si="125"/>
        <v>1.1500480390000765E-2</v>
      </c>
      <c r="V107" s="43">
        <f t="shared" si="125"/>
        <v>1.6088808650739816E-2</v>
      </c>
      <c r="W107" s="43">
        <f t="shared" ref="W107:Y107" si="126">IF(W5=0,0,W5/W$4)</f>
        <v>1.9103377002095617E-2</v>
      </c>
      <c r="X107" s="43">
        <f t="shared" si="126"/>
        <v>1.3205458098609487E-2</v>
      </c>
      <c r="Y107" s="43">
        <f t="shared" si="126"/>
        <v>1.1789179782552407E-2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0.86723713716205009</v>
      </c>
      <c r="C108" s="43">
        <f t="shared" si="127"/>
        <v>0.86368295332270351</v>
      </c>
      <c r="D108" s="43">
        <f t="shared" ref="D108:V108" si="128">IF(D6=0,0,D6/D$4)</f>
        <v>0.86684297103724306</v>
      </c>
      <c r="E108" s="43">
        <f t="shared" si="128"/>
        <v>0.86557198903337385</v>
      </c>
      <c r="F108" s="43">
        <f t="shared" si="128"/>
        <v>0.86308465195666373</v>
      </c>
      <c r="G108" s="43">
        <f t="shared" si="128"/>
        <v>0.88034731719878423</v>
      </c>
      <c r="H108" s="43">
        <f t="shared" si="128"/>
        <v>0.88570161879085207</v>
      </c>
      <c r="I108" s="43">
        <f t="shared" si="128"/>
        <v>0.85861429008117807</v>
      </c>
      <c r="J108" s="43">
        <f t="shared" si="128"/>
        <v>0.83012894927528691</v>
      </c>
      <c r="K108" s="43">
        <f t="shared" si="128"/>
        <v>0.81493479309715022</v>
      </c>
      <c r="L108" s="43">
        <f t="shared" si="128"/>
        <v>0.77849879287816637</v>
      </c>
      <c r="M108" s="43">
        <f t="shared" si="128"/>
        <v>0.77380991727774229</v>
      </c>
      <c r="N108" s="43">
        <f t="shared" si="128"/>
        <v>0.75249934266206842</v>
      </c>
      <c r="O108" s="43">
        <f t="shared" si="128"/>
        <v>0.72443797761970341</v>
      </c>
      <c r="P108" s="43">
        <f t="shared" si="128"/>
        <v>0.70172465553601715</v>
      </c>
      <c r="Q108" s="43">
        <f t="shared" si="128"/>
        <v>0.73135969030467374</v>
      </c>
      <c r="R108" s="43">
        <f t="shared" si="128"/>
        <v>0.73079347996263455</v>
      </c>
      <c r="S108" s="43">
        <f t="shared" si="128"/>
        <v>0.77696761530338376</v>
      </c>
      <c r="T108" s="43">
        <f t="shared" si="128"/>
        <v>0.78354935499919409</v>
      </c>
      <c r="U108" s="43">
        <f t="shared" si="128"/>
        <v>0.78505889595787304</v>
      </c>
      <c r="V108" s="43">
        <f t="shared" si="128"/>
        <v>0.83599967433385203</v>
      </c>
      <c r="W108" s="43">
        <f t="shared" ref="W108:Y108" si="129">IF(W6=0,0,W6/W$4)</f>
        <v>0.77757802223997019</v>
      </c>
      <c r="X108" s="43">
        <f t="shared" si="129"/>
        <v>0.85821476405989539</v>
      </c>
      <c r="Y108" s="43">
        <f t="shared" si="129"/>
        <v>0.85900590601301352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0.12713296835896512</v>
      </c>
      <c r="C109" s="43">
        <f t="shared" si="130"/>
        <v>0.12635240181499802</v>
      </c>
      <c r="D109" s="43">
        <f t="shared" ref="D109:V109" si="131">IF(D7=0,0,D7/D$4)</f>
        <v>0.12798506674641741</v>
      </c>
      <c r="E109" s="43">
        <f t="shared" si="131"/>
        <v>0.13065505287653356</v>
      </c>
      <c r="F109" s="43">
        <f t="shared" si="131"/>
        <v>0.1334880212171605</v>
      </c>
      <c r="G109" s="43">
        <f t="shared" si="131"/>
        <v>0.11630709268534932</v>
      </c>
      <c r="H109" s="43">
        <f t="shared" si="131"/>
        <v>0.10982454505982721</v>
      </c>
      <c r="I109" s="43">
        <f t="shared" si="131"/>
        <v>0.1348990343847403</v>
      </c>
      <c r="J109" s="43">
        <f t="shared" si="131"/>
        <v>0.15991616837426903</v>
      </c>
      <c r="K109" s="43">
        <f t="shared" si="131"/>
        <v>0.1720479213144466</v>
      </c>
      <c r="L109" s="43">
        <f t="shared" si="131"/>
        <v>0.20882867662198176</v>
      </c>
      <c r="M109" s="43">
        <f t="shared" si="131"/>
        <v>0.21238141650664846</v>
      </c>
      <c r="N109" s="43">
        <f t="shared" si="131"/>
        <v>0.23381779763938035</v>
      </c>
      <c r="O109" s="43">
        <f t="shared" si="131"/>
        <v>0.26427755520350293</v>
      </c>
      <c r="P109" s="43">
        <f t="shared" si="131"/>
        <v>0.28878781653054098</v>
      </c>
      <c r="Q109" s="43">
        <f t="shared" si="131"/>
        <v>0.25901641527851049</v>
      </c>
      <c r="R109" s="43">
        <f t="shared" si="131"/>
        <v>0.26150952501007491</v>
      </c>
      <c r="S109" s="43">
        <f t="shared" si="131"/>
        <v>0.21140071358092088</v>
      </c>
      <c r="T109" s="43">
        <f t="shared" si="131"/>
        <v>0.20431076917905883</v>
      </c>
      <c r="U109" s="43">
        <f t="shared" si="131"/>
        <v>0.20344062365212615</v>
      </c>
      <c r="V109" s="43">
        <f t="shared" si="131"/>
        <v>0.14791151701540822</v>
      </c>
      <c r="W109" s="43">
        <f t="shared" ref="W109:Y109" si="132">IF(W7=0,0,W7/W$4)</f>
        <v>0.2033186007579342</v>
      </c>
      <c r="X109" s="43">
        <f t="shared" si="132"/>
        <v>0.12857977784149502</v>
      </c>
      <c r="Y109" s="43">
        <f t="shared" si="132"/>
        <v>0.12920491420443406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0.67906214815947619</v>
      </c>
      <c r="C112" s="44">
        <f t="shared" si="139"/>
        <v>0.49675656116109301</v>
      </c>
      <c r="D112" s="44">
        <f t="shared" ref="D112:V112" si="140">IF(D10=0,0,D10/D$8)</f>
        <v>0.46878815463902945</v>
      </c>
      <c r="E112" s="44">
        <f t="shared" si="140"/>
        <v>0.46231959758945362</v>
      </c>
      <c r="F112" s="44">
        <f t="shared" si="140"/>
        <v>0.44371734432436216</v>
      </c>
      <c r="G112" s="44">
        <f t="shared" si="140"/>
        <v>0.47686756903386129</v>
      </c>
      <c r="H112" s="44">
        <f t="shared" si="140"/>
        <v>0.48053187795346969</v>
      </c>
      <c r="I112" s="44">
        <f t="shared" si="140"/>
        <v>0.46826351687375128</v>
      </c>
      <c r="J112" s="44">
        <f t="shared" si="140"/>
        <v>0.51962270840701053</v>
      </c>
      <c r="K112" s="44">
        <f t="shared" si="140"/>
        <v>0.33521086816987883</v>
      </c>
      <c r="L112" s="44">
        <f t="shared" si="140"/>
        <v>0.2096286081167307</v>
      </c>
      <c r="M112" s="44">
        <f t="shared" si="140"/>
        <v>0.26750821468104202</v>
      </c>
      <c r="N112" s="44">
        <f t="shared" si="140"/>
        <v>0.58796833952125171</v>
      </c>
      <c r="O112" s="44">
        <f t="shared" si="140"/>
        <v>0.55418445061032573</v>
      </c>
      <c r="P112" s="44">
        <f t="shared" si="140"/>
        <v>0.42834810849688848</v>
      </c>
      <c r="Q112" s="44">
        <f t="shared" si="140"/>
        <v>0.23471308153004938</v>
      </c>
      <c r="R112" s="44">
        <f t="shared" si="140"/>
        <v>0.20046073498496703</v>
      </c>
      <c r="S112" s="44">
        <f t="shared" si="140"/>
        <v>0.19719391183768725</v>
      </c>
      <c r="T112" s="44">
        <f t="shared" si="140"/>
        <v>0.28583278451620425</v>
      </c>
      <c r="U112" s="44">
        <f t="shared" si="140"/>
        <v>0.53169110503916706</v>
      </c>
      <c r="V112" s="44">
        <f t="shared" si="140"/>
        <v>0.60233879514891675</v>
      </c>
      <c r="W112" s="44">
        <f t="shared" ref="W112:Y112" si="141">IF(W10=0,0,W10/W$8)</f>
        <v>0.61321239016808982</v>
      </c>
      <c r="X112" s="44">
        <f t="shared" si="141"/>
        <v>0.66095699806331309</v>
      </c>
      <c r="Y112" s="44">
        <f t="shared" si="141"/>
        <v>0.63841624074056136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0.32093785184052381</v>
      </c>
      <c r="C113" s="45">
        <f t="shared" si="142"/>
        <v>0.50324343883890699</v>
      </c>
      <c r="D113" s="45">
        <f t="shared" ref="D113:V113" si="143">IF(D11=0,0,D11/D$8)</f>
        <v>0.53121184536097055</v>
      </c>
      <c r="E113" s="45">
        <f t="shared" si="143"/>
        <v>0.53768040241054649</v>
      </c>
      <c r="F113" s="45">
        <f t="shared" si="143"/>
        <v>0.55628265567563784</v>
      </c>
      <c r="G113" s="45">
        <f t="shared" si="143"/>
        <v>0.52313243096613871</v>
      </c>
      <c r="H113" s="45">
        <f t="shared" si="143"/>
        <v>0.51946812204653037</v>
      </c>
      <c r="I113" s="45">
        <f t="shared" si="143"/>
        <v>0.53173648312624866</v>
      </c>
      <c r="J113" s="45">
        <f t="shared" si="143"/>
        <v>0.48037729159298942</v>
      </c>
      <c r="K113" s="45">
        <f t="shared" si="143"/>
        <v>0.66478913183012123</v>
      </c>
      <c r="L113" s="45">
        <f t="shared" si="143"/>
        <v>0.79037139188326933</v>
      </c>
      <c r="M113" s="45">
        <f t="shared" si="143"/>
        <v>0.73249178531895798</v>
      </c>
      <c r="N113" s="45">
        <f t="shared" si="143"/>
        <v>0.41203166047874817</v>
      </c>
      <c r="O113" s="45">
        <f t="shared" si="143"/>
        <v>0.44581554938967416</v>
      </c>
      <c r="P113" s="45">
        <f t="shared" si="143"/>
        <v>0.57165189150311169</v>
      </c>
      <c r="Q113" s="45">
        <f t="shared" si="143"/>
        <v>0.76528691846995067</v>
      </c>
      <c r="R113" s="45">
        <f t="shared" si="143"/>
        <v>0.79953926501503303</v>
      </c>
      <c r="S113" s="45">
        <f t="shared" si="143"/>
        <v>0.8028060881623128</v>
      </c>
      <c r="T113" s="45">
        <f t="shared" si="143"/>
        <v>0.7141672154837958</v>
      </c>
      <c r="U113" s="45">
        <f t="shared" si="143"/>
        <v>0.46830889496083294</v>
      </c>
      <c r="V113" s="45">
        <f t="shared" si="143"/>
        <v>0.39766120485108314</v>
      </c>
      <c r="W113" s="45">
        <f t="shared" ref="W113:Y113" si="144">IF(W11=0,0,W11/W$8)</f>
        <v>0.38678760983191035</v>
      </c>
      <c r="X113" s="45">
        <f t="shared" si="144"/>
        <v>0.33904300193668685</v>
      </c>
      <c r="Y113" s="45">
        <f t="shared" si="144"/>
        <v>0.36158375925943859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2.9434683849675451E-2</v>
      </c>
      <c r="C117" s="43">
        <f t="shared" si="148"/>
        <v>4.9011555420974379E-2</v>
      </c>
      <c r="D117" s="43">
        <f t="shared" ref="D117:V117" si="149">IF(D15=0,0,D15/D$14)</f>
        <v>2.4786880922611294E-2</v>
      </c>
      <c r="E117" s="43">
        <f t="shared" si="149"/>
        <v>1.7251400360826324E-2</v>
      </c>
      <c r="F117" s="43">
        <f t="shared" si="149"/>
        <v>1.4875504160824704E-2</v>
      </c>
      <c r="G117" s="43">
        <f t="shared" si="149"/>
        <v>1.3937306675999116E-2</v>
      </c>
      <c r="H117" s="43">
        <f t="shared" si="149"/>
        <v>1.7500451700923597E-2</v>
      </c>
      <c r="I117" s="43">
        <f t="shared" si="149"/>
        <v>2.3529429280871775E-2</v>
      </c>
      <c r="J117" s="43">
        <f t="shared" si="149"/>
        <v>2.5703732801053387E-2</v>
      </c>
      <c r="K117" s="43">
        <f t="shared" si="149"/>
        <v>2.5016792185367964E-2</v>
      </c>
      <c r="L117" s="43">
        <f t="shared" si="149"/>
        <v>2.1952152395731409E-2</v>
      </c>
      <c r="M117" s="43">
        <f t="shared" si="149"/>
        <v>2.7523248203522418E-2</v>
      </c>
      <c r="N117" s="43">
        <f t="shared" si="149"/>
        <v>2.7921650915136566E-2</v>
      </c>
      <c r="O117" s="43">
        <f t="shared" si="149"/>
        <v>2.1209257082827188E-2</v>
      </c>
      <c r="P117" s="43">
        <f t="shared" si="149"/>
        <v>1.7677224884327592E-2</v>
      </c>
      <c r="Q117" s="43">
        <f t="shared" si="149"/>
        <v>1.8098219281227176E-2</v>
      </c>
      <c r="R117" s="43">
        <f t="shared" si="149"/>
        <v>1.3978980615509539E-2</v>
      </c>
      <c r="S117" s="43">
        <f t="shared" si="149"/>
        <v>1.6632526592067244E-2</v>
      </c>
      <c r="T117" s="43">
        <f t="shared" si="149"/>
        <v>1.5667816908674911E-2</v>
      </c>
      <c r="U117" s="43">
        <f t="shared" si="149"/>
        <v>1.5276581423015037E-2</v>
      </c>
      <c r="V117" s="43">
        <f t="shared" si="149"/>
        <v>2.4008665979603105E-2</v>
      </c>
      <c r="W117" s="43">
        <f t="shared" ref="W117:Y117" si="150">IF(W15=0,0,W15/W$14)</f>
        <v>2.3330764892075136E-2</v>
      </c>
      <c r="X117" s="43">
        <f t="shared" si="150"/>
        <v>1.6934160558485949E-2</v>
      </c>
      <c r="Y117" s="43">
        <f t="shared" si="150"/>
        <v>1.501792823088674E-2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0.83938460979423879</v>
      </c>
      <c r="C118" s="43">
        <f t="shared" si="151"/>
        <v>0.82250244294568176</v>
      </c>
      <c r="D118" s="43">
        <f t="shared" ref="D118:V118" si="152">IF(D16=0,0,D16/D$14)</f>
        <v>0.84344838791506971</v>
      </c>
      <c r="E118" s="43">
        <f t="shared" si="152"/>
        <v>0.84999348870507752</v>
      </c>
      <c r="F118" s="43">
        <f t="shared" si="152"/>
        <v>0.85203324414613635</v>
      </c>
      <c r="G118" s="43">
        <f t="shared" si="152"/>
        <v>0.87025446834679254</v>
      </c>
      <c r="H118" s="43">
        <f t="shared" si="152"/>
        <v>0.87591617335827143</v>
      </c>
      <c r="I118" s="43">
        <f t="shared" si="152"/>
        <v>0.84979986597541723</v>
      </c>
      <c r="J118" s="43">
        <f t="shared" si="152"/>
        <v>0.82532058028610689</v>
      </c>
      <c r="K118" s="43">
        <f t="shared" si="152"/>
        <v>0.81861117264986749</v>
      </c>
      <c r="L118" s="43">
        <f t="shared" si="152"/>
        <v>0.78811527101020329</v>
      </c>
      <c r="M118" s="43">
        <f t="shared" si="152"/>
        <v>0.77629434978422729</v>
      </c>
      <c r="N118" s="43">
        <f t="shared" si="152"/>
        <v>0.75336007391990867</v>
      </c>
      <c r="O118" s="43">
        <f t="shared" si="152"/>
        <v>0.73979325604930113</v>
      </c>
      <c r="P118" s="43">
        <f t="shared" si="152"/>
        <v>0.71079309482973396</v>
      </c>
      <c r="Q118" s="43">
        <f t="shared" si="152"/>
        <v>0.7185396876022645</v>
      </c>
      <c r="R118" s="43">
        <f t="shared" si="152"/>
        <v>0.72771976190846299</v>
      </c>
      <c r="S118" s="43">
        <f t="shared" si="152"/>
        <v>0.76202990896383371</v>
      </c>
      <c r="T118" s="43">
        <f t="shared" si="152"/>
        <v>0.75691742881325574</v>
      </c>
      <c r="U118" s="43">
        <f t="shared" si="152"/>
        <v>0.75631131901214887</v>
      </c>
      <c r="V118" s="43">
        <f t="shared" si="152"/>
        <v>0.80950722972250222</v>
      </c>
      <c r="W118" s="43">
        <f t="shared" ref="W118:Y118" si="153">IF(W16=0,0,W16/W$14)</f>
        <v>0.7499259282713705</v>
      </c>
      <c r="X118" s="43">
        <f t="shared" si="153"/>
        <v>0.83974662704363778</v>
      </c>
      <c r="Y118" s="43">
        <f t="shared" si="153"/>
        <v>0.84203186277074438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0.1311807063560857</v>
      </c>
      <c r="C119" s="43">
        <f t="shared" si="154"/>
        <v>0.12848600163334395</v>
      </c>
      <c r="D119" s="43">
        <f t="shared" ref="D119:V119" si="155">IF(D17=0,0,D17/D$14)</f>
        <v>0.13176473116231896</v>
      </c>
      <c r="E119" s="43">
        <f t="shared" si="155"/>
        <v>0.13275511093409606</v>
      </c>
      <c r="F119" s="43">
        <f t="shared" si="155"/>
        <v>0.13309125169303898</v>
      </c>
      <c r="G119" s="43">
        <f t="shared" si="155"/>
        <v>0.11580822497720836</v>
      </c>
      <c r="H119" s="43">
        <f t="shared" si="155"/>
        <v>0.10658337494080501</v>
      </c>
      <c r="I119" s="43">
        <f t="shared" si="155"/>
        <v>0.12667070474371103</v>
      </c>
      <c r="J119" s="43">
        <f t="shared" si="155"/>
        <v>0.14897568691283963</v>
      </c>
      <c r="K119" s="43">
        <f t="shared" si="155"/>
        <v>0.15637203516476453</v>
      </c>
      <c r="L119" s="43">
        <f t="shared" si="155"/>
        <v>0.18993257659406526</v>
      </c>
      <c r="M119" s="43">
        <f t="shared" si="155"/>
        <v>0.19618240201225035</v>
      </c>
      <c r="N119" s="43">
        <f t="shared" si="155"/>
        <v>0.21871827516495485</v>
      </c>
      <c r="O119" s="43">
        <f t="shared" si="155"/>
        <v>0.23899748686787164</v>
      </c>
      <c r="P119" s="43">
        <f t="shared" si="155"/>
        <v>0.27152968028593844</v>
      </c>
      <c r="Q119" s="43">
        <f t="shared" si="155"/>
        <v>0.26336209311650838</v>
      </c>
      <c r="R119" s="43">
        <f t="shared" si="155"/>
        <v>0.2583012574760275</v>
      </c>
      <c r="S119" s="43">
        <f t="shared" si="155"/>
        <v>0.22133756444409908</v>
      </c>
      <c r="T119" s="43">
        <f t="shared" si="155"/>
        <v>0.22741475427806948</v>
      </c>
      <c r="U119" s="43">
        <f t="shared" si="155"/>
        <v>0.22841209956483607</v>
      </c>
      <c r="V119" s="43">
        <f t="shared" si="155"/>
        <v>0.16648410429789481</v>
      </c>
      <c r="W119" s="43">
        <f t="shared" ref="W119:Y119" si="156">IF(W17=0,0,W17/W$14)</f>
        <v>0.22674330683655444</v>
      </c>
      <c r="X119" s="43">
        <f t="shared" si="156"/>
        <v>0.14331921239787632</v>
      </c>
      <c r="Y119" s="43">
        <f t="shared" si="156"/>
        <v>0.14295020899836891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0.85625360233504855</v>
      </c>
      <c r="C122" s="44">
        <f t="shared" si="163"/>
        <v>0.73769795592441356</v>
      </c>
      <c r="D122" s="44">
        <f t="shared" ref="D122:V122" si="164">IF(D20=0,0,D20/D$18)</f>
        <v>0.71576736954496178</v>
      </c>
      <c r="E122" s="44">
        <f t="shared" si="164"/>
        <v>0.6855647583630663</v>
      </c>
      <c r="F122" s="44">
        <f t="shared" si="164"/>
        <v>0.68469551154351715</v>
      </c>
      <c r="G122" s="44">
        <f t="shared" si="164"/>
        <v>0.7030409147838812</v>
      </c>
      <c r="H122" s="44">
        <f t="shared" si="164"/>
        <v>0.73148769379692913</v>
      </c>
      <c r="I122" s="44">
        <f t="shared" si="164"/>
        <v>0.72551851746736484</v>
      </c>
      <c r="J122" s="44">
        <f t="shared" si="164"/>
        <v>0.76630192004115505</v>
      </c>
      <c r="K122" s="44">
        <f t="shared" si="164"/>
        <v>0.62971964581434103</v>
      </c>
      <c r="L122" s="44">
        <f t="shared" si="164"/>
        <v>0.47123069344363583</v>
      </c>
      <c r="M122" s="44">
        <f t="shared" si="164"/>
        <v>0.5537760072548541</v>
      </c>
      <c r="N122" s="44">
        <f t="shared" si="164"/>
        <v>0.82357170901786647</v>
      </c>
      <c r="O122" s="44">
        <f t="shared" si="164"/>
        <v>0.80557793031680203</v>
      </c>
      <c r="P122" s="44">
        <f t="shared" si="164"/>
        <v>0.71557075621934063</v>
      </c>
      <c r="Q122" s="44">
        <f t="shared" si="164"/>
        <v>0.50275988990072074</v>
      </c>
      <c r="R122" s="44">
        <f t="shared" si="164"/>
        <v>0.46081508978769431</v>
      </c>
      <c r="S122" s="44">
        <f t="shared" si="164"/>
        <v>0.46850445852881001</v>
      </c>
      <c r="T122" s="44">
        <f t="shared" si="164"/>
        <v>0.58620166812420871</v>
      </c>
      <c r="U122" s="44">
        <f t="shared" si="164"/>
        <v>0.79648053900864713</v>
      </c>
      <c r="V122" s="44">
        <f t="shared" si="164"/>
        <v>0.80889809210571406</v>
      </c>
      <c r="W122" s="44">
        <f t="shared" ref="W122:Y122" si="165">IF(W20=0,0,W20/W$18)</f>
        <v>0.81309586689440871</v>
      </c>
      <c r="X122" s="44">
        <f t="shared" si="165"/>
        <v>0.85866855488845228</v>
      </c>
      <c r="Y122" s="44">
        <f t="shared" si="165"/>
        <v>0.8525664560296472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0.14374639766495143</v>
      </c>
      <c r="C123" s="45">
        <f t="shared" si="166"/>
        <v>0.26230204407558644</v>
      </c>
      <c r="D123" s="45">
        <f t="shared" ref="D123:V123" si="167">IF(D21=0,0,D21/D$18)</f>
        <v>0.28423263045503827</v>
      </c>
      <c r="E123" s="45">
        <f t="shared" si="167"/>
        <v>0.31443524163693382</v>
      </c>
      <c r="F123" s="45">
        <f t="shared" si="167"/>
        <v>0.31530448845648296</v>
      </c>
      <c r="G123" s="45">
        <f t="shared" si="167"/>
        <v>0.29695908521611886</v>
      </c>
      <c r="H123" s="45">
        <f t="shared" si="167"/>
        <v>0.26851230620307093</v>
      </c>
      <c r="I123" s="45">
        <f t="shared" si="167"/>
        <v>0.27448148253263505</v>
      </c>
      <c r="J123" s="45">
        <f t="shared" si="167"/>
        <v>0.23369807995884487</v>
      </c>
      <c r="K123" s="45">
        <f t="shared" si="167"/>
        <v>0.37028035418565908</v>
      </c>
      <c r="L123" s="45">
        <f t="shared" si="167"/>
        <v>0.52876930655636412</v>
      </c>
      <c r="M123" s="45">
        <f t="shared" si="167"/>
        <v>0.4462239927451459</v>
      </c>
      <c r="N123" s="45">
        <f t="shared" si="167"/>
        <v>0.17642829098213347</v>
      </c>
      <c r="O123" s="45">
        <f t="shared" si="167"/>
        <v>0.19442206968319803</v>
      </c>
      <c r="P123" s="45">
        <f t="shared" si="167"/>
        <v>0.28442924378065931</v>
      </c>
      <c r="Q123" s="45">
        <f t="shared" si="167"/>
        <v>0.49724011009927932</v>
      </c>
      <c r="R123" s="45">
        <f t="shared" si="167"/>
        <v>0.53918491021230575</v>
      </c>
      <c r="S123" s="45">
        <f t="shared" si="167"/>
        <v>0.53149554147118994</v>
      </c>
      <c r="T123" s="45">
        <f t="shared" si="167"/>
        <v>0.41379833187579135</v>
      </c>
      <c r="U123" s="45">
        <f t="shared" si="167"/>
        <v>0.20351946099135293</v>
      </c>
      <c r="V123" s="45">
        <f t="shared" si="167"/>
        <v>0.19110190789428599</v>
      </c>
      <c r="W123" s="45">
        <f t="shared" ref="W123:Y123" si="168">IF(W21=0,0,W21/W$18)</f>
        <v>0.18690413310559126</v>
      </c>
      <c r="X123" s="45">
        <f t="shared" si="168"/>
        <v>0.14133144511154777</v>
      </c>
      <c r="Y123" s="45">
        <f t="shared" si="168"/>
        <v>0.14743354397035283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103.22441960447122</v>
      </c>
      <c r="C3" s="79">
        <f t="shared" si="0"/>
        <v>152.73482373172834</v>
      </c>
      <c r="D3" s="79">
        <f t="shared" ref="D3" si="1">SUM(D4:D5)</f>
        <v>154.8414445399828</v>
      </c>
      <c r="E3" s="79">
        <f t="shared" ref="E3" si="2">SUM(E4:E5)</f>
        <v>187.49406706792786</v>
      </c>
      <c r="F3" s="79">
        <f t="shared" ref="F3" si="3">SUM(F4:F5)</f>
        <v>173.04385210662082</v>
      </c>
      <c r="G3" s="79">
        <f t="shared" ref="G3" si="4">SUM(G4:G5)</f>
        <v>201.88108340498712</v>
      </c>
      <c r="H3" s="79">
        <f t="shared" ref="H3" si="5">SUM(H4:H5)</f>
        <v>204.95081685296651</v>
      </c>
      <c r="I3" s="79">
        <f t="shared" ref="I3" si="6">SUM(I4:I5)</f>
        <v>222.86715391229575</v>
      </c>
      <c r="J3" s="79">
        <f t="shared" ref="J3" si="7">SUM(J4:J5)</f>
        <v>224.94505588993979</v>
      </c>
      <c r="K3" s="79">
        <f t="shared" ref="K3" si="8">SUM(K4:K5)</f>
        <v>175.64729148753224</v>
      </c>
      <c r="L3" s="79">
        <f t="shared" ref="L3" si="9">SUM(L4:L5)</f>
        <v>182.83645743766115</v>
      </c>
      <c r="M3" s="79">
        <f t="shared" ref="M3" si="10">SUM(M4:M5)</f>
        <v>191.05279449699057</v>
      </c>
      <c r="N3" s="79">
        <f t="shared" ref="N3" si="11">SUM(N4:N5)</f>
        <v>174.62020636285476</v>
      </c>
      <c r="O3" s="79">
        <f t="shared" ref="O3" si="12">SUM(O4:O5)</f>
        <v>171.53912295786756</v>
      </c>
      <c r="P3" s="79">
        <f t="shared" ref="P3" si="13">SUM(P4:P5)</f>
        <v>178.72837489251933</v>
      </c>
      <c r="Q3" s="79">
        <f t="shared" ref="Q3" si="14">SUM(Q4:Q5)</f>
        <v>190.02570937231297</v>
      </c>
      <c r="R3" s="79">
        <f t="shared" ref="R3" si="15">SUM(R4:R5)</f>
        <v>232.11040412725708</v>
      </c>
      <c r="S3" s="79">
        <f t="shared" ref="S3" si="16">SUM(S4:S5)</f>
        <v>258.56766981943252</v>
      </c>
      <c r="T3" s="79">
        <f t="shared" ref="T3" si="17">SUM(T4:T5)</f>
        <v>273.58452278589857</v>
      </c>
      <c r="U3" s="79">
        <f t="shared" ref="U3" si="18">SUM(U4:U5)</f>
        <v>245.38374892519337</v>
      </c>
      <c r="V3" s="79">
        <f t="shared" ref="V3:W3" si="19">SUM(V4:V5)</f>
        <v>141.43680137575234</v>
      </c>
      <c r="W3" s="79">
        <f t="shared" si="19"/>
        <v>168.93276010318147</v>
      </c>
      <c r="X3" s="79">
        <f t="shared" ref="X3:Y3" si="20">SUM(X4:X5)</f>
        <v>226.843766122098</v>
      </c>
      <c r="Y3" s="79">
        <f t="shared" si="20"/>
        <v>241.50412725709376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21.066208082545138</v>
      </c>
      <c r="C4" s="96">
        <f t="shared" si="21"/>
        <v>46.350472914875311</v>
      </c>
      <c r="D4" s="96">
        <f t="shared" ref="D4:V4" si="22">SUM(D7,D11)</f>
        <v>27.390885640584688</v>
      </c>
      <c r="E4" s="96">
        <f t="shared" si="22"/>
        <v>24.230954428202917</v>
      </c>
      <c r="F4" s="96">
        <f t="shared" si="22"/>
        <v>19.588220120378324</v>
      </c>
      <c r="G4" s="96">
        <f t="shared" si="22"/>
        <v>13.408770421324157</v>
      </c>
      <c r="H4" s="96">
        <f t="shared" si="22"/>
        <v>24.71771281169389</v>
      </c>
      <c r="I4" s="96">
        <f t="shared" si="22"/>
        <v>41.08151332760103</v>
      </c>
      <c r="J4" s="96">
        <f t="shared" si="22"/>
        <v>13.375322441960442</v>
      </c>
      <c r="K4" s="96">
        <f t="shared" si="22"/>
        <v>23.645743766122095</v>
      </c>
      <c r="L4" s="96">
        <f t="shared" si="22"/>
        <v>15.429406706792783</v>
      </c>
      <c r="M4" s="96">
        <f t="shared" si="22"/>
        <v>21.591659501289769</v>
      </c>
      <c r="N4" s="96">
        <f t="shared" si="22"/>
        <v>11.321238177128112</v>
      </c>
      <c r="O4" s="96">
        <f t="shared" si="22"/>
        <v>12.348323301805673</v>
      </c>
      <c r="P4" s="96">
        <f t="shared" si="22"/>
        <v>9.2672398968185714</v>
      </c>
      <c r="Q4" s="96">
        <f t="shared" si="22"/>
        <v>13.375322441960442</v>
      </c>
      <c r="R4" s="96">
        <f t="shared" si="22"/>
        <v>19.51367153912296</v>
      </c>
      <c r="S4" s="96">
        <f t="shared" si="22"/>
        <v>20.602063628546862</v>
      </c>
      <c r="T4" s="96">
        <f t="shared" si="22"/>
        <v>17.52476354256234</v>
      </c>
      <c r="U4" s="96">
        <f t="shared" si="22"/>
        <v>7.2072226999140145</v>
      </c>
      <c r="V4" s="96">
        <f t="shared" si="22"/>
        <v>3.8766981943250216</v>
      </c>
      <c r="W4" s="96">
        <f t="shared" ref="W4:Y4" si="23">SUM(W7,W11)</f>
        <v>5.0638005159071362</v>
      </c>
      <c r="X4" s="96">
        <f t="shared" si="23"/>
        <v>7.9614789337919163</v>
      </c>
      <c r="Y4" s="96">
        <f t="shared" si="23"/>
        <v>5.631470335339638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82.158211521926077</v>
      </c>
      <c r="C5" s="96">
        <f t="shared" si="24"/>
        <v>106.38435081685301</v>
      </c>
      <c r="D5" s="96">
        <f t="shared" ref="D5:V5" si="25">SUM(D8:D9,D12:D13)</f>
        <v>127.4505588993981</v>
      </c>
      <c r="E5" s="96">
        <f t="shared" si="25"/>
        <v>163.26311263972494</v>
      </c>
      <c r="F5" s="96">
        <f t="shared" si="25"/>
        <v>153.45563198624251</v>
      </c>
      <c r="G5" s="96">
        <f t="shared" si="25"/>
        <v>188.47231298366296</v>
      </c>
      <c r="H5" s="96">
        <f t="shared" si="25"/>
        <v>180.23310404127261</v>
      </c>
      <c r="I5" s="96">
        <f t="shared" si="25"/>
        <v>181.7856405846947</v>
      </c>
      <c r="J5" s="96">
        <f t="shared" si="25"/>
        <v>211.56973344797936</v>
      </c>
      <c r="K5" s="96">
        <f t="shared" si="25"/>
        <v>152.00154772141013</v>
      </c>
      <c r="L5" s="96">
        <f t="shared" si="25"/>
        <v>167.40705073086838</v>
      </c>
      <c r="M5" s="96">
        <f t="shared" si="25"/>
        <v>169.4611349957008</v>
      </c>
      <c r="N5" s="96">
        <f t="shared" si="25"/>
        <v>163.29896818572664</v>
      </c>
      <c r="O5" s="96">
        <f t="shared" si="25"/>
        <v>159.1907996560619</v>
      </c>
      <c r="P5" s="96">
        <f t="shared" si="25"/>
        <v>169.46113499570075</v>
      </c>
      <c r="Q5" s="96">
        <f t="shared" si="25"/>
        <v>176.65038693035254</v>
      </c>
      <c r="R5" s="96">
        <f t="shared" si="25"/>
        <v>212.59673258813413</v>
      </c>
      <c r="S5" s="96">
        <f t="shared" si="25"/>
        <v>237.96560619088567</v>
      </c>
      <c r="T5" s="96">
        <f t="shared" si="25"/>
        <v>256.05975924333626</v>
      </c>
      <c r="U5" s="96">
        <f t="shared" si="25"/>
        <v>238.17652622527936</v>
      </c>
      <c r="V5" s="96">
        <f t="shared" si="25"/>
        <v>137.56010318142731</v>
      </c>
      <c r="W5" s="96">
        <f t="shared" ref="W5:Y5" si="26">SUM(W8:W9,W12:W13)</f>
        <v>163.86895958727433</v>
      </c>
      <c r="X5" s="96">
        <f t="shared" si="26"/>
        <v>218.88228718830609</v>
      </c>
      <c r="Y5" s="96">
        <f t="shared" si="26"/>
        <v>235.87265692175413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101.50115193594874</v>
      </c>
      <c r="C6" s="21">
        <f t="shared" si="27"/>
        <v>151.45023716368067</v>
      </c>
      <c r="D6" s="21">
        <f t="shared" ref="D6:V6" si="28">SUM(D7:D9)</f>
        <v>153.38516167367885</v>
      </c>
      <c r="E6" s="21">
        <f t="shared" si="28"/>
        <v>185.8989326047699</v>
      </c>
      <c r="F6" s="21">
        <f t="shared" si="28"/>
        <v>171.34041761960091</v>
      </c>
      <c r="G6" s="21">
        <f t="shared" si="28"/>
        <v>199.63657738814348</v>
      </c>
      <c r="H6" s="21">
        <f t="shared" si="28"/>
        <v>202.68318772184145</v>
      </c>
      <c r="I6" s="21">
        <f t="shared" si="28"/>
        <v>220.5620603947676</v>
      </c>
      <c r="J6" s="21">
        <f t="shared" si="28"/>
        <v>222.1714852321216</v>
      </c>
      <c r="K6" s="21">
        <f t="shared" si="28"/>
        <v>173.34126759357264</v>
      </c>
      <c r="L6" s="21">
        <f t="shared" si="28"/>
        <v>179.80675399059487</v>
      </c>
      <c r="M6" s="21">
        <f t="shared" si="28"/>
        <v>188.64191171521409</v>
      </c>
      <c r="N6" s="21">
        <f t="shared" si="28"/>
        <v>172.71858519874684</v>
      </c>
      <c r="O6" s="21">
        <f t="shared" si="28"/>
        <v>169.55681582915093</v>
      </c>
      <c r="P6" s="21">
        <f t="shared" si="28"/>
        <v>176.64422454555367</v>
      </c>
      <c r="Q6" s="21">
        <f t="shared" si="28"/>
        <v>187.26270847980689</v>
      </c>
      <c r="R6" s="21">
        <f t="shared" si="28"/>
        <v>229.4960377418833</v>
      </c>
      <c r="S6" s="21">
        <f t="shared" si="28"/>
        <v>255.53790890694333</v>
      </c>
      <c r="T6" s="21">
        <f t="shared" si="28"/>
        <v>270.82459086608185</v>
      </c>
      <c r="U6" s="21">
        <f t="shared" si="28"/>
        <v>242.82596856973544</v>
      </c>
      <c r="V6" s="21">
        <f t="shared" si="28"/>
        <v>137.96087193622449</v>
      </c>
      <c r="W6" s="21">
        <f t="shared" ref="W6:Y6" si="29">SUM(W7:W9)</f>
        <v>165.70101244530485</v>
      </c>
      <c r="X6" s="21">
        <f t="shared" si="29"/>
        <v>222.13196818833637</v>
      </c>
      <c r="Y6" s="21">
        <f t="shared" si="29"/>
        <v>238.70379496393929</v>
      </c>
      <c r="DA6" s="189" t="s">
        <v>280</v>
      </c>
    </row>
    <row r="7" spans="1:105" ht="11.45" customHeight="1" x14ac:dyDescent="0.25">
      <c r="A7" s="83" t="s">
        <v>27</v>
      </c>
      <c r="B7" s="96">
        <v>21.066208082545138</v>
      </c>
      <c r="C7" s="96">
        <v>46.350472914875311</v>
      </c>
      <c r="D7" s="96">
        <v>27.390885640584688</v>
      </c>
      <c r="E7" s="96">
        <v>24.230954428202917</v>
      </c>
      <c r="F7" s="96">
        <v>19.588220120378324</v>
      </c>
      <c r="G7" s="96">
        <v>13.408770421324157</v>
      </c>
      <c r="H7" s="96">
        <v>24.71771281169389</v>
      </c>
      <c r="I7" s="96">
        <v>41.08151332760103</v>
      </c>
      <c r="J7" s="96">
        <v>13.375322441960442</v>
      </c>
      <c r="K7" s="96">
        <v>23.645743766122095</v>
      </c>
      <c r="L7" s="96">
        <v>15.429406706792783</v>
      </c>
      <c r="M7" s="96">
        <v>21.591659501289769</v>
      </c>
      <c r="N7" s="96">
        <v>11.321238177128112</v>
      </c>
      <c r="O7" s="96">
        <v>12.348323301805673</v>
      </c>
      <c r="P7" s="96">
        <v>9.2672398968185714</v>
      </c>
      <c r="Q7" s="96">
        <v>13.375322441960442</v>
      </c>
      <c r="R7" s="96">
        <v>19.51367153912296</v>
      </c>
      <c r="S7" s="96">
        <v>20.602063628546862</v>
      </c>
      <c r="T7" s="96">
        <v>17.52476354256234</v>
      </c>
      <c r="U7" s="96">
        <v>7.2072226999140145</v>
      </c>
      <c r="V7" s="96">
        <v>3.8766981943250216</v>
      </c>
      <c r="W7" s="96">
        <v>5.0638005159071362</v>
      </c>
      <c r="X7" s="96">
        <v>7.9614789337919163</v>
      </c>
      <c r="Y7" s="96">
        <v>5.631470335339638</v>
      </c>
      <c r="DA7" s="171" t="s">
        <v>281</v>
      </c>
    </row>
    <row r="8" spans="1:105" ht="11.45" customHeight="1" x14ac:dyDescent="0.25">
      <c r="A8" s="83" t="s">
        <v>181</v>
      </c>
      <c r="B8" s="96">
        <v>68.31944798828313</v>
      </c>
      <c r="C8" s="96">
        <v>89.274989404002653</v>
      </c>
      <c r="D8" s="96">
        <v>107.02260764204343</v>
      </c>
      <c r="E8" s="96">
        <v>137.32973007683665</v>
      </c>
      <c r="F8" s="96">
        <v>128.90416266733831</v>
      </c>
      <c r="G8" s="96">
        <v>159.65252470275178</v>
      </c>
      <c r="H8" s="96">
        <v>154.34447935449313</v>
      </c>
      <c r="I8" s="96">
        <v>155.9811289403776</v>
      </c>
      <c r="J8" s="96">
        <v>181.10396049189478</v>
      </c>
      <c r="K8" s="96">
        <v>128.32523214383642</v>
      </c>
      <c r="L8" s="96">
        <v>140.52711095018859</v>
      </c>
      <c r="M8" s="96">
        <v>142.90894647657234</v>
      </c>
      <c r="N8" s="96">
        <v>137.51881457442724</v>
      </c>
      <c r="O8" s="96">
        <v>134.1653636645195</v>
      </c>
      <c r="P8" s="96">
        <v>143.04306744354369</v>
      </c>
      <c r="Q8" s="96">
        <v>149.17973453376698</v>
      </c>
      <c r="R8" s="96">
        <v>183.32599675399439</v>
      </c>
      <c r="S8" s="96">
        <v>207.02475078141669</v>
      </c>
      <c r="T8" s="96">
        <v>222.88993691162432</v>
      </c>
      <c r="U8" s="96">
        <v>206.91621329373388</v>
      </c>
      <c r="V8" s="96">
        <v>112.34343737318326</v>
      </c>
      <c r="W8" s="96">
        <v>136.61267454654399</v>
      </c>
      <c r="X8" s="96">
        <v>189.37234713039527</v>
      </c>
      <c r="Y8" s="96">
        <v>205.18913175091419</v>
      </c>
      <c r="DA8" s="171" t="s">
        <v>282</v>
      </c>
    </row>
    <row r="9" spans="1:105" ht="11.45" customHeight="1" x14ac:dyDescent="0.25">
      <c r="A9" s="83" t="s">
        <v>182</v>
      </c>
      <c r="B9" s="96">
        <v>12.115495865120467</v>
      </c>
      <c r="C9" s="96">
        <v>15.824774844802691</v>
      </c>
      <c r="D9" s="96">
        <v>18.971668391050748</v>
      </c>
      <c r="E9" s="96">
        <v>24.338248099730322</v>
      </c>
      <c r="F9" s="96">
        <v>22.848034831884295</v>
      </c>
      <c r="G9" s="96">
        <v>26.575282264067528</v>
      </c>
      <c r="H9" s="96">
        <v>23.620995555654414</v>
      </c>
      <c r="I9" s="96">
        <v>23.499418126788989</v>
      </c>
      <c r="J9" s="96">
        <v>27.692202298266391</v>
      </c>
      <c r="K9" s="96">
        <v>21.370291683614155</v>
      </c>
      <c r="L9" s="96">
        <v>23.850236333613495</v>
      </c>
      <c r="M9" s="96">
        <v>24.141305737351992</v>
      </c>
      <c r="N9" s="96">
        <v>23.878532447191471</v>
      </c>
      <c r="O9" s="96">
        <v>23.043128862825757</v>
      </c>
      <c r="P9" s="96">
        <v>24.333917205191398</v>
      </c>
      <c r="Q9" s="96">
        <v>24.707651504079486</v>
      </c>
      <c r="R9" s="96">
        <v>26.656369448765965</v>
      </c>
      <c r="S9" s="96">
        <v>27.911094496979786</v>
      </c>
      <c r="T9" s="96">
        <v>30.409890411895205</v>
      </c>
      <c r="U9" s="96">
        <v>28.702532576087563</v>
      </c>
      <c r="V9" s="96">
        <v>21.740736368716206</v>
      </c>
      <c r="W9" s="96">
        <v>24.024537382853726</v>
      </c>
      <c r="X9" s="96">
        <v>24.79814212414918</v>
      </c>
      <c r="Y9" s="96">
        <v>27.883192877685467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1.7232676685224795</v>
      </c>
      <c r="C10" s="22">
        <f t="shared" si="30"/>
        <v>1.2845865680476711</v>
      </c>
      <c r="D10" s="22">
        <f t="shared" ref="D10:V10" si="31">SUM(D11:D13)</f>
        <v>1.4562828663039316</v>
      </c>
      <c r="E10" s="22">
        <f t="shared" si="31"/>
        <v>1.5951344631579749</v>
      </c>
      <c r="F10" s="22">
        <f t="shared" si="31"/>
        <v>1.7034344870198999</v>
      </c>
      <c r="G10" s="22">
        <f t="shared" si="31"/>
        <v>2.2445060168436251</v>
      </c>
      <c r="H10" s="22">
        <f t="shared" si="31"/>
        <v>2.2676291311250814</v>
      </c>
      <c r="I10" s="22">
        <f t="shared" si="31"/>
        <v>2.3050935175281362</v>
      </c>
      <c r="J10" s="22">
        <f t="shared" si="31"/>
        <v>2.7735706578181936</v>
      </c>
      <c r="K10" s="22">
        <f t="shared" si="31"/>
        <v>2.306023893959567</v>
      </c>
      <c r="L10" s="22">
        <f t="shared" si="31"/>
        <v>3.0297034470663116</v>
      </c>
      <c r="M10" s="22">
        <f t="shared" si="31"/>
        <v>2.4108827817764817</v>
      </c>
      <c r="N10" s="22">
        <f t="shared" si="31"/>
        <v>1.9016211641079384</v>
      </c>
      <c r="O10" s="22">
        <f t="shared" si="31"/>
        <v>1.9823071287166223</v>
      </c>
      <c r="P10" s="22">
        <f t="shared" si="31"/>
        <v>2.0841503469656604</v>
      </c>
      <c r="Q10" s="22">
        <f t="shared" si="31"/>
        <v>2.7630008925060854</v>
      </c>
      <c r="R10" s="22">
        <f t="shared" si="31"/>
        <v>2.6143663853737773</v>
      </c>
      <c r="S10" s="22">
        <f t="shared" si="31"/>
        <v>3.0297609124891949</v>
      </c>
      <c r="T10" s="22">
        <f t="shared" si="31"/>
        <v>2.759931919816728</v>
      </c>
      <c r="U10" s="22">
        <f t="shared" si="31"/>
        <v>2.5577803554579046</v>
      </c>
      <c r="V10" s="22">
        <f t="shared" si="31"/>
        <v>3.4759294395278291</v>
      </c>
      <c r="W10" s="22">
        <f t="shared" ref="W10:Y10" si="32">SUM(W11:W13)</f>
        <v>3.2317476578766144</v>
      </c>
      <c r="X10" s="22">
        <f t="shared" si="32"/>
        <v>4.7117979337616411</v>
      </c>
      <c r="Y10" s="22">
        <f t="shared" si="32"/>
        <v>2.8003322931544727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1.4390290411616682</v>
      </c>
      <c r="C12" s="97">
        <v>0.90247878645847546</v>
      </c>
      <c r="D12" s="97">
        <v>0.98946716485919994</v>
      </c>
      <c r="E12" s="97">
        <v>1.0324731700323537</v>
      </c>
      <c r="F12" s="97">
        <v>1.0997417639392713</v>
      </c>
      <c r="G12" s="97">
        <v>1.4369516816980914</v>
      </c>
      <c r="H12" s="97">
        <v>1.5174709938010358</v>
      </c>
      <c r="I12" s="97">
        <v>1.6404259952582401</v>
      </c>
      <c r="J12" s="97">
        <v>2.1764054951147997</v>
      </c>
      <c r="K12" s="97">
        <v>1.482301267955457</v>
      </c>
      <c r="L12" s="97">
        <v>1.5859332380615596</v>
      </c>
      <c r="M12" s="97">
        <v>1.5106683270255761</v>
      </c>
      <c r="N12" s="97">
        <v>1.6239685115589078</v>
      </c>
      <c r="O12" s="97">
        <v>1.7066420393947779</v>
      </c>
      <c r="P12" s="97">
        <v>1.7175374339444915</v>
      </c>
      <c r="Q12" s="97">
        <v>1.8141766078286916</v>
      </c>
      <c r="R12" s="97">
        <v>1.6660109234202343</v>
      </c>
      <c r="S12" s="97">
        <v>1.8542430611129019</v>
      </c>
      <c r="T12" s="97">
        <v>1.9803571335716885</v>
      </c>
      <c r="U12" s="97">
        <v>2.1631359220254542</v>
      </c>
      <c r="V12" s="97">
        <v>2.9308257633565766</v>
      </c>
      <c r="W12" s="97">
        <v>2.9115423820057877</v>
      </c>
      <c r="X12" s="97">
        <v>4.0036517919468864</v>
      </c>
      <c r="Y12" s="97">
        <v>2.3537233629276217</v>
      </c>
      <c r="DA12" s="175" t="s">
        <v>286</v>
      </c>
    </row>
    <row r="13" spans="1:105" ht="11.45" customHeight="1" x14ac:dyDescent="0.25">
      <c r="A13" s="85" t="s">
        <v>182</v>
      </c>
      <c r="B13" s="98">
        <v>0.28423862736081118</v>
      </c>
      <c r="C13" s="98">
        <v>0.38210778158919556</v>
      </c>
      <c r="D13" s="98">
        <v>0.4668157014447315</v>
      </c>
      <c r="E13" s="98">
        <v>0.5626612931256213</v>
      </c>
      <c r="F13" s="98">
        <v>0.6036927230806286</v>
      </c>
      <c r="G13" s="98">
        <v>0.80755433514553376</v>
      </c>
      <c r="H13" s="98">
        <v>0.75015813732404568</v>
      </c>
      <c r="I13" s="98">
        <v>0.66466752226989623</v>
      </c>
      <c r="J13" s="98">
        <v>0.59716516270339381</v>
      </c>
      <c r="K13" s="98">
        <v>0.82372262600410995</v>
      </c>
      <c r="L13" s="98">
        <v>1.4437702090047522</v>
      </c>
      <c r="M13" s="98">
        <v>0.90021445475090556</v>
      </c>
      <c r="N13" s="98">
        <v>0.27765265254903049</v>
      </c>
      <c r="O13" s="98">
        <v>0.27566508932184447</v>
      </c>
      <c r="P13" s="98">
        <v>0.36661291302116866</v>
      </c>
      <c r="Q13" s="98">
        <v>0.94882428467739366</v>
      </c>
      <c r="R13" s="98">
        <v>0.94835546195354292</v>
      </c>
      <c r="S13" s="98">
        <v>1.1755178513762929</v>
      </c>
      <c r="T13" s="98">
        <v>0.77957478624503962</v>
      </c>
      <c r="U13" s="98">
        <v>0.39464443343245054</v>
      </c>
      <c r="V13" s="98">
        <v>0.54510367617125222</v>
      </c>
      <c r="W13" s="98">
        <v>0.32020527587082676</v>
      </c>
      <c r="X13" s="98">
        <v>0.70814614181475488</v>
      </c>
      <c r="Y13" s="98">
        <v>0.44660893022685116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615.22352339670795</v>
      </c>
      <c r="C17" s="62">
        <f>IF(C3=0,0,C3/TrAvia_act!C13*100)</f>
        <v>693.91866758863682</v>
      </c>
      <c r="D17" s="62">
        <f>IF(D3=0,0,D3/TrAvia_act!D13*100)</f>
        <v>601.72746673879999</v>
      </c>
      <c r="E17" s="62">
        <f>IF(E3=0,0,E3/TrAvia_act!E13*100)</f>
        <v>573.40664672358446</v>
      </c>
      <c r="F17" s="62">
        <f>IF(F3=0,0,F3/TrAvia_act!F13*100)</f>
        <v>563.14348746579026</v>
      </c>
      <c r="G17" s="62">
        <f>IF(G3=0,0,G3/TrAvia_act!G13*100)</f>
        <v>563.74428401891907</v>
      </c>
      <c r="H17" s="62">
        <f>IF(H3=0,0,H3/TrAvia_act!H13*100)</f>
        <v>488.05751725280186</v>
      </c>
      <c r="I17" s="62">
        <f>IF(I3=0,0,I3/TrAvia_act!I13*100)</f>
        <v>495.22060348022603</v>
      </c>
      <c r="J17" s="62">
        <f>IF(J3=0,0,J3/TrAvia_act!J13*100)</f>
        <v>484.10562064657529</v>
      </c>
      <c r="K17" s="62">
        <f>IF(K3=0,0,K3/TrAvia_act!K13*100)</f>
        <v>415.03602309622158</v>
      </c>
      <c r="L17" s="62">
        <f>IF(L3=0,0,L3/TrAvia_act!L13*100)</f>
        <v>406.29253825654865</v>
      </c>
      <c r="M17" s="62">
        <f>IF(M3=0,0,M3/TrAvia_act!M13*100)</f>
        <v>421.83390301732072</v>
      </c>
      <c r="N17" s="62">
        <f>IF(N3=0,0,N3/TrAvia_act!N13*100)</f>
        <v>407.00068747650749</v>
      </c>
      <c r="O17" s="62">
        <f>IF(O3=0,0,O3/TrAvia_act!O13*100)</f>
        <v>400.23057387041331</v>
      </c>
      <c r="P17" s="62">
        <f>IF(P3=0,0,P3/TrAvia_act!P13*100)</f>
        <v>385.83180967452677</v>
      </c>
      <c r="Q17" s="62">
        <f>IF(Q3=0,0,Q3/TrAvia_act!Q13*100)</f>
        <v>403.32021586911566</v>
      </c>
      <c r="R17" s="62">
        <f>IF(R3=0,0,R3/TrAvia_act!R13*100)</f>
        <v>402.95573276795108</v>
      </c>
      <c r="S17" s="62">
        <f>IF(S3=0,0,S3/TrAvia_act!S13*100)</f>
        <v>407.79367285416049</v>
      </c>
      <c r="T17" s="62">
        <f>IF(T3=0,0,T3/TrAvia_act!T13*100)</f>
        <v>399.59729534691132</v>
      </c>
      <c r="U17" s="62">
        <f>IF(U3=0,0,U3/TrAvia_act!U13*100)</f>
        <v>378.56802657952062</v>
      </c>
      <c r="V17" s="62">
        <f>IF(V3=0,0,V3/TrAvia_act!V13*100)</f>
        <v>507.73812373017108</v>
      </c>
      <c r="W17" s="62">
        <f>IF(W3=0,0,W3/TrAvia_act!W13*100)</f>
        <v>479.6601642351244</v>
      </c>
      <c r="X17" s="62">
        <f>IF(X3=0,0,X3/TrAvia_act!X13*100)</f>
        <v>467.90270938763541</v>
      </c>
      <c r="Y17" s="62">
        <f>IF(Y3=0,0,Y3/TrAvia_act!Y13*100)</f>
        <v>438.37626316711464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616.21317298254678</v>
      </c>
      <c r="C18" s="14">
        <f>IF(C6=0,0,C6/TrAvia_act!C14*100)</f>
        <v>695.15798657147639</v>
      </c>
      <c r="D18" s="14">
        <f>IF(D6=0,0,D6/TrAvia_act!D14*100)</f>
        <v>601.97947675396165</v>
      </c>
      <c r="E18" s="14">
        <f>IF(E6=0,0,E6/TrAvia_act!E14*100)</f>
        <v>573.35275705917854</v>
      </c>
      <c r="F18" s="14">
        <f>IF(F6=0,0,F6/TrAvia_act!F14*100)</f>
        <v>563.00657445436752</v>
      </c>
      <c r="G18" s="14">
        <f>IF(G6=0,0,G6/TrAvia_act!G14*100)</f>
        <v>563.18416728938541</v>
      </c>
      <c r="H18" s="14">
        <f>IF(H6=0,0,H6/TrAvia_act!H14*100)</f>
        <v>487.95856139873808</v>
      </c>
      <c r="I18" s="14">
        <f>IF(I6=0,0,I6/TrAvia_act!I14*100)</f>
        <v>495.65432886815273</v>
      </c>
      <c r="J18" s="14">
        <f>IF(J6=0,0,J6/TrAvia_act!J14*100)</f>
        <v>483.80313586844875</v>
      </c>
      <c r="K18" s="14">
        <f>IF(K6=0,0,K6/TrAvia_act!K14*100)</f>
        <v>415.17386207789519</v>
      </c>
      <c r="L18" s="14">
        <f>IF(L6=0,0,L6/TrAvia_act!L14*100)</f>
        <v>406.49045092196775</v>
      </c>
      <c r="M18" s="14">
        <f>IF(M6=0,0,M6/TrAvia_act!M14*100)</f>
        <v>421.99687660598204</v>
      </c>
      <c r="N18" s="14">
        <f>IF(N6=0,0,N6/TrAvia_act!N14*100)</f>
        <v>406.2598163632918</v>
      </c>
      <c r="O18" s="14">
        <f>IF(O6=0,0,O6/TrAvia_act!O14*100)</f>
        <v>399.63932027548054</v>
      </c>
      <c r="P18" s="14">
        <f>IF(P6=0,0,P6/TrAvia_act!P14*100)</f>
        <v>385.3838165345976</v>
      </c>
      <c r="Q18" s="14">
        <f>IF(Q6=0,0,Q6/TrAvia_act!Q14*100)</f>
        <v>403.68675560589702</v>
      </c>
      <c r="R18" s="14">
        <f>IF(R6=0,0,R6/TrAvia_act!R14*100)</f>
        <v>403.78010296646005</v>
      </c>
      <c r="S18" s="14">
        <f>IF(S6=0,0,S6/TrAvia_act!S14*100)</f>
        <v>408.70840853659143</v>
      </c>
      <c r="T18" s="14">
        <f>IF(T6=0,0,T6/TrAvia_act!T14*100)</f>
        <v>400.10499783391049</v>
      </c>
      <c r="U18" s="14">
        <f>IF(U6=0,0,U6/TrAvia_act!U14*100)</f>
        <v>378.50183375334166</v>
      </c>
      <c r="V18" s="14">
        <f>IF(V6=0,0,V6/TrAvia_act!V14*100)</f>
        <v>506.81505276263647</v>
      </c>
      <c r="W18" s="14">
        <f>IF(W6=0,0,W6/TrAvia_act!W14*100)</f>
        <v>478.7863953274196</v>
      </c>
      <c r="X18" s="14">
        <f>IF(X6=0,0,X6/TrAvia_act!X14*100)</f>
        <v>467.43541171607575</v>
      </c>
      <c r="Y18" s="14">
        <f>IF(Y6=0,0,Y6/TrAvia_act!Y14*100)</f>
        <v>438.33851000139157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4344.9721906345676</v>
      </c>
      <c r="C19" s="87">
        <f>IF(C7=0,0,C7/TrAvia_act!C15*100)</f>
        <v>4340.7946697214329</v>
      </c>
      <c r="D19" s="87">
        <f>IF(D7=0,0,D7/TrAvia_act!D15*100)</f>
        <v>4336.9311833747133</v>
      </c>
      <c r="E19" s="87">
        <f>IF(E7=0,0,E7/TrAvia_act!E15*100)</f>
        <v>4332.0272092122259</v>
      </c>
      <c r="F19" s="87">
        <f>IF(F7=0,0,F7/TrAvia_act!F15*100)</f>
        <v>4326.9006866570362</v>
      </c>
      <c r="G19" s="87">
        <f>IF(G7=0,0,G7/TrAvia_act!G15*100)</f>
        <v>2714.066097593859</v>
      </c>
      <c r="H19" s="87">
        <f>IF(H7=0,0,H7/TrAvia_act!H15*100)</f>
        <v>3400.354840990135</v>
      </c>
      <c r="I19" s="87">
        <f>IF(I7=0,0,I7/TrAvia_act!I15*100)</f>
        <v>3923.5856144254863</v>
      </c>
      <c r="J19" s="87">
        <f>IF(J7=0,0,J7/TrAvia_act!J15*100)</f>
        <v>1133.1526615749074</v>
      </c>
      <c r="K19" s="87">
        <f>IF(K7=0,0,K7/TrAvia_act!K15*100)</f>
        <v>2263.8591039345688</v>
      </c>
      <c r="L19" s="87">
        <f>IF(L7=0,0,L7/TrAvia_act!L15*100)</f>
        <v>1588.9728064248325</v>
      </c>
      <c r="M19" s="87">
        <f>IF(M7=0,0,M7/TrAvia_act!M15*100)</f>
        <v>1754.920243936911</v>
      </c>
      <c r="N19" s="87">
        <f>IF(N7=0,0,N7/TrAvia_act!N15*100)</f>
        <v>953.71284097574824</v>
      </c>
      <c r="O19" s="87">
        <f>IF(O7=0,0,O7/TrAvia_act!O15*100)</f>
        <v>1372.2571259555086</v>
      </c>
      <c r="P19" s="87">
        <f>IF(P7=0,0,P7/TrAvia_act!P15*100)</f>
        <v>1143.7480045691325</v>
      </c>
      <c r="Q19" s="87">
        <f>IF(Q7=0,0,Q7/TrAvia_act!Q15*100)</f>
        <v>1593.1681481982273</v>
      </c>
      <c r="R19" s="87">
        <f>IF(R7=0,0,R7/TrAvia_act!R15*100)</f>
        <v>2456.0274164141042</v>
      </c>
      <c r="S19" s="87">
        <f>IF(S7=0,0,S7/TrAvia_act!S15*100)</f>
        <v>1981.1197786364432</v>
      </c>
      <c r="T19" s="87">
        <f>IF(T7=0,0,T7/TrAvia_act!T15*100)</f>
        <v>1652.4546883595622</v>
      </c>
      <c r="U19" s="87">
        <f>IF(U7=0,0,U7/TrAvia_act!U15*100)</f>
        <v>735.38475226725063</v>
      </c>
      <c r="V19" s="87">
        <f>IF(V7=0,0,V7/TrAvia_act!V15*100)</f>
        <v>593.18141705149765</v>
      </c>
      <c r="W19" s="87">
        <f>IF(W7=0,0,W7/TrAvia_act!W15*100)</f>
        <v>627.13963791707442</v>
      </c>
      <c r="X19" s="87">
        <f>IF(X7=0,0,X7/TrAvia_act!X15*100)</f>
        <v>989.32873386799702</v>
      </c>
      <c r="Y19" s="87">
        <f>IF(Y7=0,0,Y7/TrAvia_act!Y15*100)</f>
        <v>688.59216943957392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494.13242538068579</v>
      </c>
      <c r="C20" s="87">
        <f>IF(C8=0,0,C8/TrAvia_act!C16*100)</f>
        <v>498.20280650665632</v>
      </c>
      <c r="D20" s="87">
        <f>IF(D8=0,0,D8/TrAvia_act!D16*100)</f>
        <v>497.98395803966906</v>
      </c>
      <c r="E20" s="87">
        <f>IF(E8=0,0,E8/TrAvia_act!E16*100)</f>
        <v>498.30354483736386</v>
      </c>
      <c r="F20" s="87">
        <f>IF(F8=0,0,F8/TrAvia_act!F16*100)</f>
        <v>497.12321797700037</v>
      </c>
      <c r="G20" s="87">
        <f>IF(G8=0,0,G8/TrAvia_act!G16*100)</f>
        <v>517.53514849223188</v>
      </c>
      <c r="H20" s="87">
        <f>IF(H8=0,0,H8/TrAvia_act!H16*100)</f>
        <v>424.22257016072678</v>
      </c>
      <c r="I20" s="87">
        <f>IF(I8=0,0,I8/TrAvia_act!I16*100)</f>
        <v>412.48056868722171</v>
      </c>
      <c r="J20" s="87">
        <f>IF(J8=0,0,J8/TrAvia_act!J16*100)</f>
        <v>477.84344595253543</v>
      </c>
      <c r="K20" s="87">
        <f>IF(K8=0,0,K8/TrAvia_act!K16*100)</f>
        <v>375.45892015483531</v>
      </c>
      <c r="L20" s="87">
        <f>IF(L8=0,0,L8/TrAvia_act!L16*100)</f>
        <v>403.10178567886072</v>
      </c>
      <c r="M20" s="87">
        <f>IF(M8=0,0,M8/TrAvia_act!M16*100)</f>
        <v>411.81678143499892</v>
      </c>
      <c r="N20" s="87">
        <f>IF(N8=0,0,N8/TrAvia_act!N16*100)</f>
        <v>429.36270267520615</v>
      </c>
      <c r="O20" s="87">
        <f>IF(O8=0,0,O8/TrAvia_act!O16*100)</f>
        <v>427.4477187585843</v>
      </c>
      <c r="P20" s="87">
        <f>IF(P8=0,0,P8/TrAvia_act!P16*100)</f>
        <v>439.0537039537171</v>
      </c>
      <c r="Q20" s="87">
        <f>IF(Q8=0,0,Q8/TrAvia_act!Q16*100)</f>
        <v>447.56103520070747</v>
      </c>
      <c r="R20" s="87">
        <f>IF(R8=0,0,R8/TrAvia_act!R16*100)</f>
        <v>443.2304703938554</v>
      </c>
      <c r="S20" s="87">
        <f>IF(S8=0,0,S8/TrAvia_act!S16*100)</f>
        <v>434.51871778834015</v>
      </c>
      <c r="T20" s="87">
        <f>IF(T8=0,0,T8/TrAvia_act!T16*100)</f>
        <v>435.03864387675264</v>
      </c>
      <c r="U20" s="87">
        <f>IF(U8=0,0,U8/TrAvia_act!U16*100)</f>
        <v>426.44868543406631</v>
      </c>
      <c r="V20" s="87">
        <f>IF(V8=0,0,V8/TrAvia_act!V16*100)</f>
        <v>509.82432251526546</v>
      </c>
      <c r="W20" s="87">
        <f>IF(W8=0,0,W8/TrAvia_act!W16*100)</f>
        <v>526.36773948741973</v>
      </c>
      <c r="X20" s="87">
        <f>IF(X8=0,0,X8/TrAvia_act!X16*100)</f>
        <v>474.54657092659869</v>
      </c>
      <c r="Y20" s="87">
        <f>IF(Y8=0,0,Y8/TrAvia_act!Y16*100)</f>
        <v>447.48257816433909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560.70087739184123</v>
      </c>
      <c r="C21" s="87">
        <f>IF(C9=0,0,C9/TrAvia_act!C17*100)</f>
        <v>565.32121544658946</v>
      </c>
      <c r="D21" s="87">
        <f>IF(D9=0,0,D9/TrAvia_act!D17*100)</f>
        <v>565.07316236426107</v>
      </c>
      <c r="E21" s="87">
        <f>IF(E9=0,0,E9/TrAvia_act!E17*100)</f>
        <v>565.4355019590306</v>
      </c>
      <c r="F21" s="87">
        <f>IF(F9=0,0,F9/TrAvia_act!F17*100)</f>
        <v>564.09595806019217</v>
      </c>
      <c r="G21" s="87">
        <f>IF(G9=0,0,G9/TrAvia_act!G17*100)</f>
        <v>647.36438418908881</v>
      </c>
      <c r="H21" s="87">
        <f>IF(H9=0,0,H9/TrAvia_act!H17*100)</f>
        <v>533.54855259722467</v>
      </c>
      <c r="I21" s="87">
        <f>IF(I9=0,0,I9/TrAvia_act!I17*100)</f>
        <v>416.89723559258442</v>
      </c>
      <c r="J21" s="87">
        <f>IF(J9=0,0,J9/TrAvia_act!J17*100)</f>
        <v>404.78318162309552</v>
      </c>
      <c r="K21" s="87">
        <f>IF(K9=0,0,K9/TrAvia_act!K17*100)</f>
        <v>327.3251663833401</v>
      </c>
      <c r="L21" s="87">
        <f>IF(L9=0,0,L9/TrAvia_act!L17*100)</f>
        <v>283.8818154555031</v>
      </c>
      <c r="M21" s="87">
        <f>IF(M9=0,0,M9/TrAvia_act!M17*100)</f>
        <v>275.27815964365851</v>
      </c>
      <c r="N21" s="87">
        <f>IF(N9=0,0,N9/TrAvia_act!N17*100)</f>
        <v>256.79546839914997</v>
      </c>
      <c r="O21" s="87">
        <f>IF(O9=0,0,O9/TrAvia_act!O17*100)</f>
        <v>227.24852536259337</v>
      </c>
      <c r="P21" s="87">
        <f>IF(P9=0,0,P9/TrAvia_act!P17*100)</f>
        <v>195.51890151088205</v>
      </c>
      <c r="Q21" s="87">
        <f>IF(Q9=0,0,Q9/TrAvia_act!Q17*100)</f>
        <v>202.24202375363694</v>
      </c>
      <c r="R21" s="87">
        <f>IF(R9=0,0,R9/TrAvia_act!R17*100)</f>
        <v>181.5700449697095</v>
      </c>
      <c r="S21" s="87">
        <f>IF(S9=0,0,S9/TrAvia_act!S17*100)</f>
        <v>201.6879615041322</v>
      </c>
      <c r="T21" s="87">
        <f>IF(T9=0,0,T9/TrAvia_act!T17*100)</f>
        <v>197.55230355142635</v>
      </c>
      <c r="U21" s="87">
        <f>IF(U9=0,0,U9/TrAvia_act!U17*100)</f>
        <v>195.8727275030017</v>
      </c>
      <c r="V21" s="87">
        <f>IF(V9=0,0,V9/TrAvia_act!V17*100)</f>
        <v>479.72798140504096</v>
      </c>
      <c r="W21" s="87">
        <f>IF(W9=0,0,W9/TrAvia_act!W17*100)</f>
        <v>306.15206773670366</v>
      </c>
      <c r="X21" s="87">
        <f>IF(X9=0,0,X9/TrAvia_act!X17*100)</f>
        <v>364.1038553576999</v>
      </c>
      <c r="Y21" s="87">
        <f>IF(Y9=0,0,Y9/TrAvia_act!Y17*100)</f>
        <v>358.185508996409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562.05579223151699</v>
      </c>
      <c r="C22" s="15">
        <f>IF(C10=0,0,C10/TrAvia_act!C18*100)</f>
        <v>573.39781390988139</v>
      </c>
      <c r="D22" s="15">
        <f>IF(D10=0,0,D10/TrAvia_act!D18*100)</f>
        <v>576.31573841764509</v>
      </c>
      <c r="E22" s="15">
        <f>IF(E10=0,0,E10/TrAvia_act!E18*100)</f>
        <v>579.75716686628118</v>
      </c>
      <c r="F22" s="15">
        <f>IF(F10=0,0,F10/TrAvia_act!F18*100)</f>
        <v>577.26365524662629</v>
      </c>
      <c r="G22" s="15">
        <f>IF(G10=0,0,G10/TrAvia_act!G18*100)</f>
        <v>618.45267213606326</v>
      </c>
      <c r="H22" s="15">
        <f>IF(H10=0,0,H10/TrAvia_act!H18*100)</f>
        <v>497.06740823133657</v>
      </c>
      <c r="I22" s="15">
        <f>IF(I10=0,0,I10/TrAvia_act!I18*100)</f>
        <v>456.95962839039942</v>
      </c>
      <c r="J22" s="15">
        <f>IF(J10=0,0,J10/TrAvia_act!J18*100)</f>
        <v>509.62899304165671</v>
      </c>
      <c r="K22" s="15">
        <f>IF(K10=0,0,K10/TrAvia_act!K18*100)</f>
        <v>404.93045668676871</v>
      </c>
      <c r="L22" s="15">
        <f>IF(L10=0,0,L10/TrAvia_act!L18*100)</f>
        <v>394.88224702991181</v>
      </c>
      <c r="M22" s="15">
        <f>IF(M10=0,0,M10/TrAvia_act!M18*100)</f>
        <v>409.46069525404721</v>
      </c>
      <c r="N22" s="15">
        <f>IF(N10=0,0,N10/TrAvia_act!N18*100)</f>
        <v>487.79732292239748</v>
      </c>
      <c r="O22" s="15">
        <f>IF(O10=0,0,O10/TrAvia_act!O18*100)</f>
        <v>458.21619701639236</v>
      </c>
      <c r="P22" s="15">
        <f>IF(P10=0,0,P10/TrAvia_act!P18*100)</f>
        <v>428.00076404283863</v>
      </c>
      <c r="Q22" s="15">
        <f>IF(Q10=0,0,Q10/TrAvia_act!Q18*100)</f>
        <v>379.93932348304475</v>
      </c>
      <c r="R22" s="15">
        <f>IF(R10=0,0,R10/TrAvia_act!R18*100)</f>
        <v>341.71383115256469</v>
      </c>
      <c r="S22" s="15">
        <f>IF(S10=0,0,S10/TrAvia_act!S18*100)</f>
        <v>343.03882313670357</v>
      </c>
      <c r="T22" s="15">
        <f>IF(T10=0,0,T10/TrAvia_act!T18*100)</f>
        <v>355.35048639525991</v>
      </c>
      <c r="U22" s="15">
        <f>IF(U10=0,0,U10/TrAvia_act!U18*100)</f>
        <v>384.95933347996271</v>
      </c>
      <c r="V22" s="15">
        <f>IF(V10=0,0,V10/TrAvia_act!V18*100)</f>
        <v>547.30187876339448</v>
      </c>
      <c r="W22" s="15">
        <f>IF(W10=0,0,W10/TrAvia_act!W18*100)</f>
        <v>529.17581507694774</v>
      </c>
      <c r="X22" s="15">
        <f>IF(X10=0,0,X10/TrAvia_act!X18*100)</f>
        <v>491.04563552708657</v>
      </c>
      <c r="Y22" s="15">
        <f>IF(Y10=0,0,Y10/TrAvia_act!Y18*100)</f>
        <v>441.61847010819628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548.1429524930744</v>
      </c>
      <c r="C24" s="101">
        <f>IF(C12=0,0,C12/TrAvia_act!C20*100)</f>
        <v>546.07347096449007</v>
      </c>
      <c r="D24" s="101">
        <f>IF(D12=0,0,D12/TrAvia_act!D20*100)</f>
        <v>547.0716767264754</v>
      </c>
      <c r="E24" s="101">
        <f>IF(E12=0,0,E12/TrAvia_act!E20*100)</f>
        <v>547.36763952169417</v>
      </c>
      <c r="F24" s="101">
        <f>IF(F12=0,0,F12/TrAvia_act!F20*100)</f>
        <v>544.30461520521192</v>
      </c>
      <c r="G24" s="101">
        <f>IF(G12=0,0,G12/TrAvia_act!G20*100)</f>
        <v>563.18004867377613</v>
      </c>
      <c r="H24" s="101">
        <f>IF(H12=0,0,H12/TrAvia_act!H20*100)</f>
        <v>454.7331704211424</v>
      </c>
      <c r="I24" s="101">
        <f>IF(I12=0,0,I12/TrAvia_act!I20*100)</f>
        <v>448.22639189809087</v>
      </c>
      <c r="J24" s="101">
        <f>IF(J12=0,0,J12/TrAvia_act!J20*100)</f>
        <v>521.86094109702231</v>
      </c>
      <c r="K24" s="101">
        <f>IF(K12=0,0,K12/TrAvia_act!K20*100)</f>
        <v>413.3385179405708</v>
      </c>
      <c r="L24" s="101">
        <f>IF(L12=0,0,L12/TrAvia_act!L20*100)</f>
        <v>438.65069231712806</v>
      </c>
      <c r="M24" s="101">
        <f>IF(M12=0,0,M12/TrAvia_act!M20*100)</f>
        <v>463.30940076294883</v>
      </c>
      <c r="N24" s="101">
        <f>IF(N12=0,0,N12/TrAvia_act!N20*100)</f>
        <v>505.81487264052248</v>
      </c>
      <c r="O24" s="101">
        <f>IF(O12=0,0,O12/TrAvia_act!O20*100)</f>
        <v>489.70481404364017</v>
      </c>
      <c r="P24" s="101">
        <f>IF(P12=0,0,P12/TrAvia_act!P20*100)</f>
        <v>492.91170012035985</v>
      </c>
      <c r="Q24" s="101">
        <f>IF(Q12=0,0,Q12/TrAvia_act!Q20*100)</f>
        <v>496.19474467722586</v>
      </c>
      <c r="R24" s="101">
        <f>IF(R12=0,0,R12/TrAvia_act!R20*100)</f>
        <v>472.54944703383507</v>
      </c>
      <c r="S24" s="101">
        <f>IF(S12=0,0,S12/TrAvia_act!S20*100)</f>
        <v>448.11331617821713</v>
      </c>
      <c r="T24" s="101">
        <f>IF(T12=0,0,T12/TrAvia_act!T20*100)</f>
        <v>434.96570084285861</v>
      </c>
      <c r="U24" s="101">
        <f>IF(U12=0,0,U12/TrAvia_act!U20*100)</f>
        <v>408.75233522901277</v>
      </c>
      <c r="V24" s="101">
        <f>IF(V12=0,0,V12/TrAvia_act!V20*100)</f>
        <v>570.49543896705006</v>
      </c>
      <c r="W24" s="101">
        <f>IF(W12=0,0,W12/TrAvia_act!W20*100)</f>
        <v>586.33241902404302</v>
      </c>
      <c r="X24" s="101">
        <f>IF(X12=0,0,X12/TrAvia_act!X20*100)</f>
        <v>485.92130137230623</v>
      </c>
      <c r="Y24" s="101">
        <f>IF(Y12=0,0,Y12/TrAvia_act!Y20*100)</f>
        <v>435.3763527981248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644.93035005187119</v>
      </c>
      <c r="C25" s="88">
        <f>IF(C13=0,0,C13/TrAvia_act!C21*100)</f>
        <v>650.24476342120204</v>
      </c>
      <c r="D25" s="88">
        <f>IF(D13=0,0,D13/TrAvia_act!D21*100)</f>
        <v>649.95944736826209</v>
      </c>
      <c r="E25" s="88">
        <f>IF(E13=0,0,E13/TrAvia_act!E21*100)</f>
        <v>650.37621825469125</v>
      </c>
      <c r="F25" s="88">
        <f>IF(F13=0,0,F13/TrAvia_act!F21*100)</f>
        <v>648.83544571371328</v>
      </c>
      <c r="G25" s="88">
        <f>IF(G13=0,0,G13/TrAvia_act!G21*100)</f>
        <v>749.3087991111006</v>
      </c>
      <c r="H25" s="88">
        <f>IF(H13=0,0,H13/TrAvia_act!H21*100)</f>
        <v>612.39535882817052</v>
      </c>
      <c r="I25" s="88">
        <f>IF(I13=0,0,I13/TrAvia_act!I21*100)</f>
        <v>480.04360744111113</v>
      </c>
      <c r="J25" s="88">
        <f>IF(J13=0,0,J13/TrAvia_act!J21*100)</f>
        <v>469.52012572738096</v>
      </c>
      <c r="K25" s="88">
        <f>IF(K13=0,0,K13/TrAvia_act!K21*100)</f>
        <v>390.63123369295374</v>
      </c>
      <c r="L25" s="88">
        <f>IF(L13=0,0,L13/TrAvia_act!L21*100)</f>
        <v>355.87651321006086</v>
      </c>
      <c r="M25" s="88">
        <f>IF(M13=0,0,M13/TrAvia_act!M21*100)</f>
        <v>342.63299970789279</v>
      </c>
      <c r="N25" s="88">
        <f>IF(N13=0,0,N13/TrAvia_act!N21*100)</f>
        <v>403.69094672237367</v>
      </c>
      <c r="O25" s="88">
        <f>IF(O13=0,0,O13/TrAvia_act!O21*100)</f>
        <v>327.74471826563973</v>
      </c>
      <c r="P25" s="88">
        <f>IF(P13=0,0,P13/TrAvia_act!P21*100)</f>
        <v>264.69699471693775</v>
      </c>
      <c r="Q25" s="88">
        <f>IF(Q13=0,0,Q13/TrAvia_act!Q21*100)</f>
        <v>262.3933701843888</v>
      </c>
      <c r="R25" s="88">
        <f>IF(R13=0,0,R13/TrAvia_act!R21*100)</f>
        <v>229.89500065892915</v>
      </c>
      <c r="S25" s="88">
        <f>IF(S13=0,0,S13/TrAvia_act!S21*100)</f>
        <v>250.41740935900788</v>
      </c>
      <c r="T25" s="88">
        <f>IF(T13=0,0,T13/TrAvia_act!T21*100)</f>
        <v>242.56469698502627</v>
      </c>
      <c r="U25" s="88">
        <f>IF(U13=0,0,U13/TrAvia_act!U21*100)</f>
        <v>291.8445877676487</v>
      </c>
      <c r="V25" s="88">
        <f>IF(V13=0,0,V13/TrAvia_act!V21*100)</f>
        <v>449.12794212088659</v>
      </c>
      <c r="W25" s="88">
        <f>IF(W13=0,0,W13/TrAvia_act!W21*100)</f>
        <v>280.5253563476677</v>
      </c>
      <c r="X25" s="88">
        <f>IF(X13=0,0,X13/TrAvia_act!X21*100)</f>
        <v>522.17886705937553</v>
      </c>
      <c r="Y25" s="88">
        <f>IF(Y13=0,0,Y13/TrAvia_act!Y21*100)</f>
        <v>477.71486777899491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49.182512756119777</v>
      </c>
      <c r="C28" s="14">
        <f>IF(C6=0,0,C6/TrAvia_act!C4*1000)</f>
        <v>56.157784785251316</v>
      </c>
      <c r="D28" s="14">
        <f>IF(D6=0,0,D6/TrAvia_act!D4*1000)</f>
        <v>47.881529072393612</v>
      </c>
      <c r="E28" s="14">
        <f>IF(E6=0,0,E6/TrAvia_act!E4*1000)</f>
        <v>45.810470994875445</v>
      </c>
      <c r="F28" s="14">
        <f>IF(F6=0,0,F6/TrAvia_act!F4*1000)</f>
        <v>45.308739349887489</v>
      </c>
      <c r="G28" s="14">
        <f>IF(G6=0,0,G6/TrAvia_act!G4*1000)</f>
        <v>45.228429215366695</v>
      </c>
      <c r="H28" s="14">
        <f>IF(H6=0,0,H6/TrAvia_act!H4*1000)</f>
        <v>40.083964778899599</v>
      </c>
      <c r="I28" s="14">
        <f>IF(I6=0,0,I6/TrAvia_act!I4*1000)</f>
        <v>42.1654870074344</v>
      </c>
      <c r="J28" s="14">
        <f>IF(J6=0,0,J6/TrAvia_act!J4*1000)</f>
        <v>41.930745482942108</v>
      </c>
      <c r="K28" s="14">
        <f>IF(K6=0,0,K6/TrAvia_act!K4*1000)</f>
        <v>36.298343430872961</v>
      </c>
      <c r="L28" s="14">
        <f>IF(L6=0,0,L6/TrAvia_act!L4*1000)</f>
        <v>35.006497719457968</v>
      </c>
      <c r="M28" s="14">
        <f>IF(M6=0,0,M6/TrAvia_act!M4*1000)</f>
        <v>35.285801827122576</v>
      </c>
      <c r="N28" s="14">
        <f>IF(N6=0,0,N6/TrAvia_act!N4*1000)</f>
        <v>31.109024786829202</v>
      </c>
      <c r="O28" s="14">
        <f>IF(O6=0,0,O6/TrAvia_act!O4*1000)</f>
        <v>29.548522902877103</v>
      </c>
      <c r="P28" s="14">
        <f>IF(P6=0,0,P6/TrAvia_act!P4*1000)</f>
        <v>28.721255501002638</v>
      </c>
      <c r="Q28" s="14">
        <f>IF(Q6=0,0,Q6/TrAvia_act!Q4*1000)</f>
        <v>30.349793115993791</v>
      </c>
      <c r="R28" s="14">
        <f>IF(R6=0,0,R6/TrAvia_act!R4*1000)</f>
        <v>29.510002427245592</v>
      </c>
      <c r="S28" s="14">
        <f>IF(S6=0,0,S6/TrAvia_act!S4*1000)</f>
        <v>28.121922995429042</v>
      </c>
      <c r="T28" s="14">
        <f>IF(T6=0,0,T6/TrAvia_act!T4*1000)</f>
        <v>27.695527226651869</v>
      </c>
      <c r="U28" s="14">
        <f>IF(U6=0,0,U6/TrAvia_act!U4*1000)</f>
        <v>25.759247740360642</v>
      </c>
      <c r="V28" s="14">
        <f>IF(V6=0,0,V6/TrAvia_act!V4*1000)</f>
        <v>42.721705984107324</v>
      </c>
      <c r="W28" s="14">
        <f>IF(W6=0,0,W6/TrAvia_act!W4*1000)</f>
        <v>39.328473627556583</v>
      </c>
      <c r="X28" s="14">
        <f>IF(X6=0,0,X6/TrAvia_act!X4*1000)</f>
        <v>32.281149080823312</v>
      </c>
      <c r="Y28" s="14">
        <f>IF(Y6=0,0,Y6/TrAvia_act!Y4*1000)</f>
        <v>29.598330039336783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1813.1171125014973</v>
      </c>
      <c r="C29" s="87">
        <f>IF(C7=0,0,C7/TrAvia_act!C5*1000)</f>
        <v>1724.7746277491401</v>
      </c>
      <c r="D29" s="87">
        <f>IF(D7=0,0,D7/TrAvia_act!D5*1000)</f>
        <v>1653.2380557220786</v>
      </c>
      <c r="E29" s="87">
        <f>IF(E7=0,0,E7/TrAvia_act!E5*1000)</f>
        <v>1582.6190918565251</v>
      </c>
      <c r="F29" s="87">
        <f>IF(F7=0,0,F7/TrAvia_act!F5*1000)</f>
        <v>1511.3380383042295</v>
      </c>
      <c r="G29" s="87">
        <f>IF(G7=0,0,G7/TrAvia_act!G5*1000)</f>
        <v>908.00368694372787</v>
      </c>
      <c r="H29" s="87">
        <f>IF(H7=0,0,H7/TrAvia_act!H5*1000)</f>
        <v>1092.6502095845676</v>
      </c>
      <c r="I29" s="87">
        <f>IF(I7=0,0,I7/TrAvia_act!I5*1000)</f>
        <v>1210.7391035352566</v>
      </c>
      <c r="J29" s="87">
        <f>IF(J7=0,0,J7/TrAvia_act!J5*1000)</f>
        <v>253.57847990482136</v>
      </c>
      <c r="K29" s="87">
        <f>IF(K7=0,0,K7/TrAvia_act!K5*1000)</f>
        <v>380.3797453169841</v>
      </c>
      <c r="L29" s="87">
        <f>IF(L7=0,0,L7/TrAvia_act!L5*1000)</f>
        <v>237.04376913991899</v>
      </c>
      <c r="M29" s="87">
        <f>IF(M7=0,0,M7/TrAvia_act!M5*1000)</f>
        <v>292.4799451604253</v>
      </c>
      <c r="N29" s="87">
        <f>IF(N7=0,0,N7/TrAvia_act!N5*1000)</f>
        <v>149.02680081740331</v>
      </c>
      <c r="O29" s="87">
        <f>IF(O7=0,0,O7/TrAvia_act!O5*1000)</f>
        <v>190.69857932134786</v>
      </c>
      <c r="P29" s="87">
        <f>IF(P7=0,0,P7/TrAvia_act!P5*1000)</f>
        <v>158.81858262538432</v>
      </c>
      <c r="Q29" s="87">
        <f>IF(Q7=0,0,Q7/TrAvia_act!Q5*1000)</f>
        <v>225.24639304090357</v>
      </c>
      <c r="R29" s="87">
        <f>IF(R7=0,0,R7/TrAvia_act!R5*1000)</f>
        <v>325.99567472552218</v>
      </c>
      <c r="S29" s="87">
        <f>IF(S7=0,0,S7/TrAvia_act!S5*1000)</f>
        <v>194.92084624181868</v>
      </c>
      <c r="T29" s="87">
        <f>IF(T7=0,0,T7/TrAvia_act!T5*1000)</f>
        <v>147.624848100664</v>
      </c>
      <c r="U29" s="87">
        <f>IF(U7=0,0,U7/TrAvia_act!U5*1000)</f>
        <v>66.479846232491482</v>
      </c>
      <c r="V29" s="87">
        <f>IF(V7=0,0,V7/TrAvia_act!V5*1000)</f>
        <v>74.615793486642815</v>
      </c>
      <c r="W29" s="87">
        <f>IF(W7=0,0,W7/TrAvia_act!W5*1000)</f>
        <v>62.914155522315021</v>
      </c>
      <c r="X29" s="87">
        <f>IF(X7=0,0,X7/TrAvia_act!X5*1000)</f>
        <v>87.614946396148241</v>
      </c>
      <c r="Y29" s="87">
        <f>IF(Y7=0,0,Y7/TrAvia_act!Y5*1000)</f>
        <v>59.230594956429755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38.172115015557274</v>
      </c>
      <c r="C30" s="87">
        <f>IF(C8=0,0,C8/TrAvia_act!C6*1000)</f>
        <v>38.327939277435782</v>
      </c>
      <c r="D30" s="87">
        <f>IF(D8=0,0,D8/TrAvia_act!D6*1000)</f>
        <v>38.540714261407409</v>
      </c>
      <c r="E30" s="87">
        <f>IF(E8=0,0,E8/TrAvia_act!E6*1000)</f>
        <v>39.097522077733238</v>
      </c>
      <c r="F30" s="87">
        <f>IF(F8=0,0,F8/TrAvia_act!F6*1000)</f>
        <v>39.494416882900701</v>
      </c>
      <c r="G30" s="87">
        <f>IF(G8=0,0,G8/TrAvia_act!G6*1000)</f>
        <v>41.085931239309176</v>
      </c>
      <c r="H30" s="87">
        <f>IF(H8=0,0,H8/TrAvia_act!H6*1000)</f>
        <v>34.463279913984486</v>
      </c>
      <c r="I30" s="87">
        <f>IF(I8=0,0,I8/TrAvia_act!I6*1000)</f>
        <v>34.729638093892412</v>
      </c>
      <c r="J30" s="87">
        <f>IF(J8=0,0,J8/TrAvia_act!J6*1000)</f>
        <v>41.174340708263408</v>
      </c>
      <c r="K30" s="87">
        <f>IF(K8=0,0,K8/TrAvia_act!K6*1000)</f>
        <v>32.974182380568557</v>
      </c>
      <c r="L30" s="87">
        <f>IF(L8=0,0,L8/TrAvia_act!L6*1000)</f>
        <v>35.14348586162955</v>
      </c>
      <c r="M30" s="87">
        <f>IF(M8=0,0,M8/TrAvia_act!M6*1000)</f>
        <v>34.545137683486985</v>
      </c>
      <c r="N30" s="87">
        <f>IF(N8=0,0,N8/TrAvia_act!N6*1000)</f>
        <v>32.915717037397663</v>
      </c>
      <c r="O30" s="87">
        <f>IF(O8=0,0,O8/TrAvia_act!O6*1000)</f>
        <v>32.274515122733753</v>
      </c>
      <c r="P30" s="87">
        <f>IF(P8=0,0,P8/TrAvia_act!P6*1000)</f>
        <v>33.143934078666256</v>
      </c>
      <c r="Q30" s="87">
        <f>IF(Q8=0,0,Q8/TrAvia_act!Q6*1000)</f>
        <v>33.058507646114286</v>
      </c>
      <c r="R30" s="87">
        <f>IF(R8=0,0,R8/TrAvia_act!R6*1000)</f>
        <v>32.256960646313047</v>
      </c>
      <c r="S30" s="87">
        <f>IF(S8=0,0,S8/TrAvia_act!S6*1000)</f>
        <v>29.323042593388191</v>
      </c>
      <c r="T30" s="87">
        <f>IF(T8=0,0,T8/TrAvia_act!T6*1000)</f>
        <v>29.090128866432394</v>
      </c>
      <c r="U30" s="87">
        <f>IF(U8=0,0,U8/TrAvia_act!U6*1000)</f>
        <v>27.959559765608823</v>
      </c>
      <c r="V30" s="87">
        <f>IF(V8=0,0,V8/TrAvia_act!V6*1000)</f>
        <v>41.613501076096625</v>
      </c>
      <c r="W30" s="87">
        <f>IF(W8=0,0,W8/TrAvia_act!W6*1000)</f>
        <v>41.699317438609228</v>
      </c>
      <c r="X30" s="87">
        <f>IF(X8=0,0,X8/TrAvia_act!X6*1000)</f>
        <v>32.067012513176806</v>
      </c>
      <c r="Y30" s="87">
        <f>IF(Y8=0,0,Y8/TrAvia_act!Y6*1000)</f>
        <v>29.618706549824623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46.176684655129776</v>
      </c>
      <c r="C31" s="87">
        <f>IF(C9=0,0,C9/TrAvia_act!C7*1000)</f>
        <v>46.440196450802134</v>
      </c>
      <c r="D31" s="87">
        <f>IF(D9=0,0,D9/TrAvia_act!D7*1000)</f>
        <v>46.27334428838298</v>
      </c>
      <c r="E31" s="87">
        <f>IF(E9=0,0,E9/TrAvia_act!E7*1000)</f>
        <v>45.904045848790012</v>
      </c>
      <c r="F31" s="87">
        <f>IF(F9=0,0,F9/TrAvia_act!F7*1000)</f>
        <v>45.261476221516681</v>
      </c>
      <c r="G31" s="87">
        <f>IF(G9=0,0,G9/TrAvia_act!G7*1000)</f>
        <v>51.765817329008215</v>
      </c>
      <c r="H31" s="87">
        <f>IF(H9=0,0,H9/TrAvia_act!H7*1000)</f>
        <v>42.535518462601374</v>
      </c>
      <c r="I31" s="87">
        <f>IF(I9=0,0,I9/TrAvia_act!I7*1000)</f>
        <v>33.302326811323496</v>
      </c>
      <c r="J31" s="87">
        <f>IF(J9=0,0,J9/TrAvia_act!J7*1000)</f>
        <v>32.682057185111589</v>
      </c>
      <c r="K31" s="87">
        <f>IF(K9=0,0,K9/TrAvia_act!K7*1000)</f>
        <v>26.01032970344658</v>
      </c>
      <c r="L31" s="87">
        <f>IF(L9=0,0,L9/TrAvia_act!L7*1000)</f>
        <v>22.235413639230941</v>
      </c>
      <c r="M31" s="87">
        <f>IF(M9=0,0,M9/TrAvia_act!M7*1000)</f>
        <v>21.262094540620762</v>
      </c>
      <c r="N31" s="87">
        <f>IF(N9=0,0,N9/TrAvia_act!N7*1000)</f>
        <v>18.394051220436186</v>
      </c>
      <c r="O31" s="87">
        <f>IF(O9=0,0,O9/TrAvia_act!O7*1000)</f>
        <v>15.195034540871925</v>
      </c>
      <c r="P31" s="87">
        <f>IF(P9=0,0,P9/TrAvia_act!P7*1000)</f>
        <v>13.700522705796624</v>
      </c>
      <c r="Q31" s="87">
        <f>IF(Q9=0,0,Q9/TrAvia_act!Q7*1000)</f>
        <v>15.459968795016138</v>
      </c>
      <c r="R31" s="87">
        <f>IF(R9=0,0,R9/TrAvia_act!R7*1000)</f>
        <v>13.1071279950361</v>
      </c>
      <c r="S31" s="87">
        <f>IF(S9=0,0,S9/TrAvia_act!S7*1000)</f>
        <v>14.529815387548453</v>
      </c>
      <c r="T31" s="87">
        <f>IF(T9=0,0,T9/TrAvia_act!T7*1000)</f>
        <v>15.221068399206802</v>
      </c>
      <c r="U31" s="87">
        <f>IF(U9=0,0,U9/TrAvia_act!U7*1000)</f>
        <v>14.966511588083989</v>
      </c>
      <c r="V31" s="87">
        <f>IF(V9=0,0,V9/TrAvia_act!V7*1000)</f>
        <v>45.516086567945237</v>
      </c>
      <c r="W31" s="87">
        <f>IF(W9=0,0,W9/TrAvia_act!W7*1000)</f>
        <v>28.045284553003938</v>
      </c>
      <c r="X31" s="87">
        <f>IF(X9=0,0,X9/TrAvia_act!X7*1000)</f>
        <v>28.027502145149196</v>
      </c>
      <c r="Y31" s="87">
        <f>IF(Y9=0,0,Y9/TrAvia_act!Y7*1000)</f>
        <v>26.759090962529054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178.22594586940883</v>
      </c>
      <c r="C32" s="15">
        <f>IF(C10=0,0,C10/TrAvia_act!C8*1000)</f>
        <v>149.09793956848975</v>
      </c>
      <c r="D32" s="15">
        <f>IF(D10=0,0,D10/TrAvia_act!D8*1000)</f>
        <v>154.61058651191794</v>
      </c>
      <c r="E32" s="15">
        <f>IF(E10=0,0,E10/TrAvia_act!E8*1000)</f>
        <v>156.61681338671951</v>
      </c>
      <c r="F32" s="15">
        <f>IF(F10=0,0,F10/TrAvia_act!F8*1000)</f>
        <v>165.77099573160928</v>
      </c>
      <c r="G32" s="15">
        <f>IF(G10=0,0,G10/TrAvia_act!G8*1000)</f>
        <v>188.5674779861121</v>
      </c>
      <c r="H32" s="15">
        <f>IF(H10=0,0,H10/TrAvia_act!H8*1000)</f>
        <v>172.17086875936766</v>
      </c>
      <c r="I32" s="15">
        <f>IF(I10=0,0,I10/TrAvia_act!I8*1000)</f>
        <v>161.18214753064552</v>
      </c>
      <c r="J32" s="15">
        <f>IF(J10=0,0,J10/TrAvia_act!J8*1000)</f>
        <v>194.65999286494846</v>
      </c>
      <c r="K32" s="15">
        <f>IF(K10=0,0,K10/TrAvia_act!K8*1000)</f>
        <v>119.78330964752082</v>
      </c>
      <c r="L32" s="15">
        <f>IF(L10=0,0,L10/TrAvia_act!L8*1000)</f>
        <v>95.664577299573466</v>
      </c>
      <c r="M32" s="15">
        <f>IF(M10=0,0,M10/TrAvia_act!M8*1000)</f>
        <v>104.54808264815135</v>
      </c>
      <c r="N32" s="15">
        <f>IF(N10=0,0,N10/TrAvia_act!N8*1000)</f>
        <v>167.02000943268521</v>
      </c>
      <c r="O32" s="15">
        <f>IF(O10=0,0,O10/TrAvia_act!O8*1000)</f>
        <v>153.30164243685769</v>
      </c>
      <c r="P32" s="15">
        <f>IF(P10=0,0,P10/TrAvia_act!P8*1000)</f>
        <v>106.68091338875207</v>
      </c>
      <c r="Q32" s="15">
        <f>IF(Q10=0,0,Q10/TrAvia_act!Q8*1000)</f>
        <v>74.518872010105952</v>
      </c>
      <c r="R32" s="15">
        <f>IF(R10=0,0,R10/TrAvia_act!R8*1000)</f>
        <v>56.808734968818484</v>
      </c>
      <c r="S32" s="15">
        <f>IF(S10=0,0,S10/TrAvia_act!S8*1000)</f>
        <v>59.757613825519506</v>
      </c>
      <c r="T32" s="15">
        <f>IF(T10=0,0,T10/TrAvia_act!T8*1000)</f>
        <v>70.678519838802842</v>
      </c>
      <c r="U32" s="15">
        <f>IF(U10=0,0,U10/TrAvia_act!U8*1000)</f>
        <v>99.432452321089414</v>
      </c>
      <c r="V32" s="15">
        <f>IF(V10=0,0,V10/TrAvia_act!V8*1000)</f>
        <v>187.19467122191188</v>
      </c>
      <c r="W32" s="15">
        <f>IF(W10=0,0,W10/TrAvia_act!W8*1000)</f>
        <v>183.24214266508119</v>
      </c>
      <c r="X32" s="15">
        <f>IF(X10=0,0,X10/TrAvia_act!X8*1000)</f>
        <v>175.57795814584887</v>
      </c>
      <c r="Y32" s="15">
        <f>IF(Y10=0,0,Y10/TrAvia_act!Y8*1000)</f>
        <v>154.71621088361073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219.16854468412942</v>
      </c>
      <c r="C34" s="101">
        <f>IF(C12=0,0,C12/TrAvia_act!C10*1000)</f>
        <v>210.86361877922928</v>
      </c>
      <c r="D34" s="101">
        <f>IF(D12=0,0,D12/TrAvia_act!D10*1000)</f>
        <v>224.0878166794661</v>
      </c>
      <c r="E34" s="101">
        <f>IF(E12=0,0,E12/TrAvia_act!E10*1000)</f>
        <v>219.26916187917257</v>
      </c>
      <c r="F34" s="101">
        <f>IF(F12=0,0,F12/TrAvia_act!F10*1000)</f>
        <v>241.19451302899887</v>
      </c>
      <c r="G34" s="101">
        <f>IF(G12=0,0,G12/TrAvia_act!G10*1000)</f>
        <v>253.15726542630335</v>
      </c>
      <c r="H34" s="101">
        <f>IF(H12=0,0,H12/TrAvia_act!H10*1000)</f>
        <v>239.76502840153412</v>
      </c>
      <c r="I34" s="101">
        <f>IF(I12=0,0,I12/TrAvia_act!I10*1000)</f>
        <v>244.95973791222204</v>
      </c>
      <c r="J34" s="101">
        <f>IF(J12=0,0,J12/TrAvia_act!J10*1000)</f>
        <v>293.96062391526169</v>
      </c>
      <c r="K34" s="101">
        <f>IF(K12=0,0,K12/TrAvia_act!K10*1000)</f>
        <v>229.6946579900644</v>
      </c>
      <c r="L34" s="101">
        <f>IF(L12=0,0,L12/TrAvia_act!L10*1000)</f>
        <v>238.8830779987282</v>
      </c>
      <c r="M34" s="101">
        <f>IF(M12=0,0,M12/TrAvia_act!M10*1000)</f>
        <v>244.89052263951245</v>
      </c>
      <c r="N34" s="101">
        <f>IF(N12=0,0,N12/TrAvia_act!N10*1000)</f>
        <v>242.58735797272618</v>
      </c>
      <c r="O34" s="101">
        <f>IF(O12=0,0,O12/TrAvia_act!O10*1000)</f>
        <v>238.1573384911091</v>
      </c>
      <c r="P34" s="101">
        <f>IF(P12=0,0,P12/TrAvia_act!P10*1000)</f>
        <v>205.24237818188902</v>
      </c>
      <c r="Q34" s="101">
        <f>IF(Q12=0,0,Q12/TrAvia_act!Q10*1000)</f>
        <v>208.46229499634376</v>
      </c>
      <c r="R34" s="101">
        <f>IF(R12=0,0,R12/TrAvia_act!R10*1000)</f>
        <v>180.59145362721904</v>
      </c>
      <c r="S34" s="101">
        <f>IF(S12=0,0,S12/TrAvia_act!S10*1000)</f>
        <v>185.46332820665512</v>
      </c>
      <c r="T34" s="101">
        <f>IF(T12=0,0,T12/TrAvia_act!T10*1000)</f>
        <v>177.42734486565655</v>
      </c>
      <c r="U34" s="101">
        <f>IF(U12=0,0,U12/TrAvia_act!U10*1000)</f>
        <v>158.15732749210389</v>
      </c>
      <c r="V34" s="101">
        <f>IF(V12=0,0,V12/TrAvia_act!V10*1000)</f>
        <v>262.04247612434455</v>
      </c>
      <c r="W34" s="101">
        <f>IF(W12=0,0,W12/TrAvia_act!W10*1000)</f>
        <v>269.21553283630271</v>
      </c>
      <c r="X34" s="101">
        <f>IF(X12=0,0,X12/TrAvia_act!X10*1000)</f>
        <v>225.7181230966344</v>
      </c>
      <c r="Y34" s="101">
        <f>IF(Y12=0,0,Y12/TrAvia_act!Y10*1000)</f>
        <v>203.6937687548039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91.596808972926212</v>
      </c>
      <c r="C35" s="88">
        <f>IF(C13=0,0,C13/TrAvia_act!C11*1000)</f>
        <v>88.128428523701004</v>
      </c>
      <c r="D35" s="88">
        <f>IF(D13=0,0,D13/TrAvia_act!D11*1000)</f>
        <v>93.297754721535171</v>
      </c>
      <c r="E35" s="88">
        <f>IF(E13=0,0,E13/TrAvia_act!E11*1000)</f>
        <v>102.74576208336823</v>
      </c>
      <c r="F35" s="88">
        <f>IF(F13=0,0,F13/TrAvia_act!F11*1000)</f>
        <v>105.60963270267752</v>
      </c>
      <c r="G35" s="88">
        <f>IF(G13=0,0,G13/TrAvia_act!G11*1000)</f>
        <v>129.68989155138485</v>
      </c>
      <c r="H35" s="88">
        <f>IF(H13=0,0,H13/TrAvia_act!H11*1000)</f>
        <v>109.64316572424775</v>
      </c>
      <c r="I35" s="88">
        <f>IF(I13=0,0,I13/TrAvia_act!I11*1000)</f>
        <v>87.405022296281459</v>
      </c>
      <c r="J35" s="88">
        <f>IF(J13=0,0,J13/TrAvia_act!J11*1000)</f>
        <v>87.246791292116185</v>
      </c>
      <c r="K35" s="88">
        <f>IF(K13=0,0,K13/TrAvia_act!K11*1000)</f>
        <v>64.36200876343699</v>
      </c>
      <c r="L35" s="88">
        <f>IF(L13=0,0,L13/TrAvia_act!L11*1000)</f>
        <v>57.679023588435463</v>
      </c>
      <c r="M35" s="88">
        <f>IF(M13=0,0,M13/TrAvia_act!M11*1000)</f>
        <v>53.294599239156426</v>
      </c>
      <c r="N35" s="88">
        <f>IF(N13=0,0,N13/TrAvia_act!N11*1000)</f>
        <v>59.185557120243907</v>
      </c>
      <c r="O35" s="88">
        <f>IF(O13=0,0,O13/TrAvia_act!O11*1000)</f>
        <v>47.819212846053318</v>
      </c>
      <c r="P35" s="88">
        <f>IF(P13=0,0,P13/TrAvia_act!P11*1000)</f>
        <v>32.827196393584757</v>
      </c>
      <c r="Q35" s="88">
        <f>IF(Q13=0,0,Q13/TrAvia_act!Q11*1000)</f>
        <v>33.438497053955217</v>
      </c>
      <c r="R35" s="88">
        <f>IF(R13=0,0,R13/TrAvia_act!R11*1000)</f>
        <v>25.773892971116442</v>
      </c>
      <c r="S35" s="88">
        <f>IF(S13=0,0,S13/TrAvia_act!S11*1000)</f>
        <v>28.880417047017517</v>
      </c>
      <c r="T35" s="88">
        <f>IF(T13=0,0,T13/TrAvia_act!T11*1000)</f>
        <v>27.954192482794454</v>
      </c>
      <c r="U35" s="88">
        <f>IF(U13=0,0,U13/TrAvia_act!U11*1000)</f>
        <v>32.759591504351775</v>
      </c>
      <c r="V35" s="88">
        <f>IF(V13=0,0,V13/TrAvia_act!V11*1000)</f>
        <v>73.822443620892798</v>
      </c>
      <c r="W35" s="88">
        <f>IF(W13=0,0,W13/TrAvia_act!W11*1000)</f>
        <v>46.940082470703416</v>
      </c>
      <c r="X35" s="88">
        <f>IF(X13=0,0,X13/TrAvia_act!X11*1000)</f>
        <v>77.830791211374844</v>
      </c>
      <c r="Y35" s="88">
        <f>IF(Y13=0,0,Y13/TrAvia_act!Y11*1000)</f>
        <v>68.240898937021328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8269.1996799223925</v>
      </c>
      <c r="C37" s="62">
        <f>IF(C3=0,0,C3/TrAvia_act!C23*1000000)</f>
        <v>8715.2538505979082</v>
      </c>
      <c r="D37" s="62">
        <f>IF(D3=0,0,D3/TrAvia_act!D23*1000000)</f>
        <v>8272.3284827429652</v>
      </c>
      <c r="E37" s="62">
        <f>IF(E3=0,0,E3/TrAvia_act!E23*1000000)</f>
        <v>8127.5333593969335</v>
      </c>
      <c r="F37" s="62">
        <f>IF(F3=0,0,F3/TrAvia_act!F23*1000000)</f>
        <v>8056.0452563603731</v>
      </c>
      <c r="G37" s="62">
        <f>IF(G3=0,0,G3/TrAvia_act!G23*1000000)</f>
        <v>8164.728763446863</v>
      </c>
      <c r="H37" s="62">
        <f>IF(H3=0,0,H3/TrAvia_act!H23*1000000)</f>
        <v>7125.5020982848282</v>
      </c>
      <c r="I37" s="62">
        <f>IF(I3=0,0,I3/TrAvia_act!I23*1000000)</f>
        <v>7042.9513940176885</v>
      </c>
      <c r="J37" s="62">
        <f>IF(J3=0,0,J3/TrAvia_act!J23*1000000)</f>
        <v>6711.1717850092427</v>
      </c>
      <c r="K37" s="62">
        <f>IF(K3=0,0,K3/TrAvia_act!K23*1000000)</f>
        <v>5719.9196133754149</v>
      </c>
      <c r="L37" s="62">
        <f>IF(L3=0,0,L3/TrAvia_act!L23*1000000)</f>
        <v>5777.0058275983802</v>
      </c>
      <c r="M37" s="62">
        <f>IF(M3=0,0,M3/TrAvia_act!M23*1000000)</f>
        <v>5767.8056544194715</v>
      </c>
      <c r="N37" s="62">
        <f>IF(N3=0,0,N3/TrAvia_act!N23*1000000)</f>
        <v>5624.5637558092758</v>
      </c>
      <c r="O37" s="62">
        <f>IF(O3=0,0,O3/TrAvia_act!O23*1000000)</f>
        <v>5670.9022763683943</v>
      </c>
      <c r="P37" s="62">
        <f>IF(P3=0,0,P3/TrAvia_act!P23*1000000)</f>
        <v>5570.1179571951043</v>
      </c>
      <c r="Q37" s="62">
        <f>IF(Q3=0,0,Q3/TrAvia_act!Q23*1000000)</f>
        <v>5854.6911104634737</v>
      </c>
      <c r="R37" s="62">
        <f>IF(R3=0,0,R3/TrAvia_act!R23*1000000)</f>
        <v>6066.8183728601662</v>
      </c>
      <c r="S37" s="62">
        <f>IF(S3=0,0,S3/TrAvia_act!S23*1000000)</f>
        <v>6139.5623844101274</v>
      </c>
      <c r="T37" s="62">
        <f>IF(T3=0,0,T3/TrAvia_act!T23*1000000)</f>
        <v>6016.946112426017</v>
      </c>
      <c r="U37" s="62">
        <f>IF(U3=0,0,U3/TrAvia_act!U23*1000000)</f>
        <v>5737.2866243907729</v>
      </c>
      <c r="V37" s="62">
        <f>IF(V3=0,0,V3/TrAvia_act!V23*1000000)</f>
        <v>7812.8929666769227</v>
      </c>
      <c r="W37" s="62">
        <f>IF(W3=0,0,W3/TrAvia_act!W23*1000000)</f>
        <v>7224.9063426217372</v>
      </c>
      <c r="X37" s="62">
        <f>IF(X3=0,0,X3/TrAvia_act!X23*1000000)</f>
        <v>6953.2787555817185</v>
      </c>
      <c r="Y37" s="62">
        <f>IF(Y3=0,0,Y3/TrAvia_act!Y23*1000000)</f>
        <v>6452.6712602424386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8346.4478197474509</v>
      </c>
      <c r="C38" s="14">
        <f>IF(C6=0,0,C6/TrAvia_act!C24*1000000)</f>
        <v>8751.3138312539395</v>
      </c>
      <c r="D38" s="14">
        <f>IF(D6=0,0,D6/TrAvia_act!D24*1000000)</f>
        <v>8303.2080156812026</v>
      </c>
      <c r="E38" s="14">
        <f>IF(E6=0,0,E6/TrAvia_act!E24*1000000)</f>
        <v>8150.9594687933486</v>
      </c>
      <c r="F38" s="14">
        <f>IF(F6=0,0,F6/TrAvia_act!F24*1000000)</f>
        <v>8082.0951707358918</v>
      </c>
      <c r="G38" s="14">
        <f>IF(G6=0,0,G6/TrAvia_act!G24*1000000)</f>
        <v>8189.5465967158998</v>
      </c>
      <c r="H38" s="14">
        <f>IF(H6=0,0,H6/TrAvia_act!H24*1000000)</f>
        <v>7152.59864212307</v>
      </c>
      <c r="I38" s="14">
        <f>IF(I6=0,0,I6/TrAvia_act!I24*1000000)</f>
        <v>7074.5119926473872</v>
      </c>
      <c r="J38" s="14">
        <f>IF(J6=0,0,J6/TrAvia_act!J24*1000000)</f>
        <v>6731.2453866606547</v>
      </c>
      <c r="K38" s="14">
        <f>IF(K6=0,0,K6/TrAvia_act!K24*1000000)</f>
        <v>5731.4266497015151</v>
      </c>
      <c r="L38" s="14">
        <f>IF(L6=0,0,L6/TrAvia_act!L24*1000000)</f>
        <v>5773.9556851287653</v>
      </c>
      <c r="M38" s="14">
        <f>IF(M6=0,0,M6/TrAvia_act!M24*1000000)</f>
        <v>5779.4703344121972</v>
      </c>
      <c r="N38" s="14">
        <f>IF(N6=0,0,N6/TrAvia_act!N24*1000000)</f>
        <v>5637.3975193794258</v>
      </c>
      <c r="O38" s="14">
        <f>IF(O6=0,0,O6/TrAvia_act!O24*1000000)</f>
        <v>5686.9634690307203</v>
      </c>
      <c r="P38" s="14">
        <f>IF(P6=0,0,P6/TrAvia_act!P24*1000000)</f>
        <v>5586.2946948405697</v>
      </c>
      <c r="Q38" s="14">
        <f>IF(Q6=0,0,Q6/TrAvia_act!Q24*1000000)</f>
        <v>5876.567767520457</v>
      </c>
      <c r="R38" s="14">
        <f>IF(R6=0,0,R6/TrAvia_act!R24*1000000)</f>
        <v>6087.5895313372584</v>
      </c>
      <c r="S38" s="14">
        <f>IF(S6=0,0,S6/TrAvia_act!S24*1000000)</f>
        <v>6158.5787700803348</v>
      </c>
      <c r="T38" s="14">
        <f>IF(T6=0,0,T6/TrAvia_act!T24*1000000)</f>
        <v>6031.4594197604083</v>
      </c>
      <c r="U38" s="14">
        <f>IF(U6=0,0,U6/TrAvia_act!U24*1000000)</f>
        <v>5755.2609160441662</v>
      </c>
      <c r="V38" s="14">
        <f>IF(V6=0,0,V6/TrAvia_act!V24*1000000)</f>
        <v>7887.534842846293</v>
      </c>
      <c r="W38" s="14">
        <f>IF(W6=0,0,W6/TrAvia_act!W24*1000000)</f>
        <v>7273.9689396534177</v>
      </c>
      <c r="X38" s="14">
        <f>IF(X6=0,0,X6/TrAvia_act!X24*1000000)</f>
        <v>6971.6894164941423</v>
      </c>
      <c r="Y38" s="14">
        <f>IF(Y6=0,0,Y6/TrAvia_act!Y24*1000000)</f>
        <v>6466.3089520232779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12355.547262489818</v>
      </c>
      <c r="C39" s="87">
        <f>IF(C7=0,0,C7/TrAvia_act!C25*1000000)</f>
        <v>12343.667886784371</v>
      </c>
      <c r="D39" s="87">
        <f>IF(D7=0,0,D7/TrAvia_act!D25*1000000)</f>
        <v>12332.681513095313</v>
      </c>
      <c r="E39" s="87">
        <f>IF(E7=0,0,E7/TrAvia_act!E25*1000000)</f>
        <v>12318.736364109262</v>
      </c>
      <c r="F39" s="87">
        <f>IF(F7=0,0,F7/TrAvia_act!F25*1000000)</f>
        <v>12304.158367071812</v>
      </c>
      <c r="G39" s="87">
        <f>IF(G7=0,0,G7/TrAvia_act!G25*1000000)</f>
        <v>7315.2048125063593</v>
      </c>
      <c r="H39" s="87">
        <f>IF(H7=0,0,H7/TrAvia_act!H25*1000000)</f>
        <v>10447.046835035455</v>
      </c>
      <c r="I39" s="87">
        <f>IF(I7=0,0,I7/TrAvia_act!I25*1000000)</f>
        <v>14117.358531821659</v>
      </c>
      <c r="J39" s="87">
        <f>IF(J7=0,0,J7/TrAvia_act!J25*1000000)</f>
        <v>4036.0055648643461</v>
      </c>
      <c r="K39" s="87">
        <f>IF(K7=0,0,K7/TrAvia_act!K25*1000000)</f>
        <v>7734.9505286627727</v>
      </c>
      <c r="L39" s="87">
        <f>IF(L7=0,0,L7/TrAvia_act!L25*1000000)</f>
        <v>5351.8580321861891</v>
      </c>
      <c r="M39" s="87">
        <f>IF(M7=0,0,M7/TrAvia_act!M25*1000000)</f>
        <v>6077.0220943680742</v>
      </c>
      <c r="N39" s="87">
        <f>IF(N7=0,0,N7/TrAvia_act!N25*1000000)</f>
        <v>3403.859945017472</v>
      </c>
      <c r="O39" s="87">
        <f>IF(O7=0,0,O7/TrAvia_act!O25*1000000)</f>
        <v>4435.4609561083598</v>
      </c>
      <c r="P39" s="87">
        <f>IF(P7=0,0,P7/TrAvia_act!P25*1000000)</f>
        <v>3700.9743996879279</v>
      </c>
      <c r="Q39" s="87">
        <f>IF(Q7=0,0,Q7/TrAvia_act!Q25*1000000)</f>
        <v>5393.2751782098558</v>
      </c>
      <c r="R39" s="87">
        <f>IF(R7=0,0,R7/TrAvia_act!R25*1000000)</f>
        <v>8110.4204235756279</v>
      </c>
      <c r="S39" s="87">
        <f>IF(S7=0,0,S7/TrAvia_act!S25*1000000)</f>
        <v>7175.9190625380925</v>
      </c>
      <c r="T39" s="87">
        <f>IF(T7=0,0,T7/TrAvia_act!T25*1000000)</f>
        <v>6009.8640406592385</v>
      </c>
      <c r="U39" s="87">
        <f>IF(U7=0,0,U7/TrAvia_act!U25*1000000)</f>
        <v>2660.4734957231503</v>
      </c>
      <c r="V39" s="87">
        <f>IF(V7=0,0,V7/TrAvia_act!V25*1000000)</f>
        <v>2192.7025986001249</v>
      </c>
      <c r="W39" s="87">
        <f>IF(W7=0,0,W7/TrAvia_act!W25*1000000)</f>
        <v>2286.1401877684584</v>
      </c>
      <c r="X39" s="87">
        <f>IF(X7=0,0,X7/TrAvia_act!X25*1000000)</f>
        <v>3637.0392571000075</v>
      </c>
      <c r="Y39" s="87">
        <f>IF(Y7=0,0,Y7/TrAvia_act!Y25*1000000)</f>
        <v>2549.3301653868889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7633.4578757858244</v>
      </c>
      <c r="C40" s="87">
        <f>IF(C8=0,0,C8/TrAvia_act!C26*1000000)</f>
        <v>7696.1197762071251</v>
      </c>
      <c r="D40" s="87">
        <f>IF(D8=0,0,D8/TrAvia_act!D26*1000000)</f>
        <v>7692.8268862883433</v>
      </c>
      <c r="E40" s="87">
        <f>IF(E8=0,0,E8/TrAvia_act!E26*1000000)</f>
        <v>7697.8548249347905</v>
      </c>
      <c r="F40" s="87">
        <f>IF(F8=0,0,F8/TrAvia_act!F26*1000000)</f>
        <v>7679.7237216168196</v>
      </c>
      <c r="G40" s="87">
        <f>IF(G8=0,0,G8/TrAvia_act!G26*1000000)</f>
        <v>8050.6542636655622</v>
      </c>
      <c r="H40" s="87">
        <f>IF(H8=0,0,H8/TrAvia_act!H26*1000000)</f>
        <v>6683.8939613066486</v>
      </c>
      <c r="I40" s="87">
        <f>IF(I8=0,0,I8/TrAvia_act!I26*1000000)</f>
        <v>6334.2590432640654</v>
      </c>
      <c r="J40" s="87">
        <f>IF(J8=0,0,J8/TrAvia_act!J26*1000000)</f>
        <v>7180.3964987667423</v>
      </c>
      <c r="K40" s="87">
        <f>IF(K8=0,0,K8/TrAvia_act!K26*1000000)</f>
        <v>5572.8159180021894</v>
      </c>
      <c r="L40" s="87">
        <f>IF(L8=0,0,L8/TrAvia_act!L26*1000000)</f>
        <v>6062.1677645566879</v>
      </c>
      <c r="M40" s="87">
        <f>IF(M8=0,0,M8/TrAvia_act!M26*1000000)</f>
        <v>6112.9671689867537</v>
      </c>
      <c r="N40" s="87">
        <f>IF(N8=0,0,N8/TrAvia_act!N26*1000000)</f>
        <v>6403.6700616729795</v>
      </c>
      <c r="O40" s="87">
        <f>IF(O8=0,0,O8/TrAvia_act!O26*1000000)</f>
        <v>6476.725255347309</v>
      </c>
      <c r="P40" s="87">
        <f>IF(P8=0,0,P8/TrAvia_act!P26*1000000)</f>
        <v>6646.3649959828863</v>
      </c>
      <c r="Q40" s="87">
        <f>IF(Q8=0,0,Q8/TrAvia_act!Q26*1000000)</f>
        <v>6834.015966547573</v>
      </c>
      <c r="R40" s="87">
        <f>IF(R8=0,0,R8/TrAvia_act!R26*1000000)</f>
        <v>6835.9309700199265</v>
      </c>
      <c r="S40" s="87">
        <f>IF(S8=0,0,S8/TrAvia_act!S26*1000000)</f>
        <v>6785.027228022308</v>
      </c>
      <c r="T40" s="87">
        <f>IF(T8=0,0,T8/TrAvia_act!T26*1000000)</f>
        <v>6762.6425835621321</v>
      </c>
      <c r="U40" s="87">
        <f>IF(U8=0,0,U8/TrAvia_act!U26*1000000)</f>
        <v>6709.7805724668879</v>
      </c>
      <c r="V40" s="87">
        <f>IF(V8=0,0,V8/TrAvia_act!V26*1000000)</f>
        <v>8145.5508536240777</v>
      </c>
      <c r="W40" s="87">
        <f>IF(W8=0,0,W8/TrAvia_act!W26*1000000)</f>
        <v>7963.8961493846327</v>
      </c>
      <c r="X40" s="87">
        <f>IF(X8=0,0,X8/TrAvia_act!X26*1000000)</f>
        <v>7452.3768104519804</v>
      </c>
      <c r="Y40" s="87">
        <f>IF(Y8=0,0,Y8/TrAvia_act!Y26*1000000)</f>
        <v>6937.2213047168225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8044.8179715275346</v>
      </c>
      <c r="C41" s="87">
        <f>IF(C9=0,0,C9/TrAvia_act!C27*1000000)</f>
        <v>8111.1096077922557</v>
      </c>
      <c r="D41" s="87">
        <f>IF(D9=0,0,D9/TrAvia_act!D27*1000000)</f>
        <v>8107.5505944661327</v>
      </c>
      <c r="E41" s="87">
        <f>IF(E9=0,0,E9/TrAvia_act!E27*1000000)</f>
        <v>8112.7493665767734</v>
      </c>
      <c r="F41" s="87">
        <f>IF(F9=0,0,F9/TrAvia_act!F27*1000000)</f>
        <v>8093.5298731435678</v>
      </c>
      <c r="G41" s="87">
        <f>IF(G9=0,0,G9/TrAvia_act!G27*1000000)</f>
        <v>9795.5334552405184</v>
      </c>
      <c r="H41" s="87">
        <f>IF(H9=0,0,H9/TrAvia_act!H27*1000000)</f>
        <v>8204.5833816097293</v>
      </c>
      <c r="I41" s="87">
        <f>IF(I9=0,0,I9/TrAvia_act!I27*1000000)</f>
        <v>6452.3388596345385</v>
      </c>
      <c r="J41" s="87">
        <f>IF(J9=0,0,J9/TrAvia_act!J27*1000000)</f>
        <v>6195.1235566591477</v>
      </c>
      <c r="K41" s="87">
        <f>IF(K9=0,0,K9/TrAvia_act!K27*1000000)</f>
        <v>5137.0893470226338</v>
      </c>
      <c r="L41" s="87">
        <f>IF(L9=0,0,L9/TrAvia_act!L27*1000000)</f>
        <v>4697.7026459746885</v>
      </c>
      <c r="M41" s="87">
        <f>IF(M9=0,0,M9/TrAvia_act!M27*1000000)</f>
        <v>4228.639996032929</v>
      </c>
      <c r="N41" s="87">
        <f>IF(N9=0,0,N9/TrAvia_act!N27*1000000)</f>
        <v>4090.8912878518881</v>
      </c>
      <c r="O41" s="87">
        <f>IF(O9=0,0,O9/TrAvia_act!O27*1000000)</f>
        <v>3648.373790821051</v>
      </c>
      <c r="P41" s="87">
        <f>IF(P9=0,0,P9/TrAvia_act!P27*1000000)</f>
        <v>3203.939065857985</v>
      </c>
      <c r="Q41" s="87">
        <f>IF(Q9=0,0,Q9/TrAvia_act!Q27*1000000)</f>
        <v>3269.5052936455586</v>
      </c>
      <c r="R41" s="87">
        <f>IF(R9=0,0,R9/TrAvia_act!R27*1000000)</f>
        <v>3145.2943302378721</v>
      </c>
      <c r="S41" s="87">
        <f>IF(S9=0,0,S9/TrAvia_act!S27*1000000)</f>
        <v>3441.5652893933152</v>
      </c>
      <c r="T41" s="87">
        <f>IF(T9=0,0,T9/TrAvia_act!T27*1000000)</f>
        <v>3368.7704012291133</v>
      </c>
      <c r="U41" s="87">
        <f>IF(U9=0,0,U9/TrAvia_act!U27*1000000)</f>
        <v>3320.1310093797065</v>
      </c>
      <c r="V41" s="87">
        <f>IF(V9=0,0,V9/TrAvia_act!V27*1000000)</f>
        <v>11258.796669454276</v>
      </c>
      <c r="W41" s="87">
        <f>IF(W9=0,0,W9/TrAvia_act!W27*1000000)</f>
        <v>7043.2534103939388</v>
      </c>
      <c r="X41" s="87">
        <f>IF(X9=0,0,X9/TrAvia_act!X27*1000000)</f>
        <v>5818.4284664826791</v>
      </c>
      <c r="Y41" s="87">
        <f>IF(Y9=0,0,Y9/TrAvia_act!Y27*1000000)</f>
        <v>5437.4401087530159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5351.7629457219864</v>
      </c>
      <c r="C42" s="15">
        <f>IF(C10=0,0,C10/TrAvia_act!C28*1000000)</f>
        <v>5865.6920915418768</v>
      </c>
      <c r="D42" s="15">
        <f>IF(D10=0,0,D10/TrAvia_act!D28*1000000)</f>
        <v>5944.0116991997202</v>
      </c>
      <c r="E42" s="15">
        <f>IF(E10=0,0,E10/TrAvia_act!E28*1000000)</f>
        <v>6088.2994777021941</v>
      </c>
      <c r="F42" s="15">
        <f>IF(F10=0,0,F10/TrAvia_act!F28*1000000)</f>
        <v>6083.6945964996421</v>
      </c>
      <c r="G42" s="15">
        <f>IF(G10=0,0,G10/TrAvia_act!G28*1000000)</f>
        <v>6431.2493319301575</v>
      </c>
      <c r="H42" s="15">
        <f>IF(H10=0,0,H10/TrAvia_act!H28*1000000)</f>
        <v>5323.0730777584067</v>
      </c>
      <c r="I42" s="15">
        <f>IF(I10=0,0,I10/TrAvia_act!I28*1000000)</f>
        <v>4935.9604229724546</v>
      </c>
      <c r="J42" s="15">
        <f>IF(J10=0,0,J10/TrAvia_act!J28*1000000)</f>
        <v>5417.1301910511593</v>
      </c>
      <c r="K42" s="15">
        <f>IF(K10=0,0,K10/TrAvia_act!K28*1000000)</f>
        <v>4969.8790818094112</v>
      </c>
      <c r="L42" s="15">
        <f>IF(L10=0,0,L10/TrAvia_act!L28*1000000)</f>
        <v>5963.9831635163609</v>
      </c>
      <c r="M42" s="15">
        <f>IF(M10=0,0,M10/TrAvia_act!M28*1000000)</f>
        <v>4981.1627722654584</v>
      </c>
      <c r="N42" s="15">
        <f>IF(N10=0,0,N10/TrAvia_act!N28*1000000)</f>
        <v>4660.8361865390643</v>
      </c>
      <c r="O42" s="15">
        <f>IF(O10=0,0,O10/TrAvia_act!O28*1000000)</f>
        <v>4567.5279463516645</v>
      </c>
      <c r="P42" s="15">
        <f>IF(P10=0,0,P10/TrAvia_act!P28*1000000)</f>
        <v>4472.4256372653663</v>
      </c>
      <c r="Q42" s="15">
        <f>IF(Q10=0,0,Q10/TrAvia_act!Q28*1000000)</f>
        <v>4675.1284137158809</v>
      </c>
      <c r="R42" s="15">
        <f>IF(R10=0,0,R10/TrAvia_act!R28*1000000)</f>
        <v>4668.5114024531731</v>
      </c>
      <c r="S42" s="15">
        <f>IF(S10=0,0,S10/TrAvia_act!S28*1000000)</f>
        <v>4870.9982515903457</v>
      </c>
      <c r="T42" s="15">
        <f>IF(T10=0,0,T10/TrAvia_act!T28*1000000)</f>
        <v>4867.6047968548992</v>
      </c>
      <c r="U42" s="15">
        <f>IF(U10=0,0,U10/TrAvia_act!U28*1000000)</f>
        <v>4425.2255284738831</v>
      </c>
      <c r="V42" s="15">
        <f>IF(V10=0,0,V10/TrAvia_act!V28*1000000)</f>
        <v>5679.6232672023352</v>
      </c>
      <c r="W42" s="15">
        <f>IF(W10=0,0,W10/TrAvia_act!W28*1000000)</f>
        <v>5368.3515911571667</v>
      </c>
      <c r="X42" s="15">
        <f>IF(X10=0,0,X10/TrAvia_act!X28*1000000)</f>
        <v>6183.4618553302371</v>
      </c>
      <c r="Y42" s="15">
        <f>IF(Y10=0,0,Y10/TrAvia_act!Y28*1000000)</f>
        <v>5469.39901006733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4878.0645463107394</v>
      </c>
      <c r="C44" s="101">
        <f>IF(C12=0,0,C12/TrAvia_act!C30*1000000)</f>
        <v>4931.5780680791013</v>
      </c>
      <c r="D44" s="101">
        <f>IF(D12=0,0,D12/TrAvia_act!D30*1000000)</f>
        <v>4922.7222132298502</v>
      </c>
      <c r="E44" s="101">
        <f>IF(E12=0,0,E12/TrAvia_act!E30*1000000)</f>
        <v>4940.0630145088699</v>
      </c>
      <c r="F44" s="101">
        <f>IF(F12=0,0,F12/TrAvia_act!F30*1000000)</f>
        <v>4931.5774167680329</v>
      </c>
      <c r="G44" s="101">
        <f>IF(G12=0,0,G12/TrAvia_act!G30*1000000)</f>
        <v>5024.3065793639562</v>
      </c>
      <c r="H44" s="101">
        <f>IF(H12=0,0,H12/TrAvia_act!H30*1000000)</f>
        <v>4180.3608644656633</v>
      </c>
      <c r="I44" s="101">
        <f>IF(I12=0,0,I12/TrAvia_act!I30*1000000)</f>
        <v>4070.5359683827301</v>
      </c>
      <c r="J44" s="101">
        <f>IF(J12=0,0,J12/TrAvia_act!J30*1000000)</f>
        <v>4751.9770635694322</v>
      </c>
      <c r="K44" s="101">
        <f>IF(K12=0,0,K12/TrAvia_act!K30*1000000)</f>
        <v>3870.2382975338301</v>
      </c>
      <c r="L44" s="101">
        <f>IF(L12=0,0,L12/TrAvia_act!L30*1000000)</f>
        <v>4309.6011903846729</v>
      </c>
      <c r="M44" s="101">
        <f>IF(M12=0,0,M12/TrAvia_act!M30*1000000)</f>
        <v>4378.7487739871776</v>
      </c>
      <c r="N44" s="101">
        <f>IF(N12=0,0,N12/TrAvia_act!N30*1000000)</f>
        <v>4734.6020745157657</v>
      </c>
      <c r="O44" s="101">
        <f>IF(O12=0,0,O12/TrAvia_act!O30*1000000)</f>
        <v>4650.2507885416298</v>
      </c>
      <c r="P44" s="101">
        <f>IF(P12=0,0,P12/TrAvia_act!P30*1000000)</f>
        <v>4617.03611275401</v>
      </c>
      <c r="Q44" s="101">
        <f>IF(Q12=0,0,Q12/TrAvia_act!Q30*1000000)</f>
        <v>4903.180021158626</v>
      </c>
      <c r="R44" s="101">
        <f>IF(R12=0,0,R12/TrAvia_act!R30*1000000)</f>
        <v>4801.1842173493778</v>
      </c>
      <c r="S44" s="101">
        <f>IF(S12=0,0,S12/TrAvia_act!S30*1000000)</f>
        <v>4658.9021636002562</v>
      </c>
      <c r="T44" s="101">
        <f>IF(T12=0,0,T12/TrAvia_act!T30*1000000)</f>
        <v>4648.7256656612408</v>
      </c>
      <c r="U44" s="101">
        <f>IF(U12=0,0,U12/TrAvia_act!U30*1000000)</f>
        <v>4592.6452696931083</v>
      </c>
      <c r="V44" s="101">
        <f>IF(V12=0,0,V12/TrAvia_act!V30*1000000)</f>
        <v>6222.5600071264898</v>
      </c>
      <c r="W44" s="101">
        <f>IF(W12=0,0,W12/TrAvia_act!W30*1000000)</f>
        <v>5941.9232285832404</v>
      </c>
      <c r="X44" s="101">
        <f>IF(X12=0,0,X12/TrAvia_act!X30*1000000)</f>
        <v>5678.9387119813991</v>
      </c>
      <c r="Y44" s="101">
        <f>IF(Y12=0,0,Y12/TrAvia_act!Y30*1000000)</f>
        <v>5105.6905920338868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10527.356568918933</v>
      </c>
      <c r="C45" s="88">
        <f>IF(C13=0,0,C13/TrAvia_act!C31*1000000)</f>
        <v>10614.10504414432</v>
      </c>
      <c r="D45" s="88">
        <f>IF(D13=0,0,D13/TrAvia_act!D31*1000000)</f>
        <v>10609.447760107534</v>
      </c>
      <c r="E45" s="88">
        <f>IF(E13=0,0,E13/TrAvia_act!E31*1000000)</f>
        <v>10616.250813690967</v>
      </c>
      <c r="F45" s="88">
        <f>IF(F13=0,0,F13/TrAvia_act!F31*1000000)</f>
        <v>10591.100404923309</v>
      </c>
      <c r="G45" s="88">
        <f>IF(G13=0,0,G13/TrAvia_act!G31*1000000)</f>
        <v>12818.322780087838</v>
      </c>
      <c r="H45" s="88">
        <f>IF(H13=0,0,H13/TrAvia_act!H31*1000000)</f>
        <v>11907.272021016599</v>
      </c>
      <c r="I45" s="88">
        <f>IF(I13=0,0,I13/TrAvia_act!I31*1000000)</f>
        <v>10385.430035467129</v>
      </c>
      <c r="J45" s="88">
        <f>IF(J13=0,0,J13/TrAvia_act!J31*1000000)</f>
        <v>11058.614124136922</v>
      </c>
      <c r="K45" s="88">
        <f>IF(K13=0,0,K13/TrAvia_act!K31*1000000)</f>
        <v>10169.415135853211</v>
      </c>
      <c r="L45" s="88">
        <f>IF(L13=0,0,L13/TrAvia_act!L31*1000000)</f>
        <v>10312.644350033945</v>
      </c>
      <c r="M45" s="88">
        <f>IF(M13=0,0,M13/TrAvia_act!M31*1000000)</f>
        <v>6476.3629838194647</v>
      </c>
      <c r="N45" s="88">
        <f>IF(N13=0,0,N13/TrAvia_act!N31*1000000)</f>
        <v>4271.5792699850845</v>
      </c>
      <c r="O45" s="88">
        <f>IF(O13=0,0,O13/TrAvia_act!O31*1000000)</f>
        <v>4114.404318236484</v>
      </c>
      <c r="P45" s="88">
        <f>IF(P13=0,0,P13/TrAvia_act!P31*1000000)</f>
        <v>3900.137372565624</v>
      </c>
      <c r="Q45" s="88">
        <f>IF(Q13=0,0,Q13/TrAvia_act!Q31*1000000)</f>
        <v>4293.3225551013293</v>
      </c>
      <c r="R45" s="88">
        <f>IF(R13=0,0,R13/TrAvia_act!R31*1000000)</f>
        <v>4452.3730608147562</v>
      </c>
      <c r="S45" s="88">
        <f>IF(S13=0,0,S13/TrAvia_act!S31*1000000)</f>
        <v>5247.8475507870216</v>
      </c>
      <c r="T45" s="88">
        <f>IF(T13=0,0,T13/TrAvia_act!T31*1000000)</f>
        <v>5528.8991932272311</v>
      </c>
      <c r="U45" s="88">
        <f>IF(U13=0,0,U13/TrAvia_act!U31*1000000)</f>
        <v>3688.2657330135567</v>
      </c>
      <c r="V45" s="88">
        <f>IF(V13=0,0,V13/TrAvia_act!V31*1000000)</f>
        <v>3865.9835189450514</v>
      </c>
      <c r="W45" s="88">
        <f>IF(W13=0,0,W13/TrAvia_act!W31*1000000)</f>
        <v>2858.975677418096</v>
      </c>
      <c r="X45" s="88">
        <f>IF(X13=0,0,X13/TrAvia_act!X31*1000000)</f>
        <v>12423.616523065875</v>
      </c>
      <c r="Y45" s="88">
        <f>IF(Y13=0,0,Y13/TrAvia_act!Y31*1000000)</f>
        <v>8757.0378475853158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0.98330562017083178</v>
      </c>
      <c r="C48" s="16">
        <f t="shared" si="36"/>
        <v>0.99158943234645691</v>
      </c>
      <c r="D48" s="16">
        <f t="shared" ref="D48:V48" si="37">IF(D6=0,0,D6/D$3)</f>
        <v>0.99059500593894345</v>
      </c>
      <c r="E48" s="16">
        <f t="shared" si="37"/>
        <v>0.99149234699474487</v>
      </c>
      <c r="F48" s="16">
        <f t="shared" si="37"/>
        <v>0.99015605312594213</v>
      </c>
      <c r="G48" s="16">
        <f t="shared" si="37"/>
        <v>0.9888820389756825</v>
      </c>
      <c r="H48" s="16">
        <f t="shared" si="37"/>
        <v>0.9889357399694978</v>
      </c>
      <c r="I48" s="16">
        <f t="shared" si="37"/>
        <v>0.98965709626984666</v>
      </c>
      <c r="J48" s="16">
        <f t="shared" si="37"/>
        <v>0.9876700083633968</v>
      </c>
      <c r="K48" s="16">
        <f t="shared" si="37"/>
        <v>0.98687128122255563</v>
      </c>
      <c r="L48" s="16">
        <f t="shared" si="37"/>
        <v>0.98342943475537814</v>
      </c>
      <c r="M48" s="16">
        <f t="shared" si="37"/>
        <v>0.98738106507091972</v>
      </c>
      <c r="N48" s="16">
        <f t="shared" si="37"/>
        <v>0.98910995924402689</v>
      </c>
      <c r="O48" s="16">
        <f t="shared" si="37"/>
        <v>0.98844399403159178</v>
      </c>
      <c r="P48" s="16">
        <f t="shared" si="37"/>
        <v>0.98833900689681209</v>
      </c>
      <c r="Q48" s="16">
        <f t="shared" si="37"/>
        <v>0.98545985750226772</v>
      </c>
      <c r="R48" s="16">
        <f t="shared" si="37"/>
        <v>0.98873653942741646</v>
      </c>
      <c r="S48" s="16">
        <f t="shared" si="37"/>
        <v>0.98828252227122981</v>
      </c>
      <c r="T48" s="16">
        <f t="shared" si="37"/>
        <v>0.98991195886480543</v>
      </c>
      <c r="U48" s="16">
        <f t="shared" si="37"/>
        <v>0.98957640688651438</v>
      </c>
      <c r="V48" s="16">
        <f t="shared" si="37"/>
        <v>0.97542415124127835</v>
      </c>
      <c r="W48" s="16">
        <f t="shared" ref="W48:Y48" si="38">IF(W6=0,0,W6/W$3)</f>
        <v>0.98086962140497369</v>
      </c>
      <c r="X48" s="16">
        <f t="shared" si="38"/>
        <v>0.97922888508549311</v>
      </c>
      <c r="Y48" s="16">
        <f t="shared" si="38"/>
        <v>0.98840461931247503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0.20408163265306115</v>
      </c>
      <c r="C49" s="103">
        <f t="shared" si="39"/>
        <v>0.30347023542114909</v>
      </c>
      <c r="D49" s="103">
        <f t="shared" ref="D49:V49" si="40">IF(D7=0,0,D7/D$3)</f>
        <v>0.17689634530315865</v>
      </c>
      <c r="E49" s="103">
        <f t="shared" si="40"/>
        <v>0.12923584627040066</v>
      </c>
      <c r="F49" s="103">
        <f t="shared" si="40"/>
        <v>0.11319801242236019</v>
      </c>
      <c r="G49" s="103">
        <f t="shared" si="40"/>
        <v>6.6419152280975502E-2</v>
      </c>
      <c r="H49" s="103">
        <f t="shared" si="40"/>
        <v>0.1206031436772784</v>
      </c>
      <c r="I49" s="103">
        <f t="shared" si="40"/>
        <v>0.18433184346118459</v>
      </c>
      <c r="J49" s="103">
        <f t="shared" si="40"/>
        <v>5.9460397513714042E-2</v>
      </c>
      <c r="K49" s="103">
        <f t="shared" si="40"/>
        <v>0.13462059998688058</v>
      </c>
      <c r="L49" s="103">
        <f t="shared" si="40"/>
        <v>8.4389114310276458E-2</v>
      </c>
      <c r="M49" s="103">
        <f t="shared" si="40"/>
        <v>0.11301409936524051</v>
      </c>
      <c r="N49" s="103">
        <f t="shared" si="40"/>
        <v>6.4833494433072486E-2</v>
      </c>
      <c r="O49" s="103">
        <f t="shared" si="40"/>
        <v>7.1985463659147861E-2</v>
      </c>
      <c r="P49" s="103">
        <f t="shared" si="40"/>
        <v>5.1850971634423176E-2</v>
      </c>
      <c r="Q49" s="103">
        <f t="shared" si="40"/>
        <v>7.0386909677334672E-2</v>
      </c>
      <c r="R49" s="103">
        <f t="shared" si="40"/>
        <v>8.4070645658883836E-2</v>
      </c>
      <c r="S49" s="103">
        <f t="shared" si="40"/>
        <v>7.9677647414056266E-2</v>
      </c>
      <c r="T49" s="103">
        <f t="shared" si="40"/>
        <v>6.4056121903784916E-2</v>
      </c>
      <c r="U49" s="103">
        <f t="shared" si="40"/>
        <v>2.9371230700820278E-2</v>
      </c>
      <c r="V49" s="103">
        <f t="shared" si="40"/>
        <v>2.7409402338121849E-2</v>
      </c>
      <c r="W49" s="103">
        <f t="shared" ref="W49:Y49" si="41">IF(W7=0,0,W7/W$3)</f>
        <v>2.9975242888438256E-2</v>
      </c>
      <c r="X49" s="103">
        <f t="shared" si="41"/>
        <v>3.5096749934519569E-2</v>
      </c>
      <c r="Y49" s="103">
        <f t="shared" si="41"/>
        <v>2.3318319232468618E-2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0.66185354444292599</v>
      </c>
      <c r="C50" s="103">
        <f t="shared" si="42"/>
        <v>0.5845097222936535</v>
      </c>
      <c r="D50" s="103">
        <f t="shared" ref="D50:V50" si="43">IF(D8=0,0,D8/D$3)</f>
        <v>0.69117546636170968</v>
      </c>
      <c r="E50" s="103">
        <f t="shared" si="43"/>
        <v>0.73244840343178963</v>
      </c>
      <c r="F50" s="103">
        <f t="shared" si="43"/>
        <v>0.74492194376205934</v>
      </c>
      <c r="G50" s="103">
        <f t="shared" si="43"/>
        <v>0.79082458846566617</v>
      </c>
      <c r="H50" s="103">
        <f t="shared" si="43"/>
        <v>0.7530805767181753</v>
      </c>
      <c r="I50" s="103">
        <f t="shared" si="43"/>
        <v>0.69988388240359722</v>
      </c>
      <c r="J50" s="103">
        <f t="shared" si="43"/>
        <v>0.80510309406624436</v>
      </c>
      <c r="K50" s="103">
        <f t="shared" si="43"/>
        <v>0.73058474774685134</v>
      </c>
      <c r="L50" s="103">
        <f t="shared" si="43"/>
        <v>0.76859458403202696</v>
      </c>
      <c r="M50" s="103">
        <f t="shared" si="43"/>
        <v>0.74800762193940806</v>
      </c>
      <c r="N50" s="103">
        <f t="shared" si="43"/>
        <v>0.78753093607430458</v>
      </c>
      <c r="O50" s="103">
        <f t="shared" si="43"/>
        <v>0.78212690697662257</v>
      </c>
      <c r="P50" s="103">
        <f t="shared" si="43"/>
        <v>0.80033776130714851</v>
      </c>
      <c r="Q50" s="103">
        <f t="shared" si="43"/>
        <v>0.78505027044252507</v>
      </c>
      <c r="R50" s="103">
        <f t="shared" si="43"/>
        <v>0.78982240129780612</v>
      </c>
      <c r="S50" s="103">
        <f t="shared" si="43"/>
        <v>0.80065984632181519</v>
      </c>
      <c r="T50" s="103">
        <f t="shared" si="43"/>
        <v>0.81470228886468565</v>
      </c>
      <c r="U50" s="103">
        <f t="shared" si="43"/>
        <v>0.84323519466977193</v>
      </c>
      <c r="V50" s="103">
        <f t="shared" si="43"/>
        <v>0.79430131536079274</v>
      </c>
      <c r="W50" s="103">
        <f t="shared" ref="W50:Y50" si="44">IF(W8=0,0,W8/W$3)</f>
        <v>0.80868077016620765</v>
      </c>
      <c r="X50" s="103">
        <f t="shared" si="44"/>
        <v>0.83481397954073</v>
      </c>
      <c r="Y50" s="103">
        <f t="shared" si="44"/>
        <v>0.84962991763896289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0.11737044307484465</v>
      </c>
      <c r="C51" s="103">
        <f t="shared" si="45"/>
        <v>0.10360947463165425</v>
      </c>
      <c r="D51" s="103">
        <f t="shared" ref="D51:V51" si="46">IF(D9=0,0,D9/D$3)</f>
        <v>0.12252319427407517</v>
      </c>
      <c r="E51" s="103">
        <f t="shared" si="46"/>
        <v>0.12980809729255452</v>
      </c>
      <c r="F51" s="103">
        <f t="shared" si="46"/>
        <v>0.13203609694152266</v>
      </c>
      <c r="G51" s="103">
        <f t="shared" si="46"/>
        <v>0.13163829822904066</v>
      </c>
      <c r="H51" s="103">
        <f t="shared" si="46"/>
        <v>0.11525201957404405</v>
      </c>
      <c r="I51" s="103">
        <f t="shared" si="46"/>
        <v>0.10544137040506492</v>
      </c>
      <c r="J51" s="103">
        <f t="shared" si="46"/>
        <v>0.12310651678343852</v>
      </c>
      <c r="K51" s="103">
        <f t="shared" si="46"/>
        <v>0.12166593348882386</v>
      </c>
      <c r="L51" s="103">
        <f t="shared" si="46"/>
        <v>0.13044573641307469</v>
      </c>
      <c r="M51" s="103">
        <f t="shared" si="46"/>
        <v>0.12635934376627117</v>
      </c>
      <c r="N51" s="103">
        <f t="shared" si="46"/>
        <v>0.13674552873664977</v>
      </c>
      <c r="O51" s="103">
        <f t="shared" si="46"/>
        <v>0.13433162339582136</v>
      </c>
      <c r="P51" s="103">
        <f t="shared" si="46"/>
        <v>0.13615027395524029</v>
      </c>
      <c r="Q51" s="103">
        <f t="shared" si="46"/>
        <v>0.13002267738240805</v>
      </c>
      <c r="R51" s="103">
        <f t="shared" si="46"/>
        <v>0.11484349247072663</v>
      </c>
      <c r="S51" s="103">
        <f t="shared" si="46"/>
        <v>0.10794502853535845</v>
      </c>
      <c r="T51" s="103">
        <f t="shared" si="46"/>
        <v>0.11115354809633489</v>
      </c>
      <c r="U51" s="103">
        <f t="shared" si="46"/>
        <v>0.11696998151592219</v>
      </c>
      <c r="V51" s="103">
        <f t="shared" si="46"/>
        <v>0.15371343354236372</v>
      </c>
      <c r="W51" s="103">
        <f t="shared" ref="W51:Y51" si="47">IF(W9=0,0,W9/W$3)</f>
        <v>0.14221360835032779</v>
      </c>
      <c r="X51" s="103">
        <f t="shared" si="47"/>
        <v>0.10931815561024345</v>
      </c>
      <c r="Y51" s="103">
        <f t="shared" si="47"/>
        <v>0.11545638244104355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1.6694379829168205E-2</v>
      </c>
      <c r="C52" s="17">
        <f t="shared" si="48"/>
        <v>8.4105676535430329E-3</v>
      </c>
      <c r="D52" s="17">
        <f t="shared" ref="D52:V52" si="49">IF(D10=0,0,D10/D$3)</f>
        <v>9.4049940610563959E-3</v>
      </c>
      <c r="E52" s="17">
        <f t="shared" si="49"/>
        <v>8.5076530052551926E-3</v>
      </c>
      <c r="F52" s="17">
        <f t="shared" si="49"/>
        <v>9.8439468740578549E-3</v>
      </c>
      <c r="G52" s="17">
        <f t="shared" si="49"/>
        <v>1.111796102431744E-2</v>
      </c>
      <c r="H52" s="17">
        <f t="shared" si="49"/>
        <v>1.1064260030502333E-2</v>
      </c>
      <c r="I52" s="17">
        <f t="shared" si="49"/>
        <v>1.0342903730153313E-2</v>
      </c>
      <c r="J52" s="17">
        <f t="shared" si="49"/>
        <v>1.2329991636603184E-2</v>
      </c>
      <c r="K52" s="17">
        <f t="shared" si="49"/>
        <v>1.3128718777444129E-2</v>
      </c>
      <c r="L52" s="17">
        <f t="shared" si="49"/>
        <v>1.6570565244621967E-2</v>
      </c>
      <c r="M52" s="17">
        <f t="shared" si="49"/>
        <v>1.2618934929080335E-2</v>
      </c>
      <c r="N52" s="17">
        <f t="shared" si="49"/>
        <v>1.0890040755973196E-2</v>
      </c>
      <c r="O52" s="17">
        <f t="shared" si="49"/>
        <v>1.1556005968408181E-2</v>
      </c>
      <c r="P52" s="17">
        <f t="shared" si="49"/>
        <v>1.1660993103187961E-2</v>
      </c>
      <c r="Q52" s="17">
        <f t="shared" si="49"/>
        <v>1.454014249773225E-2</v>
      </c>
      <c r="R52" s="17">
        <f t="shared" si="49"/>
        <v>1.1263460572583477E-2</v>
      </c>
      <c r="S52" s="17">
        <f t="shared" si="49"/>
        <v>1.1717477728770152E-2</v>
      </c>
      <c r="T52" s="17">
        <f t="shared" si="49"/>
        <v>1.0088041135194596E-2</v>
      </c>
      <c r="U52" s="17">
        <f t="shared" si="49"/>
        <v>1.0423593113485516E-2</v>
      </c>
      <c r="V52" s="17">
        <f t="shared" si="49"/>
        <v>2.4575848758721548E-2</v>
      </c>
      <c r="W52" s="17">
        <f t="shared" ref="W52:Y52" si="50">IF(W10=0,0,W10/W$3)</f>
        <v>1.9130378595026292E-2</v>
      </c>
      <c r="X52" s="17">
        <f t="shared" si="50"/>
        <v>2.077111491450697E-2</v>
      </c>
      <c r="Y52" s="17">
        <f t="shared" si="50"/>
        <v>1.1595380687524949E-2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1.3940781131786919E-2</v>
      </c>
      <c r="C54" s="104">
        <f t="shared" si="54"/>
        <v>5.9087951549519433E-3</v>
      </c>
      <c r="D54" s="104">
        <f t="shared" ref="D54:V54" si="55">IF(D12=0,0,D12/D$3)</f>
        <v>6.390195905229378E-3</v>
      </c>
      <c r="E54" s="104">
        <f t="shared" si="55"/>
        <v>5.5066978181144022E-3</v>
      </c>
      <c r="F54" s="104">
        <f t="shared" si="55"/>
        <v>6.3552778706155149E-3</v>
      </c>
      <c r="G54" s="104">
        <f t="shared" si="55"/>
        <v>7.1178124144275021E-3</v>
      </c>
      <c r="H54" s="104">
        <f t="shared" si="55"/>
        <v>7.404073899786809E-3</v>
      </c>
      <c r="I54" s="104">
        <f t="shared" si="55"/>
        <v>7.3605552297033063E-3</v>
      </c>
      <c r="J54" s="104">
        <f t="shared" si="55"/>
        <v>9.675275975746106E-3</v>
      </c>
      <c r="K54" s="104">
        <f t="shared" si="55"/>
        <v>8.4390784247343406E-3</v>
      </c>
      <c r="L54" s="104">
        <f t="shared" si="55"/>
        <v>8.6740536339821074E-3</v>
      </c>
      <c r="M54" s="104">
        <f t="shared" si="55"/>
        <v>7.907072654984755E-3</v>
      </c>
      <c r="N54" s="104">
        <f t="shared" si="55"/>
        <v>9.3000033924158648E-3</v>
      </c>
      <c r="O54" s="104">
        <f t="shared" si="55"/>
        <v>9.9489959489530173E-3</v>
      </c>
      <c r="P54" s="104">
        <f t="shared" si="55"/>
        <v>9.6097636146322898E-3</v>
      </c>
      <c r="Q54" s="104">
        <f t="shared" si="55"/>
        <v>9.5470061068116709E-3</v>
      </c>
      <c r="R54" s="104">
        <f t="shared" si="55"/>
        <v>7.1776658598501492E-3</v>
      </c>
      <c r="S54" s="104">
        <f t="shared" si="55"/>
        <v>7.1712100062927015E-3</v>
      </c>
      <c r="T54" s="104">
        <f t="shared" si="55"/>
        <v>7.2385568942489997E-3</v>
      </c>
      <c r="U54" s="104">
        <f t="shared" si="55"/>
        <v>8.8153185836479277E-3</v>
      </c>
      <c r="V54" s="104">
        <f t="shared" si="55"/>
        <v>2.0721804614135114E-2</v>
      </c>
      <c r="W54" s="104">
        <f t="shared" ref="W54:Y54" si="56">IF(W12=0,0,W12/W$3)</f>
        <v>1.7234918675498249E-2</v>
      </c>
      <c r="X54" s="104">
        <f t="shared" si="56"/>
        <v>1.764937983701052E-2</v>
      </c>
      <c r="Y54" s="104">
        <f t="shared" si="56"/>
        <v>9.7460999514180566E-3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2.7535986973812854E-3</v>
      </c>
      <c r="C55" s="105">
        <f t="shared" si="57"/>
        <v>2.5017724985910888E-3</v>
      </c>
      <c r="D55" s="105">
        <f t="shared" ref="D55:V55" si="58">IF(D13=0,0,D13/D$3)</f>
        <v>3.014798155827017E-3</v>
      </c>
      <c r="E55" s="105">
        <f t="shared" si="58"/>
        <v>3.0009551871407903E-3</v>
      </c>
      <c r="F55" s="105">
        <f t="shared" si="58"/>
        <v>3.4886690034423404E-3</v>
      </c>
      <c r="G55" s="105">
        <f t="shared" si="58"/>
        <v>4.0001486098899374E-3</v>
      </c>
      <c r="H55" s="105">
        <f t="shared" si="58"/>
        <v>3.6601861307155249E-3</v>
      </c>
      <c r="I55" s="105">
        <f t="shared" si="58"/>
        <v>2.9823485004500075E-3</v>
      </c>
      <c r="J55" s="105">
        <f t="shared" si="58"/>
        <v>2.6547156608570776E-3</v>
      </c>
      <c r="K55" s="105">
        <f t="shared" si="58"/>
        <v>4.6896403527097895E-3</v>
      </c>
      <c r="L55" s="105">
        <f t="shared" si="58"/>
        <v>7.8965116106398617E-3</v>
      </c>
      <c r="M55" s="105">
        <f t="shared" si="58"/>
        <v>4.7118622740955803E-3</v>
      </c>
      <c r="N55" s="105">
        <f t="shared" si="58"/>
        <v>1.5900373635573299E-3</v>
      </c>
      <c r="O55" s="105">
        <f t="shared" si="58"/>
        <v>1.6070100194551637E-3</v>
      </c>
      <c r="P55" s="105">
        <f t="shared" si="58"/>
        <v>2.0512294885556711E-3</v>
      </c>
      <c r="Q55" s="105">
        <f t="shared" si="58"/>
        <v>4.9931363909205793E-3</v>
      </c>
      <c r="R55" s="105">
        <f t="shared" si="58"/>
        <v>4.0857947127333274E-3</v>
      </c>
      <c r="S55" s="105">
        <f t="shared" si="58"/>
        <v>4.5462677224774508E-3</v>
      </c>
      <c r="T55" s="105">
        <f t="shared" si="58"/>
        <v>2.849484240945597E-3</v>
      </c>
      <c r="U55" s="105">
        <f t="shared" si="58"/>
        <v>1.6082745298375896E-3</v>
      </c>
      <c r="V55" s="105">
        <f t="shared" si="58"/>
        <v>3.8540441445864301E-3</v>
      </c>
      <c r="W55" s="105">
        <f t="shared" ref="W55:Y55" si="59">IF(W13=0,0,W13/W$3)</f>
        <v>1.8954599195280444E-3</v>
      </c>
      <c r="X55" s="105">
        <f t="shared" si="59"/>
        <v>3.1217350774964529E-3</v>
      </c>
      <c r="Y55" s="105">
        <f t="shared" si="59"/>
        <v>1.8492807361068933E-3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335.40065366166777</v>
      </c>
      <c r="C57" s="62">
        <v>342.84925039993146</v>
      </c>
      <c r="D57" s="62">
        <v>333.43349147737945</v>
      </c>
      <c r="E57" s="62">
        <v>330.45845301080732</v>
      </c>
      <c r="F57" s="62">
        <v>329.58406756841026</v>
      </c>
      <c r="G57" s="62">
        <v>329.27217498854321</v>
      </c>
      <c r="H57" s="62">
        <v>330.01006068468388</v>
      </c>
      <c r="I57" s="62">
        <v>330.8491117034381</v>
      </c>
      <c r="J57" s="62">
        <v>333.75161902609267</v>
      </c>
      <c r="K57" s="62">
        <v>335.08150663883964</v>
      </c>
      <c r="L57" s="62">
        <v>336.77879368910845</v>
      </c>
      <c r="M57" s="62">
        <v>334.0459613980322</v>
      </c>
      <c r="N57" s="62">
        <v>330.0597667029873</v>
      </c>
      <c r="O57" s="62">
        <v>330.50467366371259</v>
      </c>
      <c r="P57" s="62">
        <v>330.79206020842338</v>
      </c>
      <c r="Q57" s="62">
        <v>332.34965499274654</v>
      </c>
      <c r="R57" s="62">
        <v>332.37884236311305</v>
      </c>
      <c r="S57" s="62">
        <v>331.9206275353572</v>
      </c>
      <c r="T57" s="62">
        <v>332.18350854571577</v>
      </c>
      <c r="U57" s="62">
        <v>333.07527470613434</v>
      </c>
      <c r="V57" s="62">
        <v>360.19856614166105</v>
      </c>
      <c r="W57" s="62">
        <v>372.1353274134247</v>
      </c>
      <c r="X57" s="62">
        <v>340.76566584074322</v>
      </c>
      <c r="Y57" s="62">
        <v>338.64533199875808</v>
      </c>
      <c r="DA57" s="172" t="s">
        <v>314</v>
      </c>
    </row>
    <row r="58" spans="1:105" ht="11.45" customHeight="1" x14ac:dyDescent="0.25">
      <c r="A58" s="10" t="s">
        <v>33</v>
      </c>
      <c r="B58" s="14">
        <v>334.85835470693905</v>
      </c>
      <c r="C58" s="14">
        <v>342.55426519649041</v>
      </c>
      <c r="D58" s="14">
        <v>333.03711421226291</v>
      </c>
      <c r="E58" s="14">
        <v>330.07585719355927</v>
      </c>
      <c r="F58" s="14">
        <v>329.14142536348589</v>
      </c>
      <c r="G58" s="14">
        <v>328.79884345733365</v>
      </c>
      <c r="H58" s="14">
        <v>329.54306150386827</v>
      </c>
      <c r="I58" s="14">
        <v>330.31134718255635</v>
      </c>
      <c r="J58" s="14">
        <v>333.21848881986705</v>
      </c>
      <c r="K58" s="14">
        <v>334.2131530035158</v>
      </c>
      <c r="L58" s="14">
        <v>335.14785717109544</v>
      </c>
      <c r="M58" s="14">
        <v>333.01548073262018</v>
      </c>
      <c r="N58" s="14">
        <v>329.32375157712841</v>
      </c>
      <c r="O58" s="14">
        <v>329.79709259182727</v>
      </c>
      <c r="P58" s="14">
        <v>330.00083419542182</v>
      </c>
      <c r="Q58" s="14">
        <v>330.88699578300287</v>
      </c>
      <c r="R58" s="14">
        <v>331.09488828361981</v>
      </c>
      <c r="S58" s="14">
        <v>330.6373380841008</v>
      </c>
      <c r="T58" s="14">
        <v>331.35050335145468</v>
      </c>
      <c r="U58" s="14">
        <v>332.49227222036552</v>
      </c>
      <c r="V58" s="14">
        <v>359.67933494378229</v>
      </c>
      <c r="W58" s="14">
        <v>371.98566605227961</v>
      </c>
      <c r="X58" s="14">
        <v>339.904584622448</v>
      </c>
      <c r="Y58" s="14">
        <v>338.22078661816488</v>
      </c>
      <c r="DA58" s="189" t="s">
        <v>315</v>
      </c>
    </row>
    <row r="59" spans="1:105" ht="11.45" customHeight="1" x14ac:dyDescent="0.25">
      <c r="A59" s="83" t="s">
        <v>27</v>
      </c>
      <c r="B59" s="87">
        <v>716.22416936022069</v>
      </c>
      <c r="C59" s="87">
        <v>716.22416936022069</v>
      </c>
      <c r="D59" s="87">
        <v>716.2241693602208</v>
      </c>
      <c r="E59" s="87">
        <v>716.22416936022069</v>
      </c>
      <c r="F59" s="87">
        <v>716.22416936022069</v>
      </c>
      <c r="G59" s="87">
        <v>748.41648555532345</v>
      </c>
      <c r="H59" s="87">
        <v>672.54154728961066</v>
      </c>
      <c r="I59" s="87">
        <v>593.9380656421489</v>
      </c>
      <c r="J59" s="87">
        <v>598.34913984054117</v>
      </c>
      <c r="K59" s="87">
        <v>617.67092016735455</v>
      </c>
      <c r="L59" s="87">
        <v>624.36507990760106</v>
      </c>
      <c r="M59" s="87">
        <v>610.6826665439844</v>
      </c>
      <c r="N59" s="87">
        <v>596.26657511131486</v>
      </c>
      <c r="O59" s="87">
        <v>644.27345620322069</v>
      </c>
      <c r="P59" s="87">
        <v>643.79277135708139</v>
      </c>
      <c r="Q59" s="87">
        <v>621.44514903714753</v>
      </c>
      <c r="R59" s="87">
        <v>633.73134985733179</v>
      </c>
      <c r="S59" s="87">
        <v>589.93992468710951</v>
      </c>
      <c r="T59" s="87">
        <v>588.18310969630249</v>
      </c>
      <c r="U59" s="87">
        <v>590.45756283710307</v>
      </c>
      <c r="V59" s="87">
        <v>580.25415857152211</v>
      </c>
      <c r="W59" s="87">
        <v>586.71337462043857</v>
      </c>
      <c r="X59" s="87">
        <v>586.00685529795078</v>
      </c>
      <c r="Y59" s="87">
        <v>580.2823130805142</v>
      </c>
      <c r="DA59" s="171" t="s">
        <v>316</v>
      </c>
    </row>
    <row r="60" spans="1:105" ht="11.45" customHeight="1" x14ac:dyDescent="0.25">
      <c r="A60" s="83" t="s">
        <v>181</v>
      </c>
      <c r="B60" s="87">
        <v>321.80419518363277</v>
      </c>
      <c r="C60" s="87">
        <v>321.80914931979441</v>
      </c>
      <c r="D60" s="87">
        <v>321.81073342207247</v>
      </c>
      <c r="E60" s="87">
        <v>321.81066094895823</v>
      </c>
      <c r="F60" s="87">
        <v>321.80943375876552</v>
      </c>
      <c r="G60" s="87">
        <v>321.65027170362026</v>
      </c>
      <c r="H60" s="87">
        <v>321.74194379448767</v>
      </c>
      <c r="I60" s="87">
        <v>321.16326613616968</v>
      </c>
      <c r="J60" s="87">
        <v>322.2742463197622</v>
      </c>
      <c r="K60" s="87">
        <v>321.86225193066497</v>
      </c>
      <c r="L60" s="87">
        <v>321.16384485551913</v>
      </c>
      <c r="M60" s="87">
        <v>320.5959856537026</v>
      </c>
      <c r="N60" s="87">
        <v>319.89694575455155</v>
      </c>
      <c r="O60" s="87">
        <v>319.82572978260777</v>
      </c>
      <c r="P60" s="87">
        <v>319.12010192031636</v>
      </c>
      <c r="Q60" s="87">
        <v>319.2191183972111</v>
      </c>
      <c r="R60" s="87">
        <v>318.66378698152175</v>
      </c>
      <c r="S60" s="87">
        <v>318.16036117735734</v>
      </c>
      <c r="T60" s="87">
        <v>317.71121206867684</v>
      </c>
      <c r="U60" s="87">
        <v>317.98952230180265</v>
      </c>
      <c r="V60" s="87">
        <v>315.23175500827153</v>
      </c>
      <c r="W60" s="87">
        <v>316.82874620856006</v>
      </c>
      <c r="X60" s="87">
        <v>317.74969973033654</v>
      </c>
      <c r="Y60" s="87">
        <v>317.61357819508686</v>
      </c>
      <c r="DA60" s="171" t="s">
        <v>317</v>
      </c>
    </row>
    <row r="61" spans="1:105" ht="11.45" customHeight="1" x14ac:dyDescent="0.25">
      <c r="A61" s="83" t="s">
        <v>182</v>
      </c>
      <c r="B61" s="87">
        <v>332.815969091147</v>
      </c>
      <c r="C61" s="87">
        <v>332.815969091147</v>
      </c>
      <c r="D61" s="87">
        <v>332.815969091147</v>
      </c>
      <c r="E61" s="87">
        <v>332.81596909114705</v>
      </c>
      <c r="F61" s="87">
        <v>332.815969091147</v>
      </c>
      <c r="G61" s="87">
        <v>332.01741231512244</v>
      </c>
      <c r="H61" s="87">
        <v>337.3350528758445</v>
      </c>
      <c r="I61" s="87">
        <v>342.71399246496077</v>
      </c>
      <c r="J61" s="87">
        <v>348.10454979887231</v>
      </c>
      <c r="K61" s="87">
        <v>353.52211417986268</v>
      </c>
      <c r="L61" s="87">
        <v>359.74644468409429</v>
      </c>
      <c r="M61" s="87">
        <v>343.20437108860733</v>
      </c>
      <c r="N61" s="87">
        <v>327.71572316051765</v>
      </c>
      <c r="O61" s="87">
        <v>332.75501874761801</v>
      </c>
      <c r="P61" s="87">
        <v>338.05512397117479</v>
      </c>
      <c r="Q61" s="87">
        <v>342.7537293863233</v>
      </c>
      <c r="R61" s="87">
        <v>349.73904393735074</v>
      </c>
      <c r="S61" s="87">
        <v>354.10815029065373</v>
      </c>
      <c r="T61" s="87">
        <v>359.05236049878516</v>
      </c>
      <c r="U61" s="87">
        <v>363.26019636791426</v>
      </c>
      <c r="V61" s="87">
        <v>543.99080520025188</v>
      </c>
      <c r="W61" s="87">
        <v>532.31605523628548</v>
      </c>
      <c r="X61" s="87">
        <v>440.63744697717846</v>
      </c>
      <c r="Y61" s="87">
        <v>434.17492029330657</v>
      </c>
      <c r="DA61" s="171" t="s">
        <v>318</v>
      </c>
    </row>
    <row r="62" spans="1:105" ht="11.45" customHeight="1" x14ac:dyDescent="0.25">
      <c r="A62" s="12" t="s">
        <v>34</v>
      </c>
      <c r="B62" s="15">
        <v>364.53501136641012</v>
      </c>
      <c r="C62" s="15">
        <v>371.53586702857234</v>
      </c>
      <c r="D62" s="15">
        <v>373.40266241433261</v>
      </c>
      <c r="E62" s="15">
        <v>375.54469488539911</v>
      </c>
      <c r="F62" s="15">
        <v>375.23482154320948</v>
      </c>
      <c r="G62" s="15">
        <v>375.50397588307573</v>
      </c>
      <c r="H62" s="15">
        <v>372.5301495264481</v>
      </c>
      <c r="I62" s="15">
        <v>378.2878725193433</v>
      </c>
      <c r="J62" s="15">
        <v>378.73662909120412</v>
      </c>
      <c r="K62" s="15">
        <v>398.74423268412608</v>
      </c>
      <c r="L62" s="15">
        <v>430.80744316077676</v>
      </c>
      <c r="M62" s="15">
        <v>412.28165267726808</v>
      </c>
      <c r="N62" s="15">
        <v>410.32682631145519</v>
      </c>
      <c r="O62" s="15">
        <v>399.89880459366054</v>
      </c>
      <c r="P62" s="15">
        <v>405.26903466067199</v>
      </c>
      <c r="Q62" s="15">
        <v>425.6499827574969</v>
      </c>
      <c r="R62" s="15">
        <v>427.76291805775458</v>
      </c>
      <c r="S62" s="15">
        <v>422.76568491769018</v>
      </c>
      <c r="T62" s="15">
        <v>404.78079264422894</v>
      </c>
      <c r="U62" s="15">
        <v>389.36759557174923</v>
      </c>
      <c r="V62" s="15">
        <v>382.45334030420588</v>
      </c>
      <c r="W62" s="15">
        <v>380.61649404413032</v>
      </c>
      <c r="X62" s="15">
        <v>383.41072967888408</v>
      </c>
      <c r="Y62" s="15">
        <v>375.1048964724435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354.32602249676773</v>
      </c>
      <c r="C64" s="101">
        <v>352.40238279580728</v>
      </c>
      <c r="D64" s="101">
        <v>352.77552125213867</v>
      </c>
      <c r="E64" s="101">
        <v>352.70286391017771</v>
      </c>
      <c r="F64" s="101">
        <v>352.15806860431468</v>
      </c>
      <c r="G64" s="101">
        <v>353.75140980388881</v>
      </c>
      <c r="H64" s="101">
        <v>351.35851022612485</v>
      </c>
      <c r="I64" s="101">
        <v>355.51906792356084</v>
      </c>
      <c r="J64" s="101">
        <v>357.41799107257071</v>
      </c>
      <c r="K64" s="101">
        <v>357.5673389548852</v>
      </c>
      <c r="L64" s="101">
        <v>351.94316193130533</v>
      </c>
      <c r="M64" s="101">
        <v>362.03128524890184</v>
      </c>
      <c r="N64" s="101">
        <v>375.60222497134129</v>
      </c>
      <c r="O64" s="101">
        <v>367.71937037888011</v>
      </c>
      <c r="P64" s="101">
        <v>364.22952374167107</v>
      </c>
      <c r="Q64" s="101">
        <v>357.94440809350868</v>
      </c>
      <c r="R64" s="101">
        <v>352.57223504064791</v>
      </c>
      <c r="S64" s="101">
        <v>348.17621597597667</v>
      </c>
      <c r="T64" s="101">
        <v>344.73250921347613</v>
      </c>
      <c r="U64" s="101">
        <v>335.19203905528366</v>
      </c>
      <c r="V64" s="101">
        <v>339.11893565222931</v>
      </c>
      <c r="W64" s="101">
        <v>343.53040834910627</v>
      </c>
      <c r="X64" s="101">
        <v>330.94744977407413</v>
      </c>
      <c r="Y64" s="101">
        <v>328.70837736535071</v>
      </c>
      <c r="DA64" s="175" t="s">
        <v>321</v>
      </c>
    </row>
    <row r="65" spans="1:105" ht="11.45" customHeight="1" x14ac:dyDescent="0.25">
      <c r="A65" s="85" t="s">
        <v>182</v>
      </c>
      <c r="B65" s="88">
        <v>425.34685526530671</v>
      </c>
      <c r="C65" s="88">
        <v>425.34685526530671</v>
      </c>
      <c r="D65" s="88">
        <v>425.34685526530671</v>
      </c>
      <c r="E65" s="88">
        <v>425.34685526530671</v>
      </c>
      <c r="F65" s="88">
        <v>425.34685526530671</v>
      </c>
      <c r="G65" s="88">
        <v>427.00246411447142</v>
      </c>
      <c r="H65" s="88">
        <v>430.20643939444926</v>
      </c>
      <c r="I65" s="88">
        <v>438.4711286079289</v>
      </c>
      <c r="J65" s="88">
        <v>448.64098281639576</v>
      </c>
      <c r="K65" s="88">
        <v>468.77197961101541</v>
      </c>
      <c r="L65" s="88">
        <v>501.09002097098551</v>
      </c>
      <c r="M65" s="88">
        <v>474.64371363767725</v>
      </c>
      <c r="N65" s="88">
        <v>572.42214056883688</v>
      </c>
      <c r="O65" s="88">
        <v>533.23264912966852</v>
      </c>
      <c r="P65" s="88">
        <v>508.5167650024502</v>
      </c>
      <c r="Q65" s="88">
        <v>494.10714575051321</v>
      </c>
      <c r="R65" s="88">
        <v>492.02473379010297</v>
      </c>
      <c r="S65" s="88">
        <v>488.51505820830914</v>
      </c>
      <c r="T65" s="88">
        <v>489.84736059179778</v>
      </c>
      <c r="U65" s="88">
        <v>601.3855335376976</v>
      </c>
      <c r="V65" s="88">
        <v>565.87964740790881</v>
      </c>
      <c r="W65" s="88">
        <v>541.95344522262656</v>
      </c>
      <c r="X65" s="88">
        <v>702.15486128396583</v>
      </c>
      <c r="Y65" s="88">
        <v>643.40283466214214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1.8342943482075287</v>
      </c>
      <c r="C67" s="59">
        <f t="shared" ref="C67:W67" si="61">IF(C3=0,0,C17/C57)</f>
        <v>2.0239760383876737</v>
      </c>
      <c r="D67" s="59">
        <f t="shared" si="61"/>
        <v>1.8046401519915163</v>
      </c>
      <c r="E67" s="59">
        <f t="shared" si="61"/>
        <v>1.7351852903119163</v>
      </c>
      <c r="F67" s="59">
        <f t="shared" si="61"/>
        <v>1.7086489999972501</v>
      </c>
      <c r="G67" s="59">
        <f t="shared" si="61"/>
        <v>1.7120920832090782</v>
      </c>
      <c r="H67" s="59">
        <f t="shared" si="61"/>
        <v>1.4789170858615981</v>
      </c>
      <c r="I67" s="59">
        <f t="shared" si="61"/>
        <v>1.4968170865881754</v>
      </c>
      <c r="J67" s="59">
        <f t="shared" si="61"/>
        <v>1.4504966958938645</v>
      </c>
      <c r="K67" s="59">
        <f t="shared" si="61"/>
        <v>1.2386121432346286</v>
      </c>
      <c r="L67" s="59">
        <f t="shared" si="61"/>
        <v>1.2064077248035119</v>
      </c>
      <c r="M67" s="59">
        <f t="shared" si="61"/>
        <v>1.262801984648708</v>
      </c>
      <c r="N67" s="59">
        <f t="shared" si="61"/>
        <v>1.2331120861597089</v>
      </c>
      <c r="O67" s="59">
        <f t="shared" si="61"/>
        <v>1.21096797038836</v>
      </c>
      <c r="P67" s="59">
        <f t="shared" si="61"/>
        <v>1.1663877586161659</v>
      </c>
      <c r="Q67" s="59">
        <f t="shared" si="61"/>
        <v>1.2135418521133052</v>
      </c>
      <c r="R67" s="59">
        <f t="shared" si="61"/>
        <v>1.2123386973221812</v>
      </c>
      <c r="S67" s="59">
        <f t="shared" si="61"/>
        <v>1.2285879183893778</v>
      </c>
      <c r="T67" s="59">
        <f t="shared" si="61"/>
        <v>1.202941401565448</v>
      </c>
      <c r="U67" s="59">
        <f t="shared" si="61"/>
        <v>1.1365839956554074</v>
      </c>
      <c r="V67" s="59">
        <f t="shared" si="61"/>
        <v>1.4096061768621388</v>
      </c>
      <c r="W67" s="59">
        <f t="shared" si="61"/>
        <v>1.2889401486525485</v>
      </c>
      <c r="X67" s="59">
        <f t="shared" ref="X67:Y67" si="62">IF(X3=0,0,X17/X57)</f>
        <v>1.3730922927144593</v>
      </c>
      <c r="Y67" s="59">
        <f t="shared" si="62"/>
        <v>1.2944996482890314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1.8402203926548093</v>
      </c>
      <c r="C68" s="23">
        <f t="shared" ref="C68:W68" si="64">IF(C6=0,0,C18/C58)</f>
        <v>2.0293368298092309</v>
      </c>
      <c r="D68" s="23">
        <f t="shared" si="64"/>
        <v>1.8075447181850337</v>
      </c>
      <c r="E68" s="23">
        <f t="shared" si="64"/>
        <v>1.7370333048107776</v>
      </c>
      <c r="F68" s="23">
        <f t="shared" si="64"/>
        <v>1.7105308875435952</v>
      </c>
      <c r="G68" s="23">
        <f t="shared" si="64"/>
        <v>1.7128532490183974</v>
      </c>
      <c r="H68" s="23">
        <f t="shared" si="64"/>
        <v>1.4807125938927113</v>
      </c>
      <c r="I68" s="23">
        <f t="shared" si="64"/>
        <v>1.5005670652731609</v>
      </c>
      <c r="J68" s="23">
        <f t="shared" si="64"/>
        <v>1.4519096391736699</v>
      </c>
      <c r="K68" s="23">
        <f t="shared" si="64"/>
        <v>1.2422427374470439</v>
      </c>
      <c r="L68" s="23">
        <f t="shared" si="64"/>
        <v>1.2128690135543709</v>
      </c>
      <c r="M68" s="23">
        <f t="shared" si="64"/>
        <v>1.2671989772896037</v>
      </c>
      <c r="N68" s="23">
        <f t="shared" si="64"/>
        <v>1.2336183297369756</v>
      </c>
      <c r="O68" s="23">
        <f t="shared" si="64"/>
        <v>1.2117733274565079</v>
      </c>
      <c r="P68" s="23">
        <f t="shared" si="64"/>
        <v>1.1678267949661569</v>
      </c>
      <c r="Q68" s="23">
        <f t="shared" si="64"/>
        <v>1.2200139647392989</v>
      </c>
      <c r="R68" s="23">
        <f t="shared" si="64"/>
        <v>1.2195298606379488</v>
      </c>
      <c r="S68" s="23">
        <f t="shared" si="64"/>
        <v>1.2361229705782124</v>
      </c>
      <c r="T68" s="23">
        <f t="shared" si="64"/>
        <v>1.2074977819168415</v>
      </c>
      <c r="U68" s="23">
        <f t="shared" si="64"/>
        <v>1.138377837252357</v>
      </c>
      <c r="V68" s="23">
        <f t="shared" si="64"/>
        <v>1.4090747049503176</v>
      </c>
      <c r="W68" s="23">
        <f t="shared" si="64"/>
        <v>1.2871097975590544</v>
      </c>
      <c r="X68" s="23">
        <f t="shared" ref="X68:Y68" si="65">IF(X6=0,0,X18/X58)</f>
        <v>1.375195960464269</v>
      </c>
      <c r="Y68" s="23">
        <f t="shared" si="65"/>
        <v>1.2960129221633407</v>
      </c>
      <c r="DA68" s="189"/>
    </row>
    <row r="69" spans="1:105" ht="11.45" customHeight="1" x14ac:dyDescent="0.25">
      <c r="A69" s="83" t="s">
        <v>27</v>
      </c>
      <c r="B69" s="91">
        <f t="shared" si="63"/>
        <v>6.0664975806607968</v>
      </c>
      <c r="C69" s="91">
        <f t="shared" ref="C69:W69" si="66">IF(C7=0,0,C19/C59)</f>
        <v>6.0606648803808465</v>
      </c>
      <c r="D69" s="91">
        <f t="shared" si="66"/>
        <v>6.0552706385889623</v>
      </c>
      <c r="E69" s="91">
        <f t="shared" si="66"/>
        <v>6.0484236563559177</v>
      </c>
      <c r="F69" s="91">
        <f t="shared" si="66"/>
        <v>6.04126594962875</v>
      </c>
      <c r="G69" s="91">
        <f t="shared" si="66"/>
        <v>3.6264114299674035</v>
      </c>
      <c r="H69" s="91">
        <f t="shared" si="66"/>
        <v>5.0559773662962568</v>
      </c>
      <c r="I69" s="91">
        <f t="shared" si="66"/>
        <v>6.606051777778239</v>
      </c>
      <c r="J69" s="91">
        <f t="shared" si="66"/>
        <v>1.8937984299215176</v>
      </c>
      <c r="K69" s="91">
        <f t="shared" si="66"/>
        <v>3.6651540974621057</v>
      </c>
      <c r="L69" s="91">
        <f t="shared" si="66"/>
        <v>2.5449418257984293</v>
      </c>
      <c r="M69" s="91">
        <f t="shared" si="66"/>
        <v>2.8737023991011097</v>
      </c>
      <c r="N69" s="91">
        <f t="shared" si="66"/>
        <v>1.5994739279116945</v>
      </c>
      <c r="O69" s="91">
        <f t="shared" si="66"/>
        <v>2.1299296327407022</v>
      </c>
      <c r="P69" s="91">
        <f t="shared" si="66"/>
        <v>1.7765778919172572</v>
      </c>
      <c r="Q69" s="91">
        <f t="shared" si="66"/>
        <v>2.5636504696619555</v>
      </c>
      <c r="R69" s="91">
        <f t="shared" si="66"/>
        <v>3.8755024774567572</v>
      </c>
      <c r="S69" s="91">
        <f t="shared" si="66"/>
        <v>3.3581720709734695</v>
      </c>
      <c r="T69" s="91">
        <f t="shared" si="66"/>
        <v>2.809422203933698</v>
      </c>
      <c r="U69" s="91">
        <f t="shared" si="66"/>
        <v>1.2454489510368596</v>
      </c>
      <c r="V69" s="91">
        <f t="shared" si="66"/>
        <v>1.0222786141021376</v>
      </c>
      <c r="W69" s="91">
        <f t="shared" si="66"/>
        <v>1.0689029175835454</v>
      </c>
      <c r="X69" s="91">
        <f t="shared" ref="X69:Y69" si="67">IF(X7=0,0,X19/X59)</f>
        <v>1.6882545398977973</v>
      </c>
      <c r="Y69" s="91">
        <f t="shared" si="67"/>
        <v>1.1866502802473522</v>
      </c>
      <c r="DA69" s="171"/>
    </row>
    <row r="70" spans="1:105" ht="11.45" customHeight="1" x14ac:dyDescent="0.25">
      <c r="A70" s="83" t="s">
        <v>181</v>
      </c>
      <c r="B70" s="91">
        <f t="shared" si="63"/>
        <v>1.5355064749815224</v>
      </c>
      <c r="C70" s="91">
        <f t="shared" ref="C70:W70" si="68">IF(C8=0,0,C20/C60)</f>
        <v>1.5481312683610886</v>
      </c>
      <c r="D70" s="91">
        <f t="shared" si="68"/>
        <v>1.5474435943891769</v>
      </c>
      <c r="E70" s="91">
        <f t="shared" si="68"/>
        <v>1.5484370324089383</v>
      </c>
      <c r="F70" s="91">
        <f t="shared" si="68"/>
        <v>1.5447751551921669</v>
      </c>
      <c r="G70" s="91">
        <f t="shared" si="68"/>
        <v>1.6089995688519323</v>
      </c>
      <c r="H70" s="91">
        <f t="shared" si="68"/>
        <v>1.3185180805387888</v>
      </c>
      <c r="I70" s="91">
        <f t="shared" si="68"/>
        <v>1.2843329613927095</v>
      </c>
      <c r="J70" s="91">
        <f t="shared" si="68"/>
        <v>1.4827230267677569</v>
      </c>
      <c r="K70" s="91">
        <f t="shared" si="68"/>
        <v>1.1665205158501035</v>
      </c>
      <c r="L70" s="91">
        <f t="shared" si="68"/>
        <v>1.2551281600835322</v>
      </c>
      <c r="M70" s="91">
        <f t="shared" si="68"/>
        <v>1.2845350530365969</v>
      </c>
      <c r="N70" s="91">
        <f t="shared" si="68"/>
        <v>1.3421906910128638</v>
      </c>
      <c r="O70" s="91">
        <f t="shared" si="68"/>
        <v>1.3365019726496972</v>
      </c>
      <c r="P70" s="91">
        <f t="shared" si="68"/>
        <v>1.3758259079001796</v>
      </c>
      <c r="Q70" s="91">
        <f t="shared" si="68"/>
        <v>1.402049593545327</v>
      </c>
      <c r="R70" s="91">
        <f t="shared" si="68"/>
        <v>1.3909031666015972</v>
      </c>
      <c r="S70" s="91">
        <f t="shared" si="68"/>
        <v>1.3657223551683086</v>
      </c>
      <c r="T70" s="91">
        <f t="shared" si="68"/>
        <v>1.3692895540076633</v>
      </c>
      <c r="U70" s="91">
        <f t="shared" si="68"/>
        <v>1.341077788812568</v>
      </c>
      <c r="V70" s="91">
        <f t="shared" si="68"/>
        <v>1.6173000163066944</v>
      </c>
      <c r="W70" s="91">
        <f t="shared" si="68"/>
        <v>1.6613635782307632</v>
      </c>
      <c r="X70" s="91">
        <f t="shared" ref="X70:Y70" si="69">IF(X8=0,0,X20/X60)</f>
        <v>1.4934603284576835</v>
      </c>
      <c r="Y70" s="91">
        <f t="shared" si="69"/>
        <v>1.4088899495646976</v>
      </c>
      <c r="DA70" s="171"/>
    </row>
    <row r="71" spans="1:105" ht="11.45" customHeight="1" x14ac:dyDescent="0.25">
      <c r="A71" s="83" t="s">
        <v>182</v>
      </c>
      <c r="B71" s="91">
        <f t="shared" si="63"/>
        <v>1.684717469906873</v>
      </c>
      <c r="C71" s="91">
        <f t="shared" ref="C71:W71" si="70">IF(C9=0,0,C21/C61)</f>
        <v>1.6986000310933613</v>
      </c>
      <c r="D71" s="91">
        <f t="shared" si="70"/>
        <v>1.6978547150467611</v>
      </c>
      <c r="E71" s="91">
        <f t="shared" si="70"/>
        <v>1.6989434236077083</v>
      </c>
      <c r="F71" s="91">
        <f t="shared" si="70"/>
        <v>1.6949185449262665</v>
      </c>
      <c r="G71" s="91">
        <f t="shared" si="70"/>
        <v>1.9497904633226466</v>
      </c>
      <c r="H71" s="91">
        <f t="shared" si="70"/>
        <v>1.5816576073213362</v>
      </c>
      <c r="I71" s="91">
        <f t="shared" si="70"/>
        <v>1.2164581684980609</v>
      </c>
      <c r="J71" s="91">
        <f t="shared" si="70"/>
        <v>1.1628207153769492</v>
      </c>
      <c r="K71" s="91">
        <f t="shared" si="70"/>
        <v>0.92589728691429396</v>
      </c>
      <c r="L71" s="91">
        <f t="shared" si="70"/>
        <v>0.78911638919681193</v>
      </c>
      <c r="M71" s="91">
        <f t="shared" si="70"/>
        <v>0.8020823242154691</v>
      </c>
      <c r="N71" s="91">
        <f t="shared" si="70"/>
        <v>0.78359215091236134</v>
      </c>
      <c r="O71" s="91">
        <f t="shared" si="70"/>
        <v>0.68293042195992459</v>
      </c>
      <c r="P71" s="91">
        <f t="shared" si="70"/>
        <v>0.57836396388286515</v>
      </c>
      <c r="Q71" s="91">
        <f t="shared" si="70"/>
        <v>0.59005054187371564</v>
      </c>
      <c r="R71" s="91">
        <f t="shared" si="70"/>
        <v>0.51915863589492284</v>
      </c>
      <c r="S71" s="91">
        <f t="shared" si="70"/>
        <v>0.56956599654254136</v>
      </c>
      <c r="T71" s="91">
        <f t="shared" si="70"/>
        <v>0.55020472021682965</v>
      </c>
      <c r="U71" s="91">
        <f t="shared" si="70"/>
        <v>0.53920778951685489</v>
      </c>
      <c r="V71" s="91">
        <f t="shared" si="70"/>
        <v>0.8818678125054803</v>
      </c>
      <c r="W71" s="91">
        <f t="shared" si="70"/>
        <v>0.57513213198277158</v>
      </c>
      <c r="X71" s="91">
        <f t="shared" ref="X71:Y71" si="71">IF(X9=0,0,X21/X61)</f>
        <v>0.82631164885211761</v>
      </c>
      <c r="Y71" s="91">
        <f t="shared" si="71"/>
        <v>0.82497973110569589</v>
      </c>
      <c r="DA71" s="171"/>
    </row>
    <row r="72" spans="1:105" ht="11.45" customHeight="1" x14ac:dyDescent="0.25">
      <c r="A72" s="12" t="s">
        <v>34</v>
      </c>
      <c r="B72" s="24">
        <f t="shared" si="63"/>
        <v>1.541843100679759</v>
      </c>
      <c r="C72" s="24">
        <f t="shared" ref="C72:W72" si="72">IF(C10=0,0,C22/C62)</f>
        <v>1.5433175227353897</v>
      </c>
      <c r="D72" s="24">
        <f t="shared" si="72"/>
        <v>1.5434162538941874</v>
      </c>
      <c r="E72" s="24">
        <f t="shared" si="72"/>
        <v>1.5437767455168003</v>
      </c>
      <c r="F72" s="24">
        <f t="shared" si="72"/>
        <v>1.5384064114107079</v>
      </c>
      <c r="G72" s="24">
        <f t="shared" si="72"/>
        <v>1.6469936721219611</v>
      </c>
      <c r="H72" s="24">
        <f t="shared" si="72"/>
        <v>1.3343011535125342</v>
      </c>
      <c r="I72" s="24">
        <f t="shared" si="72"/>
        <v>1.2079679566440062</v>
      </c>
      <c r="J72" s="24">
        <f t="shared" si="72"/>
        <v>1.3456026005843027</v>
      </c>
      <c r="K72" s="24">
        <f t="shared" si="72"/>
        <v>1.0155142657763359</v>
      </c>
      <c r="L72" s="24">
        <f t="shared" si="72"/>
        <v>0.91660962060616558</v>
      </c>
      <c r="M72" s="24">
        <f t="shared" si="72"/>
        <v>0.99315769352115912</v>
      </c>
      <c r="N72" s="24">
        <f t="shared" si="72"/>
        <v>1.1888019296894299</v>
      </c>
      <c r="O72" s="24">
        <f t="shared" si="72"/>
        <v>1.1458303744668314</v>
      </c>
      <c r="P72" s="24">
        <f t="shared" si="72"/>
        <v>1.0560904669195852</v>
      </c>
      <c r="Q72" s="24">
        <f t="shared" si="72"/>
        <v>0.89260974714876329</v>
      </c>
      <c r="R72" s="24">
        <f t="shared" si="72"/>
        <v>0.79883930263078129</v>
      </c>
      <c r="S72" s="24">
        <f t="shared" si="72"/>
        <v>0.81141595776272868</v>
      </c>
      <c r="T72" s="24">
        <f t="shared" si="72"/>
        <v>0.87788376536824841</v>
      </c>
      <c r="U72" s="24">
        <f t="shared" si="72"/>
        <v>0.98867840533747187</v>
      </c>
      <c r="V72" s="24">
        <f t="shared" si="72"/>
        <v>1.4310291507143511</v>
      </c>
      <c r="W72" s="24">
        <f t="shared" si="72"/>
        <v>1.390312357339913</v>
      </c>
      <c r="X72" s="24">
        <f t="shared" ref="X72:Y72" si="73">IF(X10=0,0,X22/X62)</f>
        <v>1.2807300305297908</v>
      </c>
      <c r="Y72" s="24">
        <f t="shared" si="73"/>
        <v>1.1773199290685321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1.547001681193412</v>
      </c>
      <c r="C74" s="93">
        <f t="shared" ref="C74:W74" si="76">IF(C12=0,0,C24/C64)</f>
        <v>1.5495737192018413</v>
      </c>
      <c r="D74" s="93">
        <f t="shared" si="76"/>
        <v>1.5507642786118023</v>
      </c>
      <c r="E74" s="93">
        <f t="shared" si="76"/>
        <v>1.5519228663283309</v>
      </c>
      <c r="F74" s="93">
        <f t="shared" si="76"/>
        <v>1.5456258530790428</v>
      </c>
      <c r="G74" s="93">
        <f t="shared" si="76"/>
        <v>1.5920220614413649</v>
      </c>
      <c r="H74" s="93">
        <f t="shared" si="76"/>
        <v>1.2942141920185408</v>
      </c>
      <c r="I74" s="93">
        <f t="shared" si="76"/>
        <v>1.2607661088784772</v>
      </c>
      <c r="J74" s="93">
        <f t="shared" si="76"/>
        <v>1.4600858214522918</v>
      </c>
      <c r="K74" s="93">
        <f t="shared" si="76"/>
        <v>1.1559739185035642</v>
      </c>
      <c r="L74" s="93">
        <f t="shared" si="76"/>
        <v>1.246367992803187</v>
      </c>
      <c r="M74" s="93">
        <f t="shared" si="76"/>
        <v>1.2797496228659266</v>
      </c>
      <c r="N74" s="93">
        <f t="shared" si="76"/>
        <v>1.3466769870149637</v>
      </c>
      <c r="O74" s="93">
        <f t="shared" si="76"/>
        <v>1.3317351586321715</v>
      </c>
      <c r="P74" s="93">
        <f t="shared" si="76"/>
        <v>1.3532996860242343</v>
      </c>
      <c r="Q74" s="93">
        <f t="shared" si="76"/>
        <v>1.3862341007646106</v>
      </c>
      <c r="R74" s="93">
        <f t="shared" si="76"/>
        <v>1.3402911519092109</v>
      </c>
      <c r="S74" s="93">
        <f t="shared" si="76"/>
        <v>1.2870302324416549</v>
      </c>
      <c r="T74" s="93">
        <f t="shared" si="76"/>
        <v>1.2617484258599627</v>
      </c>
      <c r="U74" s="93">
        <f t="shared" si="76"/>
        <v>1.2194571696304419</v>
      </c>
      <c r="V74" s="93">
        <f t="shared" si="76"/>
        <v>1.6822871830197659</v>
      </c>
      <c r="W74" s="93">
        <f t="shared" si="76"/>
        <v>1.706784624516249</v>
      </c>
      <c r="X74" s="93">
        <f t="shared" ref="X74:Y74" si="77">IF(X12=0,0,X24/X64)</f>
        <v>1.4682732914365322</v>
      </c>
      <c r="Y74" s="93">
        <f t="shared" si="77"/>
        <v>1.3245064098692423</v>
      </c>
      <c r="DA74" s="175"/>
    </row>
    <row r="75" spans="1:105" ht="11.45" customHeight="1" x14ac:dyDescent="0.25">
      <c r="A75" s="85" t="s">
        <v>182</v>
      </c>
      <c r="B75" s="94">
        <f t="shared" si="63"/>
        <v>1.5162457229161856</v>
      </c>
      <c r="C75" s="94">
        <f t="shared" ref="C75:W75" si="78">IF(C13=0,0,C25/C65)</f>
        <v>1.5287400279840251</v>
      </c>
      <c r="D75" s="94">
        <f t="shared" si="78"/>
        <v>1.5280692435420853</v>
      </c>
      <c r="E75" s="94">
        <f t="shared" si="78"/>
        <v>1.5290490812469373</v>
      </c>
      <c r="F75" s="94">
        <f t="shared" si="78"/>
        <v>1.52542669043364</v>
      </c>
      <c r="G75" s="94">
        <f t="shared" si="78"/>
        <v>1.7548114169903826</v>
      </c>
      <c r="H75" s="94">
        <f t="shared" si="78"/>
        <v>1.4234918465892028</v>
      </c>
      <c r="I75" s="94">
        <f t="shared" si="78"/>
        <v>1.0948123516482551</v>
      </c>
      <c r="J75" s="94">
        <f t="shared" si="78"/>
        <v>1.0465386438392541</v>
      </c>
      <c r="K75" s="94">
        <f t="shared" si="78"/>
        <v>0.83330755822286462</v>
      </c>
      <c r="L75" s="94">
        <f t="shared" si="78"/>
        <v>0.71020475027713048</v>
      </c>
      <c r="M75" s="94">
        <f t="shared" si="78"/>
        <v>0.72187409179392226</v>
      </c>
      <c r="N75" s="94">
        <f t="shared" si="78"/>
        <v>0.70523293582112523</v>
      </c>
      <c r="O75" s="94">
        <f t="shared" si="78"/>
        <v>0.61463737976393229</v>
      </c>
      <c r="P75" s="94">
        <f t="shared" si="78"/>
        <v>0.52052756749457874</v>
      </c>
      <c r="Q75" s="94">
        <f t="shared" si="78"/>
        <v>0.53104548768634408</v>
      </c>
      <c r="R75" s="94">
        <f t="shared" si="78"/>
        <v>0.46724277230543054</v>
      </c>
      <c r="S75" s="94">
        <f t="shared" si="78"/>
        <v>0.51260939688828722</v>
      </c>
      <c r="T75" s="94">
        <f t="shared" si="78"/>
        <v>0.49518424819514661</v>
      </c>
      <c r="U75" s="94">
        <f t="shared" si="78"/>
        <v>0.48528701056516943</v>
      </c>
      <c r="V75" s="94">
        <f t="shared" si="78"/>
        <v>0.79368103125493239</v>
      </c>
      <c r="W75" s="94">
        <f t="shared" si="78"/>
        <v>0.5176189187844944</v>
      </c>
      <c r="X75" s="94">
        <f t="shared" ref="X75:Y75" si="79">IF(X13=0,0,X25/X65)</f>
        <v>0.74368048396690611</v>
      </c>
      <c r="Y75" s="94">
        <f t="shared" si="79"/>
        <v>0.74248175799512639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310.73742000000004</v>
      </c>
      <c r="C3" s="79">
        <f t="shared" si="0"/>
        <v>459.69487200000015</v>
      </c>
      <c r="D3" s="79">
        <f t="shared" ref="D3" si="1">SUM(D4:D5)</f>
        <v>466.03645200000011</v>
      </c>
      <c r="E3" s="79">
        <f t="shared" ref="E3" si="2">SUM(E4:E5)</f>
        <v>564.33094200000028</v>
      </c>
      <c r="F3" s="79">
        <f t="shared" ref="F3" si="3">SUM(F4:F5)</f>
        <v>520.8319767600002</v>
      </c>
      <c r="G3" s="79">
        <f t="shared" ref="G3" si="4">SUM(G4:G5)</f>
        <v>607.64095943999985</v>
      </c>
      <c r="H3" s="79">
        <f t="shared" ref="H3" si="5">SUM(H4:H5)</f>
        <v>616.96532952000018</v>
      </c>
      <c r="I3" s="79">
        <f t="shared" ref="I3" si="6">SUM(I4:I5)</f>
        <v>670.89904379999996</v>
      </c>
      <c r="J3" s="79">
        <f t="shared" ref="J3" si="7">SUM(J4:J5)</f>
        <v>677.07057276000023</v>
      </c>
      <c r="K3" s="79">
        <f t="shared" ref="K3" si="8">SUM(K4:K5)</f>
        <v>528.66905903999987</v>
      </c>
      <c r="L3" s="79">
        <f t="shared" ref="L3" si="9">SUM(L4:L5)</f>
        <v>550.31067143999985</v>
      </c>
      <c r="M3" s="79">
        <f t="shared" ref="M3" si="10">SUM(M4:M5)</f>
        <v>575.04438647999996</v>
      </c>
      <c r="N3" s="79">
        <f t="shared" ref="N3" si="11">SUM(N4:N5)</f>
        <v>525.57721523999999</v>
      </c>
      <c r="O3" s="79">
        <f t="shared" ref="O3" si="12">SUM(O4:O5)</f>
        <v>516.30220152000004</v>
      </c>
      <c r="P3" s="79">
        <f t="shared" ref="P3" si="13">SUM(P4:P5)</f>
        <v>537.94407276000027</v>
      </c>
      <c r="Q3" s="79">
        <f t="shared" ref="Q3" si="14">SUM(Q4:Q5)</f>
        <v>571.95254267999997</v>
      </c>
      <c r="R3" s="79">
        <f t="shared" ref="R3" si="15">SUM(R4:R5)</f>
        <v>698.72408496000014</v>
      </c>
      <c r="S3" s="79">
        <f t="shared" ref="S3" si="16">SUM(S4:S5)</f>
        <v>778.33034496000005</v>
      </c>
      <c r="T3" s="79">
        <f t="shared" ref="T3" si="17">SUM(T4:T5)</f>
        <v>823.54181688000006</v>
      </c>
      <c r="U3" s="79">
        <f t="shared" ref="U3" si="18">SUM(U4:U5)</f>
        <v>738.66047795999998</v>
      </c>
      <c r="V3" s="79">
        <f t="shared" ref="V3:W3" si="19">SUM(V4:V5)</f>
        <v>425.75579567999995</v>
      </c>
      <c r="W3" s="79">
        <f t="shared" si="19"/>
        <v>508.52044368000014</v>
      </c>
      <c r="X3" s="79">
        <f t="shared" ref="X3:Y3" si="20">SUM(X4:X5)</f>
        <v>682.85625084000026</v>
      </c>
      <c r="Y3" s="79">
        <f t="shared" si="20"/>
        <v>727.00209612000003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63.415799999999997</v>
      </c>
      <c r="C4" s="96">
        <f t="shared" si="21"/>
        <v>139.44508200000001</v>
      </c>
      <c r="D4" s="96">
        <f t="shared" ref="D4:V4" si="22">SUM(D7,D11)</f>
        <v>82.370861999999988</v>
      </c>
      <c r="E4" s="96">
        <f t="shared" si="22"/>
        <v>72.858491999999998</v>
      </c>
      <c r="F4" s="96">
        <f t="shared" si="22"/>
        <v>58.883075999999988</v>
      </c>
      <c r="G4" s="96">
        <f t="shared" si="22"/>
        <v>40.281021719999991</v>
      </c>
      <c r="H4" s="96">
        <f t="shared" si="22"/>
        <v>74.407958279999988</v>
      </c>
      <c r="I4" s="96">
        <f t="shared" si="22"/>
        <v>123.66805752000002</v>
      </c>
      <c r="J4" s="96">
        <f t="shared" si="22"/>
        <v>40.180257719999986</v>
      </c>
      <c r="K4" s="96">
        <f t="shared" si="22"/>
        <v>71.097401519999991</v>
      </c>
      <c r="L4" s="96">
        <f t="shared" si="22"/>
        <v>46.36368648000002</v>
      </c>
      <c r="M4" s="96">
        <f t="shared" si="22"/>
        <v>64.913972760000021</v>
      </c>
      <c r="N4" s="96">
        <f t="shared" si="22"/>
        <v>33.996828959999988</v>
      </c>
      <c r="O4" s="96">
        <f t="shared" si="22"/>
        <v>37.088672759999994</v>
      </c>
      <c r="P4" s="96">
        <f t="shared" si="22"/>
        <v>27.813659040000001</v>
      </c>
      <c r="Q4" s="96">
        <f t="shared" si="22"/>
        <v>40.180257719999986</v>
      </c>
      <c r="R4" s="96">
        <f t="shared" si="22"/>
        <v>58.742184960000017</v>
      </c>
      <c r="S4" s="96">
        <f t="shared" si="22"/>
        <v>61.98029136000001</v>
      </c>
      <c r="T4" s="96">
        <f t="shared" si="22"/>
        <v>52.722767880000013</v>
      </c>
      <c r="U4" s="96">
        <f t="shared" si="22"/>
        <v>21.675489839999997</v>
      </c>
      <c r="V4" s="96">
        <f t="shared" si="22"/>
        <v>11.657351520000002</v>
      </c>
      <c r="W4" s="96">
        <f t="shared" ref="W4:Y4" si="23">SUM(W7,W11)</f>
        <v>15.22420704</v>
      </c>
      <c r="X4" s="96">
        <f t="shared" si="23"/>
        <v>23.952888000000002</v>
      </c>
      <c r="Y4" s="96">
        <f t="shared" si="23"/>
        <v>16.952466959999999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247.32162000000002</v>
      </c>
      <c r="C5" s="96">
        <f t="shared" si="24"/>
        <v>320.24979000000013</v>
      </c>
      <c r="D5" s="96">
        <f t="shared" ref="D5:V5" si="25">SUM(D8:D9,D12:D13)</f>
        <v>383.66559000000012</v>
      </c>
      <c r="E5" s="96">
        <f t="shared" si="25"/>
        <v>491.47245000000026</v>
      </c>
      <c r="F5" s="96">
        <f t="shared" si="25"/>
        <v>461.94890076000024</v>
      </c>
      <c r="G5" s="96">
        <f t="shared" si="25"/>
        <v>567.35993771999983</v>
      </c>
      <c r="H5" s="96">
        <f t="shared" si="25"/>
        <v>542.55737124000018</v>
      </c>
      <c r="I5" s="96">
        <f t="shared" si="25"/>
        <v>547.23098627999991</v>
      </c>
      <c r="J5" s="96">
        <f t="shared" si="25"/>
        <v>636.89031504000025</v>
      </c>
      <c r="K5" s="96">
        <f t="shared" si="25"/>
        <v>457.57165751999992</v>
      </c>
      <c r="L5" s="96">
        <f t="shared" si="25"/>
        <v>503.94698495999984</v>
      </c>
      <c r="M5" s="96">
        <f t="shared" si="25"/>
        <v>510.13041371999998</v>
      </c>
      <c r="N5" s="96">
        <f t="shared" si="25"/>
        <v>491.58038628000003</v>
      </c>
      <c r="O5" s="96">
        <f t="shared" si="25"/>
        <v>479.21352876000003</v>
      </c>
      <c r="P5" s="96">
        <f t="shared" si="25"/>
        <v>510.13041372000026</v>
      </c>
      <c r="Q5" s="96">
        <f t="shared" si="25"/>
        <v>531.77228495999998</v>
      </c>
      <c r="R5" s="96">
        <f t="shared" si="25"/>
        <v>639.98190000000011</v>
      </c>
      <c r="S5" s="96">
        <f t="shared" si="25"/>
        <v>716.35005360000002</v>
      </c>
      <c r="T5" s="96">
        <f t="shared" si="25"/>
        <v>770.81904900000006</v>
      </c>
      <c r="U5" s="96">
        <f t="shared" si="25"/>
        <v>716.98498812000003</v>
      </c>
      <c r="V5" s="96">
        <f t="shared" si="25"/>
        <v>414.09844415999993</v>
      </c>
      <c r="W5" s="96">
        <f t="shared" ref="W5:Y5" si="26">SUM(W8:W9,W12:W13)</f>
        <v>493.29623664000013</v>
      </c>
      <c r="X5" s="96">
        <f t="shared" si="26"/>
        <v>658.90336284000023</v>
      </c>
      <c r="Y5" s="96">
        <f t="shared" si="26"/>
        <v>710.04962915999999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305.54985148338426</v>
      </c>
      <c r="C6" s="21">
        <f t="shared" si="27"/>
        <v>455.8278692360098</v>
      </c>
      <c r="D6" s="21">
        <f t="shared" ref="D6:V6" si="28">SUM(D7:D9)</f>
        <v>461.652590289763</v>
      </c>
      <c r="E6" s="21">
        <f t="shared" si="28"/>
        <v>559.5290940503188</v>
      </c>
      <c r="F6" s="21">
        <f t="shared" si="28"/>
        <v>515.70411225212695</v>
      </c>
      <c r="G6" s="21">
        <f t="shared" si="28"/>
        <v>600.88430232804012</v>
      </c>
      <c r="H6" s="21">
        <f t="shared" si="28"/>
        <v>610.13906468438631</v>
      </c>
      <c r="I6" s="21">
        <f t="shared" si="28"/>
        <v>663.95999957732465</v>
      </c>
      <c r="J6" s="21">
        <f t="shared" si="28"/>
        <v>668.72126749191989</v>
      </c>
      <c r="K6" s="21">
        <f t="shared" si="28"/>
        <v>521.72721409659368</v>
      </c>
      <c r="L6" s="21">
        <f t="shared" si="28"/>
        <v>541.19032728002446</v>
      </c>
      <c r="M6" s="21">
        <f t="shared" si="28"/>
        <v>567.78688386189674</v>
      </c>
      <c r="N6" s="21">
        <f t="shared" si="28"/>
        <v>519.85274755477121</v>
      </c>
      <c r="O6" s="21">
        <f t="shared" si="28"/>
        <v>510.33484413319877</v>
      </c>
      <c r="P6" s="21">
        <f t="shared" si="28"/>
        <v>531.67013579634636</v>
      </c>
      <c r="Q6" s="21">
        <f t="shared" si="28"/>
        <v>563.63505567368065</v>
      </c>
      <c r="R6" s="21">
        <f t="shared" si="28"/>
        <v>690.85403377793864</v>
      </c>
      <c r="S6" s="21">
        <f t="shared" si="28"/>
        <v>769.20982781133341</v>
      </c>
      <c r="T6" s="21">
        <f t="shared" si="28"/>
        <v>815.2335684304021</v>
      </c>
      <c r="U6" s="21">
        <f t="shared" si="28"/>
        <v>730.96076822438579</v>
      </c>
      <c r="V6" s="21">
        <f t="shared" si="28"/>
        <v>415.29217330963849</v>
      </c>
      <c r="W6" s="21">
        <f t="shared" ref="W6:Y6" si="29">SUM(W7:W9)</f>
        <v>498.79188397341568</v>
      </c>
      <c r="X6" s="21">
        <f t="shared" si="29"/>
        <v>668.67228217145657</v>
      </c>
      <c r="Y6" s="21">
        <f t="shared" si="29"/>
        <v>718.57223005486003</v>
      </c>
      <c r="DA6" s="189" t="s">
        <v>327</v>
      </c>
    </row>
    <row r="7" spans="1:105" ht="11.45" customHeight="1" x14ac:dyDescent="0.25">
      <c r="A7" s="83" t="s">
        <v>27</v>
      </c>
      <c r="B7" s="96">
        <v>63.415799999999997</v>
      </c>
      <c r="C7" s="96">
        <v>139.44508200000001</v>
      </c>
      <c r="D7" s="96">
        <v>82.370861999999988</v>
      </c>
      <c r="E7" s="96">
        <v>72.858491999999998</v>
      </c>
      <c r="F7" s="96">
        <v>58.883075999999988</v>
      </c>
      <c r="G7" s="96">
        <v>40.281021719999991</v>
      </c>
      <c r="H7" s="96">
        <v>74.407958279999988</v>
      </c>
      <c r="I7" s="96">
        <v>123.66805752000002</v>
      </c>
      <c r="J7" s="96">
        <v>40.180257719999986</v>
      </c>
      <c r="K7" s="96">
        <v>71.097401519999991</v>
      </c>
      <c r="L7" s="96">
        <v>46.36368648000002</v>
      </c>
      <c r="M7" s="96">
        <v>64.913972760000021</v>
      </c>
      <c r="N7" s="96">
        <v>33.996828959999988</v>
      </c>
      <c r="O7" s="96">
        <v>37.088672759999994</v>
      </c>
      <c r="P7" s="96">
        <v>27.813659040000001</v>
      </c>
      <c r="Q7" s="96">
        <v>40.180257719999986</v>
      </c>
      <c r="R7" s="96">
        <v>58.742184960000017</v>
      </c>
      <c r="S7" s="96">
        <v>61.98029136000001</v>
      </c>
      <c r="T7" s="96">
        <v>52.722767880000013</v>
      </c>
      <c r="U7" s="96">
        <v>21.675489839999997</v>
      </c>
      <c r="V7" s="96">
        <v>11.657351520000002</v>
      </c>
      <c r="W7" s="96">
        <v>15.22420704</v>
      </c>
      <c r="X7" s="96">
        <v>23.952888000000002</v>
      </c>
      <c r="Y7" s="96">
        <v>16.952466959999999</v>
      </c>
      <c r="DA7" s="171" t="s">
        <v>328</v>
      </c>
    </row>
    <row r="8" spans="1:105" ht="11.45" customHeight="1" x14ac:dyDescent="0.25">
      <c r="A8" s="83" t="s">
        <v>181</v>
      </c>
      <c r="B8" s="96">
        <v>205.66266281805017</v>
      </c>
      <c r="C8" s="96">
        <v>268.74532193277167</v>
      </c>
      <c r="D8" s="96">
        <v>322.17114039283371</v>
      </c>
      <c r="E8" s="96">
        <v>413.40494988381806</v>
      </c>
      <c r="F8" s="96">
        <v>388.04138679578523</v>
      </c>
      <c r="G8" s="96">
        <v>480.60346391592083</v>
      </c>
      <c r="H8" s="96">
        <v>464.62460617004075</v>
      </c>
      <c r="I8" s="96">
        <v>469.5514274756049</v>
      </c>
      <c r="J8" s="96">
        <v>545.17891842518748</v>
      </c>
      <c r="K8" s="96">
        <v>386.29862691472647</v>
      </c>
      <c r="L8" s="96">
        <v>423.03005494277346</v>
      </c>
      <c r="M8" s="96">
        <v>430.20011634073319</v>
      </c>
      <c r="N8" s="96">
        <v>413.97415268649223</v>
      </c>
      <c r="O8" s="96">
        <v>403.87922856064881</v>
      </c>
      <c r="P8" s="96">
        <v>430.60386192152038</v>
      </c>
      <c r="Q8" s="96">
        <v>449.07712732055637</v>
      </c>
      <c r="R8" s="96">
        <v>551.86793462771948</v>
      </c>
      <c r="S8" s="96">
        <v>623.20851190500582</v>
      </c>
      <c r="T8" s="96">
        <v>670.96762767248219</v>
      </c>
      <c r="U8" s="96">
        <v>622.8817805072897</v>
      </c>
      <c r="V8" s="96">
        <v>338.18848308411748</v>
      </c>
      <c r="W8" s="96">
        <v>411.24639102406718</v>
      </c>
      <c r="X8" s="96">
        <v>570.0693187922227</v>
      </c>
      <c r="Y8" s="96">
        <v>617.68273104978891</v>
      </c>
      <c r="DA8" s="171" t="s">
        <v>329</v>
      </c>
    </row>
    <row r="9" spans="1:105" ht="11.45" customHeight="1" x14ac:dyDescent="0.25">
      <c r="A9" s="83" t="s">
        <v>182</v>
      </c>
      <c r="B9" s="96">
        <v>36.471388665334104</v>
      </c>
      <c r="C9" s="96">
        <v>47.637465303238109</v>
      </c>
      <c r="D9" s="96">
        <v>57.110587896929282</v>
      </c>
      <c r="E9" s="96">
        <v>73.265652166500701</v>
      </c>
      <c r="F9" s="96">
        <v>68.779649456341772</v>
      </c>
      <c r="G9" s="96">
        <v>79.99981669211931</v>
      </c>
      <c r="H9" s="96">
        <v>71.106500234345603</v>
      </c>
      <c r="I9" s="96">
        <v>70.740514581719651</v>
      </c>
      <c r="J9" s="96">
        <v>83.362091346732484</v>
      </c>
      <c r="K9" s="96">
        <v>64.331185661867181</v>
      </c>
      <c r="L9" s="96">
        <v>71.796585857250975</v>
      </c>
      <c r="M9" s="96">
        <v>72.672794761163487</v>
      </c>
      <c r="N9" s="96">
        <v>71.881765908278993</v>
      </c>
      <c r="O9" s="96">
        <v>69.366942812549922</v>
      </c>
      <c r="P9" s="96">
        <v>73.252614834825991</v>
      </c>
      <c r="Q9" s="96">
        <v>74.37767063312431</v>
      </c>
      <c r="R9" s="96">
        <v>80.243914190219115</v>
      </c>
      <c r="S9" s="96">
        <v>84.02102454632761</v>
      </c>
      <c r="T9" s="96">
        <v>91.543172877919929</v>
      </c>
      <c r="U9" s="96">
        <v>86.403497877096115</v>
      </c>
      <c r="V9" s="96">
        <v>65.446338705521001</v>
      </c>
      <c r="W9" s="96">
        <v>72.321285909348489</v>
      </c>
      <c r="X9" s="96">
        <v>74.650075379233826</v>
      </c>
      <c r="Y9" s="96">
        <v>83.937032045071035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5.1875685166157695</v>
      </c>
      <c r="C10" s="22">
        <f t="shared" si="30"/>
        <v>3.8670027639903295</v>
      </c>
      <c r="D10" s="22">
        <f t="shared" ref="D10:V10" si="31">SUM(D11:D13)</f>
        <v>4.3838617102370954</v>
      </c>
      <c r="E10" s="22">
        <f t="shared" si="31"/>
        <v>4.8018479496815125</v>
      </c>
      <c r="F10" s="22">
        <f t="shared" si="31"/>
        <v>5.1278645078732872</v>
      </c>
      <c r="G10" s="22">
        <f t="shared" si="31"/>
        <v>6.7566571119597185</v>
      </c>
      <c r="H10" s="22">
        <f t="shared" si="31"/>
        <v>6.8262648356138396</v>
      </c>
      <c r="I10" s="22">
        <f t="shared" si="31"/>
        <v>6.9390442226753093</v>
      </c>
      <c r="J10" s="22">
        <f t="shared" si="31"/>
        <v>8.3493052680801618</v>
      </c>
      <c r="K10" s="22">
        <f t="shared" si="31"/>
        <v>6.9418449434063092</v>
      </c>
      <c r="L10" s="22">
        <f t="shared" si="31"/>
        <v>9.1203441599754331</v>
      </c>
      <c r="M10" s="22">
        <f t="shared" si="31"/>
        <v>7.2575026181033344</v>
      </c>
      <c r="N10" s="22">
        <f t="shared" si="31"/>
        <v>5.7244676852288361</v>
      </c>
      <c r="O10" s="22">
        <f t="shared" si="31"/>
        <v>5.9673573868012344</v>
      </c>
      <c r="P10" s="22">
        <f t="shared" si="31"/>
        <v>6.2739369636539219</v>
      </c>
      <c r="Q10" s="22">
        <f t="shared" si="31"/>
        <v>8.3174870063192792</v>
      </c>
      <c r="R10" s="22">
        <f t="shared" si="31"/>
        <v>7.8700511820614283</v>
      </c>
      <c r="S10" s="22">
        <f t="shared" si="31"/>
        <v>9.1205171486666181</v>
      </c>
      <c r="T10" s="22">
        <f t="shared" si="31"/>
        <v>8.3082484495979578</v>
      </c>
      <c r="U10" s="22">
        <f t="shared" si="31"/>
        <v>7.699709735614201</v>
      </c>
      <c r="V10" s="22">
        <f t="shared" si="31"/>
        <v>10.463622370361469</v>
      </c>
      <c r="W10" s="22">
        <f t="shared" ref="W10:Y10" si="32">SUM(W11:W13)</f>
        <v>9.7285597065844254</v>
      </c>
      <c r="X10" s="22">
        <f t="shared" si="32"/>
        <v>14.183968668543661</v>
      </c>
      <c r="Y10" s="22">
        <f t="shared" si="32"/>
        <v>8.4298660651400059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4.3319223616761482</v>
      </c>
      <c r="C12" s="97">
        <v>2.7167401936807836</v>
      </c>
      <c r="D12" s="97">
        <v>2.9786021094735666</v>
      </c>
      <c r="E12" s="97">
        <v>3.1080634825015583</v>
      </c>
      <c r="F12" s="97">
        <v>3.3105627496106176</v>
      </c>
      <c r="G12" s="97">
        <v>4.3256688673712356</v>
      </c>
      <c r="H12" s="97">
        <v>4.5680568933724013</v>
      </c>
      <c r="I12" s="97">
        <v>4.9381894654450358</v>
      </c>
      <c r="J12" s="97">
        <v>6.5516534848746373</v>
      </c>
      <c r="K12" s="97">
        <v>4.4621851440979778</v>
      </c>
      <c r="L12" s="97">
        <v>4.7741494171225041</v>
      </c>
      <c r="M12" s="97">
        <v>4.5475787629936999</v>
      </c>
      <c r="N12" s="97">
        <v>4.8886473508560861</v>
      </c>
      <c r="O12" s="97">
        <v>5.1375202322968638</v>
      </c>
      <c r="P12" s="97">
        <v>5.1703187387474978</v>
      </c>
      <c r="Q12" s="97">
        <v>5.4612325329715015</v>
      </c>
      <c r="R12" s="97">
        <v>5.0152080100724277</v>
      </c>
      <c r="S12" s="97">
        <v>5.5818449459043311</v>
      </c>
      <c r="T12" s="97">
        <v>5.9614872984764826</v>
      </c>
      <c r="U12" s="97">
        <v>6.5117079669237077</v>
      </c>
      <c r="V12" s="97">
        <v>8.8226917590293272</v>
      </c>
      <c r="W12" s="97">
        <v>8.7646428187419367</v>
      </c>
      <c r="X12" s="97">
        <v>12.0522298228942</v>
      </c>
      <c r="Y12" s="97">
        <v>7.085435093675958</v>
      </c>
      <c r="DA12" s="175" t="s">
        <v>333</v>
      </c>
    </row>
    <row r="13" spans="1:105" ht="11.45" customHeight="1" x14ac:dyDescent="0.25">
      <c r="A13" s="85" t="s">
        <v>182</v>
      </c>
      <c r="B13" s="98">
        <v>0.85564615493962159</v>
      </c>
      <c r="C13" s="98">
        <v>1.1502625703095459</v>
      </c>
      <c r="D13" s="98">
        <v>1.405259600763529</v>
      </c>
      <c r="E13" s="98">
        <v>1.6937844671799545</v>
      </c>
      <c r="F13" s="98">
        <v>1.8173017582626696</v>
      </c>
      <c r="G13" s="98">
        <v>2.4309882445884834</v>
      </c>
      <c r="H13" s="98">
        <v>2.2582079422414383</v>
      </c>
      <c r="I13" s="98">
        <v>2.0008547572302735</v>
      </c>
      <c r="J13" s="98">
        <v>1.7976517832055237</v>
      </c>
      <c r="K13" s="98">
        <v>2.4796597993083314</v>
      </c>
      <c r="L13" s="98">
        <v>4.3461947428529291</v>
      </c>
      <c r="M13" s="98">
        <v>2.7099238551096345</v>
      </c>
      <c r="N13" s="98">
        <v>0.83582033437274972</v>
      </c>
      <c r="O13" s="98">
        <v>0.82983715450437034</v>
      </c>
      <c r="P13" s="98">
        <v>1.1036182249064244</v>
      </c>
      <c r="Q13" s="98">
        <v>2.8562544733477773</v>
      </c>
      <c r="R13" s="98">
        <v>2.8548431719890006</v>
      </c>
      <c r="S13" s="98">
        <v>3.5386722027622874</v>
      </c>
      <c r="T13" s="98">
        <v>2.3467611511214761</v>
      </c>
      <c r="U13" s="98">
        <v>1.1880017686904938</v>
      </c>
      <c r="V13" s="98">
        <v>1.6409306113321416</v>
      </c>
      <c r="W13" s="98">
        <v>0.96391688784248786</v>
      </c>
      <c r="X13" s="98">
        <v>2.1317388456494619</v>
      </c>
      <c r="Y13" s="98">
        <v>1.3444309714640481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3.0084931874610441</v>
      </c>
      <c r="D18" s="97">
        <f>IF(D4=0,0,D4/TrAvia_ene!D4)</f>
        <v>3.0072361690252265</v>
      </c>
      <c r="E18" s="97">
        <f>IF(E4=0,0,E4/TrAvia_ene!E4)</f>
        <v>3.006835418550351</v>
      </c>
      <c r="F18" s="97">
        <f>IF(F4=0,0,F4/TrAvia_ene!F4)</f>
        <v>3.006045247507803</v>
      </c>
      <c r="G18" s="97">
        <f>IF(G4=0,0,G4/TrAvia_ene!G4)</f>
        <v>3.0040801993253994</v>
      </c>
      <c r="H18" s="97">
        <f>IF(H4=0,0,H4/TrAvia_ene!H4)</f>
        <v>3.0103092</v>
      </c>
      <c r="I18" s="97">
        <f>IF(I4=0,0,I4/TrAvia_ene!I4)</f>
        <v>3.0103092000000005</v>
      </c>
      <c r="J18" s="97">
        <f>IF(J4=0,0,J4/TrAvia_ene!J4)</f>
        <v>3.0040589970338467</v>
      </c>
      <c r="K18" s="97">
        <f>IF(K4=0,0,K4/TrAvia_ene!K4)</f>
        <v>3.006773744282182</v>
      </c>
      <c r="L18" s="97">
        <f>IF(L4=0,0,L4/TrAvia_ene!L4)</f>
        <v>3.0048910733287268</v>
      </c>
      <c r="M18" s="97">
        <f>IF(M4=0,0,M4/TrAvia_ene!M4)</f>
        <v>3.0064374049675253</v>
      </c>
      <c r="N18" s="97">
        <f>IF(N4=0,0,N4/TrAvia_ene!N4)</f>
        <v>3.002924982947762</v>
      </c>
      <c r="O18" s="97">
        <f>IF(O4=0,0,O4/TrAvia_ene!O4)</f>
        <v>3.0035391731747567</v>
      </c>
      <c r="P18" s="97">
        <f>IF(P4=0,0,P4/TrAvia_ene!P4)</f>
        <v>3.0012883393197134</v>
      </c>
      <c r="Q18" s="97">
        <f>IF(Q4=0,0,Q4/TrAvia_ene!Q4)</f>
        <v>3.0040589970338467</v>
      </c>
      <c r="R18" s="97">
        <f>IF(R4=0,0,R4/TrAvia_ene!R4)</f>
        <v>3.0103092000000005</v>
      </c>
      <c r="S18" s="97">
        <f>IF(S4=0,0,S4/TrAvia_ene!S4)</f>
        <v>3.0084506327860372</v>
      </c>
      <c r="T18" s="97">
        <f>IF(T4=0,0,T4/TrAvia_ene!T4)</f>
        <v>3.0084724254311555</v>
      </c>
      <c r="U18" s="97">
        <f>IF(U4=0,0,U4/TrAvia_ene!U4)</f>
        <v>3.0074677504080172</v>
      </c>
      <c r="V18" s="97">
        <f>IF(V4=0,0,V4/TrAvia_ene!V4)</f>
        <v>3.0070309669875352</v>
      </c>
      <c r="W18" s="97">
        <f>IF(W4=0,0,W4/TrAvia_ene!W4)</f>
        <v>3.0064784329824086</v>
      </c>
      <c r="X18" s="97">
        <f>IF(X4=0,0,X4/TrAvia_ene!X4)</f>
        <v>3.0085977993779167</v>
      </c>
      <c r="Y18" s="97">
        <f>IF(Y4=0,0,Y4/TrAvia_ene!Y4)</f>
        <v>3.0103092000000005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3.0103092</v>
      </c>
      <c r="D19" s="98">
        <f>IF(D5=0,0,D5/TrAvia_ene!D5)</f>
        <v>3.0103092000000009</v>
      </c>
      <c r="E19" s="98">
        <f>IF(E5=0,0,E5/TrAvia_ene!E5)</f>
        <v>3.0103092</v>
      </c>
      <c r="F19" s="98">
        <f>IF(F5=0,0,F5/TrAvia_ene!F5)</f>
        <v>3.0103092000000009</v>
      </c>
      <c r="G19" s="98">
        <f>IF(G5=0,0,G5/TrAvia_ene!G5)</f>
        <v>3.0103091999999987</v>
      </c>
      <c r="H19" s="98">
        <f>IF(H5=0,0,H5/TrAvia_ene!H5)</f>
        <v>3.0103092000000005</v>
      </c>
      <c r="I19" s="98">
        <f>IF(I5=0,0,I5/TrAvia_ene!I5)</f>
        <v>3.0103092000000005</v>
      </c>
      <c r="J19" s="98">
        <f>IF(J5=0,0,J5/TrAvia_ene!J5)</f>
        <v>3.0103092000000014</v>
      </c>
      <c r="K19" s="98">
        <f>IF(K5=0,0,K5/TrAvia_ene!K5)</f>
        <v>3.0103091999999996</v>
      </c>
      <c r="L19" s="98">
        <f>IF(L5=0,0,L5/TrAvia_ene!L5)</f>
        <v>3.0103092</v>
      </c>
      <c r="M19" s="98">
        <f>IF(M5=0,0,M5/TrAvia_ene!M5)</f>
        <v>3.0103091999999996</v>
      </c>
      <c r="N19" s="98">
        <f>IF(N5=0,0,N5/TrAvia_ene!N5)</f>
        <v>3.0103091999999991</v>
      </c>
      <c r="O19" s="98">
        <f>IF(O5=0,0,O5/TrAvia_ene!O5)</f>
        <v>3.0103092000000005</v>
      </c>
      <c r="P19" s="98">
        <f>IF(P5=0,0,P5/TrAvia_ene!P5)</f>
        <v>3.0103092000000022</v>
      </c>
      <c r="Q19" s="98">
        <f>IF(Q5=0,0,Q5/TrAvia_ene!Q5)</f>
        <v>3.0103092</v>
      </c>
      <c r="R19" s="98">
        <f>IF(R5=0,0,R5/TrAvia_ene!R5)</f>
        <v>3.0103092000000005</v>
      </c>
      <c r="S19" s="98">
        <f>IF(S5=0,0,S5/TrAvia_ene!S5)</f>
        <v>3.0103091999999996</v>
      </c>
      <c r="T19" s="98">
        <f>IF(T5=0,0,T5/TrAvia_ene!T5)</f>
        <v>3.0103091999999996</v>
      </c>
      <c r="U19" s="98">
        <f>IF(U5=0,0,U5/TrAvia_ene!U5)</f>
        <v>3.0103092000000014</v>
      </c>
      <c r="V19" s="98">
        <f>IF(V5=0,0,V5/TrAvia_ene!V5)</f>
        <v>3.0103092</v>
      </c>
      <c r="W19" s="98">
        <f>IF(W5=0,0,W5/TrAvia_ene!W5)</f>
        <v>3.0103092</v>
      </c>
      <c r="X19" s="98">
        <f>IF(X5=0,0,X5/TrAvia_ene!X5)</f>
        <v>3.0103092000000014</v>
      </c>
      <c r="Y19" s="98">
        <f>IF(Y5=0,0,Y5/TrAvia_ene!Y5)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18520.130325375249</v>
      </c>
      <c r="C21" s="54">
        <f>IF(C3=0,0,C3/TrAvia_act!C13*1000)</f>
        <v>20885.273265241838</v>
      </c>
      <c r="D21" s="54">
        <f>IF(D3=0,0,D3/TrAvia_act!D13*1000)</f>
        <v>18110.586251827892</v>
      </c>
      <c r="E21" s="54">
        <f>IF(E3=0,0,E3/TrAvia_act!E13*1000)</f>
        <v>17258.73880464425</v>
      </c>
      <c r="F21" s="54">
        <f>IF(F3=0,0,F3/TrAvia_act!F13*1000)</f>
        <v>16949.642082378607</v>
      </c>
      <c r="G21" s="54">
        <f>IF(G3=0,0,G3/TrAvia_act!G13*1000)</f>
        <v>16968.113695570228</v>
      </c>
      <c r="H21" s="54">
        <f>IF(H3=0,0,H3/TrAvia_act!H13*1000)</f>
        <v>14692.040343152685</v>
      </c>
      <c r="I21" s="54">
        <f>IF(I3=0,0,I3/TrAvia_act!I13*1000)</f>
        <v>14907.671386860764</v>
      </c>
      <c r="J21" s="54">
        <f>IF(J3=0,0,J3/TrAvia_act!J13*1000)</f>
        <v>14571.276908076785</v>
      </c>
      <c r="K21" s="54">
        <f>IF(K3=0,0,K3/TrAvia_act!K13*1000)</f>
        <v>12491.892242674159</v>
      </c>
      <c r="L21" s="54">
        <f>IF(L3=0,0,L3/TrAvia_act!L13*1000)</f>
        <v>12228.803962976372</v>
      </c>
      <c r="M21" s="54">
        <f>IF(M3=0,0,M3/TrAvia_act!M13*1000)</f>
        <v>12696.658983487412</v>
      </c>
      <c r="N21" s="54">
        <f>IF(N3=0,0,N3/TrAvia_act!N13*1000)</f>
        <v>12250.030645375036</v>
      </c>
      <c r="O21" s="54">
        <f>IF(O3=0,0,O3/TrAvia_act!O13*1000)</f>
        <v>12046.227288667034</v>
      </c>
      <c r="P21" s="54">
        <f>IF(P3=0,0,P3/TrAvia_act!P13*1000)</f>
        <v>11612.92577194263</v>
      </c>
      <c r="Q21" s="54">
        <f>IF(Q3=0,0,Q3/TrAvia_act!Q13*1000)</f>
        <v>12139.411227173536</v>
      </c>
      <c r="R21" s="54">
        <f>IF(R3=0,0,R3/TrAvia_act!R13*1000)</f>
        <v>12130.213495441049</v>
      </c>
      <c r="S21" s="54">
        <f>IF(S3=0,0,S3/TrAvia_act!S13*1000)</f>
        <v>12275.246564535126</v>
      </c>
      <c r="T21" s="54">
        <f>IF(T3=0,0,T3/TrAvia_act!T13*1000)</f>
        <v>12028.643991965302</v>
      </c>
      <c r="U21" s="54">
        <f>IF(U3=0,0,U3/TrAvia_act!U13*1000)</f>
        <v>11395.752191350311</v>
      </c>
      <c r="V21" s="54">
        <f>IF(V3=0,0,V3/TrAvia_act!V13*1000)</f>
        <v>15284.031225473504</v>
      </c>
      <c r="W21" s="54">
        <f>IF(W3=0,0,W3/TrAvia_act!W13*1000)</f>
        <v>14438.703267707609</v>
      </c>
      <c r="X21" s="54">
        <f>IF(X3=0,0,X3/TrAvia_act!X13*1000)</f>
        <v>14085.037263856015</v>
      </c>
      <c r="Y21" s="54">
        <f>IF(Y3=0,0,Y3/TrAvia_act!Y13*1000)</f>
        <v>13196.480980735862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18549.92183790552</v>
      </c>
      <c r="C22" s="11">
        <f>IF(C6=0,0,C6/TrAvia_act!C14*1000)</f>
        <v>20922.541273990162</v>
      </c>
      <c r="D22" s="11">
        <f>IF(D6=0,0,D6/TrAvia_act!D14*1000)</f>
        <v>18118.140093366772</v>
      </c>
      <c r="E22" s="11">
        <f>IF(E6=0,0,E6/TrAvia_act!E14*1000)</f>
        <v>17257.094714504201</v>
      </c>
      <c r="F22" s="11">
        <f>IF(F6=0,0,F6/TrAvia_act!F14*1000)</f>
        <v>16945.494221667283</v>
      </c>
      <c r="G22" s="11">
        <f>IF(G6=0,0,G6/TrAvia_act!G14*1000)</f>
        <v>16951.22857100128</v>
      </c>
      <c r="H22" s="11">
        <f>IF(H6=0,0,H6/TrAvia_act!H14*1000)</f>
        <v>14689.061465973857</v>
      </c>
      <c r="I22" s="11">
        <f>IF(I6=0,0,I6/TrAvia_act!I14*1000)</f>
        <v>14920.72786211626</v>
      </c>
      <c r="J22" s="11">
        <f>IF(J6=0,0,J6/TrAvia_act!J14*1000)</f>
        <v>14562.149858992734</v>
      </c>
      <c r="K22" s="11">
        <f>IF(K6=0,0,K6/TrAvia_act!K14*1000)</f>
        <v>12496.014678714355</v>
      </c>
      <c r="L22" s="11">
        <f>IF(L6=0,0,L6/TrAvia_act!L14*1000)</f>
        <v>12234.729524240862</v>
      </c>
      <c r="M22" s="11">
        <f>IF(M6=0,0,M6/TrAvia_act!M14*1000)</f>
        <v>12701.540680381033</v>
      </c>
      <c r="N22" s="11">
        <f>IF(N6=0,0,N6/TrAvia_act!N14*1000)</f>
        <v>12227.710267226435</v>
      </c>
      <c r="O22" s="11">
        <f>IF(O6=0,0,O6/TrAvia_act!O14*1000)</f>
        <v>12028.408838945708</v>
      </c>
      <c r="P22" s="11">
        <f>IF(P6=0,0,P6/TrAvia_act!P14*1000)</f>
        <v>11599.420620617242</v>
      </c>
      <c r="Q22" s="11">
        <f>IF(Q6=0,0,Q6/TrAvia_act!Q14*1000)</f>
        <v>12150.417390507451</v>
      </c>
      <c r="R22" s="11">
        <f>IF(R6=0,0,R6/TrAvia_act!R14*1000)</f>
        <v>12155.029587368821</v>
      </c>
      <c r="S22" s="11">
        <f>IF(S6=0,0,S6/TrAvia_act!S14*1000)</f>
        <v>12302.774406358671</v>
      </c>
      <c r="T22" s="11">
        <f>IF(T6=0,0,T6/TrAvia_act!T14*1000)</f>
        <v>12043.922011951536</v>
      </c>
      <c r="U22" s="11">
        <f>IF(U6=0,0,U6/TrAvia_act!U14*1000)</f>
        <v>11393.756310508714</v>
      </c>
      <c r="V22" s="11">
        <f>IF(V6=0,0,V6/TrAvia_act!V14*1000)</f>
        <v>15256.233290924098</v>
      </c>
      <c r="W22" s="11">
        <f>IF(W6=0,0,W6/TrAvia_act!W14*1000)</f>
        <v>14412.390402565163</v>
      </c>
      <c r="X22" s="11">
        <f>IF(X6=0,0,X6/TrAvia_act!X14*1000)</f>
        <v>14070.964484271592</v>
      </c>
      <c r="Y22" s="11">
        <f>IF(Y6=0,0,Y6/TrAvia_act!Y14*1000)</f>
        <v>13195.344493714812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130797.09759211392</v>
      </c>
      <c r="C23" s="84">
        <f>IF(C7=0,0,C7/TrAvia_act!C15*1000)</f>
        <v>130592.51192024144</v>
      </c>
      <c r="D23" s="84">
        <f>IF(D7=0,0,D7/TrAvia_act!D15*1000)</f>
        <v>130421.76317217818</v>
      </c>
      <c r="E23" s="84">
        <f>IF(E7=0,0,E7/TrAvia_act!E15*1000)</f>
        <v>130256.92846783153</v>
      </c>
      <c r="F23" s="84">
        <f>IF(F7=0,0,F7/TrAvia_act!F15*1000)</f>
        <v>130068.59245563632</v>
      </c>
      <c r="G23" s="84">
        <f>IF(G7=0,0,G7/TrAvia_act!G15*1000)</f>
        <v>81532.722234420682</v>
      </c>
      <c r="H23" s="84">
        <f>IF(H7=0,0,H7/TrAvia_act!H15*1000)</f>
        <v>102361.19461097142</v>
      </c>
      <c r="I23" s="84">
        <f>IF(I7=0,0,I7/TrAvia_act!I15*1000)</f>
        <v>118112.05872092696</v>
      </c>
      <c r="J23" s="84">
        <f>IF(J7=0,0,J7/TrAvia_act!J15*1000)</f>
        <v>34040.574480169504</v>
      </c>
      <c r="K23" s="84">
        <f>IF(K7=0,0,K7/TrAvia_act!K15*1000)</f>
        <v>68069.121144646488</v>
      </c>
      <c r="L23" s="84">
        <f>IF(L7=0,0,L7/TrAvia_act!L15*1000)</f>
        <v>47746.902017880733</v>
      </c>
      <c r="M23" s="84">
        <f>IF(M7=0,0,M7/TrAvia_act!M15*1000)</f>
        <v>52760.578641066633</v>
      </c>
      <c r="N23" s="84">
        <f>IF(N7=0,0,N7/TrAvia_act!N15*1000)</f>
        <v>28639.281167241603</v>
      </c>
      <c r="O23" s="84">
        <f>IF(O7=0,0,O7/TrAvia_act!O15*1000)</f>
        <v>41216.280334755764</v>
      </c>
      <c r="P23" s="84">
        <f>IF(P7=0,0,P7/TrAvia_act!P15*1000)</f>
        <v>34327.175492335271</v>
      </c>
      <c r="Q23" s="84">
        <f>IF(Q7=0,0,Q7/TrAvia_act!Q15*1000)</f>
        <v>47859.711093826372</v>
      </c>
      <c r="R23" s="84">
        <f>IF(R7=0,0,R7/TrAvia_act!R15*1000)</f>
        <v>73934.019270836099</v>
      </c>
      <c r="S23" s="84">
        <f>IF(S7=0,0,S7/TrAvia_act!S15*1000)</f>
        <v>59601.010516637412</v>
      </c>
      <c r="T23" s="84">
        <f>IF(T7=0,0,T7/TrAvia_act!T15*1000)</f>
        <v>49713.643642041767</v>
      </c>
      <c r="U23" s="84">
        <f>IF(U7=0,0,U7/TrAvia_act!U15*1000)</f>
        <v>22116.45926585545</v>
      </c>
      <c r="V23" s="84">
        <f>IF(V7=0,0,V7/TrAvia_act!V15*1000)</f>
        <v>17837.148901154018</v>
      </c>
      <c r="W23" s="84">
        <f>IF(W7=0,0,W7/TrAvia_act!W15*1000)</f>
        <v>18854.817958660809</v>
      </c>
      <c r="X23" s="84">
        <f>IF(X7=0,0,X7/TrAvia_act!X15*1000)</f>
        <v>29764.922515765964</v>
      </c>
      <c r="Y23" s="84">
        <f>IF(Y7=0,0,Y7/TrAvia_act!Y15*1000)</f>
        <v>20728.753427119085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14874.913861417917</v>
      </c>
      <c r="C24" s="84">
        <f>IF(C8=0,0,C8/TrAvia_act!C16*1000)</f>
        <v>14997.444918928073</v>
      </c>
      <c r="D24" s="84">
        <f>IF(D8=0,0,D8/TrAvia_act!D16*1000)</f>
        <v>14990.856903392301</v>
      </c>
      <c r="E24" s="84">
        <f>IF(E8=0,0,E8/TrAvia_act!E16*1000)</f>
        <v>15000.477454165288</v>
      </c>
      <c r="F24" s="84">
        <f>IF(F8=0,0,F8/TrAvia_act!F16*1000)</f>
        <v>14964.945966097705</v>
      </c>
      <c r="G24" s="84">
        <f>IF(G8=0,0,G8/TrAvia_act!G16*1000)</f>
        <v>15579.408188295316</v>
      </c>
      <c r="H24" s="84">
        <f>IF(H8=0,0,H8/TrAvia_act!H16*1000)</f>
        <v>12770.411058024813</v>
      </c>
      <c r="I24" s="84">
        <f>IF(I8=0,0,I8/TrAvia_act!I16*1000)</f>
        <v>12416.940507403755</v>
      </c>
      <c r="J24" s="84">
        <f>IF(J8=0,0,J8/TrAvia_act!J16*1000)</f>
        <v>14384.565215106206</v>
      </c>
      <c r="K24" s="84">
        <f>IF(K8=0,0,K8/TrAvia_act!K16*1000)</f>
        <v>11302.474415641662</v>
      </c>
      <c r="L24" s="84">
        <f>IF(L8=0,0,L8/TrAvia_act!L16*1000)</f>
        <v>12134.610139655028</v>
      </c>
      <c r="M24" s="84">
        <f>IF(M8=0,0,M8/TrAvia_act!M16*1000)</f>
        <v>12396.958458681662</v>
      </c>
      <c r="N24" s="84">
        <f>IF(N8=0,0,N8/TrAvia_act!N16*1000)</f>
        <v>12925.144940000373</v>
      </c>
      <c r="O24" s="84">
        <f>IF(O8=0,0,O8/TrAvia_act!O16*1000)</f>
        <v>12867.49800297979</v>
      </c>
      <c r="P24" s="84">
        <f>IF(P8=0,0,P8/TrAvia_act!P16*1000)</f>
        <v>13216.874043059519</v>
      </c>
      <c r="Q24" s="84">
        <f>IF(Q8=0,0,Q8/TrAvia_act!Q16*1000)</f>
        <v>13472.971018262135</v>
      </c>
      <c r="R24" s="84">
        <f>IF(R8=0,0,R8/TrAvia_act!R16*1000)</f>
        <v>13342.607627469504</v>
      </c>
      <c r="S24" s="84">
        <f>IF(S8=0,0,S8/TrAvia_act!S16*1000)</f>
        <v>13080.356937304439</v>
      </c>
      <c r="T24" s="84">
        <f>IF(T8=0,0,T8/TrAvia_act!T16*1000)</f>
        <v>13096.008320177121</v>
      </c>
      <c r="U24" s="84">
        <f>IF(U8=0,0,U8/TrAvia_act!U16*1000)</f>
        <v>12837.424010900764</v>
      </c>
      <c r="V24" s="84">
        <f>IF(V8=0,0,V8/TrAvia_act!V16*1000)</f>
        <v>15347.288484514711</v>
      </c>
      <c r="W24" s="84">
        <f>IF(W8=0,0,W8/TrAvia_act!W16*1000)</f>
        <v>15845.29648762183</v>
      </c>
      <c r="X24" s="84">
        <f>IF(X8=0,0,X8/TrAvia_act!X16*1000)</f>
        <v>14285.319082887932</v>
      </c>
      <c r="Y24" s="84">
        <f>IF(Y8=0,0,Y8/TrAvia_act!Y16*1000)</f>
        <v>13470.609218878288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16878.830096607318</v>
      </c>
      <c r="C25" s="84">
        <f>IF(C9=0,0,C9/TrAvia_act!C17*1000)</f>
        <v>17017.9165581405</v>
      </c>
      <c r="D25" s="84">
        <f>IF(D9=0,0,D9/TrAvia_act!D17*1000)</f>
        <v>17010.449393382292</v>
      </c>
      <c r="E25" s="84">
        <f>IF(E9=0,0,E9/TrAvia_act!E17*1000)</f>
        <v>17021.356935538875</v>
      </c>
      <c r="F25" s="84">
        <f>IF(F9=0,0,F9/TrAvia_act!F17*1000)</f>
        <v>16981.032522314112</v>
      </c>
      <c r="G25" s="84">
        <f>IF(G9=0,0,G9/TrAvia_act!G17*1000)</f>
        <v>19487.669614767488</v>
      </c>
      <c r="H25" s="84">
        <f>IF(H9=0,0,H9/TrAvia_act!H17*1000)</f>
        <v>16061.461165301092</v>
      </c>
      <c r="I25" s="84">
        <f>IF(I9=0,0,I9/TrAvia_act!I17*1000)</f>
        <v>12549.895837589243</v>
      </c>
      <c r="J25" s="84">
        <f>IF(J9=0,0,J9/TrAvia_act!J17*1000)</f>
        <v>12185.225356452758</v>
      </c>
      <c r="K25" s="84">
        <f>IF(K9=0,0,K9/TrAvia_act!K17*1000)</f>
        <v>9853.4995975529946</v>
      </c>
      <c r="L25" s="84">
        <f>IF(L9=0,0,L9/TrAvia_act!L17*1000)</f>
        <v>8545.7204077840324</v>
      </c>
      <c r="M25" s="84">
        <f>IF(M9=0,0,M9/TrAvia_act!M17*1000)</f>
        <v>8286.7237653437405</v>
      </c>
      <c r="N25" s="84">
        <f>IF(N9=0,0,N9/TrAvia_act!N17*1000)</f>
        <v>7730.3376104027029</v>
      </c>
      <c r="O25" s="84">
        <f>IF(O9=0,0,O9/TrAvia_act!O17*1000)</f>
        <v>6840.8832658544825</v>
      </c>
      <c r="P25" s="84">
        <f>IF(P9=0,0,P9/TrAvia_act!P17*1000)</f>
        <v>5885.7234799210246</v>
      </c>
      <c r="Q25" s="84">
        <f>IF(Q9=0,0,Q9/TrAvia_act!Q17*1000)</f>
        <v>6088.1102473219189</v>
      </c>
      <c r="R25" s="84">
        <f>IF(R9=0,0,R9/TrAvia_act!R17*1000)</f>
        <v>5465.8197681673028</v>
      </c>
      <c r="S25" s="84">
        <f>IF(S9=0,0,S9/TrAvia_act!S17*1000)</f>
        <v>6071.4312604513489</v>
      </c>
      <c r="T25" s="84">
        <f>IF(T9=0,0,T9/TrAvia_act!T17*1000)</f>
        <v>5946.9351686205137</v>
      </c>
      <c r="U25" s="84">
        <f>IF(U9=0,0,U9/TrAvia_act!U17*1000)</f>
        <v>5896.3747363137918</v>
      </c>
      <c r="V25" s="84">
        <f>IF(V9=0,0,V9/TrAvia_act!V17*1000)</f>
        <v>14441.295559210241</v>
      </c>
      <c r="W25" s="84">
        <f>IF(W9=0,0,W9/TrAvia_act!W17*1000)</f>
        <v>9216.1238610682212</v>
      </c>
      <c r="X25" s="84">
        <f>IF(X9=0,0,X9/TrAvia_act!X17*1000)</f>
        <v>10960.651855387534</v>
      </c>
      <c r="Y25" s="84">
        <f>IF(Y9=0,0,Y9/TrAvia_act!Y17*1000)</f>
        <v>10782.491330385728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16919.617222678236</v>
      </c>
      <c r="C26" s="13">
        <f>IF(C10=0,0,C10/TrAvia_act!C18*1000)</f>
        <v>17261.047144728036</v>
      </c>
      <c r="D26" s="13">
        <f>IF(D10=0,0,D10/TrAvia_act!D18*1000)</f>
        <v>17348.885694634308</v>
      </c>
      <c r="E26" s="13">
        <f>IF(E10=0,0,E10/TrAvia_act!E18*1000)</f>
        <v>17452.48333183501</v>
      </c>
      <c r="F26" s="13">
        <f>IF(F10=0,0,F10/TrAvia_act!F18*1000)</f>
        <v>17377.42092214548</v>
      </c>
      <c r="G26" s="13">
        <f>IF(G10=0,0,G10/TrAvia_act!G18*1000)</f>
        <v>18617.337686957748</v>
      </c>
      <c r="H26" s="13">
        <f>IF(H10=0,0,H10/TrAvia_act!H18*1000)</f>
        <v>14963.265920189484</v>
      </c>
      <c r="I26" s="13">
        <f>IF(I10=0,0,I10/TrAvia_act!I18*1000)</f>
        <v>13755.897733722006</v>
      </c>
      <c r="J26" s="13">
        <f>IF(J10=0,0,J10/TrAvia_act!J18*1000)</f>
        <v>15341.408463400356</v>
      </c>
      <c r="K26" s="13">
        <f>IF(K10=0,0,K10/TrAvia_act!K18*1000)</f>
        <v>12189.658791243815</v>
      </c>
      <c r="L26" s="13">
        <f>IF(L10=0,0,L10/TrAvia_act!L18*1000)</f>
        <v>11887.176611508165</v>
      </c>
      <c r="M26" s="13">
        <f>IF(M10=0,0,M10/TrAvia_act!M18*1000)</f>
        <v>12326.032979616544</v>
      </c>
      <c r="N26" s="13">
        <f>IF(N10=0,0,N10/TrAvia_act!N18*1000)</f>
        <v>14684.207689286639</v>
      </c>
      <c r="O26" s="13">
        <f>IF(O10=0,0,O10/TrAvia_act!O18*1000)</f>
        <v>13793.724334674589</v>
      </c>
      <c r="P26" s="13">
        <f>IF(P10=0,0,P10/TrAvia_act!P18*1000)</f>
        <v>12884.146376051869</v>
      </c>
      <c r="Q26" s="13">
        <f>IF(Q10=0,0,Q10/TrAvia_act!Q18*1000)</f>
        <v>11437.348409227856</v>
      </c>
      <c r="R26" s="13">
        <f>IF(R10=0,0,R10/TrAvia_act!R18*1000)</f>
        <v>10286.642896858122</v>
      </c>
      <c r="S26" s="13">
        <f>IF(S10=0,0,S10/TrAvia_act!S18*1000)</f>
        <v>10326.529252455917</v>
      </c>
      <c r="T26" s="13">
        <f>IF(T10=0,0,T10/TrAvia_act!T18*1000)</f>
        <v>10697.148384201257</v>
      </c>
      <c r="U26" s="13">
        <f>IF(U10=0,0,U10/TrAvia_act!U18*1000)</f>
        <v>11588.466232005998</v>
      </c>
      <c r="V26" s="13">
        <f>IF(V10=0,0,V10/TrAvia_act!V18*1000)</f>
        <v>16475.478808187316</v>
      </c>
      <c r="W26" s="13">
        <f>IF(W10=0,0,W10/TrAvia_act!W18*1000)</f>
        <v>15929.828245436347</v>
      </c>
      <c r="X26" s="13">
        <f>IF(X10=0,0,X10/TrAvia_act!X18*1000)</f>
        <v>14781.991942470358</v>
      </c>
      <c r="Y26" s="13">
        <f>IF(Y10=0,0,Y10/TrAvia_act!Y18*1000)</f>
        <v>13294.081434566282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16500.797728050646</v>
      </c>
      <c r="C28" s="102">
        <f>IF(C12=0,0,C12/TrAvia_act!C20*1000)</f>
        <v>16438.49993520337</v>
      </c>
      <c r="D28" s="102">
        <f>IF(D12=0,0,D12/TrAvia_act!D20*1000)</f>
        <v>16468.54901509135</v>
      </c>
      <c r="E28" s="102">
        <f>IF(E12=0,0,E12/TrAvia_act!E20*1000)</f>
        <v>16477.458410344389</v>
      </c>
      <c r="F28" s="102">
        <f>IF(F12=0,0,F12/TrAvia_act!F20*1000)</f>
        <v>16385.251907547095</v>
      </c>
      <c r="G28" s="102">
        <f>IF(G12=0,0,G12/TrAvia_act!G20*1000)</f>
        <v>16953.460817791161</v>
      </c>
      <c r="H28" s="102">
        <f>IF(H12=0,0,H12/TrAvia_act!H20*1000)</f>
        <v>13688.87446463933</v>
      </c>
      <c r="I28" s="102">
        <f>IF(I12=0,0,I12/TrAvia_act!I20*1000)</f>
        <v>13493.000312136282</v>
      </c>
      <c r="J28" s="102">
        <f>IF(J12=0,0,J12/TrAvia_act!J20*1000)</f>
        <v>15709.627921050245</v>
      </c>
      <c r="K28" s="102">
        <f>IF(K12=0,0,K12/TrAvia_act!K20*1000)</f>
        <v>12442.767432708653</v>
      </c>
      <c r="L28" s="102">
        <f>IF(L12=0,0,L12/TrAvia_act!L20*1000)</f>
        <v>13204.742146686202</v>
      </c>
      <c r="M28" s="102">
        <f>IF(M12=0,0,M12/TrAvia_act!M20*1000)</f>
        <v>13947.045515631917</v>
      </c>
      <c r="N28" s="102">
        <f>IF(N12=0,0,N12/TrAvia_act!N20*1000)</f>
        <v>15226.59164606593</v>
      </c>
      <c r="O28" s="102">
        <f>IF(O12=0,0,O12/TrAvia_act!O20*1000)</f>
        <v>14741.629069998597</v>
      </c>
      <c r="P28" s="102">
        <f>IF(P12=0,0,P12/TrAvia_act!P20*1000)</f>
        <v>14838.166256599612</v>
      </c>
      <c r="Q28" s="102">
        <f>IF(Q12=0,0,Q12/TrAvia_act!Q20*1000)</f>
        <v>14936.996048935038</v>
      </c>
      <c r="R28" s="102">
        <f>IF(R12=0,0,R12/TrAvia_act!R20*1000)</f>
        <v>14225.199478608667</v>
      </c>
      <c r="S28" s="102">
        <f>IF(S12=0,0,S12/TrAvia_act!S20*1000)</f>
        <v>13489.596383337961</v>
      </c>
      <c r="T28" s="102">
        <f>IF(T12=0,0,T12/TrAvia_act!T20*1000)</f>
        <v>13093.812509317053</v>
      </c>
      <c r="U28" s="102">
        <f>IF(U12=0,0,U12/TrAvia_act!U20*1000)</f>
        <v>12304.709152613812</v>
      </c>
      <c r="V28" s="102">
        <f>IF(V12=0,0,V12/TrAvia_act!V20*1000)</f>
        <v>17173.676684805501</v>
      </c>
      <c r="W28" s="102">
        <f>IF(W12=0,0,W12/TrAvia_act!W20*1000)</f>
        <v>17650.418752463316</v>
      </c>
      <c r="X28" s="102">
        <f>IF(X12=0,0,X12/TrAvia_act!X20*1000)</f>
        <v>14627.733639970264</v>
      </c>
      <c r="Y28" s="102">
        <f>IF(Y12=0,0,Y12/TrAvia_act!Y20*1000)</f>
        <v>13106.174402906407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19414.397661203682</v>
      </c>
      <c r="C29" s="86">
        <f>IF(C13=0,0,C13/TrAvia_act!C21*1000)</f>
        <v>19574.377935786677</v>
      </c>
      <c r="D29" s="86">
        <f>IF(D13=0,0,D13/TrAvia_act!D21*1000)</f>
        <v>19565.789040395957</v>
      </c>
      <c r="E29" s="86">
        <f>IF(E13=0,0,E13/TrAvia_act!E21*1000)</f>
        <v>19578.335132733049</v>
      </c>
      <c r="F29" s="86">
        <f>IF(F13=0,0,F13/TrAvia_act!F21*1000)</f>
        <v>19531.953115180924</v>
      </c>
      <c r="G29" s="86">
        <f>IF(G13=0,0,G13/TrAvia_act!G21*1000)</f>
        <v>22556.511716050976</v>
      </c>
      <c r="H29" s="86">
        <f>IF(H13=0,0,H13/TrAvia_act!H21*1000)</f>
        <v>18434.993827177434</v>
      </c>
      <c r="I29" s="86">
        <f>IF(I13=0,0,I13/TrAvia_act!I21*1000)</f>
        <v>14450.796878811654</v>
      </c>
      <c r="J29" s="86">
        <f>IF(J13=0,0,J13/TrAvia_act!J21*1000)</f>
        <v>14134.007540622919</v>
      </c>
      <c r="K29" s="86">
        <f>IF(K13=0,0,K13/TrAvia_act!K21*1000)</f>
        <v>11759.207965932486</v>
      </c>
      <c r="L29" s="86">
        <f>IF(L13=0,0,L13/TrAvia_act!L21*1000)</f>
        <v>10712.983417801679</v>
      </c>
      <c r="M29" s="86">
        <f>IF(M13=0,0,M13/TrAvia_act!M21*1000)</f>
        <v>10314.31271244267</v>
      </c>
      <c r="N29" s="86">
        <f>IF(N13=0,0,N13/TrAvia_act!N21*1000)</f>
        <v>12152.34570875071</v>
      </c>
      <c r="O29" s="86">
        <f>IF(O13=0,0,O13/TrAvia_act!O21*1000)</f>
        <v>9866.1294064646354</v>
      </c>
      <c r="P29" s="86">
        <f>IF(P13=0,0,P13/TrAvia_act!P21*1000)</f>
        <v>7968.1979840874938</v>
      </c>
      <c r="Q29" s="86">
        <f>IF(Q13=0,0,Q13/TrAvia_act!Q21*1000)</f>
        <v>7898.8517628507134</v>
      </c>
      <c r="R29" s="86">
        <f>IF(R13=0,0,R13/TrAvia_act!R21*1000)</f>
        <v>6920.5503551758056</v>
      </c>
      <c r="S29" s="86">
        <f>IF(S13=0,0,S13/TrAvia_act!S21*1000)</f>
        <v>7538.3383123358763</v>
      </c>
      <c r="T29" s="86">
        <f>IF(T13=0,0,T13/TrAvia_act!T21*1000)</f>
        <v>7301.9473892923679</v>
      </c>
      <c r="U29" s="86">
        <f>IF(U13=0,0,U13/TrAvia_act!U21*1000)</f>
        <v>8785.4244752716058</v>
      </c>
      <c r="V29" s="86">
        <f>IF(V13=0,0,V13/TrAvia_act!V21*1000)</f>
        <v>13520.139761435725</v>
      </c>
      <c r="W29" s="86">
        <f>IF(W13=0,0,W13/TrAvia_act!W21*1000)</f>
        <v>8444.6806104666248</v>
      </c>
      <c r="X29" s="86">
        <f>IF(X13=0,0,X13/TrAvia_act!X21*1000)</f>
        <v>15719.198475544155</v>
      </c>
      <c r="Y29" s="86">
        <f>IF(Y13=0,0,Y13/TrAvia_act!Y21*1000)</f>
        <v>14380.694614518918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148.05457062886467</v>
      </c>
      <c r="C32" s="14">
        <f>IF(C6=0,0,C6/TrAvia_act!C4*1000)</f>
        <v>169.02108480695236</v>
      </c>
      <c r="D32" s="14">
        <f>IF(D6=0,0,D6/TrAvia_act!D4*1000)</f>
        <v>144.11193157218085</v>
      </c>
      <c r="E32" s="14">
        <f>IF(E6=0,0,E6/TrAvia_act!E4*1000)</f>
        <v>137.88293980297644</v>
      </c>
      <c r="F32" s="14">
        <f>IF(F6=0,0,F6/TrAvia_act!F4*1000)</f>
        <v>136.3712282736011</v>
      </c>
      <c r="G32" s="14">
        <f>IF(G6=0,0,G6/TrAvia_act!G4*1000)</f>
        <v>136.13263405948786</v>
      </c>
      <c r="H32" s="14">
        <f>IF(H6=0,0,H6/TrAvia_act!H4*1000)</f>
        <v>120.66512794639742</v>
      </c>
      <c r="I32" s="14">
        <f>IF(I6=0,0,I6/TrAvia_act!I4*1000)</f>
        <v>126.93115346096026</v>
      </c>
      <c r="J32" s="14">
        <f>IF(J6=0,0,J6/TrAvia_act!J4*1000)</f>
        <v>126.20873122821486</v>
      </c>
      <c r="K32" s="14">
        <f>IF(K6=0,0,K6/TrAvia_act!K4*1000)</f>
        <v>109.2517313240932</v>
      </c>
      <c r="L32" s="14">
        <f>IF(L6=0,0,L6/TrAvia_act!L4*1000)</f>
        <v>105.36410639342199</v>
      </c>
      <c r="M32" s="14">
        <f>IF(M6=0,0,M6/TrAvia_act!M4*1000)</f>
        <v>106.2055366266442</v>
      </c>
      <c r="N32" s="14">
        <f>IF(N6=0,0,N6/TrAvia_act!N4*1000)</f>
        <v>93.632726267259727</v>
      </c>
      <c r="O32" s="14">
        <f>IF(O6=0,0,O6/TrAvia_act!O4*1000)</f>
        <v>88.93562170453005</v>
      </c>
      <c r="P32" s="14">
        <f>IF(P6=0,0,P6/TrAvia_act!P4*1000)</f>
        <v>86.446267075783666</v>
      </c>
      <c r="Q32" s="14">
        <f>IF(Q6=0,0,Q6/TrAvia_act!Q4*1000)</f>
        <v>91.348712573290925</v>
      </c>
      <c r="R32" s="14">
        <f>IF(R6=0,0,R6/TrAvia_act!R4*1000)</f>
        <v>88.834231798759745</v>
      </c>
      <c r="S32" s="14">
        <f>IF(S6=0,0,S6/TrAvia_act!S4*1000)</f>
        <v>84.651469668693807</v>
      </c>
      <c r="T32" s="14">
        <f>IF(T6=0,0,T6/TrAvia_act!T4*1000)</f>
        <v>83.368808638611981</v>
      </c>
      <c r="U32" s="14">
        <f>IF(U6=0,0,U6/TrAvia_act!U4*1000)</f>
        <v>77.541128027124188</v>
      </c>
      <c r="V32" s="14">
        <f>IF(V6=0,0,V6/TrAvia_act!V4*1000)</f>
        <v>128.60160911303134</v>
      </c>
      <c r="W32" s="14">
        <f>IF(W6=0,0,W6/TrAvia_act!W4*1000)</f>
        <v>118.38626188818789</v>
      </c>
      <c r="X32" s="14">
        <f>IF(X6=0,0,X6/TrAvia_act!X4*1000)</f>
        <v>97.174259981749628</v>
      </c>
      <c r="Y32" s="14">
        <f>IF(Y6=0,0,Y6/TrAvia_act!Y4*1000)</f>
        <v>89.100125222051872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5458.0431244406927</v>
      </c>
      <c r="C33" s="87">
        <f>IF(C7=0,0,C7/TrAvia_act!C5*1000)</f>
        <v>5188.9727174889458</v>
      </c>
      <c r="D33" s="87">
        <f>IF(D7=0,0,D7/TrAvia_act!D5*1000)</f>
        <v>4971.6772771763772</v>
      </c>
      <c r="E33" s="87">
        <f>IF(E7=0,0,E7/TrAvia_act!E5*1000)</f>
        <v>4758.6751394681905</v>
      </c>
      <c r="F33" s="87">
        <f>IF(F7=0,0,F7/TrAvia_act!F5*1000)</f>
        <v>4543.1505274221954</v>
      </c>
      <c r="G33" s="87">
        <f>IF(G7=0,0,G7/TrAvia_act!G5*1000)</f>
        <v>2727.7158968621115</v>
      </c>
      <c r="H33" s="87">
        <f>IF(H7=0,0,H7/TrAvia_act!H5*1000)</f>
        <v>3289.214978294352</v>
      </c>
      <c r="I33" s="87">
        <f>IF(I7=0,0,I7/TrAvia_act!I5*1000)</f>
        <v>3644.699062171936</v>
      </c>
      <c r="J33" s="87">
        <f>IF(J7=0,0,J7/TrAvia_act!J5*1000)</f>
        <v>761.76471401224512</v>
      </c>
      <c r="K33" s="87">
        <f>IF(K7=0,0,K7/TrAvia_act!K5*1000)</f>
        <v>1143.7158310758509</v>
      </c>
      <c r="L33" s="87">
        <f>IF(L7=0,0,L7/TrAvia_act!L5*1000)</f>
        <v>712.290705876738</v>
      </c>
      <c r="M33" s="87">
        <f>IF(M7=0,0,M7/TrAvia_act!M5*1000)</f>
        <v>879.3226473331531</v>
      </c>
      <c r="N33" s="87">
        <f>IF(N7=0,0,N7/TrAvia_act!N5*1000)</f>
        <v>447.51630330336047</v>
      </c>
      <c r="O33" s="87">
        <f>IF(O7=0,0,O7/TrAvia_act!O5*1000)</f>
        <v>572.77065326044192</v>
      </c>
      <c r="P33" s="87">
        <f>IF(P7=0,0,P7/TrAvia_act!P5*1000)</f>
        <v>476.66036010085037</v>
      </c>
      <c r="Q33" s="87">
        <f>IF(Q7=0,0,Q7/TrAvia_act!Q5*1000)</f>
        <v>676.65345356394835</v>
      </c>
      <c r="R33" s="87">
        <f>IF(R7=0,0,R7/TrAvia_act!R5*1000)</f>
        <v>981.34777878644695</v>
      </c>
      <c r="S33" s="87">
        <f>IF(S7=0,0,S7/TrAvia_act!S5*1000)</f>
        <v>586.40974321938927</v>
      </c>
      <c r="T33" s="87">
        <f>IF(T7=0,0,T7/TrAvia_act!T5*1000)</f>
        <v>444.12528481931054</v>
      </c>
      <c r="U33" s="87">
        <f>IF(U7=0,0,U7/TrAvia_act!U5*1000)</f>
        <v>199.93599359630204</v>
      </c>
      <c r="V33" s="87">
        <f>IF(V7=0,0,V7/TrAvia_act!V5*1000)</f>
        <v>224.37200164068176</v>
      </c>
      <c r="W33" s="87">
        <f>IF(W7=0,0,W7/TrAvia_act!W5*1000)</f>
        <v>189.15005170714122</v>
      </c>
      <c r="X33" s="87">
        <f>IF(X7=0,0,X7/TrAvia_act!X5*1000)</f>
        <v>263.59813492006572</v>
      </c>
      <c r="Y33" s="87">
        <f>IF(Y7=0,0,Y7/TrAvia_act!Y5*1000)</f>
        <v>178.30240491881412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114.90986901479019</v>
      </c>
      <c r="C34" s="87">
        <f>IF(C8=0,0,C8/TrAvia_act!C6*1000)</f>
        <v>115.37894822390626</v>
      </c>
      <c r="D34" s="87">
        <f>IF(D8=0,0,D8/TrAvia_act!D6*1000)</f>
        <v>116.01946671568594</v>
      </c>
      <c r="E34" s="87">
        <f>IF(E8=0,0,E8/TrAvia_act!E6*1000)</f>
        <v>117.69563040780348</v>
      </c>
      <c r="F34" s="87">
        <f>IF(F8=0,0,F8/TrAvia_act!F6*1000)</f>
        <v>118.89040649123135</v>
      </c>
      <c r="G34" s="87">
        <f>IF(G8=0,0,G8/TrAvia_act!G6*1000)</f>
        <v>123.68135680025978</v>
      </c>
      <c r="H34" s="87">
        <f>IF(H8=0,0,H8/TrAvia_act!H6*1000)</f>
        <v>103.7451285872427</v>
      </c>
      <c r="I34" s="87">
        <f>IF(I8=0,0,I8/TrAvia_act!I6*1000)</f>
        <v>104.5469490667148</v>
      </c>
      <c r="J34" s="87">
        <f>IF(J8=0,0,J8/TrAvia_act!J6*1000)</f>
        <v>123.94749663801989</v>
      </c>
      <c r="K34" s="87">
        <f>IF(K8=0,0,K8/TrAvia_act!K6*1000)</f>
        <v>99.262484582703436</v>
      </c>
      <c r="L34" s="87">
        <f>IF(L8=0,0,L8/TrAvia_act!L6*1000)</f>
        <v>105.79275880933336</v>
      </c>
      <c r="M34" s="87">
        <f>IF(M8=0,0,M8/TrAvia_act!M6*1000)</f>
        <v>103.99154578386754</v>
      </c>
      <c r="N34" s="87">
        <f>IF(N8=0,0,N8/TrAvia_act!N6*1000)</f>
        <v>99.086485822274895</v>
      </c>
      <c r="O34" s="87">
        <f>IF(O8=0,0,O8/TrAvia_act!O6*1000)</f>
        <v>97.156269799504543</v>
      </c>
      <c r="P34" s="87">
        <f>IF(P8=0,0,P8/TrAvia_act!P6*1000)</f>
        <v>99.773489681202619</v>
      </c>
      <c r="Q34" s="87">
        <f>IF(Q8=0,0,Q8/TrAvia_act!Q6*1000)</f>
        <v>99.516329705368165</v>
      </c>
      <c r="R34" s="87">
        <f>IF(R8=0,0,R8/TrAvia_act!R6*1000)</f>
        <v>97.103425397634098</v>
      </c>
      <c r="S34" s="87">
        <f>IF(S8=0,0,S8/TrAvia_act!S6*1000)</f>
        <v>88.271424890868332</v>
      </c>
      <c r="T34" s="87">
        <f>IF(T8=0,0,T8/TrAvia_act!T6*1000)</f>
        <v>87.570282555806997</v>
      </c>
      <c r="U34" s="87">
        <f>IF(U8=0,0,U8/TrAvia_act!U6*1000)</f>
        <v>84.166919990362132</v>
      </c>
      <c r="V34" s="87">
        <f>IF(V8=0,0,V8/TrAvia_act!V6*1000)</f>
        <v>125.26950513358359</v>
      </c>
      <c r="W34" s="87">
        <f>IF(W8=0,0,W8/TrAvia_act!W6*1000)</f>
        <v>125.52783891916577</v>
      </c>
      <c r="X34" s="87">
        <f>IF(X8=0,0,X8/TrAvia_act!X6*1000)</f>
        <v>96.531622784931287</v>
      </c>
      <c r="Y34" s="87">
        <f>IF(Y8=0,0,Y8/TrAvia_act!Y6*1000)</f>
        <v>89.161464819037292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139.00609864283601</v>
      </c>
      <c r="C35" s="87">
        <f>IF(C9=0,0,C9/TrAvia_act!C7*1000)</f>
        <v>139.79935062565698</v>
      </c>
      <c r="D35" s="87">
        <f>IF(D9=0,0,D9/TrAvia_act!D7*1000)</f>
        <v>139.29707402608676</v>
      </c>
      <c r="E35" s="87">
        <f>IF(E9=0,0,E9/TrAvia_act!E7*1000)</f>
        <v>138.18537153583438</v>
      </c>
      <c r="F35" s="87">
        <f>IF(F9=0,0,F9/TrAvia_act!F7*1000)</f>
        <v>136.25103827521295</v>
      </c>
      <c r="G35" s="87">
        <f>IF(G9=0,0,G9/TrAvia_act!G7*1000)</f>
        <v>155.83111615103286</v>
      </c>
      <c r="H35" s="87">
        <f>IF(H9=0,0,H9/TrAvia_act!H7*1000)</f>
        <v>128.04506255473879</v>
      </c>
      <c r="I35" s="87">
        <f>IF(I9=0,0,I9/TrAvia_act!I7*1000)</f>
        <v>100.25030078153377</v>
      </c>
      <c r="J35" s="87">
        <f>IF(J9=0,0,J9/TrAvia_act!J7*1000)</f>
        <v>98.383097419267557</v>
      </c>
      <c r="K35" s="87">
        <f>IF(K9=0,0,K9/TrAvia_act!K7*1000)</f>
        <v>78.299134801318502</v>
      </c>
      <c r="L35" s="87">
        <f>IF(L9=0,0,L9/TrAvia_act!L7*1000)</f>
        <v>66.935470243982394</v>
      </c>
      <c r="M35" s="87">
        <f>IF(M9=0,0,M9/TrAvia_act!M7*1000)</f>
        <v>64.005478806900456</v>
      </c>
      <c r="N35" s="87">
        <f>IF(N9=0,0,N9/TrAvia_act!N7*1000)</f>
        <v>55.371781614150272</v>
      </c>
      <c r="O35" s="87">
        <f>IF(O9=0,0,O9/TrAvia_act!O7*1000)</f>
        <v>45.741752272704538</v>
      </c>
      <c r="P35" s="87">
        <f>IF(P9=0,0,P9/TrAvia_act!P7*1000)</f>
        <v>41.242809546068493</v>
      </c>
      <c r="Q35" s="87">
        <f>IF(Q9=0,0,Q9/TrAvia_act!Q7*1000)</f>
        <v>46.539286295350003</v>
      </c>
      <c r="R35" s="87">
        <f>IF(R9=0,0,R9/TrAvia_act!R7*1000)</f>
        <v>39.456507989034733</v>
      </c>
      <c r="S35" s="87">
        <f>IF(S9=0,0,S9/TrAvia_act!S7*1000)</f>
        <v>43.739236935438669</v>
      </c>
      <c r="T35" s="87">
        <f>IF(T9=0,0,T9/TrAvia_act!T7*1000)</f>
        <v>45.820122235961513</v>
      </c>
      <c r="U35" s="87">
        <f>IF(U9=0,0,U9/TrAvia_act!U7*1000)</f>
        <v>45.05382752551585</v>
      </c>
      <c r="V35" s="87">
        <f>IF(V9=0,0,V9/TrAvia_act!V7*1000)</f>
        <v>137.01749414348203</v>
      </c>
      <c r="W35" s="87">
        <f>IF(W9=0,0,W9/TrAvia_act!W7*1000)</f>
        <v>84.424978106525629</v>
      </c>
      <c r="X35" s="87">
        <f>IF(X9=0,0,X9/TrAvia_act!X7*1000)</f>
        <v>84.371447560562373</v>
      </c>
      <c r="Y35" s="87">
        <f>IF(Y9=0,0,Y9/TrAvia_act!Y7*1000)</f>
        <v>80.553137708138067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536.51520452938325</v>
      </c>
      <c r="C36" s="15">
        <f>IF(C10=0,0,C10/TrAvia_act!C8*1000)</f>
        <v>448.83089918406858</v>
      </c>
      <c r="D36" s="15">
        <f>IF(D10=0,0,D10/TrAvia_act!D8*1000)</f>
        <v>465.42567099422257</v>
      </c>
      <c r="E36" s="15">
        <f>IF(E10=0,0,E10/TrAvia_act!E8*1000)</f>
        <v>471.4650342127249</v>
      </c>
      <c r="F36" s="15">
        <f>IF(F10=0,0,F10/TrAvia_act!F8*1000)</f>
        <v>499.02195354402437</v>
      </c>
      <c r="G36" s="15">
        <f>IF(G10=0,0,G10/TrAvia_act!G8*1000)</f>
        <v>567.64641380239073</v>
      </c>
      <c r="H36" s="15">
        <f>IF(H10=0,0,H10/TrAvia_act!H8*1000)</f>
        <v>518.28755019831715</v>
      </c>
      <c r="I36" s="15">
        <f>IF(I10=0,0,I10/TrAvia_act!I8*1000)</f>
        <v>485.20810158725948</v>
      </c>
      <c r="J36" s="15">
        <f>IF(J10=0,0,J10/TrAvia_act!J8*1000)</f>
        <v>585.98676739328891</v>
      </c>
      <c r="K36" s="15">
        <f>IF(K10=0,0,K10/TrAvia_act!K8*1000)</f>
        <v>360.58479903838071</v>
      </c>
      <c r="L36" s="15">
        <f>IF(L10=0,0,L10/TrAvia_act!L8*1000)</f>
        <v>287.9799571590172</v>
      </c>
      <c r="M36" s="15">
        <f>IF(M10=0,0,M10/TrAvia_act!M8*1000)</f>
        <v>314.72205503809039</v>
      </c>
      <c r="N36" s="15">
        <f>IF(N10=0,0,N10/TrAvia_act!N8*1000)</f>
        <v>502.78187097929907</v>
      </c>
      <c r="O36" s="15">
        <f>IF(O10=0,0,O10/TrAvia_act!O8*1000)</f>
        <v>461.4853446027833</v>
      </c>
      <c r="P36" s="15">
        <f>IF(P10=0,0,P10/TrAvia_act!P8*1000)</f>
        <v>321.14253503856366</v>
      </c>
      <c r="Q36" s="15">
        <f>IF(Q10=0,0,Q10/TrAvia_act!Q8*1000)</f>
        <v>224.32484598564443</v>
      </c>
      <c r="R36" s="15">
        <f>IF(R10=0,0,R10/TrAvia_act!R8*1000)</f>
        <v>171.01185751699603</v>
      </c>
      <c r="S36" s="15">
        <f>IF(S10=0,0,S10/TrAvia_act!S8*1000)</f>
        <v>179.88889466900855</v>
      </c>
      <c r="T36" s="15">
        <f>IF(T10=0,0,T10/TrAvia_act!T8*1000)</f>
        <v>212.76419851313068</v>
      </c>
      <c r="U36" s="15">
        <f>IF(U10=0,0,U10/TrAvia_act!U8*1000)</f>
        <v>299.32242600073681</v>
      </c>
      <c r="V36" s="15">
        <f>IF(V10=0,0,V10/TrAvia_act!V8*1000)</f>
        <v>563.51384097029666</v>
      </c>
      <c r="W36" s="15">
        <f>IF(W10=0,0,W10/TrAvia_act!W8*1000)</f>
        <v>551.61550789240641</v>
      </c>
      <c r="X36" s="15">
        <f>IF(X10=0,0,X10/TrAvia_act!X8*1000)</f>
        <v>528.54394272366392</v>
      </c>
      <c r="Y36" s="15">
        <f>IF(Y10=0,0,Y10/TrAvia_act!Y8*1000)</f>
        <v>465.74363301207347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659.76508641324585</v>
      </c>
      <c r="C38" s="101">
        <f>IF(C12=0,0,C12/TrAvia_act!C10*1000)</f>
        <v>634.76469155640655</v>
      </c>
      <c r="D38" s="101">
        <f>IF(D12=0,0,D12/TrAvia_act!D10*1000)</f>
        <v>674.57361615811033</v>
      </c>
      <c r="E38" s="101">
        <f>IF(E12=0,0,E12/TrAvia_act!E10*1000)</f>
        <v>660.06797528116238</v>
      </c>
      <c r="F38" s="101">
        <f>IF(F12=0,0,F12/TrAvia_act!F10*1000)</f>
        <v>726.07006156071543</v>
      </c>
      <c r="G38" s="101">
        <f>IF(G12=0,0,G12/TrAvia_act!G10*1000)</f>
        <v>762.08164515964279</v>
      </c>
      <c r="H38" s="101">
        <f>IF(H12=0,0,H12/TrAvia_act!H10*1000)</f>
        <v>721.76687083539946</v>
      </c>
      <c r="I38" s="101">
        <f>IF(I12=0,0,I12/TrAvia_act!I10*1000)</f>
        <v>737.40455266675076</v>
      </c>
      <c r="J38" s="101">
        <f>IF(J12=0,0,J12/TrAvia_act!J10*1000)</f>
        <v>884.91237060985225</v>
      </c>
      <c r="K38" s="101">
        <f>IF(K12=0,0,K12/TrAvia_act!K10*1000)</f>
        <v>691.45194213834441</v>
      </c>
      <c r="L38" s="101">
        <f>IF(L12=0,0,L12/TrAvia_act!L10*1000)</f>
        <v>719.11192742388926</v>
      </c>
      <c r="M38" s="101">
        <f>IF(M12=0,0,M12/TrAvia_act!M10*1000)</f>
        <v>737.19619329453258</v>
      </c>
      <c r="N38" s="101">
        <f>IF(N12=0,0,N12/TrAvia_act!N10*1000)</f>
        <v>730.2629555089909</v>
      </c>
      <c r="O38" s="101">
        <f>IF(O12=0,0,O12/TrAvia_act!O10*1000)</f>
        <v>716.92722710730004</v>
      </c>
      <c r="P38" s="101">
        <f>IF(P12=0,0,P12/TrAvia_act!P10*1000)</f>
        <v>617.84301927082015</v>
      </c>
      <c r="Q38" s="101">
        <f>IF(Q12=0,0,Q12/TrAvia_act!Q10*1000)</f>
        <v>627.53596448060739</v>
      </c>
      <c r="R38" s="101">
        <f>IF(R12=0,0,R12/TrAvia_act!R10*1000)</f>
        <v>543.63611429539094</v>
      </c>
      <c r="S38" s="101">
        <f>IF(S12=0,0,S12/TrAvia_act!S10*1000)</f>
        <v>558.30196316311344</v>
      </c>
      <c r="T38" s="101">
        <f>IF(T12=0,0,T12/TrAvia_act!T10*1000)</f>
        <v>534.11116858065873</v>
      </c>
      <c r="U38" s="101">
        <f>IF(U12=0,0,U12/TrAvia_act!U10*1000)</f>
        <v>476.10245799689329</v>
      </c>
      <c r="V38" s="101">
        <f>IF(V12=0,0,V12/TrAvia_act!V10*1000)</f>
        <v>788.82887666789497</v>
      </c>
      <c r="W38" s="101">
        <f>IF(W12=0,0,W12/TrAvia_act!W10*1000)</f>
        <v>810.42199528002413</v>
      </c>
      <c r="X38" s="101">
        <f>IF(X12=0,0,X12/TrAvia_act!X10*1000)</f>
        <v>679.48134256453113</v>
      </c>
      <c r="Y38" s="101">
        <f>IF(Y12=0,0,Y12/TrAvia_act!Y10*1000)</f>
        <v>613.18122606525867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275.73471674184231</v>
      </c>
      <c r="C39" s="88">
        <f>IF(C13=0,0,C13/TrAvia_act!C11*1000)</f>
        <v>265.2938191664395</v>
      </c>
      <c r="D39" s="88">
        <f>IF(D13=0,0,D13/TrAvia_act!D11*1000)</f>
        <v>280.85508937758084</v>
      </c>
      <c r="E39" s="88">
        <f>IF(E13=0,0,E13/TrAvia_act!E11*1000)</f>
        <v>309.29651286057458</v>
      </c>
      <c r="F39" s="88">
        <f>IF(F13=0,0,F13/TrAvia_act!F11*1000)</f>
        <v>317.91764893349119</v>
      </c>
      <c r="G39" s="88">
        <f>IF(G13=0,0,G13/TrAvia_act!G11*1000)</f>
        <v>390.40667368413608</v>
      </c>
      <c r="H39" s="88">
        <f>IF(H13=0,0,H13/TrAvia_act!H11*1000)</f>
        <v>330.05983049682771</v>
      </c>
      <c r="I39" s="88">
        <f>IF(I13=0,0,I13/TrAvia_act!I11*1000)</f>
        <v>263.11614274470116</v>
      </c>
      <c r="J39" s="88">
        <f>IF(J13=0,0,J13/TrAvia_act!J11*1000)</f>
        <v>262.6398184971373</v>
      </c>
      <c r="K39" s="88">
        <f>IF(K13=0,0,K13/TrAvia_act!K11*1000)</f>
        <v>193.74954711105502</v>
      </c>
      <c r="L39" s="88">
        <f>IF(L13=0,0,L13/TrAvia_act!L11*1000)</f>
        <v>173.63169535528434</v>
      </c>
      <c r="M39" s="88">
        <f>IF(M13=0,0,M13/TrAvia_act!M11*1000)</f>
        <v>160.43322239994558</v>
      </c>
      <c r="N39" s="88">
        <f>IF(N13=0,0,N13/TrAvia_act!N11*1000)</f>
        <v>178.16682710619568</v>
      </c>
      <c r="O39" s="88">
        <f>IF(O13=0,0,O13/TrAvia_act!O11*1000)</f>
        <v>143.95061636723253</v>
      </c>
      <c r="P39" s="88">
        <f>IF(P13=0,0,P13/TrAvia_act!P11*1000)</f>
        <v>98.820011313815073</v>
      </c>
      <c r="Q39" s="88">
        <f>IF(Q13=0,0,Q13/TrAvia_act!Q11*1000)</f>
        <v>100.6602153156943</v>
      </c>
      <c r="R39" s="88">
        <f>IF(R13=0,0,R13/TrAvia_act!R11*1000)</f>
        <v>77.587387130767169</v>
      </c>
      <c r="S39" s="88">
        <f>IF(S13=0,0,S13/TrAvia_act!S11*1000)</f>
        <v>86.938985136473661</v>
      </c>
      <c r="T39" s="88">
        <f>IF(T13=0,0,T13/TrAvia_act!T11*1000)</f>
        <v>84.150762809526981</v>
      </c>
      <c r="U39" s="88">
        <f>IF(U13=0,0,U13/TrAvia_act!U11*1000)</f>
        <v>98.616499693792008</v>
      </c>
      <c r="V39" s="88">
        <f>IF(V13=0,0,V13/TrAvia_act!V11*1000)</f>
        <v>222.22838119845491</v>
      </c>
      <c r="W39" s="88">
        <f>IF(W13=0,0,W13/TrAvia_act!W11*1000)</f>
        <v>141.30416211031721</v>
      </c>
      <c r="X39" s="88">
        <f>IF(X13=0,0,X13/TrAvia_act!X11*1000)</f>
        <v>234.2947468268809</v>
      </c>
      <c r="Y39" s="88">
        <f>IF(Y13=0,0,Y13/TrAvia_act!Y11*1000)</f>
        <v>205.42620588638553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24892.847873107428</v>
      </c>
      <c r="C41" s="54">
        <f>IF(C3=0,0,C3/TrAvia_act!C23*1000000)</f>
        <v>26230.805820256785</v>
      </c>
      <c r="D41" s="54">
        <f>IF(D3=0,0,D3/TrAvia_act!D23*1000000)</f>
        <v>24897.769633507862</v>
      </c>
      <c r="E41" s="54">
        <f>IF(E3=0,0,E3/TrAvia_act!E23*1000000)</f>
        <v>24462.739693961605</v>
      </c>
      <c r="F41" s="54">
        <f>IF(F3=0,0,F3/TrAvia_act!F23*1000000)</f>
        <v>24247.298731843584</v>
      </c>
      <c r="G41" s="54">
        <f>IF(G3=0,0,G3/TrAvia_act!G23*1000000)</f>
        <v>24574.980160155294</v>
      </c>
      <c r="H41" s="54">
        <f>IF(H3=0,0,H3/TrAvia_act!H23*1000000)</f>
        <v>21449.964521086124</v>
      </c>
      <c r="I41" s="54">
        <f>IF(I3=0,0,I3/TrAvia_act!I23*1000000)</f>
        <v>21201.461376564279</v>
      </c>
      <c r="J41" s="54">
        <f>IF(J3=0,0,J3/TrAvia_act!J23*1000000)</f>
        <v>20200.208030312075</v>
      </c>
      <c r="K41" s="54">
        <f>IF(K3=0,0,K3/TrAvia_act!K23*1000000)</f>
        <v>17216.004267291908</v>
      </c>
      <c r="L41" s="54">
        <f>IF(L3=0,0,L3/TrAvia_act!L23*1000000)</f>
        <v>17387.932365635563</v>
      </c>
      <c r="M41" s="54">
        <f>IF(M3=0,0,M3/TrAvia_act!M23*1000000)</f>
        <v>17360.354621422532</v>
      </c>
      <c r="N41" s="54">
        <f>IF(N3=0,0,N3/TrAvia_act!N23*1000000)</f>
        <v>16928.983290601045</v>
      </c>
      <c r="O41" s="54">
        <f>IF(O3=0,0,O3/TrAvia_act!O23*1000000)</f>
        <v>17068.405617375782</v>
      </c>
      <c r="P41" s="54">
        <f>IF(P3=0,0,P3/TrAvia_act!P23*1000000)</f>
        <v>16765.171962477023</v>
      </c>
      <c r="Q41" s="54">
        <f>IF(Q3=0,0,Q3/TrAvia_act!Q23*1000000)</f>
        <v>17621.854844255475</v>
      </c>
      <c r="R41" s="54">
        <f>IF(R3=0,0,R3/TrAvia_act!R23*1000000)</f>
        <v>18262.999162549993</v>
      </c>
      <c r="S41" s="54">
        <f>IF(S3=0,0,S3/TrAvia_act!S23*1000000)</f>
        <v>18481.071944912739</v>
      </c>
      <c r="T41" s="54">
        <f>IF(T3=0,0,T3/TrAvia_act!T23*1000000)</f>
        <v>18112.160304383207</v>
      </c>
      <c r="U41" s="54">
        <f>IF(U3=0,0,U3/TrAvia_act!U23*1000000)</f>
        <v>17270.527892447979</v>
      </c>
      <c r="V41" s="54">
        <f>IF(V3=0,0,V3/TrAvia_act!V23*1000000)</f>
        <v>23518.5215533337</v>
      </c>
      <c r="W41" s="54">
        <f>IF(W3=0,0,W3/TrAvia_act!W23*1000000)</f>
        <v>21748.372409545809</v>
      </c>
      <c r="X41" s="54">
        <f>IF(X3=0,0,X3/TrAvia_act!X23*1000000)</f>
        <v>20931.101362187354</v>
      </c>
      <c r="Y41" s="54">
        <f>IF(Y3=0,0,Y3/TrAvia_act!Y23*1000000)</f>
        <v>19424.535659283407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25125.388659105687</v>
      </c>
      <c r="C42" s="11">
        <f>IF(C6=0,0,C6/TrAvia_act!C24*1000000)</f>
        <v>26339.296731538761</v>
      </c>
      <c r="D42" s="11">
        <f>IF(D6=0,0,D6/TrAvia_act!D24*1000000)</f>
        <v>24990.666934973367</v>
      </c>
      <c r="E42" s="11">
        <f>IF(E6=0,0,E6/TrAvia_act!E24*1000000)</f>
        <v>24533.217610835218</v>
      </c>
      <c r="F42" s="11">
        <f>IF(F6=0,0,F6/TrAvia_act!F24*1000000)</f>
        <v>24325.665672270137</v>
      </c>
      <c r="G42" s="11">
        <f>IF(G6=0,0,G6/TrAvia_act!G24*1000000)</f>
        <v>24649.64115059442</v>
      </c>
      <c r="H42" s="11">
        <f>IF(H6=0,0,H6/TrAvia_act!H24*1000000)</f>
        <v>21531.533496290584</v>
      </c>
      <c r="I42" s="11">
        <f>IF(I6=0,0,I6/TrAvia_act!I24*1000000)</f>
        <v>21296.468536976769</v>
      </c>
      <c r="J42" s="11">
        <f>IF(J6=0,0,J6/TrAvia_act!J24*1000000)</f>
        <v>20260.597088163362</v>
      </c>
      <c r="K42" s="11">
        <f>IF(K6=0,0,K6/TrAvia_act!K24*1000000)</f>
        <v>17250.602238347892</v>
      </c>
      <c r="L42" s="11">
        <f>IF(L6=0,0,L6/TrAvia_act!L24*1000000)</f>
        <v>17378.707404387285</v>
      </c>
      <c r="M42" s="11">
        <f>IF(M6=0,0,M6/TrAvia_act!M24*1000000)</f>
        <v>17395.431490866933</v>
      </c>
      <c r="N42" s="11">
        <f>IF(N6=0,0,N6/TrAvia_act!N24*1000000)</f>
        <v>16967.581028617118</v>
      </c>
      <c r="O42" s="11">
        <f>IF(O6=0,0,O6/TrAvia_act!O24*1000000)</f>
        <v>17116.714544128754</v>
      </c>
      <c r="P42" s="11">
        <f>IF(P6=0,0,P6/TrAvia_act!P24*1000000)</f>
        <v>16813.830549202947</v>
      </c>
      <c r="Q42" s="11">
        <f>IF(Q6=0,0,Q6/TrAvia_act!Q24*1000000)</f>
        <v>17687.662576843053</v>
      </c>
      <c r="R42" s="11">
        <f>IF(R6=0,0,R6/TrAvia_act!R24*1000000)</f>
        <v>18325.526772008241</v>
      </c>
      <c r="S42" s="11">
        <f>IF(S6=0,0,S6/TrAvia_act!S24*1000000)</f>
        <v>18538.303516528897</v>
      </c>
      <c r="T42" s="11">
        <f>IF(T6=0,0,T6/TrAvia_act!T24*1000000)</f>
        <v>18155.840907540914</v>
      </c>
      <c r="U42" s="11">
        <f>IF(U6=0,0,U6/TrAvia_act!U24*1000000)</f>
        <v>17324.629508541566</v>
      </c>
      <c r="V42" s="11">
        <f>IF(V6=0,0,V6/TrAvia_act!V24*1000000)</f>
        <v>23743.192116496397</v>
      </c>
      <c r="W42" s="11">
        <f>IF(W6=0,0,W6/TrAvia_act!W24*1000000)</f>
        <v>21896.044072581899</v>
      </c>
      <c r="X42" s="11">
        <f>IF(X6=0,0,X6/TrAvia_act!X24*1000000)</f>
        <v>20986.513155842589</v>
      </c>
      <c r="Y42" s="11">
        <f>IF(Y6=0,0,Y6/TrAvia_act!Y24*1000000)</f>
        <v>19465.589328318027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37194.017595307916</v>
      </c>
      <c r="C43" s="84">
        <f>IF(C7=0,0,C7/TrAvia_act!C25*1000000)</f>
        <v>37135.840745672445</v>
      </c>
      <c r="D43" s="84">
        <f>IF(D7=0,0,D7/TrAvia_act!D25*1000000)</f>
        <v>37087.285907248981</v>
      </c>
      <c r="E43" s="84">
        <f>IF(E7=0,0,E7/TrAvia_act!E25*1000000)</f>
        <v>37040.412811387898</v>
      </c>
      <c r="F43" s="84">
        <f>IF(F7=0,0,F7/TrAvia_act!F25*1000000)</f>
        <v>36986.856783919589</v>
      </c>
      <c r="G43" s="84">
        <f>IF(G7=0,0,G7/TrAvia_act!G25*1000000)</f>
        <v>21975.461931260223</v>
      </c>
      <c r="H43" s="84">
        <f>IF(H7=0,0,H7/TrAvia_act!H25*1000000)</f>
        <v>31448.84120033812</v>
      </c>
      <c r="I43" s="84">
        <f>IF(I7=0,0,I7/TrAvia_act!I25*1000000)</f>
        <v>42497.614268041245</v>
      </c>
      <c r="J43" s="84">
        <f>IF(J7=0,0,J7/TrAvia_act!J25*1000000)</f>
        <v>12124.398829209411</v>
      </c>
      <c r="K43" s="84">
        <f>IF(K7=0,0,K7/TrAvia_act!K25*1000000)</f>
        <v>23257.246162904805</v>
      </c>
      <c r="L43" s="84">
        <f>IF(L7=0,0,L7/TrAvia_act!L25*1000000)</f>
        <v>16081.750426638924</v>
      </c>
      <c r="M43" s="84">
        <f>IF(M7=0,0,M7/TrAvia_act!M25*1000000)</f>
        <v>18270.186535322271</v>
      </c>
      <c r="N43" s="84">
        <f>IF(N7=0,0,N7/TrAvia_act!N25*1000000)</f>
        <v>10221.536067348161</v>
      </c>
      <c r="O43" s="84">
        <f>IF(O7=0,0,O7/TrAvia_act!O25*1000000)</f>
        <v>13322.080732758619</v>
      </c>
      <c r="P43" s="84">
        <f>IF(P7=0,0,P7/TrAvia_act!P25*1000000)</f>
        <v>11107.691309904154</v>
      </c>
      <c r="Q43" s="84">
        <f>IF(Q7=0,0,Q7/TrAvia_act!Q25*1000000)</f>
        <v>16201.71682258064</v>
      </c>
      <c r="R43" s="84">
        <f>IF(R7=0,0,R7/TrAvia_act!R25*1000000)</f>
        <v>24414.873216957611</v>
      </c>
      <c r="S43" s="84">
        <f>IF(S7=0,0,S7/TrAvia_act!S25*1000000)</f>
        <v>21588.398244514108</v>
      </c>
      <c r="T43" s="84">
        <f>IF(T7=0,0,T7/TrAvia_act!T25*1000000)</f>
        <v>18080.510246913585</v>
      </c>
      <c r="U43" s="84">
        <f>IF(U7=0,0,U7/TrAvia_act!U25*1000000)</f>
        <v>8001.2882392026568</v>
      </c>
      <c r="V43" s="84">
        <f>IF(V7=0,0,V7/TrAvia_act!V25*1000000)</f>
        <v>6593.5246153846165</v>
      </c>
      <c r="W43" s="84">
        <f>IF(W7=0,0,W7/TrAvia_act!W25*1000000)</f>
        <v>6873.2311693002257</v>
      </c>
      <c r="X43" s="84">
        <f>IF(X7=0,0,X7/TrAvia_act!X25*1000000)</f>
        <v>10942.388305162176</v>
      </c>
      <c r="Y43" s="84">
        <f>IF(Y7=0,0,Y7/TrAvia_act!Y25*1000000)</f>
        <v>7674.2720507016747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22979.068471290524</v>
      </c>
      <c r="C44" s="84">
        <f>IF(C8=0,0,C8/TrAvia_act!C26*1000000)</f>
        <v>23167.700166618248</v>
      </c>
      <c r="D44" s="84">
        <f>IF(D8=0,0,D8/TrAvia_act!D26*1000000)</f>
        <v>23157.78754980116</v>
      </c>
      <c r="E44" s="84">
        <f>IF(E8=0,0,E8/TrAvia_act!E26*1000000)</f>
        <v>23172.923199765588</v>
      </c>
      <c r="F44" s="84">
        <f>IF(F8=0,0,F8/TrAvia_act!F26*1000000)</f>
        <v>23118.34297264136</v>
      </c>
      <c r="G44" s="84">
        <f>IF(G8=0,0,G8/TrAvia_act!G26*1000000)</f>
        <v>24234.958595931661</v>
      </c>
      <c r="H44" s="84">
        <f>IF(H8=0,0,H8/TrAvia_act!H26*1000000)</f>
        <v>20120.587483545849</v>
      </c>
      <c r="I44" s="84">
        <f>IF(I8=0,0,I8/TrAvia_act!I26*1000000)</f>
        <v>19068.078273121009</v>
      </c>
      <c r="J44" s="84">
        <f>IF(J8=0,0,J8/TrAvia_act!J26*1000000)</f>
        <v>21615.213639885314</v>
      </c>
      <c r="K44" s="84">
        <f>IF(K8=0,0,K8/TrAvia_act!K26*1000000)</f>
        <v>16775.899027868436</v>
      </c>
      <c r="L44" s="84">
        <f>IF(L8=0,0,L8/TrAvia_act!L26*1000000)</f>
        <v>18248.999393588434</v>
      </c>
      <c r="M44" s="84">
        <f>IF(M8=0,0,M8/TrAvia_act!M26*1000000)</f>
        <v>18401.921308098776</v>
      </c>
      <c r="N44" s="84">
        <f>IF(N8=0,0,N8/TrAvia_act!N26*1000000)</f>
        <v>19277.026900418732</v>
      </c>
      <c r="O44" s="84">
        <f>IF(O8=0,0,O8/TrAvia_act!O26*1000000)</f>
        <v>19496.945622044354</v>
      </c>
      <c r="P44" s="84">
        <f>IF(P8=0,0,P8/TrAvia_act!P26*1000000)</f>
        <v>20007.613693965261</v>
      </c>
      <c r="Q44" s="84">
        <f>IF(Q8=0,0,Q8/TrAvia_act!Q26*1000000)</f>
        <v>20572.501137045048</v>
      </c>
      <c r="R44" s="84">
        <f>IF(R8=0,0,R8/TrAvia_act!R26*1000000)</f>
        <v>20578.265889615912</v>
      </c>
      <c r="S44" s="84">
        <f>IF(S8=0,0,S8/TrAvia_act!S26*1000000)</f>
        <v>20425.029886766053</v>
      </c>
      <c r="T44" s="84">
        <f>IF(T8=0,0,T8/TrAvia_act!T26*1000000)</f>
        <v>20357.645185608853</v>
      </c>
      <c r="U44" s="84">
        <f>IF(U8=0,0,U8/TrAvia_act!U26*1000000)</f>
        <v>20198.51418727835</v>
      </c>
      <c r="V44" s="84">
        <f>IF(V8=0,0,V8/TrAvia_act!V26*1000000)</f>
        <v>24520.626673732419</v>
      </c>
      <c r="W44" s="84">
        <f>IF(W8=0,0,W8/TrAvia_act!W26*1000000)</f>
        <v>23973.789846337135</v>
      </c>
      <c r="X44" s="84">
        <f>IF(X8=0,0,X8/TrAvia_act!X26*1000000)</f>
        <v>22433.958474370262</v>
      </c>
      <c r="Y44" s="84">
        <f>IF(Y8=0,0,Y8/TrAvia_act!Y26*1000000)</f>
        <v>20883.181116025047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24217.389552014676</v>
      </c>
      <c r="C45" s="84">
        <f>IF(C9=0,0,C9/TrAvia_act!C27*1000000)</f>
        <v>24416.947874545418</v>
      </c>
      <c r="D45" s="84">
        <f>IF(D9=0,0,D9/TrAvia_act!D27*1000000)</f>
        <v>24406.234143986872</v>
      </c>
      <c r="E45" s="84">
        <f>IF(E9=0,0,E9/TrAvia_act!E27*1000000)</f>
        <v>24421.884055500235</v>
      </c>
      <c r="F45" s="84">
        <f>IF(F9=0,0,F9/TrAvia_act!F27*1000000)</f>
        <v>24364.027437598928</v>
      </c>
      <c r="G45" s="84">
        <f>IF(G9=0,0,G9/TrAvia_act!G27*1000000)</f>
        <v>29487.584479218323</v>
      </c>
      <c r="H45" s="84">
        <f>IF(H9=0,0,H9/TrAvia_act!H27*1000000)</f>
        <v>24698.332835826888</v>
      </c>
      <c r="I45" s="84">
        <f>IF(I9=0,0,I9/TrAvia_act!I27*1000000)</f>
        <v>19423.535030675357</v>
      </c>
      <c r="J45" s="84">
        <f>IF(J9=0,0,J9/TrAvia_act!J27*1000000)</f>
        <v>18649.237437747761</v>
      </c>
      <c r="K45" s="84">
        <f>IF(K9=0,0,K9/TrAvia_act!K27*1000000)</f>
        <v>15464.227322564226</v>
      </c>
      <c r="L45" s="84">
        <f>IF(L9=0,0,L9/TrAvia_act!L27*1000000)</f>
        <v>14141.53749404195</v>
      </c>
      <c r="M45" s="84">
        <f>IF(M9=0,0,M9/TrAvia_act!M27*1000000)</f>
        <v>12729.513883545891</v>
      </c>
      <c r="N45" s="84">
        <f>IF(N9=0,0,N9/TrAvia_act!N27*1000000)</f>
        <v>12314.847680020386</v>
      </c>
      <c r="O45" s="84">
        <f>IF(O9=0,0,O9/TrAvia_act!O27*1000000)</f>
        <v>10982.733187547487</v>
      </c>
      <c r="P45" s="84">
        <f>IF(P9=0,0,P9/TrAvia_act!P27*1000000)</f>
        <v>9644.8472461917045</v>
      </c>
      <c r="Q45" s="84">
        <f>IF(Q9=0,0,Q9/TrAvia_act!Q27*1000000)</f>
        <v>9842.2218649099268</v>
      </c>
      <c r="R45" s="84">
        <f>IF(R9=0,0,R9/TrAvia_act!R27*1000000)</f>
        <v>9468.3084590229046</v>
      </c>
      <c r="S45" s="84">
        <f>IF(S9=0,0,S9/TrAvia_act!S27*1000000)</f>
        <v>10360.175653061358</v>
      </c>
      <c r="T45" s="84">
        <f>IF(T9=0,0,T9/TrAvia_act!T27*1000000)</f>
        <v>10141.040531507691</v>
      </c>
      <c r="U45" s="84">
        <f>IF(U9=0,0,U9/TrAvia_act!U27*1000000)</f>
        <v>9994.62092274102</v>
      </c>
      <c r="V45" s="84">
        <f>IF(V9=0,0,V9/TrAvia_act!V27*1000000)</f>
        <v>33892.459194987576</v>
      </c>
      <c r="W45" s="84">
        <f>IF(W9=0,0,W9/TrAvia_act!W27*1000000)</f>
        <v>21202.370539240248</v>
      </c>
      <c r="X45" s="84">
        <f>IF(X9=0,0,X9/TrAvia_act!X27*1000000)</f>
        <v>17515.268742194701</v>
      </c>
      <c r="Y45" s="84">
        <f>IF(Y9=0,0,Y9/TrAvia_act!Y27*1000000)</f>
        <v>16368.375983828204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16110.461231725993</v>
      </c>
      <c r="C46" s="13">
        <f>IF(C10=0,0,C10/TrAvia_act!C28*1000000)</f>
        <v>17657.546867535752</v>
      </c>
      <c r="D46" s="13">
        <f>IF(D10=0,0,D10/TrAvia_act!D28*1000000)</f>
        <v>17893.313103008553</v>
      </c>
      <c r="E46" s="13">
        <f>IF(E10=0,0,E10/TrAvia_act!E28*1000000)</f>
        <v>18327.663930082108</v>
      </c>
      <c r="F46" s="13">
        <f>IF(F10=0,0,F10/TrAvia_act!F28*1000000)</f>
        <v>18313.801813833168</v>
      </c>
      <c r="G46" s="13">
        <f>IF(G10=0,0,G10/TrAvia_act!G28*1000000)</f>
        <v>19360.049031403203</v>
      </c>
      <c r="H46" s="13">
        <f>IF(H10=0,0,H10/TrAvia_act!H28*1000000)</f>
        <v>16024.095858248451</v>
      </c>
      <c r="I46" s="13">
        <f>IF(I10=0,0,I10/TrAvia_act!I28*1000000)</f>
        <v>14858.767072109871</v>
      </c>
      <c r="J46" s="13">
        <f>IF(J10=0,0,J10/TrAvia_act!J28*1000000)</f>
        <v>16307.236851719066</v>
      </c>
      <c r="K46" s="13">
        <f>IF(K10=0,0,K10/TrAvia_act!K28*1000000)</f>
        <v>14960.872722858425</v>
      </c>
      <c r="L46" s="13">
        <f>IF(L10=0,0,L10/TrAvia_act!L28*1000000)</f>
        <v>17953.433385778411</v>
      </c>
      <c r="M46" s="13">
        <f>IF(M10=0,0,M10/TrAvia_act!M28*1000000)</f>
        <v>14994.840120048211</v>
      </c>
      <c r="N46" s="13">
        <f>IF(N10=0,0,N10/TrAvia_act!N28*1000000)</f>
        <v>14030.558052031462</v>
      </c>
      <c r="O46" s="13">
        <f>IF(O10=0,0,O10/TrAvia_act!O28*1000000)</f>
        <v>13749.671398159526</v>
      </c>
      <c r="P46" s="13">
        <f>IF(P10=0,0,P10/TrAvia_act!P28*1000000)</f>
        <v>13463.384042175798</v>
      </c>
      <c r="Q46" s="13">
        <f>IF(Q10=0,0,Q10/TrAvia_act!Q28*1000000)</f>
        <v>14073.582074990321</v>
      </c>
      <c r="R46" s="13">
        <f>IF(R10=0,0,R10/TrAvia_act!R28*1000000)</f>
        <v>14053.662825109694</v>
      </c>
      <c r="S46" s="13">
        <f>IF(S10=0,0,S10/TrAvia_act!S28*1000000)</f>
        <v>14663.210849946332</v>
      </c>
      <c r="T46" s="13">
        <f>IF(T10=0,0,T10/TrAvia_act!T28*1000000)</f>
        <v>14652.995501936433</v>
      </c>
      <c r="U46" s="13">
        <f>IF(U10=0,0,U10/TrAvia_act!U28*1000000)</f>
        <v>13321.297120439795</v>
      </c>
      <c r="V46" s="13">
        <f>IF(V10=0,0,V10/TrAvia_act!V28*1000000)</f>
        <v>17097.422173793249</v>
      </c>
      <c r="W46" s="13">
        <f>IF(W10=0,0,W10/TrAvia_act!W28*1000000)</f>
        <v>16160.398183695059</v>
      </c>
      <c r="X46" s="13">
        <f>IF(X10=0,0,X10/TrAvia_act!X28*1000000)</f>
        <v>18614.132110949686</v>
      </c>
      <c r="Y46" s="13">
        <f>IF(Y10=0,0,Y10/TrAvia_act!Y28*1000000)</f>
        <v>16464.582158476573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14684.482581953045</v>
      </c>
      <c r="C48" s="102">
        <f>IF(C12=0,0,C12/TrAvia_act!C30*1000000)</f>
        <v>14845.574828856741</v>
      </c>
      <c r="D48" s="102">
        <f>IF(D12=0,0,D12/TrAvia_act!D30*1000000)</f>
        <v>14818.915967530183</v>
      </c>
      <c r="E48" s="102">
        <f>IF(E12=0,0,E12/TrAvia_act!E30*1000000)</f>
        <v>14871.117141155781</v>
      </c>
      <c r="F48" s="102">
        <f>IF(F12=0,0,F12/TrAvia_act!F30*1000000)</f>
        <v>14845.572868209048</v>
      </c>
      <c r="G48" s="102">
        <f>IF(G12=0,0,G12/TrAvia_act!G30*1000000)</f>
        <v>15124.716319479845</v>
      </c>
      <c r="H48" s="102">
        <f>IF(H12=0,0,H12/TrAvia_act!H30*1000000)</f>
        <v>12584.178769620939</v>
      </c>
      <c r="I48" s="102">
        <f>IF(I12=0,0,I12/TrAvia_act!I30*1000000)</f>
        <v>12253.571874553438</v>
      </c>
      <c r="J48" s="102">
        <f>IF(J12=0,0,J12/TrAvia_act!J30*1000000)</f>
        <v>14304.920272652047</v>
      </c>
      <c r="K48" s="102">
        <f>IF(K12=0,0,K12/TrAvia_act!K30*1000000)</f>
        <v>11650.613953258428</v>
      </c>
      <c r="L48" s="102">
        <f>IF(L12=0,0,L12/TrAvia_act!L30*1000000)</f>
        <v>12973.232111745934</v>
      </c>
      <c r="M48" s="102">
        <f>IF(M12=0,0,M12/TrAvia_act!M30*1000000)</f>
        <v>13181.387718822318</v>
      </c>
      <c r="N48" s="102">
        <f>IF(N12=0,0,N12/TrAvia_act!N30*1000000)</f>
        <v>14252.616183253896</v>
      </c>
      <c r="O48" s="102">
        <f>IF(O12=0,0,O12/TrAvia_act!O30*1000000)</f>
        <v>13998.692731054125</v>
      </c>
      <c r="P48" s="102">
        <f>IF(P12=0,0,P12/TrAvia_act!P30*1000000)</f>
        <v>13898.706286955639</v>
      </c>
      <c r="Q48" s="102">
        <f>IF(Q12=0,0,Q12/TrAvia_act!Q30*1000000)</f>
        <v>14760.087926950004</v>
      </c>
      <c r="R48" s="102">
        <f>IF(R12=0,0,R12/TrAvia_act!R30*1000000)</f>
        <v>14453.049020381637</v>
      </c>
      <c r="S48" s="102">
        <f>IF(S12=0,0,S12/TrAvia_act!S30*1000000)</f>
        <v>14024.736044985755</v>
      </c>
      <c r="T48" s="102">
        <f>IF(T12=0,0,T12/TrAvia_act!T30*1000000)</f>
        <v>13994.101639616158</v>
      </c>
      <c r="U48" s="102">
        <f>IF(U12=0,0,U12/TrAvia_act!U30*1000000)</f>
        <v>13825.282307693646</v>
      </c>
      <c r="V48" s="102">
        <f>IF(V12=0,0,V12/TrAvia_act!V30*1000000)</f>
        <v>18731.829637004939</v>
      </c>
      <c r="W48" s="102">
        <f>IF(W12=0,0,W12/TrAvia_act!W30*1000000)</f>
        <v>17887.026160697831</v>
      </c>
      <c r="X48" s="102">
        <f>IF(X12=0,0,X12/TrAvia_act!X30*1000000)</f>
        <v>17095.361450913759</v>
      </c>
      <c r="Y48" s="102">
        <f>IF(Y12=0,0,Y12/TrAvia_act!Y30*1000000)</f>
        <v>15369.707361553055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31690.598331097095</v>
      </c>
      <c r="C49" s="86">
        <f>IF(C13=0,0,C13/TrAvia_act!C31*1000000)</f>
        <v>31951.738064154051</v>
      </c>
      <c r="D49" s="86">
        <f>IF(D13=0,0,D13/TrAvia_act!D31*1000000)</f>
        <v>31937.718199171115</v>
      </c>
      <c r="E49" s="86">
        <f>IF(E13=0,0,E13/TrAvia_act!E31*1000000)</f>
        <v>31958.197493961408</v>
      </c>
      <c r="F49" s="86">
        <f>IF(F13=0,0,F13/TrAvia_act!F31*1000000)</f>
        <v>31882.486987064378</v>
      </c>
      <c r="G49" s="86">
        <f>IF(G13=0,0,G13/TrAvia_act!G31*1000000)</f>
        <v>38587.114993467985</v>
      </c>
      <c r="H49" s="86">
        <f>IF(H13=0,0,H13/TrAvia_act!H31*1000000)</f>
        <v>35844.570511768863</v>
      </c>
      <c r="I49" s="86">
        <f>IF(I13=0,0,I13/TrAvia_act!I31*1000000)</f>
        <v>31263.355581723023</v>
      </c>
      <c r="J49" s="86">
        <f>IF(J13=0,0,J13/TrAvia_act!J31*1000000)</f>
        <v>33289.847837139328</v>
      </c>
      <c r="K49" s="86">
        <f>IF(K13=0,0,K13/TrAvia_act!K31*1000000)</f>
        <v>30613.083942078163</v>
      </c>
      <c r="L49" s="86">
        <f>IF(L13=0,0,L13/TrAvia_act!L31*1000000)</f>
        <v>31044.248163235206</v>
      </c>
      <c r="M49" s="86">
        <f>IF(M13=0,0,M13/TrAvia_act!M31*1000000)</f>
        <v>19495.855072731185</v>
      </c>
      <c r="N49" s="86">
        <f>IF(N13=0,0,N13/TrAvia_act!N31*1000000)</f>
        <v>12858.77437496538</v>
      </c>
      <c r="O49" s="86">
        <f>IF(O13=0,0,O13/TrAvia_act!O31*1000000)</f>
        <v>12385.62917170702</v>
      </c>
      <c r="P49" s="86">
        <f>IF(P13=0,0,P13/TrAvia_act!P31*1000000)</f>
        <v>11740.619413898132</v>
      </c>
      <c r="Q49" s="86">
        <f>IF(Q13=0,0,Q13/TrAvia_act!Q31*1000000)</f>
        <v>12924.228386189037</v>
      </c>
      <c r="R49" s="86">
        <f>IF(R13=0,0,R13/TrAvia_act!R31*1000000)</f>
        <v>13403.01958680282</v>
      </c>
      <c r="S49" s="86">
        <f>IF(S13=0,0,S13/TrAvia_act!S31*1000000)</f>
        <v>15797.64376233164</v>
      </c>
      <c r="T49" s="86">
        <f>IF(T13=0,0,T13/TrAvia_act!T31*1000000)</f>
        <v>16643.696107244512</v>
      </c>
      <c r="U49" s="86">
        <f>IF(U13=0,0,U13/TrAvia_act!U31*1000000)</f>
        <v>11102.820268135456</v>
      </c>
      <c r="V49" s="86">
        <f>IF(V13=0,0,V13/TrAvia_act!V31*1000000)</f>
        <v>11637.805754128663</v>
      </c>
      <c r="W49" s="86">
        <f>IF(W13=0,0,W13/TrAvia_act!W31*1000000)</f>
        <v>8606.4007843079271</v>
      </c>
      <c r="X49" s="86">
        <f>IF(X13=0,0,X13/TrAvia_act!X31*1000000)</f>
        <v>37398.927116657222</v>
      </c>
      <c r="Y49" s="86">
        <f>IF(Y13=0,0,Y13/TrAvia_act!Y31*1000000)</f>
        <v>26361.391597334277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0.98330562017083178</v>
      </c>
      <c r="C52" s="16">
        <f t="shared" si="36"/>
        <v>0.99158789231829769</v>
      </c>
      <c r="D52" s="16">
        <f t="shared" ref="D52:V52" si="37">IF(D6=0,0,D6/D$3)</f>
        <v>0.99059330725864103</v>
      </c>
      <c r="E52" s="16">
        <f t="shared" si="37"/>
        <v>0.9914910780318662</v>
      </c>
      <c r="F52" s="16">
        <f t="shared" si="37"/>
        <v>0.9901544745010229</v>
      </c>
      <c r="G52" s="16">
        <f t="shared" si="37"/>
        <v>0.98888051075722971</v>
      </c>
      <c r="H52" s="16">
        <f t="shared" si="37"/>
        <v>0.98893573996949757</v>
      </c>
      <c r="I52" s="16">
        <f t="shared" si="37"/>
        <v>0.98965709626984666</v>
      </c>
      <c r="J52" s="16">
        <f t="shared" si="37"/>
        <v>0.98766848596883283</v>
      </c>
      <c r="K52" s="16">
        <f t="shared" si="37"/>
        <v>0.98686920517722043</v>
      </c>
      <c r="L52" s="16">
        <f t="shared" si="37"/>
        <v>0.98342691749714728</v>
      </c>
      <c r="M52" s="16">
        <f t="shared" si="37"/>
        <v>0.98737923056248178</v>
      </c>
      <c r="N52" s="16">
        <f t="shared" si="37"/>
        <v>0.98910822707066026</v>
      </c>
      <c r="O52" s="16">
        <f t="shared" si="37"/>
        <v>0.98844212290934785</v>
      </c>
      <c r="P52" s="16">
        <f t="shared" si="37"/>
        <v>0.98833719473575654</v>
      </c>
      <c r="Q52" s="16">
        <f t="shared" si="37"/>
        <v>0.98545773226683098</v>
      </c>
      <c r="R52" s="16">
        <f t="shared" si="37"/>
        <v>0.98873653942741646</v>
      </c>
      <c r="S52" s="16">
        <f t="shared" si="37"/>
        <v>0.98828194582451312</v>
      </c>
      <c r="T52" s="16">
        <f t="shared" si="37"/>
        <v>0.98991156456259399</v>
      </c>
      <c r="U52" s="16">
        <f t="shared" si="37"/>
        <v>0.98957611789806477</v>
      </c>
      <c r="V52" s="16">
        <f t="shared" si="37"/>
        <v>0.97542341765741702</v>
      </c>
      <c r="W52" s="16">
        <f t="shared" ref="W52:Y52" si="38">IF(W6=0,0,W6/W$3)</f>
        <v>0.98086889164930724</v>
      </c>
      <c r="X52" s="16">
        <f t="shared" si="38"/>
        <v>0.97922847063185614</v>
      </c>
      <c r="Y52" s="16">
        <f t="shared" si="38"/>
        <v>0.98840461931247503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0.2040816326530612</v>
      </c>
      <c r="C53" s="103">
        <f t="shared" si="39"/>
        <v>0.30334269641363321</v>
      </c>
      <c r="D53" s="103">
        <f t="shared" ref="D53:V53" si="40">IF(D7=0,0,D7/D$3)</f>
        <v>0.17674768067284138</v>
      </c>
      <c r="E53" s="103">
        <f t="shared" si="40"/>
        <v>0.12910596704442259</v>
      </c>
      <c r="F53" s="103">
        <f t="shared" si="40"/>
        <v>0.11305580038748918</v>
      </c>
      <c r="G53" s="103">
        <f t="shared" si="40"/>
        <v>6.6290826999422264E-2</v>
      </c>
      <c r="H53" s="103">
        <f t="shared" si="40"/>
        <v>0.1206031436772784</v>
      </c>
      <c r="I53" s="103">
        <f t="shared" si="40"/>
        <v>0.18433184346118459</v>
      </c>
      <c r="J53" s="103">
        <f t="shared" si="40"/>
        <v>5.9344268288325973E-2</v>
      </c>
      <c r="K53" s="103">
        <f t="shared" si="40"/>
        <v>0.13448375747410757</v>
      </c>
      <c r="L53" s="103">
        <f t="shared" si="40"/>
        <v>8.4250022553042633E-2</v>
      </c>
      <c r="M53" s="103">
        <f t="shared" si="40"/>
        <v>0.11288515162691312</v>
      </c>
      <c r="N53" s="103">
        <f t="shared" si="40"/>
        <v>6.4684746549516323E-2</v>
      </c>
      <c r="O53" s="103">
        <f t="shared" si="40"/>
        <v>7.1835201652850761E-2</v>
      </c>
      <c r="P53" s="103">
        <f t="shared" si="40"/>
        <v>5.1703625801280753E-2</v>
      </c>
      <c r="Q53" s="103">
        <f t="shared" si="40"/>
        <v>7.0251034345834393E-2</v>
      </c>
      <c r="R53" s="103">
        <f t="shared" si="40"/>
        <v>8.4070645658883836E-2</v>
      </c>
      <c r="S53" s="103">
        <f t="shared" si="40"/>
        <v>7.9632371731806623E-2</v>
      </c>
      <c r="T53" s="103">
        <f t="shared" si="40"/>
        <v>6.4019539505280956E-2</v>
      </c>
      <c r="U53" s="103">
        <f t="shared" si="40"/>
        <v>2.9344320546108561E-2</v>
      </c>
      <c r="V53" s="103">
        <f t="shared" si="40"/>
        <v>2.7380370715520977E-2</v>
      </c>
      <c r="W53" s="103">
        <f t="shared" ref="W53:Y53" si="41">IF(W7=0,0,W7/W$3)</f>
        <v>2.9938239906005099E-2</v>
      </c>
      <c r="X53" s="103">
        <f t="shared" si="41"/>
        <v>3.507749686780328E-2</v>
      </c>
      <c r="Y53" s="103">
        <f t="shared" si="41"/>
        <v>2.3318319232468621E-2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0.66185354444292588</v>
      </c>
      <c r="C54" s="103">
        <f t="shared" si="42"/>
        <v>0.58461674972256727</v>
      </c>
      <c r="D54" s="103">
        <f t="shared" ref="D54:V54" si="43">IF(D8=0,0,D8/D$3)</f>
        <v>0.69130030282016142</v>
      </c>
      <c r="E54" s="103">
        <f t="shared" si="43"/>
        <v>0.73255765210871227</v>
      </c>
      <c r="F54" s="103">
        <f t="shared" si="43"/>
        <v>0.74504140319824297</v>
      </c>
      <c r="G54" s="103">
        <f t="shared" si="43"/>
        <v>0.79093329119689959</v>
      </c>
      <c r="H54" s="103">
        <f t="shared" si="43"/>
        <v>0.75308057671817519</v>
      </c>
      <c r="I54" s="103">
        <f t="shared" si="43"/>
        <v>0.69988388240359711</v>
      </c>
      <c r="J54" s="103">
        <f t="shared" si="43"/>
        <v>0.80520250083064215</v>
      </c>
      <c r="K54" s="103">
        <f t="shared" si="43"/>
        <v>0.73070027517063096</v>
      </c>
      <c r="L54" s="103">
        <f t="shared" si="43"/>
        <v>0.76871134233292127</v>
      </c>
      <c r="M54" s="103">
        <f t="shared" si="43"/>
        <v>0.74811636537155479</v>
      </c>
      <c r="N54" s="103">
        <f t="shared" si="43"/>
        <v>0.78765620099694533</v>
      </c>
      <c r="O54" s="103">
        <f t="shared" si="43"/>
        <v>0.78225354718926898</v>
      </c>
      <c r="P54" s="103">
        <f t="shared" si="43"/>
        <v>0.80046213672779154</v>
      </c>
      <c r="Q54" s="103">
        <f t="shared" si="43"/>
        <v>0.78516501599296007</v>
      </c>
      <c r="R54" s="103">
        <f t="shared" si="43"/>
        <v>0.7898224012978059</v>
      </c>
      <c r="S54" s="103">
        <f t="shared" si="43"/>
        <v>0.80069923515192476</v>
      </c>
      <c r="T54" s="103">
        <f t="shared" si="43"/>
        <v>0.81473413240198611</v>
      </c>
      <c r="U54" s="103">
        <f t="shared" si="43"/>
        <v>0.84325857290691553</v>
      </c>
      <c r="V54" s="103">
        <f t="shared" si="43"/>
        <v>0.79432502508621516</v>
      </c>
      <c r="W54" s="103">
        <f t="shared" ref="W54:Y54" si="44">IF(W8=0,0,W8/W$3)</f>
        <v>0.80871161845138084</v>
      </c>
      <c r="X54" s="103">
        <f t="shared" si="44"/>
        <v>0.83483063688875181</v>
      </c>
      <c r="Y54" s="103">
        <f t="shared" si="44"/>
        <v>0.84962991763896278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0.11737044307484466</v>
      </c>
      <c r="C55" s="103">
        <f t="shared" si="45"/>
        <v>0.10362844618209727</v>
      </c>
      <c r="D55" s="103">
        <f t="shared" ref="D55:V55" si="46">IF(D9=0,0,D9/D$3)</f>
        <v>0.12254532376563812</v>
      </c>
      <c r="E55" s="103">
        <f t="shared" si="46"/>
        <v>0.12982745887873123</v>
      </c>
      <c r="F55" s="103">
        <f t="shared" si="46"/>
        <v>0.13205727091529076</v>
      </c>
      <c r="G55" s="103">
        <f t="shared" si="46"/>
        <v>0.13165639256090786</v>
      </c>
      <c r="H55" s="103">
        <f t="shared" si="46"/>
        <v>0.11525201957404406</v>
      </c>
      <c r="I55" s="103">
        <f t="shared" si="46"/>
        <v>0.10544137040506489</v>
      </c>
      <c r="J55" s="103">
        <f t="shared" si="46"/>
        <v>0.12312171684986473</v>
      </c>
      <c r="K55" s="103">
        <f t="shared" si="46"/>
        <v>0.12168517253248178</v>
      </c>
      <c r="L55" s="103">
        <f t="shared" si="46"/>
        <v>0.13046555261118342</v>
      </c>
      <c r="M55" s="103">
        <f t="shared" si="46"/>
        <v>0.12637771356401381</v>
      </c>
      <c r="N55" s="103">
        <f t="shared" si="46"/>
        <v>0.13676727952419865</v>
      </c>
      <c r="O55" s="103">
        <f t="shared" si="46"/>
        <v>0.13435337406722805</v>
      </c>
      <c r="P55" s="103">
        <f t="shared" si="46"/>
        <v>0.13617143220668423</v>
      </c>
      <c r="Q55" s="103">
        <f t="shared" si="46"/>
        <v>0.13004168192803656</v>
      </c>
      <c r="R55" s="103">
        <f t="shared" si="46"/>
        <v>0.1148434924707266</v>
      </c>
      <c r="S55" s="103">
        <f t="shared" si="46"/>
        <v>0.10795033894078178</v>
      </c>
      <c r="T55" s="103">
        <f t="shared" si="46"/>
        <v>0.1111578926553269</v>
      </c>
      <c r="U55" s="103">
        <f t="shared" si="46"/>
        <v>0.1169732244450407</v>
      </c>
      <c r="V55" s="103">
        <f t="shared" si="46"/>
        <v>0.15371802185568079</v>
      </c>
      <c r="W55" s="103">
        <f t="shared" ref="W55:Y55" si="47">IF(W9=0,0,W9/W$3)</f>
        <v>0.14221903329192123</v>
      </c>
      <c r="X55" s="103">
        <f t="shared" si="47"/>
        <v>0.10932033687530093</v>
      </c>
      <c r="Y55" s="103">
        <f t="shared" si="47"/>
        <v>0.11545638244104356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1.6694379829168205E-2</v>
      </c>
      <c r="C56" s="17">
        <f t="shared" si="48"/>
        <v>8.4121076817022401E-3</v>
      </c>
      <c r="D56" s="17">
        <f t="shared" ref="D56:V56" si="49">IF(D10=0,0,D10/D$3)</f>
        <v>9.4066927413589841E-3</v>
      </c>
      <c r="E56" s="17">
        <f t="shared" si="49"/>
        <v>8.5089219681339211E-3</v>
      </c>
      <c r="F56" s="17">
        <f t="shared" si="49"/>
        <v>9.8455254989772093E-3</v>
      </c>
      <c r="G56" s="17">
        <f t="shared" si="49"/>
        <v>1.1119489242770326E-2</v>
      </c>
      <c r="H56" s="17">
        <f t="shared" si="49"/>
        <v>1.1064260030502334E-2</v>
      </c>
      <c r="I56" s="17">
        <f t="shared" si="49"/>
        <v>1.0342903730153312E-2</v>
      </c>
      <c r="J56" s="17">
        <f t="shared" si="49"/>
        <v>1.2331514031166915E-2</v>
      </c>
      <c r="K56" s="17">
        <f t="shared" si="49"/>
        <v>1.3130794822779819E-2</v>
      </c>
      <c r="L56" s="17">
        <f t="shared" si="49"/>
        <v>1.6573082502852794E-2</v>
      </c>
      <c r="M56" s="17">
        <f t="shared" si="49"/>
        <v>1.2620769437518456E-2</v>
      </c>
      <c r="N56" s="17">
        <f t="shared" si="49"/>
        <v>1.0891772929339813E-2</v>
      </c>
      <c r="O56" s="17">
        <f t="shared" si="49"/>
        <v>1.1557877090652065E-2</v>
      </c>
      <c r="P56" s="17">
        <f t="shared" si="49"/>
        <v>1.1662805264243504E-2</v>
      </c>
      <c r="Q56" s="17">
        <f t="shared" si="49"/>
        <v>1.4542267733168914E-2</v>
      </c>
      <c r="R56" s="17">
        <f t="shared" si="49"/>
        <v>1.1263460572583475E-2</v>
      </c>
      <c r="S56" s="17">
        <f t="shared" si="49"/>
        <v>1.1718054175486811E-2</v>
      </c>
      <c r="T56" s="17">
        <f t="shared" si="49"/>
        <v>1.0088435437406052E-2</v>
      </c>
      <c r="U56" s="17">
        <f t="shared" si="49"/>
        <v>1.0423882101935277E-2</v>
      </c>
      <c r="V56" s="17">
        <f t="shared" si="49"/>
        <v>2.4576582342583014E-2</v>
      </c>
      <c r="W56" s="17">
        <f t="shared" ref="W56:Y56" si="50">IF(W10=0,0,W10/W$3)</f>
        <v>1.9131108350692736E-2</v>
      </c>
      <c r="X56" s="17">
        <f t="shared" si="50"/>
        <v>2.0771529368143839E-2</v>
      </c>
      <c r="Y56" s="17">
        <f t="shared" si="50"/>
        <v>1.1595380687524951E-2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1.3940781131786921E-2</v>
      </c>
      <c r="C58" s="104">
        <f t="shared" si="54"/>
        <v>5.9098770927355103E-3</v>
      </c>
      <c r="D58" s="104">
        <f t="shared" ref="D58:V58" si="55">IF(D12=0,0,D12/D$3)</f>
        <v>6.3913500686284645E-3</v>
      </c>
      <c r="E58" s="104">
        <f t="shared" si="55"/>
        <v>5.5075191721483821E-3</v>
      </c>
      <c r="F58" s="104">
        <f t="shared" si="55"/>
        <v>6.356297034995852E-3</v>
      </c>
      <c r="G58" s="104">
        <f t="shared" si="55"/>
        <v>7.1187907927697299E-3</v>
      </c>
      <c r="H58" s="104">
        <f t="shared" si="55"/>
        <v>7.404073899786809E-3</v>
      </c>
      <c r="I58" s="104">
        <f t="shared" si="55"/>
        <v>7.3605552297033045E-3</v>
      </c>
      <c r="J58" s="104">
        <f t="shared" si="55"/>
        <v>9.6764705903072644E-3</v>
      </c>
      <c r="K58" s="104">
        <f t="shared" si="55"/>
        <v>8.4404128968712019E-3</v>
      </c>
      <c r="L58" s="104">
        <f t="shared" si="55"/>
        <v>8.6753713218571081E-3</v>
      </c>
      <c r="M58" s="104">
        <f t="shared" si="55"/>
        <v>7.9082221649543309E-3</v>
      </c>
      <c r="N58" s="104">
        <f t="shared" si="55"/>
        <v>9.3014826539307462E-3</v>
      </c>
      <c r="O58" s="104">
        <f t="shared" si="55"/>
        <v>9.950606867783908E-3</v>
      </c>
      <c r="P58" s="104">
        <f t="shared" si="55"/>
        <v>9.6112570071093563E-3</v>
      </c>
      <c r="Q58" s="104">
        <f t="shared" si="55"/>
        <v>9.5484015288782274E-3</v>
      </c>
      <c r="R58" s="104">
        <f t="shared" si="55"/>
        <v>7.1776658598501483E-3</v>
      </c>
      <c r="S58" s="104">
        <f t="shared" si="55"/>
        <v>7.1715627972736866E-3</v>
      </c>
      <c r="T58" s="104">
        <f t="shared" si="55"/>
        <v>7.2388398212268838E-3</v>
      </c>
      <c r="U58" s="104">
        <f t="shared" si="55"/>
        <v>8.8155629835610753E-3</v>
      </c>
      <c r="V58" s="104">
        <f t="shared" si="55"/>
        <v>2.0722423155598108E-2</v>
      </c>
      <c r="W58" s="104">
        <f t="shared" ref="W58:Y58" si="56">IF(W12=0,0,W12/W$3)</f>
        <v>1.7235576126133717E-2</v>
      </c>
      <c r="X58" s="104">
        <f t="shared" si="56"/>
        <v>1.7649732001528022E-2</v>
      </c>
      <c r="Y58" s="104">
        <f t="shared" si="56"/>
        <v>9.7460999514180566E-3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2.7535986973812859E-3</v>
      </c>
      <c r="C59" s="105">
        <f t="shared" si="57"/>
        <v>2.5022305889667298E-3</v>
      </c>
      <c r="D59" s="105">
        <f t="shared" ref="D59:V59" si="58">IF(D13=0,0,D13/D$3)</f>
        <v>3.01534267273052E-3</v>
      </c>
      <c r="E59" s="105">
        <f t="shared" si="58"/>
        <v>3.0014027959855399E-3</v>
      </c>
      <c r="F59" s="105">
        <f t="shared" si="58"/>
        <v>3.4892284639813577E-3</v>
      </c>
      <c r="G59" s="105">
        <f t="shared" si="58"/>
        <v>4.000698450000598E-3</v>
      </c>
      <c r="H59" s="105">
        <f t="shared" si="58"/>
        <v>3.6601861307155249E-3</v>
      </c>
      <c r="I59" s="105">
        <f t="shared" si="58"/>
        <v>2.9823485004500071E-3</v>
      </c>
      <c r="J59" s="105">
        <f t="shared" si="58"/>
        <v>2.655043440859648E-3</v>
      </c>
      <c r="K59" s="105">
        <f t="shared" si="58"/>
        <v>4.6903819259086175E-3</v>
      </c>
      <c r="L59" s="105">
        <f t="shared" si="58"/>
        <v>7.8977111809956837E-3</v>
      </c>
      <c r="M59" s="105">
        <f t="shared" si="58"/>
        <v>4.712547272564125E-3</v>
      </c>
      <c r="N59" s="105">
        <f t="shared" si="58"/>
        <v>1.5902902754090663E-3</v>
      </c>
      <c r="O59" s="105">
        <f t="shared" si="58"/>
        <v>1.6072702228681565E-3</v>
      </c>
      <c r="P59" s="105">
        <f t="shared" si="58"/>
        <v>2.0515482571341489E-3</v>
      </c>
      <c r="Q59" s="105">
        <f t="shared" si="58"/>
        <v>4.9938662042906846E-3</v>
      </c>
      <c r="R59" s="105">
        <f t="shared" si="58"/>
        <v>4.0857947127333274E-3</v>
      </c>
      <c r="S59" s="105">
        <f t="shared" si="58"/>
        <v>4.5464913782131246E-3</v>
      </c>
      <c r="T59" s="105">
        <f t="shared" si="58"/>
        <v>2.8495956161791688E-3</v>
      </c>
      <c r="U59" s="105">
        <f t="shared" si="58"/>
        <v>1.6083191183742019E-3</v>
      </c>
      <c r="V59" s="105">
        <f t="shared" si="58"/>
        <v>3.8541591869849087E-3</v>
      </c>
      <c r="W59" s="105">
        <f t="shared" ref="W59:Y59" si="59">IF(W13=0,0,W13/W$3)</f>
        <v>1.8955322245590147E-3</v>
      </c>
      <c r="X59" s="105">
        <f t="shared" si="59"/>
        <v>3.1217973666158162E-3</v>
      </c>
      <c r="Y59" s="105">
        <f t="shared" si="59"/>
        <v>1.8492807361068933E-3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1531820</v>
      </c>
      <c r="C4" s="11">
        <f t="shared" si="0"/>
        <v>2114808</v>
      </c>
      <c r="D4" s="11">
        <f t="shared" ref="D4" si="1">SUM(D5:D7)</f>
        <v>2376272</v>
      </c>
      <c r="E4" s="11">
        <f t="shared" ref="E4" si="2">SUM(E5:E7)</f>
        <v>3001431</v>
      </c>
      <c r="F4" s="11">
        <f t="shared" ref="F4" si="3">SUM(F5:F7)</f>
        <v>2834442</v>
      </c>
      <c r="G4" s="11">
        <f t="shared" ref="G4" si="4">SUM(G5:G7)</f>
        <v>3297989</v>
      </c>
      <c r="H4" s="11">
        <f t="shared" ref="H4" si="5">SUM(H5:H7)</f>
        <v>3882171</v>
      </c>
      <c r="I4" s="11">
        <f t="shared" ref="I4" si="6">SUM(I5:I7)</f>
        <v>4275696</v>
      </c>
      <c r="J4" s="11">
        <f t="shared" ref="J4" si="7">SUM(J5:J7)</f>
        <v>4513386</v>
      </c>
      <c r="K4" s="11">
        <f t="shared" ref="K4" si="8">SUM(K5:K7)</f>
        <v>4223859</v>
      </c>
      <c r="L4" s="11">
        <f t="shared" ref="L4" si="9">SUM(L5:L7)</f>
        <v>4399058</v>
      </c>
      <c r="M4" s="11">
        <f t="shared" ref="M4" si="10">SUM(M5:M7)</f>
        <v>4644041</v>
      </c>
      <c r="N4" s="11">
        <f t="shared" ref="N4" si="11">SUM(N5:N7)</f>
        <v>4511252</v>
      </c>
      <c r="O4" s="11">
        <f t="shared" ref="O4" si="12">SUM(O5:O7)</f>
        <v>4602377</v>
      </c>
      <c r="P4" s="11">
        <f t="shared" ref="P4" si="13">SUM(P5:P7)</f>
        <v>4880530</v>
      </c>
      <c r="Q4" s="11">
        <f t="shared" ref="Q4" si="14">SUM(Q5:Q7)</f>
        <v>4871686</v>
      </c>
      <c r="R4" s="11">
        <f t="shared" ref="R4" si="15">SUM(R5:R7)</f>
        <v>6022389</v>
      </c>
      <c r="S4" s="11">
        <f t="shared" ref="S4" si="16">SUM(S5:S7)</f>
        <v>6909879</v>
      </c>
      <c r="T4" s="11">
        <f t="shared" ref="T4" si="17">SUM(T5:T7)</f>
        <v>7546890</v>
      </c>
      <c r="U4" s="11">
        <f t="shared" ref="U4" si="18">SUM(U5:U7)</f>
        <v>7097054</v>
      </c>
      <c r="V4" s="11">
        <f t="shared" ref="V4:W4" si="19">SUM(V5:V7)</f>
        <v>2897153</v>
      </c>
      <c r="W4" s="11">
        <f t="shared" si="19"/>
        <v>3812898</v>
      </c>
      <c r="X4" s="11">
        <f t="shared" ref="X4:Y4" si="20">SUM(X5:X7)</f>
        <v>5552711</v>
      </c>
      <c r="Y4" s="11">
        <f t="shared" si="20"/>
        <v>6463612</v>
      </c>
      <c r="DA4" s="189" t="s">
        <v>362</v>
      </c>
    </row>
    <row r="5" spans="1:105" ht="11.45" customHeight="1" x14ac:dyDescent="0.25">
      <c r="A5" s="83" t="s">
        <v>27</v>
      </c>
      <c r="B5" s="84">
        <v>125485</v>
      </c>
      <c r="C5" s="84">
        <v>287285</v>
      </c>
      <c r="D5" s="84">
        <v>175059</v>
      </c>
      <c r="E5" s="84">
        <v>157760</v>
      </c>
      <c r="F5" s="84">
        <v>129629</v>
      </c>
      <c r="G5" s="84">
        <v>150173</v>
      </c>
      <c r="H5" s="84">
        <v>195315</v>
      </c>
      <c r="I5" s="84">
        <v>242444</v>
      </c>
      <c r="J5" s="84">
        <v>310410</v>
      </c>
      <c r="K5" s="84">
        <v>347862</v>
      </c>
      <c r="L5" s="84">
        <v>323646</v>
      </c>
      <c r="M5" s="84">
        <v>366198</v>
      </c>
      <c r="N5" s="84">
        <v>360991</v>
      </c>
      <c r="O5" s="84">
        <v>341997</v>
      </c>
      <c r="P5" s="84">
        <v>302025</v>
      </c>
      <c r="Q5" s="84">
        <v>301080</v>
      </c>
      <c r="R5" s="84">
        <v>304627</v>
      </c>
      <c r="S5" s="84">
        <v>411151</v>
      </c>
      <c r="T5" s="84">
        <v>419304</v>
      </c>
      <c r="U5" s="84">
        <v>382700</v>
      </c>
      <c r="V5" s="84">
        <v>224218</v>
      </c>
      <c r="W5" s="84">
        <v>290643</v>
      </c>
      <c r="X5" s="84">
        <v>320729</v>
      </c>
      <c r="Y5" s="84">
        <v>342821</v>
      </c>
      <c r="DA5" s="171" t="s">
        <v>363</v>
      </c>
    </row>
    <row r="6" spans="1:105" ht="11.45" customHeight="1" x14ac:dyDescent="0.25">
      <c r="A6" s="83" t="s">
        <v>181</v>
      </c>
      <c r="B6" s="84">
        <v>1185868</v>
      </c>
      <c r="C6" s="84">
        <v>1541029</v>
      </c>
      <c r="D6" s="84">
        <v>1856407</v>
      </c>
      <c r="E6" s="84">
        <v>2397087</v>
      </c>
      <c r="F6" s="84">
        <v>2278179</v>
      </c>
      <c r="G6" s="84">
        <v>2735717</v>
      </c>
      <c r="H6" s="84">
        <v>3247807</v>
      </c>
      <c r="I6" s="84">
        <v>3480729</v>
      </c>
      <c r="J6" s="84">
        <v>3521059</v>
      </c>
      <c r="K6" s="84">
        <v>3211885</v>
      </c>
      <c r="L6" s="84">
        <v>3272699</v>
      </c>
      <c r="M6" s="84">
        <v>3367868</v>
      </c>
      <c r="N6" s="84">
        <v>3180895</v>
      </c>
      <c r="O6" s="84">
        <v>3134227</v>
      </c>
      <c r="P6" s="84">
        <v>3286969</v>
      </c>
      <c r="Q6" s="84">
        <v>3368506</v>
      </c>
      <c r="R6" s="84">
        <v>4349233</v>
      </c>
      <c r="S6" s="84">
        <v>5207564</v>
      </c>
      <c r="T6" s="84">
        <v>5721753</v>
      </c>
      <c r="U6" s="84">
        <v>5352792</v>
      </c>
      <c r="V6" s="84">
        <v>2389608</v>
      </c>
      <c r="W6" s="84">
        <v>2988186</v>
      </c>
      <c r="X6" s="84">
        <v>4561601</v>
      </c>
      <c r="Y6" s="84">
        <v>5322376</v>
      </c>
      <c r="DA6" s="171" t="s">
        <v>364</v>
      </c>
    </row>
    <row r="7" spans="1:105" ht="11.45" customHeight="1" x14ac:dyDescent="0.25">
      <c r="A7" s="85" t="s">
        <v>182</v>
      </c>
      <c r="B7" s="86">
        <v>220467</v>
      </c>
      <c r="C7" s="86">
        <v>286494</v>
      </c>
      <c r="D7" s="86">
        <v>344806</v>
      </c>
      <c r="E7" s="86">
        <v>446584</v>
      </c>
      <c r="F7" s="86">
        <v>426634</v>
      </c>
      <c r="G7" s="86">
        <v>412099</v>
      </c>
      <c r="H7" s="86">
        <v>439049</v>
      </c>
      <c r="I7" s="86">
        <v>552523</v>
      </c>
      <c r="J7" s="86">
        <v>681917</v>
      </c>
      <c r="K7" s="86">
        <v>664112</v>
      </c>
      <c r="L7" s="86">
        <v>802713</v>
      </c>
      <c r="M7" s="86">
        <v>909975</v>
      </c>
      <c r="N7" s="86">
        <v>969366</v>
      </c>
      <c r="O7" s="86">
        <v>1126153</v>
      </c>
      <c r="P7" s="86">
        <v>1291536</v>
      </c>
      <c r="Q7" s="86">
        <v>1202100</v>
      </c>
      <c r="R7" s="86">
        <v>1368529</v>
      </c>
      <c r="S7" s="86">
        <v>1291164</v>
      </c>
      <c r="T7" s="86">
        <v>1405833</v>
      </c>
      <c r="U7" s="86">
        <v>1361562</v>
      </c>
      <c r="V7" s="86">
        <v>283327</v>
      </c>
      <c r="W7" s="86">
        <v>534069</v>
      </c>
      <c r="X7" s="86">
        <v>670381</v>
      </c>
      <c r="Y7" s="86">
        <v>798415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125.96168078283036</v>
      </c>
      <c r="C12" s="14">
        <f>IF(C4=0,0,C4/TrAvia_act!C24)</f>
        <v>122.20085519473015</v>
      </c>
      <c r="D12" s="14">
        <f>IF(D4=0,0,D4/TrAvia_act!D24)</f>
        <v>128.63487251664591</v>
      </c>
      <c r="E12" s="14">
        <f>IF(E4=0,0,E4/TrAvia_act!E24)</f>
        <v>131.60130661638971</v>
      </c>
      <c r="F12" s="14">
        <f>IF(F4=0,0,F4/TrAvia_act!F24)</f>
        <v>133.70009433962264</v>
      </c>
      <c r="G12" s="14">
        <f>IF(G4=0,0,G4/TrAvia_act!G24)</f>
        <v>135.29101201952659</v>
      </c>
      <c r="H12" s="14">
        <f>IF(H4=0,0,H4/TrAvia_act!H24)</f>
        <v>137.00007057910153</v>
      </c>
      <c r="I12" s="14">
        <f>IF(I4=0,0,I4/TrAvia_act!I24)</f>
        <v>137.14263720050036</v>
      </c>
      <c r="J12" s="14">
        <f>IF(J4=0,0,J4/TrAvia_act!J24)</f>
        <v>136.74441010725323</v>
      </c>
      <c r="K12" s="14">
        <f>IF(K4=0,0,K4/TrAvia_act!K24)</f>
        <v>139.65940351805315</v>
      </c>
      <c r="L12" s="14">
        <f>IF(L4=0,0,L4/TrAvia_act!L24)</f>
        <v>141.26257987861661</v>
      </c>
      <c r="M12" s="14">
        <f>IF(M4=0,0,M4/TrAvia_act!M24)</f>
        <v>142.28066789215686</v>
      </c>
      <c r="N12" s="14">
        <f>IF(N4=0,0,N4/TrAvia_act!N24)</f>
        <v>147.2436843135975</v>
      </c>
      <c r="O12" s="14">
        <f>IF(O4=0,0,O4/TrAvia_act!O24)</f>
        <v>154.36448096595674</v>
      </c>
      <c r="P12" s="14">
        <f>IF(P4=0,0,P4/TrAvia_act!P24)</f>
        <v>154.34458113279149</v>
      </c>
      <c r="Q12" s="14">
        <f>IF(Q4=0,0,Q4/TrAvia_act!Q24)</f>
        <v>152.88037406640305</v>
      </c>
      <c r="R12" s="14">
        <f>IF(R4=0,0,R4/TrAvia_act!R24)</f>
        <v>159.74930369505822</v>
      </c>
      <c r="S12" s="14">
        <f>IF(S4=0,0,S4/TrAvia_act!S24)</f>
        <v>166.53119803340323</v>
      </c>
      <c r="T12" s="14">
        <f>IF(T4=0,0,T4/TrAvia_act!T24)</f>
        <v>168.0746960046323</v>
      </c>
      <c r="U12" s="14">
        <f>IF(U4=0,0,U4/TrAvia_act!U24)</f>
        <v>168.20852294273797</v>
      </c>
      <c r="V12" s="14">
        <f>IF(V4=0,0,V4/TrAvia_act!V24)</f>
        <v>165.63678463209649</v>
      </c>
      <c r="W12" s="14">
        <f>IF(W4=0,0,W4/TrAvia_act!W24)</f>
        <v>167.3791922739245</v>
      </c>
      <c r="X12" s="14">
        <f>IF(X4=0,0,X4/TrAvia_act!X24)</f>
        <v>174.2737744021091</v>
      </c>
      <c r="Y12" s="14">
        <f>IF(Y4=0,0,Y4/TrAvia_act!Y24)</f>
        <v>175.09446024651226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73.598240469208207</v>
      </c>
      <c r="C13" s="87">
        <f>IF(C5=0,0,C5/TrAvia_act!C25)</f>
        <v>76.507323568575231</v>
      </c>
      <c r="D13" s="87">
        <f>IF(D5=0,0,D5/TrAvia_act!D25)</f>
        <v>78.819900945520033</v>
      </c>
      <c r="E13" s="87">
        <f>IF(E5=0,0,E5/TrAvia_act!E25)</f>
        <v>80.203355363497707</v>
      </c>
      <c r="F13" s="87">
        <f>IF(F5=0,0,F5/TrAvia_act!F25)</f>
        <v>81.425251256281413</v>
      </c>
      <c r="G13" s="87">
        <f>IF(G5=0,0,G5/TrAvia_act!G25)</f>
        <v>81.927441352973261</v>
      </c>
      <c r="H13" s="87">
        <f>IF(H5=0,0,H5/TrAvia_act!H25)</f>
        <v>82.550718512256978</v>
      </c>
      <c r="I13" s="87">
        <f>IF(I5=0,0,I5/TrAvia_act!I25)</f>
        <v>83.314089347079033</v>
      </c>
      <c r="J13" s="87">
        <f>IF(J5=0,0,J5/TrAvia_act!J25)</f>
        <v>93.666264333132162</v>
      </c>
      <c r="K13" s="87">
        <f>IF(K5=0,0,K5/TrAvia_act!K25)</f>
        <v>113.79195289499509</v>
      </c>
      <c r="L13" s="87">
        <f>IF(L5=0,0,L5/TrAvia_act!L25)</f>
        <v>112.26014568158169</v>
      </c>
      <c r="M13" s="87">
        <f>IF(M5=0,0,M5/TrAvia_act!M25)</f>
        <v>103.06726709822685</v>
      </c>
      <c r="N13" s="87">
        <f>IF(N5=0,0,N5/TrAvia_act!N25)</f>
        <v>108.53607937462418</v>
      </c>
      <c r="O13" s="87">
        <f>IF(O5=0,0,O5/TrAvia_act!O25)</f>
        <v>122.84375</v>
      </c>
      <c r="P13" s="87">
        <f>IF(P5=0,0,P5/TrAvia_act!P25)</f>
        <v>120.61701277955271</v>
      </c>
      <c r="Q13" s="87">
        <f>IF(Q5=0,0,Q5/TrAvia_act!Q25)</f>
        <v>121.40322580645162</v>
      </c>
      <c r="R13" s="87">
        <f>IF(R5=0,0,R5/TrAvia_act!R25)</f>
        <v>126.61138819617622</v>
      </c>
      <c r="S13" s="87">
        <f>IF(S5=0,0,S5/TrAvia_act!S25)</f>
        <v>143.20828979449669</v>
      </c>
      <c r="T13" s="87">
        <f>IF(T5=0,0,T5/TrAvia_act!T25)</f>
        <v>143.79423868312756</v>
      </c>
      <c r="U13" s="87">
        <f>IF(U5=0,0,U5/TrAvia_act!U25)</f>
        <v>141.26984126984127</v>
      </c>
      <c r="V13" s="87">
        <f>IF(V5=0,0,V5/TrAvia_act!V25)</f>
        <v>126.82013574660634</v>
      </c>
      <c r="W13" s="87">
        <f>IF(W5=0,0,W5/TrAvia_act!W25)</f>
        <v>131.2158013544018</v>
      </c>
      <c r="X13" s="87">
        <f>IF(X5=0,0,X5/TrAvia_act!X25)</f>
        <v>146.51850159890361</v>
      </c>
      <c r="Y13" s="87">
        <f>IF(Y5=0,0,Y5/TrAvia_act!Y25)</f>
        <v>155.19284744228159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132.49921787709496</v>
      </c>
      <c r="C14" s="87">
        <f>IF(C6=0,0,C6/TrAvia_act!C26)</f>
        <v>132.84732758620689</v>
      </c>
      <c r="D14" s="87">
        <f>IF(D6=0,0,D6/TrAvia_act!D26)</f>
        <v>133.43926106958023</v>
      </c>
      <c r="E14" s="87">
        <f>IF(E6=0,0,E6/TrAvia_act!E26)</f>
        <v>134.36586322869954</v>
      </c>
      <c r="F14" s="87">
        <f>IF(F6=0,0,F6/TrAvia_act!F26)</f>
        <v>135.72707774798928</v>
      </c>
      <c r="G14" s="87">
        <f>IF(G6=0,0,G6/TrAvia_act!G26)</f>
        <v>137.9515405173718</v>
      </c>
      <c r="H14" s="87">
        <f>IF(H6=0,0,H6/TrAvia_act!H26)</f>
        <v>140.64641434262947</v>
      </c>
      <c r="I14" s="87">
        <f>IF(I6=0,0,I6/TrAvia_act!I26)</f>
        <v>141.34940101522844</v>
      </c>
      <c r="J14" s="87">
        <f>IF(J6=0,0,J6/TrAvia_act!J26)</f>
        <v>139.60268812941084</v>
      </c>
      <c r="K14" s="87">
        <f>IF(K6=0,0,K6/TrAvia_act!K26)</f>
        <v>139.48343249229166</v>
      </c>
      <c r="L14" s="87">
        <f>IF(L6=0,0,L6/TrAvia_act!L26)</f>
        <v>141.18023381217375</v>
      </c>
      <c r="M14" s="87">
        <f>IF(M6=0,0,M6/TrAvia_act!M26)</f>
        <v>144.06142527162288</v>
      </c>
      <c r="N14" s="87">
        <f>IF(N6=0,0,N6/TrAvia_act!N26)</f>
        <v>148.12083818393481</v>
      </c>
      <c r="O14" s="87">
        <f>IF(O6=0,0,O6/TrAvia_act!O26)</f>
        <v>151.30229302437846</v>
      </c>
      <c r="P14" s="87">
        <f>IF(P6=0,0,P6/TrAvia_act!P26)</f>
        <v>152.72600130099434</v>
      </c>
      <c r="Q14" s="87">
        <f>IF(Q6=0,0,Q6/TrAvia_act!Q26)</f>
        <v>154.31334463328599</v>
      </c>
      <c r="R14" s="87">
        <f>IF(R6=0,0,R6/TrAvia_act!R26)</f>
        <v>162.17588932806325</v>
      </c>
      <c r="S14" s="87">
        <f>IF(S6=0,0,S6/TrAvia_act!S26)</f>
        <v>170.67265338227583</v>
      </c>
      <c r="T14" s="87">
        <f>IF(T6=0,0,T6/TrAvia_act!T26)</f>
        <v>173.60214205528081</v>
      </c>
      <c r="U14" s="87">
        <f>IF(U6=0,0,U6/TrAvia_act!U26)</f>
        <v>173.57779363123419</v>
      </c>
      <c r="V14" s="87">
        <f>IF(V6=0,0,V6/TrAvia_act!V26)</f>
        <v>173.26044083526682</v>
      </c>
      <c r="W14" s="87">
        <f>IF(W6=0,0,W6/TrAvia_act!W26)</f>
        <v>174.1976215459951</v>
      </c>
      <c r="X14" s="87">
        <f>IF(X6=0,0,X6/TrAvia_act!X26)</f>
        <v>179.51284876628233</v>
      </c>
      <c r="Y14" s="87">
        <f>IF(Y6=0,0,Y6/TrAvia_act!Y26)</f>
        <v>179.9437419703834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146.39243027888446</v>
      </c>
      <c r="C15" s="88">
        <f>IF(C7=0,0,C7/TrAvia_act!C27)</f>
        <v>146.84469502819067</v>
      </c>
      <c r="D15" s="88">
        <f>IF(D7=0,0,D7/TrAvia_act!D27)</f>
        <v>147.35299145299146</v>
      </c>
      <c r="E15" s="88">
        <f>IF(E7=0,0,E7/TrAvia_act!E27)</f>
        <v>148.86133333333333</v>
      </c>
      <c r="F15" s="88">
        <f>IF(F7=0,0,F7/TrAvia_act!F27)</f>
        <v>151.12787814381863</v>
      </c>
      <c r="G15" s="88">
        <f>IF(G7=0,0,G7/TrAvia_act!G27)</f>
        <v>151.89789900479175</v>
      </c>
      <c r="H15" s="88">
        <f>IF(H7=0,0,H7/TrAvia_act!H27)</f>
        <v>152.50052101424106</v>
      </c>
      <c r="I15" s="88">
        <f>IF(I7=0,0,I7/TrAvia_act!I27)</f>
        <v>151.70867655134541</v>
      </c>
      <c r="J15" s="88">
        <f>IF(J7=0,0,J7/TrAvia_act!J27)</f>
        <v>152.55413870246085</v>
      </c>
      <c r="K15" s="88">
        <f>IF(K7=0,0,K7/TrAvia_act!K27)</f>
        <v>159.6423076923077</v>
      </c>
      <c r="L15" s="88">
        <f>IF(L7=0,0,L7/TrAvia_act!L27)</f>
        <v>158.10774079180618</v>
      </c>
      <c r="M15" s="88">
        <f>IF(M7=0,0,M7/TrAvia_act!M27)</f>
        <v>159.39306358381504</v>
      </c>
      <c r="N15" s="88">
        <f>IF(N7=0,0,N7/TrAvia_act!N27)</f>
        <v>166.07264005482267</v>
      </c>
      <c r="O15" s="88">
        <f>IF(O7=0,0,O7/TrAvia_act!O27)</f>
        <v>178.30161494616846</v>
      </c>
      <c r="P15" s="88">
        <f>IF(P7=0,0,P7/TrAvia_act!P27)</f>
        <v>170.05082290980909</v>
      </c>
      <c r="Q15" s="88">
        <f>IF(Q7=0,0,Q7/TrAvia_act!Q27)</f>
        <v>159.07105994442239</v>
      </c>
      <c r="R15" s="88">
        <f>IF(R7=0,0,R7/TrAvia_act!R27)</f>
        <v>161.47834808259586</v>
      </c>
      <c r="S15" s="88">
        <f>IF(S7=0,0,S7/TrAvia_act!S27)</f>
        <v>159.20641183723797</v>
      </c>
      <c r="T15" s="88">
        <f>IF(T7=0,0,T7/TrAvia_act!T27)</f>
        <v>155.73645729478233</v>
      </c>
      <c r="U15" s="88">
        <f>IF(U7=0,0,U7/TrAvia_act!U27)</f>
        <v>157.49705031810294</v>
      </c>
      <c r="V15" s="88">
        <f>IF(V7=0,0,V7/TrAvia_act!V27)</f>
        <v>146.72553081305023</v>
      </c>
      <c r="W15" s="88">
        <f>IF(W7=0,0,W7/TrAvia_act!W27)</f>
        <v>156.5725593667546</v>
      </c>
      <c r="X15" s="88">
        <f>IF(X7=0,0,X7/TrAvia_act!X27)</f>
        <v>157.29258564054433</v>
      </c>
      <c r="Y15" s="88">
        <f>IF(Y7=0,0,Y7/TrAvia_act!Y27)</f>
        <v>155.69715288611545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0.71169458552571452</v>
      </c>
      <c r="C18" s="25">
        <f>IF(TrAvia_act!C34=0,0,(TrAvia_act!C34/TrAvia_act!C24)/TrAvia_png!C12)</f>
        <v>0.68964416627892455</v>
      </c>
      <c r="D18" s="25">
        <f>IF(TrAvia_act!D34=0,0,(TrAvia_act!D34/TrAvia_act!D24)/TrAvia_png!D12)</f>
        <v>0.71613645239265544</v>
      </c>
      <c r="E18" s="25">
        <f>IF(TrAvia_act!E34=0,0,(TrAvia_act!E34/TrAvia_act!E24)/TrAvia_png!E12)</f>
        <v>0.72604467668921924</v>
      </c>
      <c r="F18" s="25">
        <f>IF(TrAvia_act!F34=0,0,(TrAvia_act!F34/TrAvia_act!F24)/TrAvia_png!F12)</f>
        <v>0.72867816663738405</v>
      </c>
      <c r="G18" s="25">
        <f>IF(TrAvia_act!G34=0,0,(TrAvia_act!G34/TrAvia_act!G24)/TrAvia_png!G12)</f>
        <v>0.7289763549848105</v>
      </c>
      <c r="H18" s="25">
        <f>IF(TrAvia_act!H34=0,0,(TrAvia_act!H34/TrAvia_act!H24)/TrAvia_png!H12)</f>
        <v>0.72763512993116475</v>
      </c>
      <c r="I18" s="25">
        <f>IF(TrAvia_act!I34=0,0,(TrAvia_act!I34/TrAvia_act!I24)/TrAvia_png!I12)</f>
        <v>0.7285861763792375</v>
      </c>
      <c r="J18" s="25">
        <f>IF(TrAvia_act!J34=0,0,(TrAvia_act!J34/TrAvia_act!J24)/TrAvia_png!J12)</f>
        <v>0.73886744896182155</v>
      </c>
      <c r="K18" s="25">
        <f>IF(TrAvia_act!K34=0,0,(TrAvia_act!K34/TrAvia_act!K24)/TrAvia_png!K12)</f>
        <v>0.72226913824538186</v>
      </c>
      <c r="L18" s="25">
        <f>IF(TrAvia_act!L34=0,0,(TrAvia_act!L34/TrAvia_act!L24)/TrAvia_png!L12)</f>
        <v>0.73331335936011766</v>
      </c>
      <c r="M18" s="25">
        <f>IF(TrAvia_act!M34=0,0,(TrAvia_act!M34/TrAvia_act!M24)/TrAvia_png!M12)</f>
        <v>0.74654788792777682</v>
      </c>
      <c r="N18" s="25">
        <f>IF(TrAvia_act!N34=0,0,(TrAvia_act!N34/TrAvia_act!N24)/TrAvia_png!N12)</f>
        <v>0.78715753409474798</v>
      </c>
      <c r="O18" s="25">
        <f>IF(TrAvia_act!O34=0,0,(TrAvia_act!O34/TrAvia_act!O24)/TrAvia_png!O12)</f>
        <v>0.7971498206252986</v>
      </c>
      <c r="P18" s="25">
        <f>IF(TrAvia_act!P34=0,0,(TrAvia_act!P34/TrAvia_act!P24)/TrAvia_png!P12)</f>
        <v>0.79684583436634959</v>
      </c>
      <c r="Q18" s="25">
        <f>IF(TrAvia_act!Q34=0,0,(TrAvia_act!Q34/TrAvia_act!Q24)/TrAvia_png!Q12)</f>
        <v>0.812582748559739</v>
      </c>
      <c r="R18" s="25">
        <f>IF(TrAvia_act!R34=0,0,(TrAvia_act!R34/TrAvia_act!R24)/TrAvia_png!R12)</f>
        <v>0.797267496337417</v>
      </c>
      <c r="S18" s="25">
        <f>IF(TrAvia_act!S34=0,0,(TrAvia_act!S34/TrAvia_act!S24)/TrAvia_png!S12)</f>
        <v>0.83302225697439847</v>
      </c>
      <c r="T18" s="25">
        <f>IF(TrAvia_act!T34=0,0,(TrAvia_act!T34/TrAvia_act!T24)/TrAvia_png!T12)</f>
        <v>0.83245933092969426</v>
      </c>
      <c r="U18" s="25">
        <f>IF(TrAvia_act!U34=0,0,(TrAvia_act!U34/TrAvia_act!U24)/TrAvia_png!U12)</f>
        <v>0.85118416740241787</v>
      </c>
      <c r="V18" s="25">
        <f>IF(TrAvia_act!V34=0,0,(TrAvia_act!V34/TrAvia_act!V24)/TrAvia_png!V12)</f>
        <v>0.67158827994241255</v>
      </c>
      <c r="W18" s="25">
        <f>IF(TrAvia_act!W34=0,0,(TrAvia_act!W34/TrAvia_act!W24)/TrAvia_png!W12)</f>
        <v>0.70884429638558388</v>
      </c>
      <c r="X18" s="25">
        <f>IF(TrAvia_act!X34=0,0,(TrAvia_act!X34/TrAvia_act!X24)/TrAvia_png!X12)</f>
        <v>0.82220684634946783</v>
      </c>
      <c r="Y18" s="25">
        <f>IF(TrAvia_act!Y34=0,0,(TrAvia_act!Y34/TrAvia_act!Y24)/TrAvia_png!Y12)</f>
        <v>0.84051115691969136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0.32681196955811453</v>
      </c>
      <c r="C19" s="89">
        <f>IF(TrAvia_act!C35=0,0,(TrAvia_act!C35/TrAvia_act!C25)/TrAvia_png!C13)</f>
        <v>0.33017038829037371</v>
      </c>
      <c r="D19" s="89">
        <f>IF(TrAvia_act!D35=0,0,(TrAvia_act!D35/TrAvia_act!D25)/TrAvia_png!D13)</f>
        <v>0.33405309067228761</v>
      </c>
      <c r="E19" s="89">
        <f>IF(TrAvia_act!E35=0,0,(TrAvia_act!E35/TrAvia_act!E25)/TrAvia_png!E13)</f>
        <v>0.3425519776876268</v>
      </c>
      <c r="F19" s="89">
        <f>IF(TrAvia_act!F35=0,0,(TrAvia_act!F35/TrAvia_act!F25)/TrAvia_png!F13)</f>
        <v>0.35290714269183593</v>
      </c>
      <c r="G19" s="89">
        <f>IF(TrAvia_act!G35=0,0,(TrAvia_act!G35/TrAvia_act!G25)/TrAvia_png!G13)</f>
        <v>0.36619099305467695</v>
      </c>
      <c r="H19" s="89">
        <f>IF(TrAvia_act!H35=0,0,(TrAvia_act!H35/TrAvia_act!H25)/TrAvia_png!H13)</f>
        <v>0.37837851675498552</v>
      </c>
      <c r="I19" s="89">
        <f>IF(TrAvia_act!I35=0,0,(TrAvia_act!I35/TrAvia_act!I25)/TrAvia_png!I13)</f>
        <v>0.39040768177393542</v>
      </c>
      <c r="J19" s="89">
        <f>IF(TrAvia_act!J35=0,0,(TrAvia_act!J35/TrAvia_act!J25)/TrAvia_png!J13)</f>
        <v>0.47884733094938953</v>
      </c>
      <c r="K19" s="89">
        <f>IF(TrAvia_act!K35=0,0,(TrAvia_act!K35/TrAvia_act!K25)/TrAvia_png!K13)</f>
        <v>0.52495817306863068</v>
      </c>
      <c r="L19" s="89">
        <f>IF(TrAvia_act!L35=0,0,(TrAvia_act!L35/TrAvia_act!L25)/TrAvia_png!L13)</f>
        <v>0.59933075026417748</v>
      </c>
      <c r="M19" s="89">
        <f>IF(TrAvia_act!M35=0,0,(TrAvia_act!M35/TrAvia_act!M25)/TrAvia_png!M13)</f>
        <v>0.58547288625279226</v>
      </c>
      <c r="N19" s="89">
        <f>IF(TrAvia_act!N35=0,0,(TrAvia_act!N35/TrAvia_act!N25)/TrAvia_png!N13)</f>
        <v>0.5925743301079528</v>
      </c>
      <c r="O19" s="89">
        <f>IF(TrAvia_act!O35=0,0,(TrAvia_act!O35/TrAvia_act!O25)/TrAvia_png!O13)</f>
        <v>0.57420386728538553</v>
      </c>
      <c r="P19" s="89">
        <f>IF(TrAvia_act!P35=0,0,(TrAvia_act!P35/TrAvia_act!P25)/TrAvia_png!P13)</f>
        <v>0.58907375217283331</v>
      </c>
      <c r="Q19" s="89">
        <f>IF(TrAvia_act!Q35=0,0,(TrAvia_act!Q35/TrAvia_act!Q25)/TrAvia_png!Q13)</f>
        <v>0.57632522917497009</v>
      </c>
      <c r="R19" s="89">
        <f>IF(TrAvia_act!R35=0,0,(TrAvia_act!R35/TrAvia_act!R25)/TrAvia_png!R13)</f>
        <v>0.57743075958467238</v>
      </c>
      <c r="S19" s="89">
        <f>IF(TrAvia_act!S35=0,0,(TrAvia_act!S35/TrAvia_act!S25)/TrAvia_png!S13)</f>
        <v>0.70939387232427986</v>
      </c>
      <c r="T19" s="89">
        <f>IF(TrAvia_act!T35=0,0,(TrAvia_act!T35/TrAvia_act!T25)/TrAvia_png!T13)</f>
        <v>0.7700117337301815</v>
      </c>
      <c r="U19" s="89">
        <f>IF(TrAvia_act!U35=0,0,(TrAvia_act!U35/TrAvia_act!U25)/TrAvia_png!U13)</f>
        <v>0.78551868304154693</v>
      </c>
      <c r="V19" s="89">
        <f>IF(TrAvia_act!V35=0,0,(TrAvia_act!V35/TrAvia_act!V25)/TrAvia_png!V13)</f>
        <v>0.60931771757842801</v>
      </c>
      <c r="W19" s="89">
        <f>IF(TrAvia_act!W35=0,0,(TrAvia_act!W35/TrAvia_act!W25)/TrAvia_png!W13)</f>
        <v>0.74505837057833835</v>
      </c>
      <c r="X19" s="89">
        <f>IF(TrAvia_act!X35=0,0,(TrAvia_act!X35/TrAvia_act!X25)/TrAvia_png!X13)</f>
        <v>0.76438675642052956</v>
      </c>
      <c r="Y19" s="89">
        <f>IF(TrAvia_act!Y35=0,0,(TrAvia_act!Y35/TrAvia_act!Y25)/TrAvia_png!Y13)</f>
        <v>0.75149422001569322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0.7421618594986964</v>
      </c>
      <c r="C20" s="89">
        <f>IF(TrAvia_act!C36=0,0,(TrAvia_act!C36/TrAvia_act!C26)/TrAvia_png!C14)</f>
        <v>0.74238057817211756</v>
      </c>
      <c r="D20" s="89">
        <f>IF(TrAvia_act!D36=0,0,(TrAvia_act!D36/TrAvia_act!D26)/TrAvia_png!D14)</f>
        <v>0.74286457657184002</v>
      </c>
      <c r="E20" s="89">
        <f>IF(TrAvia_act!E36=0,0,(TrAvia_act!E36/TrAvia_act!E26)/TrAvia_png!E14)</f>
        <v>0.74401721756448558</v>
      </c>
      <c r="F20" s="89">
        <f>IF(TrAvia_act!F36=0,0,(TrAvia_act!F36/TrAvia_act!F26)/TrAvia_png!F14)</f>
        <v>0.74373304292595088</v>
      </c>
      <c r="G20" s="89">
        <f>IF(TrAvia_act!G36=0,0,(TrAvia_act!G36/TrAvia_act!G26)/TrAvia_png!G14)</f>
        <v>0.74403858293822056</v>
      </c>
      <c r="H20" s="89">
        <f>IF(TrAvia_act!H36=0,0,(TrAvia_act!H36/TrAvia_act!H26)/TrAvia_png!H14)</f>
        <v>0.74419816202132705</v>
      </c>
      <c r="I20" s="89">
        <f>IF(TrAvia_act!I36=0,0,(TrAvia_act!I36/TrAvia_act!I26)/TrAvia_png!I14)</f>
        <v>0.74669042031137722</v>
      </c>
      <c r="J20" s="89">
        <f>IF(TrAvia_act!J36=0,0,(TrAvia_act!J36/TrAvia_act!J26)/TrAvia_png!J14)</f>
        <v>0.75951184004584982</v>
      </c>
      <c r="K20" s="89">
        <f>IF(TrAvia_act!K36=0,0,(TrAvia_act!K36/TrAvia_act!K26)/TrAvia_png!K14)</f>
        <v>0.74228311412145831</v>
      </c>
      <c r="L20" s="89">
        <f>IF(TrAvia_act!L36=0,0,(TrAvia_act!L36/TrAvia_act!L26)/TrAvia_png!L14)</f>
        <v>0.74330881025111084</v>
      </c>
      <c r="M20" s="89">
        <f>IF(TrAvia_act!M36=0,0,(TrAvia_act!M36/TrAvia_act!M26)/TrAvia_png!M14)</f>
        <v>0.76269883498996993</v>
      </c>
      <c r="N20" s="89">
        <f>IF(TrAvia_act!N36=0,0,(TrAvia_act!N36/TrAvia_act!N26)/TrAvia_png!N14)</f>
        <v>0.80549153618714231</v>
      </c>
      <c r="O20" s="89">
        <f>IF(TrAvia_act!O36=0,0,(TrAvia_act!O36/TrAvia_act!O26)/TrAvia_png!O14)</f>
        <v>0.82004494250097404</v>
      </c>
      <c r="P20" s="89">
        <f>IF(TrAvia_act!P36=0,0,(TrAvia_act!P36/TrAvia_act!P26)/TrAvia_png!P14)</f>
        <v>0.82149998980823979</v>
      </c>
      <c r="Q20" s="89">
        <f>IF(TrAvia_act!Q36=0,0,(TrAvia_act!Q36/TrAvia_act!Q26)/TrAvia_png!Q14)</f>
        <v>0.84302922423175131</v>
      </c>
      <c r="R20" s="89">
        <f>IF(TrAvia_act!R36=0,0,(TrAvia_act!R36/TrAvia_act!R26)/TrAvia_png!R14)</f>
        <v>0.81636417271735029</v>
      </c>
      <c r="S20" s="89">
        <f>IF(TrAvia_act!S36=0,0,(TrAvia_act!S36/TrAvia_act!S26)/TrAvia_png!S14)</f>
        <v>0.84674945905609611</v>
      </c>
      <c r="T20" s="89">
        <f>IF(TrAvia_act!T36=0,0,(TrAvia_act!T36/TrAvia_act!T26)/TrAvia_png!T14)</f>
        <v>0.84636177059722784</v>
      </c>
      <c r="U20" s="89">
        <f>IF(TrAvia_act!U36=0,0,(TrAvia_act!U36/TrAvia_act!U26)/TrAvia_png!U14)</f>
        <v>0.86772118176831836</v>
      </c>
      <c r="V20" s="89">
        <f>IF(TrAvia_act!V36=0,0,(TrAvia_act!V36/TrAvia_act!V26)/TrAvia_png!V14)</f>
        <v>0.67796600948774866</v>
      </c>
      <c r="W20" s="89">
        <f>IF(TrAvia_act!W36=0,0,(TrAvia_act!W36/TrAvia_act!W26)/TrAvia_png!W14)</f>
        <v>0.70990728154137661</v>
      </c>
      <c r="X20" s="89">
        <f>IF(TrAvia_act!X36=0,0,(TrAvia_act!X36/TrAvia_act!X26)/TrAvia_png!X14)</f>
        <v>0.82887565133381891</v>
      </c>
      <c r="Y20" s="89">
        <f>IF(TrAvia_act!Y36=0,0,(TrAvia_act!Y36/TrAvia_act!Y26)/TrAvia_png!Y14)</f>
        <v>0.84745064986013763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0.76688121124703479</v>
      </c>
      <c r="C21" s="90">
        <f>IF(TrAvia_act!C37=0,0,(TrAvia_act!C37/TrAvia_act!C27)/TrAvia_png!C15)</f>
        <v>0.76644537058367723</v>
      </c>
      <c r="D21" s="90">
        <f>IF(TrAvia_act!D37=0,0,(TrAvia_act!D37/TrAvia_act!D27)/TrAvia_png!D15)</f>
        <v>0.76621926532600937</v>
      </c>
      <c r="E21" s="90">
        <f>IF(TrAvia_act!E37=0,0,(TrAvia_act!E37/TrAvia_act!E27)/TrAvia_png!E15)</f>
        <v>0.76504756104114791</v>
      </c>
      <c r="F21" s="90">
        <f>IF(TrAvia_act!F37=0,0,(TrAvia_act!F37/TrAvia_act!F27)/TrAvia_png!F15)</f>
        <v>0.76246150095866716</v>
      </c>
      <c r="G21" s="90">
        <f>IF(TrAvia_act!G37=0,0,(TrAvia_act!G37/TrAvia_act!G27)/TrAvia_png!G15)</f>
        <v>0.76118845228937704</v>
      </c>
      <c r="H21" s="90">
        <f>IF(TrAvia_act!H37=0,0,(TrAvia_act!H37/TrAvia_act!H27)/TrAvia_png!H15)</f>
        <v>0.76048231518577658</v>
      </c>
      <c r="I21" s="90">
        <f>IF(TrAvia_act!I37=0,0,(TrAvia_act!I37/TrAvia_act!I27)/TrAvia_png!I15)</f>
        <v>0.76292570626019196</v>
      </c>
      <c r="J21" s="90">
        <f>IF(TrAvia_act!J37=0,0,(TrAvia_act!J37/TrAvia_act!J27)/TrAvia_png!J15)</f>
        <v>0.75063240834295086</v>
      </c>
      <c r="K21" s="90">
        <f>IF(TrAvia_act!K37=0,0,(TrAvia_act!K37/TrAvia_act!K27)/TrAvia_png!K15)</f>
        <v>0.72882586069819544</v>
      </c>
      <c r="L21" s="90">
        <f>IF(TrAvia_act!L37=0,0,(TrAvia_act!L37/TrAvia_act!L27)/TrAvia_png!L15)</f>
        <v>0.74658190411766101</v>
      </c>
      <c r="M21" s="90">
        <f>IF(TrAvia_act!M37=0,0,(TrAvia_act!M37/TrAvia_act!M27)/TrAvia_png!M15)</f>
        <v>0.75159317563669326</v>
      </c>
      <c r="N21" s="90">
        <f>IF(TrAvia_act!N37=0,0,(TrAvia_act!N37/TrAvia_act!N27)/TrAvia_png!N15)</f>
        <v>0.79945861521860684</v>
      </c>
      <c r="O21" s="90">
        <f>IF(TrAvia_act!O37=0,0,(TrAvia_act!O37/TrAvia_act!O27)/TrAvia_png!O15)</f>
        <v>0.80113536970553734</v>
      </c>
      <c r="P21" s="90">
        <f>IF(TrAvia_act!P37=0,0,(TrAvia_act!P37/TrAvia_act!P27)/TrAvia_png!P15)</f>
        <v>0.78268821000730915</v>
      </c>
      <c r="Q21" s="90">
        <f>IF(TrAvia_act!Q37=0,0,(TrAvia_act!Q37/TrAvia_act!Q27)/TrAvia_png!Q15)</f>
        <v>0.78643956409616511</v>
      </c>
      <c r="R21" s="90">
        <f>IF(TrAvia_act!R37=0,0,(TrAvia_act!R37/TrAvia_act!R27)/TrAvia_png!R15)</f>
        <v>0.7855120351852245</v>
      </c>
      <c r="S21" s="90">
        <f>IF(TrAvia_act!S37=0,0,(TrAvia_act!S37/TrAvia_act!S27)/TrAvia_png!S15)</f>
        <v>0.8170247931323984</v>
      </c>
      <c r="T21" s="90">
        <f>IF(TrAvia_act!T37=0,0,(TrAvia_act!T37/TrAvia_act!T27)/TrAvia_png!T15)</f>
        <v>0.794501907410055</v>
      </c>
      <c r="U21" s="90">
        <f>IF(TrAvia_act!U37=0,0,(TrAvia_act!U37/TrAvia_act!U27)/TrAvia_png!U15)</f>
        <v>0.80462806688200761</v>
      </c>
      <c r="V21" s="90">
        <f>IF(TrAvia_act!V37=0,0,(TrAvia_act!V37/TrAvia_act!V27)/TrAvia_png!V15)</f>
        <v>0.66707726408002066</v>
      </c>
      <c r="W21" s="90">
        <f>IF(TrAvia_act!W37=0,0,(TrAvia_act!W37/TrAvia_act!W27)/TrAvia_png!W15)</f>
        <v>0.68318887634369341</v>
      </c>
      <c r="X21" s="90">
        <f>IF(TrAvia_act!X37=0,0,(TrAvia_act!X37/TrAvia_act!X27)/TrAvia_png!X15)</f>
        <v>0.80449177408070938</v>
      </c>
      <c r="Y21" s="90">
        <f>IF(TrAvia_act!Y37=0,0,(TrAvia_act!Y37/TrAvia_act!Y27)/TrAvia_png!Y15)</f>
        <v>0.83247308730422154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4.892068517606999E-2</v>
      </c>
      <c r="C24" s="23">
        <f>IF(TrAvia_ene!C6=0,0,TrAvia_ene!C6/(C12*TrAvia_act!C14))</f>
        <v>5.6886507501418423E-2</v>
      </c>
      <c r="D24" s="23">
        <f>IF(TrAvia_ene!D6=0,0,TrAvia_ene!D6/(D12*TrAvia_act!D14))</f>
        <v>4.679753359075027E-2</v>
      </c>
      <c r="E24" s="23">
        <f>IF(TrAvia_ene!E6=0,0,TrAvia_ene!E6/(E12*TrAvia_act!E14))</f>
        <v>4.356740611477887E-2</v>
      </c>
      <c r="F24" s="23">
        <f>IF(TrAvia_ene!F6=0,0,TrAvia_ene!F6/(F12*TrAvia_act!F14))</f>
        <v>4.2109661719776204E-2</v>
      </c>
      <c r="G24" s="23">
        <f>IF(TrAvia_ene!G6=0,0,TrAvia_ene!G6/(G12*TrAvia_act!G14))</f>
        <v>4.1627611389890476E-2</v>
      </c>
      <c r="H24" s="23">
        <f>IF(TrAvia_ene!H6=0,0,TrAvia_ene!H6/(H12*TrAvia_act!H14))</f>
        <v>3.561739489155949E-2</v>
      </c>
      <c r="I24" s="23">
        <f>IF(TrAvia_ene!I6=0,0,TrAvia_ene!I6/(I12*TrAvia_act!I14))</f>
        <v>3.6141519441799413E-2</v>
      </c>
      <c r="J24" s="23">
        <f>IF(TrAvia_ene!J6=0,0,TrAvia_ene!J6/(J12*TrAvia_act!J14))</f>
        <v>3.5380103324807628E-2</v>
      </c>
      <c r="K24" s="23">
        <f>IF(TrAvia_ene!K6=0,0,TrAvia_ene!K6/(K12*TrAvia_act!K14))</f>
        <v>2.9727598115097738E-2</v>
      </c>
      <c r="L24" s="23">
        <f>IF(TrAvia_ene!L6=0,0,TrAvia_ene!L6/(L12*TrAvia_act!L14))</f>
        <v>2.877552224171857E-2</v>
      </c>
      <c r="M24" s="23">
        <f>IF(TrAvia_ene!M6=0,0,TrAvia_ene!M6/(M12*TrAvia_act!M14))</f>
        <v>2.9659466943593425E-2</v>
      </c>
      <c r="N24" s="23">
        <f>IF(TrAvia_ene!N6=0,0,TrAvia_ene!N6/(N12*TrAvia_act!N14))</f>
        <v>2.7590984174101857E-2</v>
      </c>
      <c r="O24" s="23">
        <f>IF(TrAvia_ene!O6=0,0,TrAvia_ene!O6/(O12*TrAvia_act!O14))</f>
        <v>2.5889331391177758E-2</v>
      </c>
      <c r="P24" s="23">
        <f>IF(TrAvia_ene!P6=0,0,TrAvia_ene!P6/(P12*TrAvia_act!P14))</f>
        <v>2.4969053899147248E-2</v>
      </c>
      <c r="Q24" s="23">
        <f>IF(TrAvia_ene!Q6=0,0,TrAvia_ene!Q6/(Q12*TrAvia_act!Q14))</f>
        <v>2.6405400828660785E-2</v>
      </c>
      <c r="R24" s="23">
        <f>IF(TrAvia_ene!R6=0,0,TrAvia_ene!R6/(R12*TrAvia_act!R14))</f>
        <v>2.5275859964762452E-2</v>
      </c>
      <c r="S24" s="23">
        <f>IF(TrAvia_ene!S6=0,0,TrAvia_ene!S6/(S12*TrAvia_act!S14))</f>
        <v>2.4542452907509359E-2</v>
      </c>
      <c r="T24" s="23">
        <f>IF(TrAvia_ene!T6=0,0,TrAvia_ene!T6/(T12*TrAvia_act!T14))</f>
        <v>2.3805189439276644E-2</v>
      </c>
      <c r="U24" s="23">
        <f>IF(TrAvia_ene!U6=0,0,TrAvia_ene!U6/(U12*TrAvia_act!U14))</f>
        <v>2.2501941467150999E-2</v>
      </c>
      <c r="V24" s="23">
        <f>IF(TrAvia_ene!V6=0,0,TrAvia_ene!V6/(V12*TrAvia_act!V14))</f>
        <v>3.0597977006638154E-2</v>
      </c>
      <c r="W24" s="23">
        <f>IF(TrAvia_ene!W6=0,0,TrAvia_ene!W6/(W12*TrAvia_act!W14))</f>
        <v>2.8604893405379892E-2</v>
      </c>
      <c r="X24" s="23">
        <f>IF(TrAvia_ene!X6=0,0,TrAvia_ene!X6/(X12*TrAvia_act!X14))</f>
        <v>2.6821902108893486E-2</v>
      </c>
      <c r="Y24" s="23">
        <f>IF(TrAvia_ene!Y6=0,0,TrAvia_ene!Y6/(Y12*TrAvia_act!Y14))</f>
        <v>2.5034401967044699E-2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0.59036359604988131</v>
      </c>
      <c r="C25" s="91">
        <f>IF(TrAvia_ene!C7=0,0,TrAvia_ene!C7/(C13*TrAvia_act!C15))</f>
        <v>0.56736982386146095</v>
      </c>
      <c r="D25" s="91">
        <f>IF(TrAvia_ene!D7=0,0,TrAvia_ene!D7/(D13*TrAvia_act!D15))</f>
        <v>0.55023301619883802</v>
      </c>
      <c r="E25" s="91">
        <f>IF(TrAvia_ene!E7=0,0,TrAvia_ene!E7/(E13*TrAvia_act!E15))</f>
        <v>0.5401304209254848</v>
      </c>
      <c r="F25" s="91">
        <f>IF(TrAvia_ene!F7=0,0,TrAvia_ene!F7/(F13*TrAvia_act!F15))</f>
        <v>0.53139543567859038</v>
      </c>
      <c r="G25" s="91">
        <f>IF(TrAvia_ene!G7=0,0,TrAvia_ene!G7/(G13*TrAvia_act!G15))</f>
        <v>0.33127680454472808</v>
      </c>
      <c r="H25" s="91">
        <f>IF(TrAvia_ene!H7=0,0,TrAvia_ene!H7/(H13*TrAvia_act!H15))</f>
        <v>0.41191099269296572</v>
      </c>
      <c r="I25" s="91">
        <f>IF(TrAvia_ene!I7=0,0,TrAvia_ene!I7/(I13*TrAvia_act!I15))</f>
        <v>0.47093902666092646</v>
      </c>
      <c r="J25" s="91">
        <f>IF(TrAvia_ene!J7=0,0,TrAvia_ene!J7/(J13*TrAvia_act!J15))</f>
        <v>0.12097767212587363</v>
      </c>
      <c r="K25" s="91">
        <f>IF(TrAvia_ene!K7=0,0,TrAvia_ene!K7/(K13*TrAvia_act!K15))</f>
        <v>0.19894720552195919</v>
      </c>
      <c r="L25" s="91">
        <f>IF(TrAvia_ene!L7=0,0,TrAvia_ene!L7/(L13*TrAvia_act!L15))</f>
        <v>0.14154380406131364</v>
      </c>
      <c r="M25" s="91">
        <f>IF(TrAvia_ene!M7=0,0,TrAvia_ene!M7/(M13*TrAvia_act!M15))</f>
        <v>0.17026940689757578</v>
      </c>
      <c r="N25" s="91">
        <f>IF(TrAvia_ene!N7=0,0,TrAvia_ene!N7/(N13*TrAvia_act!N15))</f>
        <v>8.7870581512706381E-2</v>
      </c>
      <c r="O25" s="91">
        <f>IF(TrAvia_ene!O7=0,0,TrAvia_ene!O7/(O13*TrAvia_act!O15))</f>
        <v>0.11170752488063158</v>
      </c>
      <c r="P25" s="91">
        <f>IF(TrAvia_ene!P7=0,0,TrAvia_ene!P7/(P13*TrAvia_act!P15))</f>
        <v>9.4824766275676112E-2</v>
      </c>
      <c r="Q25" s="91">
        <f>IF(TrAvia_ene!Q7=0,0,TrAvia_ene!Q7/(Q13*TrAvia_act!Q15))</f>
        <v>0.13122947414413455</v>
      </c>
      <c r="R25" s="91">
        <f>IF(TrAvia_ene!R7=0,0,TrAvia_ene!R7/(R13*TrAvia_act!R15))</f>
        <v>0.19398155658862593</v>
      </c>
      <c r="S25" s="91">
        <f>IF(TrAvia_ene!S7=0,0,TrAvia_ene!S7/(S13*TrAvia_act!S15))</f>
        <v>0.13833834490163535</v>
      </c>
      <c r="T25" s="91">
        <f>IF(TrAvia_ene!T7=0,0,TrAvia_ene!T7/(T13*TrAvia_act!T15))</f>
        <v>0.11491800391259049</v>
      </c>
      <c r="U25" s="91">
        <f>IF(TrAvia_ene!U7=0,0,TrAvia_ene!U7/(U13*TrAvia_act!U15))</f>
        <v>5.2055325160490766E-2</v>
      </c>
      <c r="V25" s="91">
        <f>IF(TrAvia_ene!V7=0,0,TrAvia_ene!V7/(V13*TrAvia_act!V15))</f>
        <v>4.6773441264619603E-2</v>
      </c>
      <c r="W25" s="91">
        <f>IF(TrAvia_ene!W7=0,0,TrAvia_ene!W7/(W13*TrAvia_act!W15))</f>
        <v>4.7794521044247404E-2</v>
      </c>
      <c r="X25" s="91">
        <f>IF(TrAvia_ene!X7=0,0,TrAvia_ene!X7/(X13*TrAvia_act!X15))</f>
        <v>6.7522444133116907E-2</v>
      </c>
      <c r="Y25" s="91">
        <f>IF(TrAvia_ene!Y7=0,0,TrAvia_ene!Y7/(Y13*TrAvia_act!Y15))</f>
        <v>4.4370096997909073E-2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3.7293233371312309E-2</v>
      </c>
      <c r="C26" s="93">
        <f>IF(TrAvia_ene!C8=0,0,TrAvia_ene!C8/(C14*TrAvia_act!C16))</f>
        <v>3.7501906553849503E-2</v>
      </c>
      <c r="D26" s="93">
        <f>IF(TrAvia_ene!D8=0,0,TrAvia_ene!D8/(D14*TrAvia_act!D16))</f>
        <v>3.7319148356194924E-2</v>
      </c>
      <c r="E26" s="93">
        <f>IF(TrAvia_ene!E8=0,0,TrAvia_ene!E8/(E14*TrAvia_act!E16))</f>
        <v>3.7085576117590106E-2</v>
      </c>
      <c r="F26" s="93">
        <f>IF(TrAvia_ene!F8=0,0,TrAvia_ene!F8/(F14*TrAvia_act!F16))</f>
        <v>3.6626679526691942E-2</v>
      </c>
      <c r="G26" s="93">
        <f>IF(TrAvia_ene!G8=0,0,TrAvia_ene!G8/(G14*TrAvia_act!G16))</f>
        <v>3.7515720850327179E-2</v>
      </c>
      <c r="H26" s="93">
        <f>IF(TrAvia_ene!H8=0,0,TrAvia_ene!H8/(H14*TrAvia_act!H16))</f>
        <v>3.0162345207555445E-2</v>
      </c>
      <c r="I26" s="93">
        <f>IF(TrAvia_ene!I8=0,0,TrAvia_ene!I8/(I14*TrAvia_act!I16))</f>
        <v>2.9181628342576614E-2</v>
      </c>
      <c r="J26" s="93">
        <f>IF(TrAvia_ene!J8=0,0,TrAvia_ene!J8/(J14*TrAvia_act!J16))</f>
        <v>3.4228814097732672E-2</v>
      </c>
      <c r="K26" s="93">
        <f>IF(TrAvia_ene!K8=0,0,TrAvia_ene!K8/(K14*TrAvia_act!K16))</f>
        <v>2.6917814786038087E-2</v>
      </c>
      <c r="L26" s="93">
        <f>IF(TrAvia_ene!L8=0,0,TrAvia_ene!L8/(L14*TrAvia_act!L16))</f>
        <v>2.855228205778066E-2</v>
      </c>
      <c r="M26" s="93">
        <f>IF(TrAvia_ene!M8=0,0,TrAvia_ene!M8/(M14*TrAvia_act!M16))</f>
        <v>2.8586193747461019E-2</v>
      </c>
      <c r="N26" s="93">
        <f>IF(TrAvia_ene!N8=0,0,TrAvia_ene!N8/(N14*TrAvia_act!N16))</f>
        <v>2.8987326019721028E-2</v>
      </c>
      <c r="O26" s="93">
        <f>IF(TrAvia_ene!O8=0,0,TrAvia_ene!O8/(O14*TrAvia_act!O16))</f>
        <v>2.8251238643799807E-2</v>
      </c>
      <c r="P26" s="93">
        <f>IF(TrAvia_ene!P8=0,0,TrAvia_ene!P8/(P14*TrAvia_act!P16))</f>
        <v>2.8747803269492042E-2</v>
      </c>
      <c r="Q26" s="93">
        <f>IF(TrAvia_ene!Q8=0,0,TrAvia_ene!Q8/(Q14*TrAvia_act!Q16))</f>
        <v>2.9003391525490068E-2</v>
      </c>
      <c r="R26" s="93">
        <f>IF(TrAvia_ene!R8=0,0,TrAvia_ene!R8/(R14*TrAvia_act!R16))</f>
        <v>2.7330232146731189E-2</v>
      </c>
      <c r="S26" s="93">
        <f>IF(TrAvia_ene!S8=0,0,TrAvia_ene!S8/(S14*TrAvia_act!S16))</f>
        <v>2.5459188052528656E-2</v>
      </c>
      <c r="T26" s="93">
        <f>IF(TrAvia_ene!T8=0,0,TrAvia_ene!T8/(T14*TrAvia_act!T16))</f>
        <v>2.5059520506274722E-2</v>
      </c>
      <c r="U26" s="93">
        <f>IF(TrAvia_ene!U8=0,0,TrAvia_ene!U8/(U14*TrAvia_act!U16))</f>
        <v>2.4568159124090262E-2</v>
      </c>
      <c r="V26" s="93">
        <f>IF(TrAvia_ene!V8=0,0,TrAvia_ene!V8/(V14*TrAvia_act!V16))</f>
        <v>2.9425316018905783E-2</v>
      </c>
      <c r="W26" s="93">
        <f>IF(TrAvia_ene!W8=0,0,TrAvia_ene!W8/(W14*TrAvia_act!W16))</f>
        <v>3.0216700711291733E-2</v>
      </c>
      <c r="X26" s="93">
        <f>IF(TrAvia_ene!X8=0,0,TrAvia_ene!X8/(X14*TrAvia_act!X16))</f>
        <v>2.6435242612880432E-2</v>
      </c>
      <c r="Y26" s="93">
        <f>IF(TrAvia_ene!Y8=0,0,TrAvia_ene!Y8/(Y14*TrAvia_act!Y16))</f>
        <v>2.4867915564298394E-2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3.8301220652166221E-2</v>
      </c>
      <c r="C27" s="94">
        <f>IF(TrAvia_ene!C9=0,0,TrAvia_ene!C9/(C15*TrAvia_act!C17))</f>
        <v>3.8497898431949562E-2</v>
      </c>
      <c r="D27" s="94">
        <f>IF(TrAvia_ene!D9=0,0,TrAvia_ene!D9/(D15*TrAvia_act!D17))</f>
        <v>3.8348265399452762E-2</v>
      </c>
      <c r="E27" s="94">
        <f>IF(TrAvia_ene!E9=0,0,TrAvia_ene!E9/(E15*TrAvia_act!E17))</f>
        <v>3.7984041207859927E-2</v>
      </c>
      <c r="F27" s="94">
        <f>IF(TrAvia_ene!F9=0,0,TrAvia_ene!F9/(F15*TrAvia_act!F17))</f>
        <v>3.732573797690579E-2</v>
      </c>
      <c r="G27" s="94">
        <f>IF(TrAvia_ene!G9=0,0,TrAvia_ene!G9/(G15*TrAvia_act!G17))</f>
        <v>4.2618389617664634E-2</v>
      </c>
      <c r="H27" s="94">
        <f>IF(TrAvia_ene!H9=0,0,TrAvia_ene!H9/(H15*TrAvia_act!H17))</f>
        <v>3.4986670802744334E-2</v>
      </c>
      <c r="I27" s="94">
        <f>IF(TrAvia_ene!I9=0,0,TrAvia_ene!I9/(I15*TrAvia_act!I17))</f>
        <v>2.7480118149437991E-2</v>
      </c>
      <c r="J27" s="94">
        <f>IF(TrAvia_ene!J9=0,0,TrAvia_ene!J9/(J15*TrAvia_act!J17))</f>
        <v>2.6533739763860368E-2</v>
      </c>
      <c r="K27" s="94">
        <f>IF(TrAvia_ene!K9=0,0,TrAvia_ene!K9/(K15*TrAvia_act!K17))</f>
        <v>2.0503660409007741E-2</v>
      </c>
      <c r="L27" s="94">
        <f>IF(TrAvia_ene!L9=0,0,TrAvia_ene!L9/(L15*TrAvia_act!L17))</f>
        <v>1.7954959955396126E-2</v>
      </c>
      <c r="M27" s="94">
        <f>IF(TrAvia_ene!M9=0,0,TrAvia_ene!M9/(M15*TrAvia_act!M17))</f>
        <v>1.7270397685712757E-2</v>
      </c>
      <c r="N27" s="94">
        <f>IF(TrAvia_ene!N9=0,0,TrAvia_ene!N9/(N15*TrAvia_act!N17))</f>
        <v>1.5462840135158841E-2</v>
      </c>
      <c r="O27" s="94">
        <f>IF(TrAvia_ene!O9=0,0,TrAvia_ene!O9/(O15*TrAvia_act!O17))</f>
        <v>1.2745174822516477E-2</v>
      </c>
      <c r="P27" s="94">
        <f>IF(TrAvia_ene!P9=0,0,TrAvia_ene!P9/(P15*TrAvia_act!P17))</f>
        <v>1.149767452843087E-2</v>
      </c>
      <c r="Q27" s="94">
        <f>IF(TrAvia_ene!Q9=0,0,TrAvia_ene!Q9/(Q15*TrAvia_act!Q17))</f>
        <v>1.271394204730251E-2</v>
      </c>
      <c r="R27" s="94">
        <f>IF(TrAvia_ene!R9=0,0,TrAvia_ene!R9/(R15*TrAvia_act!R17))</f>
        <v>1.1244234730270884E-2</v>
      </c>
      <c r="S27" s="94">
        <f>IF(TrAvia_ene!S9=0,0,TrAvia_ene!S9/(S15*TrAvia_act!S17))</f>
        <v>1.2668331581414229E-2</v>
      </c>
      <c r="T27" s="94">
        <f>IF(TrAvia_ene!T9=0,0,TrAvia_ene!T9/(T15*TrAvia_act!T17))</f>
        <v>1.2685039006473211E-2</v>
      </c>
      <c r="U27" s="94">
        <f>IF(TrAvia_ene!U9=0,0,TrAvia_ene!U9/(U15*TrAvia_act!U17))</f>
        <v>1.2436596565293757E-2</v>
      </c>
      <c r="V27" s="94">
        <f>IF(TrAvia_ene!V9=0,0,TrAvia_ene!V9/(V15*TrAvia_act!V17))</f>
        <v>3.2695603740311871E-2</v>
      </c>
      <c r="W27" s="94">
        <f>IF(TrAvia_ene!W9=0,0,TrAvia_ene!W9/(W15*TrAvia_act!W17))</f>
        <v>1.9553366756915234E-2</v>
      </c>
      <c r="X27" s="94">
        <f>IF(TrAvia_ene!X9=0,0,TrAvia_ene!X9/(X15*TrAvia_act!X17))</f>
        <v>2.3148189336131504E-2</v>
      </c>
      <c r="Y27" s="94">
        <f>IF(TrAvia_ene!Y9=0,0,TrAvia_ene!Y9/(Y15*TrAvia_act!Y17))</f>
        <v>2.300527031848832E-2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313</v>
      </c>
      <c r="C3" s="54">
        <f t="shared" si="0"/>
        <v>418</v>
      </c>
      <c r="D3" s="54">
        <f t="shared" si="0"/>
        <v>561</v>
      </c>
      <c r="E3" s="54">
        <f t="shared" si="0"/>
        <v>613</v>
      </c>
      <c r="F3" s="54">
        <f t="shared" si="0"/>
        <v>697</v>
      </c>
      <c r="G3" s="54">
        <f t="shared" si="0"/>
        <v>757</v>
      </c>
      <c r="H3" s="54">
        <f t="shared" si="0"/>
        <v>785</v>
      </c>
      <c r="I3" s="54">
        <f t="shared" si="0"/>
        <v>1010.9999999999999</v>
      </c>
      <c r="J3" s="54">
        <f t="shared" si="0"/>
        <v>2890</v>
      </c>
      <c r="K3" s="54">
        <f t="shared" si="0"/>
        <v>5436</v>
      </c>
      <c r="L3" s="54">
        <f t="shared" si="0"/>
        <v>6048</v>
      </c>
      <c r="M3" s="54">
        <f t="shared" si="0"/>
        <v>4310</v>
      </c>
      <c r="N3" s="54">
        <f t="shared" si="0"/>
        <v>5349</v>
      </c>
      <c r="O3" s="54">
        <f t="shared" si="0"/>
        <v>5374</v>
      </c>
      <c r="P3" s="54">
        <f t="shared" si="0"/>
        <v>5074</v>
      </c>
      <c r="Q3" s="54">
        <f t="shared" si="0"/>
        <v>5595</v>
      </c>
      <c r="R3" s="54">
        <f t="shared" ref="R3:V3" si="1">SUM(R4:R5)</f>
        <v>5477</v>
      </c>
      <c r="S3" s="54">
        <f t="shared" si="1"/>
        <v>5279</v>
      </c>
      <c r="T3" s="54">
        <f t="shared" si="1"/>
        <v>4858</v>
      </c>
      <c r="U3" s="54">
        <f t="shared" si="1"/>
        <v>5867</v>
      </c>
      <c r="V3" s="54">
        <f t="shared" si="1"/>
        <v>6256</v>
      </c>
      <c r="W3" s="54">
        <f t="shared" ref="W3:Y3" si="2">SUM(W4:W5)</f>
        <v>5792</v>
      </c>
      <c r="X3" s="54">
        <f t="shared" si="2"/>
        <v>3787</v>
      </c>
      <c r="Y3" s="54">
        <f t="shared" si="2"/>
        <v>4253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313</v>
      </c>
      <c r="C5" s="58">
        <v>418</v>
      </c>
      <c r="D5" s="58">
        <v>561</v>
      </c>
      <c r="E5" s="58">
        <v>613</v>
      </c>
      <c r="F5" s="58">
        <v>697</v>
      </c>
      <c r="G5" s="58">
        <v>757</v>
      </c>
      <c r="H5" s="58">
        <v>785</v>
      </c>
      <c r="I5" s="58">
        <v>1010.9999999999999</v>
      </c>
      <c r="J5" s="58">
        <v>2890</v>
      </c>
      <c r="K5" s="58">
        <v>5436</v>
      </c>
      <c r="L5" s="58">
        <v>6048</v>
      </c>
      <c r="M5" s="58">
        <v>4310</v>
      </c>
      <c r="N5" s="58">
        <v>5349</v>
      </c>
      <c r="O5" s="58">
        <v>5374</v>
      </c>
      <c r="P5" s="58">
        <v>5074</v>
      </c>
      <c r="Q5" s="58">
        <v>5595</v>
      </c>
      <c r="R5" s="58">
        <v>5477</v>
      </c>
      <c r="S5" s="58">
        <v>5279</v>
      </c>
      <c r="T5" s="58">
        <v>4858</v>
      </c>
      <c r="U5" s="58">
        <v>5867</v>
      </c>
      <c r="V5" s="58">
        <v>6256</v>
      </c>
      <c r="W5" s="58">
        <v>5792</v>
      </c>
      <c r="X5" s="58">
        <v>3787</v>
      </c>
      <c r="Y5" s="58">
        <v>4253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1.1910000000000001</v>
      </c>
      <c r="C7" s="59">
        <f t="shared" si="3"/>
        <v>1.46</v>
      </c>
      <c r="D7" s="59">
        <f t="shared" si="3"/>
        <v>1.7010000000000001</v>
      </c>
      <c r="E7" s="59">
        <f t="shared" si="3"/>
        <v>1.5009999999999999</v>
      </c>
      <c r="F7" s="59">
        <f t="shared" si="3"/>
        <v>0.875</v>
      </c>
      <c r="G7" s="59">
        <f t="shared" si="3"/>
        <v>0.85799999999999998</v>
      </c>
      <c r="H7" s="59">
        <f t="shared" si="3"/>
        <v>0.89900000000000002</v>
      </c>
      <c r="I7" s="59">
        <f t="shared" si="3"/>
        <v>1.7549999999999999</v>
      </c>
      <c r="J7" s="59">
        <f t="shared" si="3"/>
        <v>4.6399999999999997</v>
      </c>
      <c r="K7" s="59">
        <f t="shared" si="3"/>
        <v>6.0620000000000003</v>
      </c>
      <c r="L7" s="59">
        <f t="shared" si="3"/>
        <v>6.319</v>
      </c>
      <c r="M7" s="59">
        <f t="shared" si="3"/>
        <v>4.734</v>
      </c>
      <c r="N7" s="59">
        <f t="shared" si="3"/>
        <v>5.3860000000000001</v>
      </c>
      <c r="O7" s="59">
        <f t="shared" si="3"/>
        <v>5.0860000000000003</v>
      </c>
      <c r="P7" s="59">
        <f t="shared" si="3"/>
        <v>4.3310000000000004</v>
      </c>
      <c r="Q7" s="59">
        <f t="shared" si="3"/>
        <v>5.2489999999999997</v>
      </c>
      <c r="R7" s="59">
        <f t="shared" ref="R7:V7" si="4">SUM(R8:R9)</f>
        <v>5.0960000000000001</v>
      </c>
      <c r="S7" s="59">
        <f t="shared" si="4"/>
        <v>4.2249999999999996</v>
      </c>
      <c r="T7" s="59">
        <f t="shared" si="4"/>
        <v>4.4320000000000004</v>
      </c>
      <c r="U7" s="59">
        <f t="shared" si="4"/>
        <v>5.2060000000000004</v>
      </c>
      <c r="V7" s="59">
        <f t="shared" si="4"/>
        <v>5.4950000000000001</v>
      </c>
      <c r="W7" s="59">
        <f t="shared" ref="W7:Y7" si="5">SUM(W8:W9)</f>
        <v>7.9450000000000003</v>
      </c>
      <c r="X7" s="59">
        <f t="shared" si="5"/>
        <v>5.2850000000000001</v>
      </c>
      <c r="Y7" s="59">
        <f t="shared" si="5"/>
        <v>5.7949999999999999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1.1910000000000001</v>
      </c>
      <c r="C9" s="61">
        <v>1.46</v>
      </c>
      <c r="D9" s="61">
        <v>1.7010000000000001</v>
      </c>
      <c r="E9" s="61">
        <v>1.5009999999999999</v>
      </c>
      <c r="F9" s="61">
        <v>0.875</v>
      </c>
      <c r="G9" s="61">
        <v>0.85799999999999998</v>
      </c>
      <c r="H9" s="61">
        <v>0.89900000000000002</v>
      </c>
      <c r="I9" s="61">
        <v>1.7549999999999999</v>
      </c>
      <c r="J9" s="61">
        <v>4.6399999999999997</v>
      </c>
      <c r="K9" s="61">
        <v>6.0620000000000003</v>
      </c>
      <c r="L9" s="61">
        <v>6.319</v>
      </c>
      <c r="M9" s="61">
        <v>4.734</v>
      </c>
      <c r="N9" s="61">
        <v>5.3860000000000001</v>
      </c>
      <c r="O9" s="61">
        <v>5.0860000000000003</v>
      </c>
      <c r="P9" s="61">
        <v>4.3310000000000004</v>
      </c>
      <c r="Q9" s="61">
        <v>5.2489999999999997</v>
      </c>
      <c r="R9" s="61">
        <v>5.0960000000000001</v>
      </c>
      <c r="S9" s="61">
        <v>4.2249999999999996</v>
      </c>
      <c r="T9" s="61">
        <v>4.4320000000000004</v>
      </c>
      <c r="U9" s="61">
        <v>5.2060000000000004</v>
      </c>
      <c r="V9" s="61">
        <v>5.4950000000000001</v>
      </c>
      <c r="W9" s="61">
        <v>7.9450000000000003</v>
      </c>
      <c r="X9" s="61">
        <v>5.2850000000000001</v>
      </c>
      <c r="Y9" s="61">
        <v>5.7949999999999999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262.80436607892528</v>
      </c>
      <c r="C13" s="62">
        <f t="shared" si="6"/>
        <v>286.30136986301369</v>
      </c>
      <c r="D13" s="62">
        <f t="shared" si="6"/>
        <v>329.80599647266314</v>
      </c>
      <c r="E13" s="62">
        <f t="shared" si="6"/>
        <v>408.39440373084614</v>
      </c>
      <c r="F13" s="62">
        <f t="shared" ref="F13:V13" si="7">IF(F3=0,0,F3/F7)</f>
        <v>796.57142857142856</v>
      </c>
      <c r="G13" s="62">
        <f t="shared" si="7"/>
        <v>882.28438228438233</v>
      </c>
      <c r="H13" s="62">
        <f t="shared" si="7"/>
        <v>873.19243604004453</v>
      </c>
      <c r="I13" s="62">
        <f t="shared" si="7"/>
        <v>576.06837606837598</v>
      </c>
      <c r="J13" s="62">
        <f t="shared" si="7"/>
        <v>622.84482758620697</v>
      </c>
      <c r="K13" s="62">
        <f t="shared" si="7"/>
        <v>896.73375123721542</v>
      </c>
      <c r="L13" s="62">
        <f t="shared" si="7"/>
        <v>957.11346732077857</v>
      </c>
      <c r="M13" s="62">
        <f t="shared" si="7"/>
        <v>910.43514997887621</v>
      </c>
      <c r="N13" s="62">
        <f t="shared" si="7"/>
        <v>993.13033791310806</v>
      </c>
      <c r="O13" s="62">
        <f t="shared" si="7"/>
        <v>1056.6260322453795</v>
      </c>
      <c r="P13" s="62">
        <f t="shared" si="7"/>
        <v>1171.5539136458092</v>
      </c>
      <c r="Q13" s="62">
        <f t="shared" si="7"/>
        <v>1065.9173175843018</v>
      </c>
      <c r="R13" s="62">
        <f t="shared" si="7"/>
        <v>1074.7645211930926</v>
      </c>
      <c r="S13" s="62">
        <f t="shared" si="7"/>
        <v>1249.467455621302</v>
      </c>
      <c r="T13" s="62">
        <f t="shared" si="7"/>
        <v>1096.119133574007</v>
      </c>
      <c r="U13" s="62">
        <f t="shared" si="7"/>
        <v>1126.9688820591625</v>
      </c>
      <c r="V13" s="62">
        <f t="shared" si="7"/>
        <v>1138.4895359417653</v>
      </c>
      <c r="W13" s="62">
        <f t="shared" ref="W13:Y13" si="8">IF(W3=0,0,W3/W7)</f>
        <v>729.01195720578983</v>
      </c>
      <c r="X13" s="62">
        <f t="shared" si="8"/>
        <v>716.55629139072846</v>
      </c>
      <c r="Y13" s="62">
        <f t="shared" si="8"/>
        <v>733.90854184641933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262.80436607892528</v>
      </c>
      <c r="C15" s="64">
        <f t="shared" si="6"/>
        <v>286.30136986301369</v>
      </c>
      <c r="D15" s="64">
        <f t="shared" si="6"/>
        <v>329.80599647266314</v>
      </c>
      <c r="E15" s="64">
        <f t="shared" si="6"/>
        <v>408.39440373084614</v>
      </c>
      <c r="F15" s="64">
        <f t="shared" ref="F15:V15" si="11">IF(F5=0,0,F5/F9)</f>
        <v>796.57142857142856</v>
      </c>
      <c r="G15" s="64">
        <f t="shared" si="11"/>
        <v>882.28438228438233</v>
      </c>
      <c r="H15" s="64">
        <f t="shared" si="11"/>
        <v>873.19243604004453</v>
      </c>
      <c r="I15" s="64">
        <f t="shared" si="11"/>
        <v>576.06837606837598</v>
      </c>
      <c r="J15" s="64">
        <f t="shared" si="11"/>
        <v>622.84482758620697</v>
      </c>
      <c r="K15" s="64">
        <f t="shared" si="11"/>
        <v>896.73375123721542</v>
      </c>
      <c r="L15" s="64">
        <f t="shared" si="11"/>
        <v>957.11346732077857</v>
      </c>
      <c r="M15" s="64">
        <f t="shared" si="11"/>
        <v>910.43514997887621</v>
      </c>
      <c r="N15" s="64">
        <f t="shared" si="11"/>
        <v>993.13033791310806</v>
      </c>
      <c r="O15" s="64">
        <f t="shared" si="11"/>
        <v>1056.6260322453795</v>
      </c>
      <c r="P15" s="64">
        <f t="shared" si="11"/>
        <v>1171.5539136458092</v>
      </c>
      <c r="Q15" s="64">
        <f t="shared" si="11"/>
        <v>1065.9173175843018</v>
      </c>
      <c r="R15" s="64">
        <f t="shared" si="11"/>
        <v>1074.7645211930926</v>
      </c>
      <c r="S15" s="64">
        <f t="shared" si="11"/>
        <v>1249.467455621302</v>
      </c>
      <c r="T15" s="64">
        <f t="shared" si="11"/>
        <v>1096.119133574007</v>
      </c>
      <c r="U15" s="64">
        <f t="shared" si="11"/>
        <v>1126.9688820591625</v>
      </c>
      <c r="V15" s="64">
        <f t="shared" si="11"/>
        <v>1138.4895359417653</v>
      </c>
      <c r="W15" s="64">
        <f t="shared" ref="W15:Y15" si="12">IF(W5=0,0,W5/W9)</f>
        <v>729.01195720578983</v>
      </c>
      <c r="X15" s="64">
        <f t="shared" si="12"/>
        <v>716.55629139072846</v>
      </c>
      <c r="Y15" s="64">
        <f t="shared" si="12"/>
        <v>733.90854184641933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2.54</v>
      </c>
      <c r="C3" s="62">
        <f t="shared" ref="C3:V3" si="0">SUM(C4,C10)</f>
        <v>3.4260000000000002</v>
      </c>
      <c r="D3" s="62">
        <f t="shared" si="0"/>
        <v>4.359</v>
      </c>
      <c r="E3" s="62">
        <f t="shared" si="0"/>
        <v>5.3079999999999998</v>
      </c>
      <c r="F3" s="62">
        <f t="shared" si="0"/>
        <v>9.4789999999999992</v>
      </c>
      <c r="G3" s="62">
        <f t="shared" si="0"/>
        <v>10.201000000000001</v>
      </c>
      <c r="H3" s="62">
        <f t="shared" si="0"/>
        <v>9.5920000000000005</v>
      </c>
      <c r="I3" s="62">
        <f t="shared" si="0"/>
        <v>8.9860000000000007</v>
      </c>
      <c r="J3" s="62">
        <f t="shared" si="0"/>
        <v>26.782</v>
      </c>
      <c r="K3" s="62">
        <f t="shared" si="0"/>
        <v>55.124000000000002</v>
      </c>
      <c r="L3" s="62">
        <f t="shared" si="0"/>
        <v>57.180999999999997</v>
      </c>
      <c r="M3" s="62">
        <f t="shared" si="0"/>
        <v>44.201999999999998</v>
      </c>
      <c r="N3" s="62">
        <f t="shared" si="0"/>
        <v>51.215000000000003</v>
      </c>
      <c r="O3" s="62">
        <f t="shared" si="0"/>
        <v>50.899000000000001</v>
      </c>
      <c r="P3" s="62">
        <f t="shared" si="0"/>
        <v>52.747999999999998</v>
      </c>
      <c r="Q3" s="62">
        <f t="shared" si="0"/>
        <v>65.171000000000006</v>
      </c>
      <c r="R3" s="62">
        <f t="shared" si="0"/>
        <v>62.234999999999999</v>
      </c>
      <c r="S3" s="62">
        <f t="shared" si="0"/>
        <v>60.795000000000002</v>
      </c>
      <c r="T3" s="62">
        <f t="shared" si="0"/>
        <v>68.445999999999998</v>
      </c>
      <c r="U3" s="62">
        <f t="shared" si="0"/>
        <v>80.730999999999995</v>
      </c>
      <c r="V3" s="62">
        <f t="shared" si="0"/>
        <v>87.353999999999999</v>
      </c>
      <c r="W3" s="62">
        <f t="shared" ref="W3:Y3" si="1">SUM(W4,W10)</f>
        <v>0.11926053310404131</v>
      </c>
      <c r="X3" s="62">
        <f t="shared" si="1"/>
        <v>0.1596732588134136</v>
      </c>
      <c r="Y3" s="62">
        <f t="shared" si="1"/>
        <v>0.14754944110060189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2.54</v>
      </c>
      <c r="C10" s="71">
        <f t="shared" ref="C10:V10" si="4">SUM(C11:C15)</f>
        <v>3.4260000000000002</v>
      </c>
      <c r="D10" s="71">
        <f t="shared" si="4"/>
        <v>4.359</v>
      </c>
      <c r="E10" s="71">
        <f t="shared" si="4"/>
        <v>5.3079999999999998</v>
      </c>
      <c r="F10" s="71">
        <f t="shared" si="4"/>
        <v>9.4789999999999992</v>
      </c>
      <c r="G10" s="71">
        <f t="shared" si="4"/>
        <v>10.201000000000001</v>
      </c>
      <c r="H10" s="71">
        <f t="shared" si="4"/>
        <v>9.5920000000000005</v>
      </c>
      <c r="I10" s="71">
        <f t="shared" si="4"/>
        <v>8.9860000000000007</v>
      </c>
      <c r="J10" s="71">
        <f t="shared" si="4"/>
        <v>26.782</v>
      </c>
      <c r="K10" s="71">
        <f t="shared" si="4"/>
        <v>55.124000000000002</v>
      </c>
      <c r="L10" s="71">
        <f t="shared" si="4"/>
        <v>57.180999999999997</v>
      </c>
      <c r="M10" s="71">
        <f t="shared" si="4"/>
        <v>44.201999999999998</v>
      </c>
      <c r="N10" s="71">
        <f t="shared" si="4"/>
        <v>51.215000000000003</v>
      </c>
      <c r="O10" s="71">
        <f t="shared" si="4"/>
        <v>50.899000000000001</v>
      </c>
      <c r="P10" s="71">
        <f t="shared" si="4"/>
        <v>52.747999999999998</v>
      </c>
      <c r="Q10" s="71">
        <f t="shared" si="4"/>
        <v>65.171000000000006</v>
      </c>
      <c r="R10" s="71">
        <f t="shared" si="4"/>
        <v>62.234999999999999</v>
      </c>
      <c r="S10" s="71">
        <f t="shared" si="4"/>
        <v>60.795000000000002</v>
      </c>
      <c r="T10" s="71">
        <f t="shared" si="4"/>
        <v>68.445999999999998</v>
      </c>
      <c r="U10" s="71">
        <f t="shared" si="4"/>
        <v>80.730999999999995</v>
      </c>
      <c r="V10" s="71">
        <f t="shared" si="4"/>
        <v>87.353999999999999</v>
      </c>
      <c r="W10" s="71">
        <f t="shared" ref="W10:Y10" si="5">SUM(W11:W15)</f>
        <v>0.11926053310404131</v>
      </c>
      <c r="X10" s="71">
        <f t="shared" si="5"/>
        <v>0.1596732588134136</v>
      </c>
      <c r="Y10" s="71">
        <f t="shared" si="5"/>
        <v>0.14754944110060189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2.54</v>
      </c>
      <c r="C11" s="73">
        <v>3.4260000000000002</v>
      </c>
      <c r="D11" s="73">
        <v>4.359</v>
      </c>
      <c r="E11" s="73">
        <v>5.3079999999999998</v>
      </c>
      <c r="F11" s="73">
        <v>9.4789999999999992</v>
      </c>
      <c r="G11" s="73">
        <v>10.201000000000001</v>
      </c>
      <c r="H11" s="73">
        <v>9.5920000000000005</v>
      </c>
      <c r="I11" s="73">
        <v>8.9860000000000007</v>
      </c>
      <c r="J11" s="73">
        <v>26.782</v>
      </c>
      <c r="K11" s="73">
        <v>55.124000000000002</v>
      </c>
      <c r="L11" s="73">
        <v>57.180999999999997</v>
      </c>
      <c r="M11" s="73">
        <v>44.201999999999998</v>
      </c>
      <c r="N11" s="73">
        <v>51.215000000000003</v>
      </c>
      <c r="O11" s="73">
        <v>50.899000000000001</v>
      </c>
      <c r="P11" s="73">
        <v>52.747999999999998</v>
      </c>
      <c r="Q11" s="73">
        <v>65.171000000000006</v>
      </c>
      <c r="R11" s="73">
        <v>62.234999999999999</v>
      </c>
      <c r="S11" s="73">
        <v>60.795000000000002</v>
      </c>
      <c r="T11" s="73">
        <v>68.445999999999998</v>
      </c>
      <c r="U11" s="73">
        <v>80.730999999999995</v>
      </c>
      <c r="V11" s="73">
        <v>87.353999999999999</v>
      </c>
      <c r="W11" s="73">
        <v>0.11926053310404131</v>
      </c>
      <c r="X11" s="73">
        <v>0.1596732588134136</v>
      </c>
      <c r="Y11" s="73">
        <v>0.14754944110060189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213.26616288832915</v>
      </c>
      <c r="C19" s="62">
        <f>IF(C3=0,0,C3/TrNavi_act!C7*100)</f>
        <v>234.65753424657535</v>
      </c>
      <c r="D19" s="62">
        <f>IF(D3=0,0,D3/TrNavi_act!D7*100)</f>
        <v>256.26102292768962</v>
      </c>
      <c r="E19" s="62">
        <f>IF(E3=0,0,E3/TrNavi_act!E7*100)</f>
        <v>353.63091272485013</v>
      </c>
      <c r="F19" s="62">
        <f>IF(F3=0,0,F3/TrNavi_act!F7*100)</f>
        <v>1083.3142857142857</v>
      </c>
      <c r="G19" s="62">
        <f>IF(G3=0,0,G3/TrNavi_act!G7*100)</f>
        <v>1188.927738927739</v>
      </c>
      <c r="H19" s="62">
        <f>IF(H3=0,0,H3/TrNavi_act!H7*100)</f>
        <v>1066.9632925472747</v>
      </c>
      <c r="I19" s="62">
        <f>IF(I3=0,0,I3/TrNavi_act!I7*100)</f>
        <v>512.02279202279215</v>
      </c>
      <c r="J19" s="62">
        <f>IF(J3=0,0,J3/TrNavi_act!J7*100)</f>
        <v>577.19827586206907</v>
      </c>
      <c r="K19" s="62">
        <f>IF(K3=0,0,K3/TrNavi_act!K7*100)</f>
        <v>909.33685252391945</v>
      </c>
      <c r="L19" s="62">
        <f>IF(L3=0,0,L3/TrNavi_act!L7*100)</f>
        <v>904.90583953157147</v>
      </c>
      <c r="M19" s="62">
        <f>IF(M3=0,0,M3/TrNavi_act!M7*100)</f>
        <v>933.71356147021538</v>
      </c>
      <c r="N19" s="62">
        <f>IF(N3=0,0,N3/TrNavi_act!N7*100)</f>
        <v>950.89119940586716</v>
      </c>
      <c r="O19" s="62">
        <f>IF(O3=0,0,O3/TrNavi_act!O7*100)</f>
        <v>1000.7668108533228</v>
      </c>
      <c r="P19" s="62">
        <f>IF(P3=0,0,P3/TrNavi_act!P7*100)</f>
        <v>1217.9173401062108</v>
      </c>
      <c r="Q19" s="62">
        <f>IF(Q3=0,0,Q3/TrNavi_act!Q7*100)</f>
        <v>1241.5888740712519</v>
      </c>
      <c r="R19" s="62">
        <f>IF(R3=0,0,R3/TrNavi_act!R7*100)</f>
        <v>1221.2519623233909</v>
      </c>
      <c r="S19" s="62">
        <f>IF(S3=0,0,S3/TrNavi_act!S7*100)</f>
        <v>1438.9349112426037</v>
      </c>
      <c r="T19" s="62">
        <f>IF(T3=0,0,T3/TrNavi_act!T7*100)</f>
        <v>1544.359205776173</v>
      </c>
      <c r="U19" s="62">
        <f>IF(U3=0,0,U3/TrNavi_act!U7*100)</f>
        <v>1550.729927007299</v>
      </c>
      <c r="V19" s="62">
        <f>IF(V3=0,0,V3/TrNavi_act!V7*100)</f>
        <v>1589.6997270245677</v>
      </c>
      <c r="W19" s="62">
        <f>IF(W3=0,0,W3/TrNavi_act!W7*100)</f>
        <v>1.5010765651861713</v>
      </c>
      <c r="X19" s="62">
        <f>IF(X3=0,0,X3/TrNavi_act!X7*100)</f>
        <v>3.0212537145395193</v>
      </c>
      <c r="Y19" s="62">
        <f>IF(Y3=0,0,Y3/TrNavi_act!Y7*100)</f>
        <v>2.5461508386643983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213.26616288832915</v>
      </c>
      <c r="C21" s="64">
        <f>IF(C10=0,0,C10/TrNavi_act!C9*100)</f>
        <v>234.65753424657535</v>
      </c>
      <c r="D21" s="64">
        <f>IF(D10=0,0,D10/TrNavi_act!D9*100)</f>
        <v>256.26102292768962</v>
      </c>
      <c r="E21" s="64">
        <f>IF(E10=0,0,E10/TrNavi_act!E9*100)</f>
        <v>353.63091272485013</v>
      </c>
      <c r="F21" s="64">
        <f>IF(F10=0,0,F10/TrNavi_act!F9*100)</f>
        <v>1083.3142857142857</v>
      </c>
      <c r="G21" s="64">
        <f>IF(G10=0,0,G10/TrNavi_act!G9*100)</f>
        <v>1188.927738927739</v>
      </c>
      <c r="H21" s="64">
        <f>IF(H10=0,0,H10/TrNavi_act!H9*100)</f>
        <v>1066.9632925472747</v>
      </c>
      <c r="I21" s="64">
        <f>IF(I10=0,0,I10/TrNavi_act!I9*100)</f>
        <v>512.02279202279215</v>
      </c>
      <c r="J21" s="64">
        <f>IF(J10=0,0,J10/TrNavi_act!J9*100)</f>
        <v>577.19827586206907</v>
      </c>
      <c r="K21" s="64">
        <f>IF(K10=0,0,K10/TrNavi_act!K9*100)</f>
        <v>909.33685252391945</v>
      </c>
      <c r="L21" s="64">
        <f>IF(L10=0,0,L10/TrNavi_act!L9*100)</f>
        <v>904.90583953157147</v>
      </c>
      <c r="M21" s="64">
        <f>IF(M10=0,0,M10/TrNavi_act!M9*100)</f>
        <v>933.71356147021538</v>
      </c>
      <c r="N21" s="64">
        <f>IF(N10=0,0,N10/TrNavi_act!N9*100)</f>
        <v>950.89119940586716</v>
      </c>
      <c r="O21" s="64">
        <f>IF(O10=0,0,O10/TrNavi_act!O9*100)</f>
        <v>1000.7668108533228</v>
      </c>
      <c r="P21" s="64">
        <f>IF(P10=0,0,P10/TrNavi_act!P9*100)</f>
        <v>1217.9173401062108</v>
      </c>
      <c r="Q21" s="64">
        <f>IF(Q10=0,0,Q10/TrNavi_act!Q9*100)</f>
        <v>1241.5888740712519</v>
      </c>
      <c r="R21" s="64">
        <f>IF(R10=0,0,R10/TrNavi_act!R9*100)</f>
        <v>1221.2519623233909</v>
      </c>
      <c r="S21" s="64">
        <f>IF(S10=0,0,S10/TrNavi_act!S9*100)</f>
        <v>1438.9349112426037</v>
      </c>
      <c r="T21" s="64">
        <f>IF(T10=0,0,T10/TrNavi_act!T9*100)</f>
        <v>1544.359205776173</v>
      </c>
      <c r="U21" s="64">
        <f>IF(U10=0,0,U10/TrNavi_act!U9*100)</f>
        <v>1550.729927007299</v>
      </c>
      <c r="V21" s="64">
        <f>IF(V10=0,0,V10/TrNavi_act!V9*100)</f>
        <v>1589.6997270245677</v>
      </c>
      <c r="W21" s="64">
        <f>IF(W10=0,0,W10/TrNavi_act!W9*100)</f>
        <v>1.5010765651861713</v>
      </c>
      <c r="X21" s="64">
        <f>IF(X10=0,0,X10/TrNavi_act!X9*100)</f>
        <v>3.0212537145395193</v>
      </c>
      <c r="Y21" s="64">
        <f>IF(Y10=0,0,Y10/TrNavi_act!Y9*100)</f>
        <v>2.5461508386643983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8.1150159744408938</v>
      </c>
      <c r="C23" s="62">
        <f>IF(C3=0,0,C3/TrNavi_act!C3*1000)</f>
        <v>8.196172248803828</v>
      </c>
      <c r="D23" s="62">
        <f>IF(D3=0,0,D3/TrNavi_act!D3*1000)</f>
        <v>7.7700534759358284</v>
      </c>
      <c r="E23" s="62">
        <f>IF(E3=0,0,E3/TrNavi_act!E3*1000)</f>
        <v>8.6590538336052187</v>
      </c>
      <c r="F23" s="62">
        <f>IF(F3=0,0,F3/TrNavi_act!F3*1000)</f>
        <v>13.599713055954087</v>
      </c>
      <c r="G23" s="62">
        <f>IF(G3=0,0,G3/TrNavi_act!G3*1000)</f>
        <v>13.47556142668428</v>
      </c>
      <c r="H23" s="62">
        <f>IF(H3=0,0,H3/TrNavi_act!H3*1000)</f>
        <v>12.219108280254778</v>
      </c>
      <c r="I23" s="62">
        <f>IF(I3=0,0,I3/TrNavi_act!I3*1000)</f>
        <v>8.8882294757665701</v>
      </c>
      <c r="J23" s="62">
        <f>IF(J3=0,0,J3/TrNavi_act!J3*1000)</f>
        <v>9.267128027681661</v>
      </c>
      <c r="K23" s="62">
        <f>IF(K3=0,0,K3/TrNavi_act!K3*1000)</f>
        <v>10.140544518027962</v>
      </c>
      <c r="L23" s="62">
        <f>IF(L3=0,0,L3/TrNavi_act!L3*1000)</f>
        <v>9.4545304232804224</v>
      </c>
      <c r="M23" s="62">
        <f>IF(M3=0,0,M3/TrNavi_act!M3*1000)</f>
        <v>10.255684454756379</v>
      </c>
      <c r="N23" s="62">
        <f>IF(N3=0,0,N3/TrNavi_act!N3*1000)</f>
        <v>9.5746868573565163</v>
      </c>
      <c r="O23" s="62">
        <f>IF(O3=0,0,O3/TrNavi_act!O3*1000)</f>
        <v>9.471343505768516</v>
      </c>
      <c r="P23" s="62">
        <f>IF(P3=0,0,P3/TrNavi_act!P3*1000)</f>
        <v>10.395743003547496</v>
      </c>
      <c r="Q23" s="62">
        <f>IF(Q3=0,0,Q3/TrNavi_act!Q3*1000)</f>
        <v>11.648078641644327</v>
      </c>
      <c r="R23" s="62">
        <f>IF(R3=0,0,R3/TrNavi_act!R3*1000)</f>
        <v>11.362972430162499</v>
      </c>
      <c r="S23" s="62">
        <f>IF(S3=0,0,S3/TrNavi_act!S3*1000)</f>
        <v>11.516385679105891</v>
      </c>
      <c r="T23" s="62">
        <f>IF(T3=0,0,T3/TrNavi_act!T3*1000)</f>
        <v>14.089337175792506</v>
      </c>
      <c r="U23" s="62">
        <f>IF(U3=0,0,U3/TrNavi_act!U3*1000)</f>
        <v>13.760184080449973</v>
      </c>
      <c r="V23" s="62">
        <f>IF(V3=0,0,V3/TrNavi_act!V3*1000)</f>
        <v>13.963235294117647</v>
      </c>
      <c r="W23" s="62">
        <f>IF(W3=0,0,W3/TrNavi_act!W3*1000)</f>
        <v>2.0590561654703264E-2</v>
      </c>
      <c r="X23" s="62">
        <f>IF(X3=0,0,X3/TrNavi_act!X3*1000)</f>
        <v>4.2163522263906413E-2</v>
      </c>
      <c r="Y23" s="62">
        <f>IF(Y3=0,0,Y3/TrNavi_act!Y3*1000)</f>
        <v>3.4693026358006557E-2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8.1150159744408938</v>
      </c>
      <c r="C25" s="64">
        <f>IF(C10=0,0,C10/TrNavi_act!C5*1000)</f>
        <v>8.196172248803828</v>
      </c>
      <c r="D25" s="64">
        <f>IF(D10=0,0,D10/TrNavi_act!D5*1000)</f>
        <v>7.7700534759358284</v>
      </c>
      <c r="E25" s="64">
        <f>IF(E10=0,0,E10/TrNavi_act!E5*1000)</f>
        <v>8.6590538336052187</v>
      </c>
      <c r="F25" s="64">
        <f>IF(F10=0,0,F10/TrNavi_act!F5*1000)</f>
        <v>13.599713055954087</v>
      </c>
      <c r="G25" s="64">
        <f>IF(G10=0,0,G10/TrNavi_act!G5*1000)</f>
        <v>13.47556142668428</v>
      </c>
      <c r="H25" s="64">
        <f>IF(H10=0,0,H10/TrNavi_act!H5*1000)</f>
        <v>12.219108280254778</v>
      </c>
      <c r="I25" s="64">
        <f>IF(I10=0,0,I10/TrNavi_act!I5*1000)</f>
        <v>8.8882294757665701</v>
      </c>
      <c r="J25" s="64">
        <f>IF(J10=0,0,J10/TrNavi_act!J5*1000)</f>
        <v>9.267128027681661</v>
      </c>
      <c r="K25" s="64">
        <f>IF(K10=0,0,K10/TrNavi_act!K5*1000)</f>
        <v>10.140544518027962</v>
      </c>
      <c r="L25" s="64">
        <f>IF(L10=0,0,L10/TrNavi_act!L5*1000)</f>
        <v>9.4545304232804224</v>
      </c>
      <c r="M25" s="64">
        <f>IF(M10=0,0,M10/TrNavi_act!M5*1000)</f>
        <v>10.255684454756379</v>
      </c>
      <c r="N25" s="64">
        <f>IF(N10=0,0,N10/TrNavi_act!N5*1000)</f>
        <v>9.5746868573565163</v>
      </c>
      <c r="O25" s="64">
        <f>IF(O10=0,0,O10/TrNavi_act!O5*1000)</f>
        <v>9.471343505768516</v>
      </c>
      <c r="P25" s="64">
        <f>IF(P10=0,0,P10/TrNavi_act!P5*1000)</f>
        <v>10.395743003547496</v>
      </c>
      <c r="Q25" s="64">
        <f>IF(Q10=0,0,Q10/TrNavi_act!Q5*1000)</f>
        <v>11.648078641644327</v>
      </c>
      <c r="R25" s="64">
        <f>IF(R10=0,0,R10/TrNavi_act!R5*1000)</f>
        <v>11.362972430162499</v>
      </c>
      <c r="S25" s="64">
        <f>IF(S10=0,0,S10/TrNavi_act!S5*1000)</f>
        <v>11.516385679105891</v>
      </c>
      <c r="T25" s="64">
        <f>IF(T10=0,0,T10/TrNavi_act!T5*1000)</f>
        <v>14.089337175792506</v>
      </c>
      <c r="U25" s="64">
        <f>IF(U10=0,0,U10/TrNavi_act!U5*1000)</f>
        <v>13.760184080449973</v>
      </c>
      <c r="V25" s="64">
        <f>IF(V10=0,0,V10/TrNavi_act!V5*1000)</f>
        <v>13.963235294117647</v>
      </c>
      <c r="W25" s="64">
        <f>IF(W10=0,0,W10/TrNavi_act!W5*1000)</f>
        <v>2.0590561654703264E-2</v>
      </c>
      <c r="X25" s="64">
        <f>IF(X10=0,0,X10/TrNavi_act!X5*1000)</f>
        <v>4.2163522263906413E-2</v>
      </c>
      <c r="Y25" s="64">
        <f>IF(Y10=0,0,Y10/TrNavi_act!Y5*1000)</f>
        <v>3.4693026358006557E-2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7.8801437520000004</v>
      </c>
      <c r="C3" s="54">
        <f t="shared" ref="C3:V3" si="1">SUM(C4:C5)</f>
        <v>10.628886808800001</v>
      </c>
      <c r="D3" s="54">
        <f t="shared" si="1"/>
        <v>13.523443549200001</v>
      </c>
      <c r="E3" s="54">
        <f t="shared" si="1"/>
        <v>16.467638990400001</v>
      </c>
      <c r="F3" s="54">
        <f t="shared" si="1"/>
        <v>29.4078278052</v>
      </c>
      <c r="G3" s="54">
        <f t="shared" si="1"/>
        <v>31.647774178800002</v>
      </c>
      <c r="H3" s="54">
        <f t="shared" si="1"/>
        <v>29.758401129600003</v>
      </c>
      <c r="I3" s="54">
        <f t="shared" si="1"/>
        <v>27.878335336800003</v>
      </c>
      <c r="J3" s="54">
        <f t="shared" si="1"/>
        <v>83.088980301600003</v>
      </c>
      <c r="K3" s="54">
        <f t="shared" si="1"/>
        <v>171.01773393120001</v>
      </c>
      <c r="L3" s="54">
        <f t="shared" si="1"/>
        <v>177.39940940279999</v>
      </c>
      <c r="M3" s="54">
        <f t="shared" si="1"/>
        <v>137.1331157976</v>
      </c>
      <c r="N3" s="54">
        <f t="shared" si="1"/>
        <v>158.89037884200002</v>
      </c>
      <c r="O3" s="54">
        <f t="shared" si="1"/>
        <v>157.91001450120001</v>
      </c>
      <c r="P3" s="54">
        <f t="shared" si="1"/>
        <v>163.64638686239999</v>
      </c>
      <c r="Q3" s="54">
        <f t="shared" si="1"/>
        <v>202.18773561480003</v>
      </c>
      <c r="R3" s="54">
        <f t="shared" si="1"/>
        <v>193.07903401800002</v>
      </c>
      <c r="S3" s="54">
        <f t="shared" si="1"/>
        <v>188.61155094600002</v>
      </c>
      <c r="T3" s="54">
        <f t="shared" si="1"/>
        <v>212.34815718480002</v>
      </c>
      <c r="U3" s="54">
        <f t="shared" si="1"/>
        <v>250.4613721428</v>
      </c>
      <c r="V3" s="54">
        <f t="shared" si="1"/>
        <v>271.00869185520003</v>
      </c>
      <c r="W3" s="54">
        <f t="shared" ref="W3:Y3" si="2">SUM(W4:W5)</f>
        <v>0.36999612000000009</v>
      </c>
      <c r="X3" s="54">
        <f t="shared" si="2"/>
        <v>0.49537332000000006</v>
      </c>
      <c r="Y3" s="54">
        <f t="shared" si="2"/>
        <v>0.45776016000000003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7.8801437520000004</v>
      </c>
      <c r="C5" s="58">
        <v>10.628886808800001</v>
      </c>
      <c r="D5" s="58">
        <v>13.523443549200001</v>
      </c>
      <c r="E5" s="58">
        <v>16.467638990400001</v>
      </c>
      <c r="F5" s="58">
        <v>29.4078278052</v>
      </c>
      <c r="G5" s="58">
        <v>31.647774178800002</v>
      </c>
      <c r="H5" s="58">
        <v>29.758401129600003</v>
      </c>
      <c r="I5" s="58">
        <v>27.878335336800003</v>
      </c>
      <c r="J5" s="58">
        <v>83.088980301600003</v>
      </c>
      <c r="K5" s="58">
        <v>171.01773393120001</v>
      </c>
      <c r="L5" s="58">
        <v>177.39940940279999</v>
      </c>
      <c r="M5" s="58">
        <v>137.1331157976</v>
      </c>
      <c r="N5" s="58">
        <v>158.89037884200002</v>
      </c>
      <c r="O5" s="58">
        <v>157.91001450120001</v>
      </c>
      <c r="P5" s="58">
        <v>163.64638686239999</v>
      </c>
      <c r="Q5" s="58">
        <v>202.18773561480003</v>
      </c>
      <c r="R5" s="58">
        <v>193.07903401800002</v>
      </c>
      <c r="S5" s="58">
        <v>188.61155094600002</v>
      </c>
      <c r="T5" s="58">
        <v>212.34815718480002</v>
      </c>
      <c r="U5" s="58">
        <v>250.4613721428</v>
      </c>
      <c r="V5" s="58">
        <v>271.00869185520003</v>
      </c>
      <c r="W5" s="58">
        <v>0.36999612000000009</v>
      </c>
      <c r="X5" s="58">
        <v>0.49537332000000006</v>
      </c>
      <c r="Y5" s="58">
        <v>0.45776016000000003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6616.4095314861461</v>
      </c>
      <c r="C13" s="54">
        <f>IF(C3=0,0,C3/TrNavi_act!C7*1000)</f>
        <v>7280.0594580821926</v>
      </c>
      <c r="D13" s="54">
        <f>IF(D3=0,0,D3/TrNavi_act!D7*1000)</f>
        <v>7950.2901523809533</v>
      </c>
      <c r="E13" s="54">
        <f>IF(E3=0,0,E3/TrNavi_act!E7*1000)</f>
        <v>10971.111918987344</v>
      </c>
      <c r="F13" s="54">
        <f>IF(F3=0,0,F3/TrNavi_act!F7*1000)</f>
        <v>33608.946063085721</v>
      </c>
      <c r="G13" s="54">
        <f>IF(G3=0,0,G3/TrNavi_act!G7*1000)</f>
        <v>36885.517690909095</v>
      </c>
      <c r="H13" s="54">
        <f>IF(H3=0,0,H3/TrNavi_act!H7*1000)</f>
        <v>33101.669777085655</v>
      </c>
      <c r="I13" s="54">
        <f>IF(I3=0,0,I3/TrNavi_act!I7*1000)</f>
        <v>15885.091360000002</v>
      </c>
      <c r="J13" s="54">
        <f>IF(J3=0,0,J3/TrNavi_act!J7*1000)</f>
        <v>17907.107823620692</v>
      </c>
      <c r="K13" s="54">
        <f>IF(K3=0,0,K3/TrNavi_act!K7*1000)</f>
        <v>28211.437468030355</v>
      </c>
      <c r="L13" s="54">
        <f>IF(L3=0,0,L3/TrNavi_act!L7*1000)</f>
        <v>28073.968887925304</v>
      </c>
      <c r="M13" s="54">
        <f>IF(M3=0,0,M3/TrNavi_act!M7*1000)</f>
        <v>28967.705069201522</v>
      </c>
      <c r="N13" s="54">
        <f>IF(N3=0,0,N3/TrNavi_act!N7*1000)</f>
        <v>29500.627337913113</v>
      </c>
      <c r="O13" s="54">
        <f>IF(O3=0,0,O3/TrNavi_act!O7*1000)</f>
        <v>31047.977684073929</v>
      </c>
      <c r="P13" s="54">
        <f>IF(P3=0,0,P3/TrNavi_act!P7*1000)</f>
        <v>37784.896527915022</v>
      </c>
      <c r="Q13" s="54">
        <f>IF(Q3=0,0,Q3/TrNavi_act!Q7*1000)</f>
        <v>38519.286647894842</v>
      </c>
      <c r="R13" s="54">
        <f>IF(R3=0,0,R3/TrNavi_act!R7*1000)</f>
        <v>37888.350474489795</v>
      </c>
      <c r="S13" s="54">
        <f>IF(S3=0,0,S3/TrNavi_act!S7*1000)</f>
        <v>44641.787206153858</v>
      </c>
      <c r="T13" s="54">
        <f>IF(T3=0,0,T3/TrNavi_act!T7*1000)</f>
        <v>47912.490339530683</v>
      </c>
      <c r="U13" s="54">
        <f>IF(U3=0,0,U3/TrNavi_act!U7*1000)</f>
        <v>48110.13679270073</v>
      </c>
      <c r="V13" s="54">
        <f>IF(V3=0,0,V3/TrNavi_act!V7*1000)</f>
        <v>49319.143194758872</v>
      </c>
      <c r="W13" s="54">
        <f>IF(W3=0,0,W3/TrNavi_act!W7*1000)</f>
        <v>46.569681560730025</v>
      </c>
      <c r="X13" s="54">
        <f>IF(X3=0,0,X3/TrNavi_act!X7*1000)</f>
        <v>93.731943235572373</v>
      </c>
      <c r="Y13" s="54">
        <f>IF(Y3=0,0,Y3/TrNavi_act!Y7*1000)</f>
        <v>78.992262295081972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6616.4095314861461</v>
      </c>
      <c r="C15" s="58">
        <f>IF(C5=0,0,C5/TrNavi_act!C9*1000)</f>
        <v>7280.0594580821926</v>
      </c>
      <c r="D15" s="58">
        <f>IF(D5=0,0,D5/TrNavi_act!D9*1000)</f>
        <v>7950.2901523809533</v>
      </c>
      <c r="E15" s="58">
        <f>IF(E5=0,0,E5/TrNavi_act!E9*1000)</f>
        <v>10971.111918987344</v>
      </c>
      <c r="F15" s="58">
        <f>IF(F5=0,0,F5/TrNavi_act!F9*1000)</f>
        <v>33608.946063085721</v>
      </c>
      <c r="G15" s="58">
        <f>IF(G5=0,0,G5/TrNavi_act!G9*1000)</f>
        <v>36885.517690909095</v>
      </c>
      <c r="H15" s="58">
        <f>IF(H5=0,0,H5/TrNavi_act!H9*1000)</f>
        <v>33101.669777085655</v>
      </c>
      <c r="I15" s="58">
        <f>IF(I5=0,0,I5/TrNavi_act!I9*1000)</f>
        <v>15885.091360000002</v>
      </c>
      <c r="J15" s="58">
        <f>IF(J5=0,0,J5/TrNavi_act!J9*1000)</f>
        <v>17907.107823620692</v>
      </c>
      <c r="K15" s="58">
        <f>IF(K5=0,0,K5/TrNavi_act!K9*1000)</f>
        <v>28211.437468030355</v>
      </c>
      <c r="L15" s="58">
        <f>IF(L5=0,0,L5/TrNavi_act!L9*1000)</f>
        <v>28073.968887925304</v>
      </c>
      <c r="M15" s="58">
        <f>IF(M5=0,0,M5/TrNavi_act!M9*1000)</f>
        <v>28967.705069201522</v>
      </c>
      <c r="N15" s="58">
        <f>IF(N5=0,0,N5/TrNavi_act!N9*1000)</f>
        <v>29500.627337913113</v>
      </c>
      <c r="O15" s="58">
        <f>IF(O5=0,0,O5/TrNavi_act!O9*1000)</f>
        <v>31047.977684073929</v>
      </c>
      <c r="P15" s="58">
        <f>IF(P5=0,0,P5/TrNavi_act!P9*1000)</f>
        <v>37784.896527915022</v>
      </c>
      <c r="Q15" s="58">
        <f>IF(Q5=0,0,Q5/TrNavi_act!Q9*1000)</f>
        <v>38519.286647894842</v>
      </c>
      <c r="R15" s="58">
        <f>IF(R5=0,0,R5/TrNavi_act!R9*1000)</f>
        <v>37888.350474489795</v>
      </c>
      <c r="S15" s="58">
        <f>IF(S5=0,0,S5/TrNavi_act!S9*1000)</f>
        <v>44641.787206153858</v>
      </c>
      <c r="T15" s="58">
        <f>IF(T5=0,0,T5/TrNavi_act!T9*1000)</f>
        <v>47912.490339530683</v>
      </c>
      <c r="U15" s="58">
        <f>IF(U5=0,0,U5/TrNavi_act!U9*1000)</f>
        <v>48110.13679270073</v>
      </c>
      <c r="V15" s="58">
        <f>IF(V5=0,0,V5/TrNavi_act!V9*1000)</f>
        <v>49319.143194758872</v>
      </c>
      <c r="W15" s="58">
        <f>IF(W5=0,0,W5/TrNavi_act!W9*1000)</f>
        <v>46.569681560730025</v>
      </c>
      <c r="X15" s="58">
        <f>IF(X5=0,0,X5/TrNavi_act!X9*1000)</f>
        <v>93.731943235572373</v>
      </c>
      <c r="Y15" s="58">
        <f>IF(Y5=0,0,Y5/TrNavi_act!Y9*1000)</f>
        <v>78.992262295081972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25.176178121405751</v>
      </c>
      <c r="C17" s="62">
        <f>IF(C3=0,0,C3/TrNavi_act!C3*1000)</f>
        <v>25.427958872727277</v>
      </c>
      <c r="D17" s="62">
        <f>IF(D3=0,0,D3/TrNavi_act!D3*1000)</f>
        <v>24.105959980748665</v>
      </c>
      <c r="E17" s="62">
        <f>IF(E3=0,0,E3/TrNavi_act!E3*1000)</f>
        <v>26.864011403588908</v>
      </c>
      <c r="F17" s="62">
        <f>IF(F3=0,0,F3/TrNavi_act!F3*1000)</f>
        <v>42.192005459397421</v>
      </c>
      <c r="G17" s="62">
        <f>IF(G3=0,0,G3/TrNavi_act!G3*1000)</f>
        <v>41.806835110700135</v>
      </c>
      <c r="H17" s="62">
        <f>IF(H3=0,0,H3/TrNavi_act!H3*1000)</f>
        <v>37.908791247898094</v>
      </c>
      <c r="I17" s="62">
        <f>IF(I3=0,0,I3/TrNavi_act!I3*1000)</f>
        <v>27.575010224332352</v>
      </c>
      <c r="J17" s="62">
        <f>IF(J3=0,0,J3/TrNavi_act!J3*1000)</f>
        <v>28.750512215086506</v>
      </c>
      <c r="K17" s="62">
        <f>IF(K3=0,0,K3/TrNavi_act!K3*1000)</f>
        <v>31.460215954966891</v>
      </c>
      <c r="L17" s="62">
        <f>IF(L3=0,0,L3/TrNavi_act!L3*1000)</f>
        <v>29.331912930357142</v>
      </c>
      <c r="M17" s="62">
        <f>IF(M3=0,0,M3/TrNavi_act!M3*1000)</f>
        <v>31.817428259303941</v>
      </c>
      <c r="N17" s="62">
        <f>IF(N3=0,0,N3/TrNavi_act!N3*1000)</f>
        <v>29.704688510375775</v>
      </c>
      <c r="O17" s="62">
        <f>IF(O3=0,0,O3/TrNavi_act!O3*1000)</f>
        <v>29.384074153554153</v>
      </c>
      <c r="P17" s="62">
        <f>IF(P3=0,0,P3/TrNavi_act!P3*1000)</f>
        <v>32.251948534174218</v>
      </c>
      <c r="Q17" s="62">
        <f>IF(Q3=0,0,Q3/TrNavi_act!Q3*1000)</f>
        <v>36.137218161715829</v>
      </c>
      <c r="R17" s="62">
        <f>IF(R3=0,0,R3/TrNavi_act!R3*1000)</f>
        <v>35.252699291217823</v>
      </c>
      <c r="S17" s="62">
        <f>IF(S3=0,0,S3/TrNavi_act!S3*1000)</f>
        <v>35.728651438908891</v>
      </c>
      <c r="T17" s="62">
        <f>IF(T3=0,0,T3/TrNavi_act!T3*1000)</f>
        <v>43.711024533717584</v>
      </c>
      <c r="U17" s="62">
        <f>IF(U3=0,0,U3/TrNavi_act!U3*1000)</f>
        <v>42.689853782648719</v>
      </c>
      <c r="V17" s="62">
        <f>IF(V3=0,0,V3/TrNavi_act!V3*1000)</f>
        <v>43.319803685294126</v>
      </c>
      <c r="W17" s="62">
        <f>IF(W3=0,0,W3/TrNavi_act!W3*1000)</f>
        <v>6.3880545580110512E-2</v>
      </c>
      <c r="X17" s="62">
        <f>IF(X3=0,0,X3/TrNavi_act!X3*1000)</f>
        <v>0.13080890414576185</v>
      </c>
      <c r="Y17" s="62">
        <f>IF(Y3=0,0,Y3/TrNavi_act!Y3*1000)</f>
        <v>0.10763229720197508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25.176178121405751</v>
      </c>
      <c r="C19" s="64">
        <f>IF(C5=0,0,C5/TrNavi_act!C5*1000)</f>
        <v>25.427958872727277</v>
      </c>
      <c r="D19" s="64">
        <f>IF(D5=0,0,D5/TrNavi_act!D5*1000)</f>
        <v>24.105959980748665</v>
      </c>
      <c r="E19" s="64">
        <f>IF(E5=0,0,E5/TrNavi_act!E5*1000)</f>
        <v>26.864011403588908</v>
      </c>
      <c r="F19" s="64">
        <f>IF(F5=0,0,F5/TrNavi_act!F5*1000)</f>
        <v>42.192005459397421</v>
      </c>
      <c r="G19" s="64">
        <f>IF(G5=0,0,G5/TrNavi_act!G5*1000)</f>
        <v>41.806835110700135</v>
      </c>
      <c r="H19" s="64">
        <f>IF(H5=0,0,H5/TrNavi_act!H5*1000)</f>
        <v>37.908791247898094</v>
      </c>
      <c r="I19" s="64">
        <f>IF(I5=0,0,I5/TrNavi_act!I5*1000)</f>
        <v>27.575010224332352</v>
      </c>
      <c r="J19" s="64">
        <f>IF(J5=0,0,J5/TrNavi_act!J5*1000)</f>
        <v>28.750512215086506</v>
      </c>
      <c r="K19" s="64">
        <f>IF(K5=0,0,K5/TrNavi_act!K5*1000)</f>
        <v>31.460215954966891</v>
      </c>
      <c r="L19" s="64">
        <f>IF(L5=0,0,L5/TrNavi_act!L5*1000)</f>
        <v>29.331912930357142</v>
      </c>
      <c r="M19" s="64">
        <f>IF(M5=0,0,M5/TrNavi_act!M5*1000)</f>
        <v>31.817428259303941</v>
      </c>
      <c r="N19" s="64">
        <f>IF(N5=0,0,N5/TrNavi_act!N5*1000)</f>
        <v>29.704688510375775</v>
      </c>
      <c r="O19" s="64">
        <f>IF(O5=0,0,O5/TrNavi_act!O5*1000)</f>
        <v>29.384074153554153</v>
      </c>
      <c r="P19" s="64">
        <f>IF(P5=0,0,P5/TrNavi_act!P5*1000)</f>
        <v>32.251948534174218</v>
      </c>
      <c r="Q19" s="64">
        <f>IF(Q5=0,0,Q5/TrNavi_act!Q5*1000)</f>
        <v>36.137218161715829</v>
      </c>
      <c r="R19" s="64">
        <f>IF(R5=0,0,R5/TrNavi_act!R5*1000)</f>
        <v>35.252699291217823</v>
      </c>
      <c r="S19" s="64">
        <f>IF(S5=0,0,S5/TrNavi_act!S5*1000)</f>
        <v>35.728651438908891</v>
      </c>
      <c r="T19" s="64">
        <f>IF(T5=0,0,T5/TrNavi_act!T5*1000)</f>
        <v>43.711024533717584</v>
      </c>
      <c r="U19" s="64">
        <f>IF(U5=0,0,U5/TrNavi_act!U5*1000)</f>
        <v>42.689853782648719</v>
      </c>
      <c r="V19" s="64">
        <f>IF(V5=0,0,V5/TrNavi_act!V5*1000)</f>
        <v>43.319803685294126</v>
      </c>
      <c r="W19" s="64">
        <f>IF(W5=0,0,W5/TrNavi_act!W5*1000)</f>
        <v>6.3880545580110512E-2</v>
      </c>
      <c r="X19" s="64">
        <f>IF(X5=0,0,X5/TrNavi_act!X5*1000)</f>
        <v>0.13080890414576185</v>
      </c>
      <c r="Y19" s="64">
        <f>IF(Y5=0,0,Y5/TrNavi_act!Y5*1000)</f>
        <v>0.10763229720197508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28461.815849999999</v>
      </c>
      <c r="C3" s="54">
        <f t="shared" si="0"/>
        <v>42274.941124999998</v>
      </c>
      <c r="D3" s="54">
        <f t="shared" si="0"/>
        <v>41103.690401</v>
      </c>
      <c r="E3" s="54">
        <f t="shared" si="0"/>
        <v>47131.873369000008</v>
      </c>
      <c r="F3" s="54">
        <f t="shared" si="0"/>
        <v>48088.492197999993</v>
      </c>
      <c r="G3" s="54">
        <f t="shared" si="0"/>
        <v>50414.280232999998</v>
      </c>
      <c r="H3" s="54">
        <f t="shared" si="0"/>
        <v>54577.504864999995</v>
      </c>
      <c r="I3" s="54">
        <f t="shared" si="0"/>
        <v>39533.332917</v>
      </c>
      <c r="J3" s="54">
        <f t="shared" si="0"/>
        <v>39031.284270999997</v>
      </c>
      <c r="K3" s="54">
        <f t="shared" si="0"/>
        <v>33276.079912000001</v>
      </c>
      <c r="L3" s="54">
        <f t="shared" si="0"/>
        <v>34139.172581999999</v>
      </c>
      <c r="M3" s="54">
        <f t="shared" si="0"/>
        <v>32107.797025</v>
      </c>
      <c r="N3" s="54">
        <f t="shared" si="0"/>
        <v>31559.266976999999</v>
      </c>
      <c r="O3" s="54">
        <f t="shared" si="0"/>
        <v>43158.272568999993</v>
      </c>
      <c r="P3" s="54">
        <f t="shared" si="0"/>
        <v>44637.227810999997</v>
      </c>
      <c r="Q3" s="54">
        <f t="shared" si="0"/>
        <v>43454.054472999997</v>
      </c>
      <c r="R3" s="54">
        <f t="shared" ref="R3:W3" si="1">SUM(R4:R5)</f>
        <v>47839.235759000003</v>
      </c>
      <c r="S3" s="54">
        <f t="shared" si="1"/>
        <v>48200.252543999995</v>
      </c>
      <c r="T3" s="54">
        <f t="shared" si="1"/>
        <v>47593.309628000003</v>
      </c>
      <c r="U3" s="54">
        <f t="shared" si="1"/>
        <v>51025.941193999999</v>
      </c>
      <c r="V3" s="54">
        <f t="shared" si="1"/>
        <v>38741.923796000003</v>
      </c>
      <c r="W3" s="54">
        <f t="shared" si="1"/>
        <v>45852.124675999992</v>
      </c>
      <c r="X3" s="54">
        <f t="shared" ref="X3:Y3" si="2">SUM(X4:X5)</f>
        <v>48660.794063000001</v>
      </c>
      <c r="Y3" s="54">
        <f t="shared" si="2"/>
        <v>60839.916257999997</v>
      </c>
      <c r="DA3" s="172" t="s">
        <v>388</v>
      </c>
    </row>
    <row r="4" spans="1:105" ht="11.45" customHeight="1" x14ac:dyDescent="0.25">
      <c r="A4" s="55" t="s">
        <v>166</v>
      </c>
      <c r="B4" s="56">
        <v>6801.1359659999998</v>
      </c>
      <c r="C4" s="56">
        <v>9904.2685430000001</v>
      </c>
      <c r="D4" s="56">
        <v>10044.867182</v>
      </c>
      <c r="E4" s="56">
        <v>7254.067153</v>
      </c>
      <c r="F4" s="56">
        <v>6609.9567299999999</v>
      </c>
      <c r="G4" s="56">
        <v>6715.6699619999999</v>
      </c>
      <c r="H4" s="56">
        <v>8568.1017780000002</v>
      </c>
      <c r="I4" s="56">
        <v>4040.0720379999998</v>
      </c>
      <c r="J4" s="56">
        <v>5102.6238890000004</v>
      </c>
      <c r="K4" s="56">
        <v>9422.0155740000009</v>
      </c>
      <c r="L4" s="56">
        <v>7928.3024070000001</v>
      </c>
      <c r="M4" s="56">
        <v>9634.1764210000001</v>
      </c>
      <c r="N4" s="56">
        <v>9022.7573999999986</v>
      </c>
      <c r="O4" s="56">
        <v>12692.614036999999</v>
      </c>
      <c r="P4" s="56">
        <v>10726.698391</v>
      </c>
      <c r="Q4" s="56">
        <v>8797.6347800000003</v>
      </c>
      <c r="R4" s="56">
        <v>12011.876811</v>
      </c>
      <c r="S4" s="56">
        <v>13484.234697</v>
      </c>
      <c r="T4" s="56">
        <v>14949.169989</v>
      </c>
      <c r="U4" s="56">
        <v>14655.011950999999</v>
      </c>
      <c r="V4" s="56">
        <v>11466.506813</v>
      </c>
      <c r="W4" s="56">
        <v>11175.071433999999</v>
      </c>
      <c r="X4" s="56">
        <v>10833.293279</v>
      </c>
      <c r="Y4" s="56">
        <v>11811.083705999999</v>
      </c>
      <c r="DA4" s="181" t="s">
        <v>389</v>
      </c>
    </row>
    <row r="5" spans="1:105" ht="11.45" customHeight="1" x14ac:dyDescent="0.25">
      <c r="A5" s="57" t="s">
        <v>167</v>
      </c>
      <c r="B5" s="58">
        <v>21660.679884000001</v>
      </c>
      <c r="C5" s="58">
        <v>32370.672581999999</v>
      </c>
      <c r="D5" s="58">
        <v>31058.823219000002</v>
      </c>
      <c r="E5" s="58">
        <v>39877.806216000004</v>
      </c>
      <c r="F5" s="58">
        <v>41478.535467999995</v>
      </c>
      <c r="G5" s="58">
        <v>43698.610270999998</v>
      </c>
      <c r="H5" s="58">
        <v>46009.403086999999</v>
      </c>
      <c r="I5" s="58">
        <v>35493.260879000001</v>
      </c>
      <c r="J5" s="58">
        <v>33928.660381999995</v>
      </c>
      <c r="K5" s="58">
        <v>23854.064338</v>
      </c>
      <c r="L5" s="58">
        <v>26210.870175</v>
      </c>
      <c r="M5" s="58">
        <v>22473.620604</v>
      </c>
      <c r="N5" s="58">
        <v>22536.509577000001</v>
      </c>
      <c r="O5" s="58">
        <v>30465.658531999998</v>
      </c>
      <c r="P5" s="58">
        <v>33910.529419999999</v>
      </c>
      <c r="Q5" s="58">
        <v>34656.419692999996</v>
      </c>
      <c r="R5" s="58">
        <v>35827.358948000001</v>
      </c>
      <c r="S5" s="58">
        <v>34716.017846999996</v>
      </c>
      <c r="T5" s="58">
        <v>32644.139639000001</v>
      </c>
      <c r="U5" s="58">
        <v>36370.929242999999</v>
      </c>
      <c r="V5" s="58">
        <v>27275.416982999999</v>
      </c>
      <c r="W5" s="58">
        <v>34677.053241999994</v>
      </c>
      <c r="X5" s="58">
        <v>37827.500784000003</v>
      </c>
      <c r="Y5" s="58">
        <v>49028.832552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2.3660420000000002</v>
      </c>
      <c r="C7" s="59">
        <f t="shared" si="3"/>
        <v>3.3950200000000001</v>
      </c>
      <c r="D7" s="59">
        <f t="shared" si="3"/>
        <v>3.3641069999999997</v>
      </c>
      <c r="E7" s="59">
        <f t="shared" si="3"/>
        <v>3.2107859999999997</v>
      </c>
      <c r="F7" s="59">
        <f t="shared" si="3"/>
        <v>3.1867749999999999</v>
      </c>
      <c r="G7" s="59">
        <f t="shared" si="3"/>
        <v>3.1749679999999998</v>
      </c>
      <c r="H7" s="59">
        <f t="shared" si="3"/>
        <v>3.6120130000000001</v>
      </c>
      <c r="I7" s="59">
        <f t="shared" si="3"/>
        <v>2.3920699999999999</v>
      </c>
      <c r="J7" s="59">
        <f t="shared" si="3"/>
        <v>2.3584419999999997</v>
      </c>
      <c r="K7" s="59">
        <f t="shared" si="3"/>
        <v>2.6640930000000003</v>
      </c>
      <c r="L7" s="59">
        <f t="shared" si="3"/>
        <v>2.600238</v>
      </c>
      <c r="M7" s="59">
        <f t="shared" si="3"/>
        <v>2.9576929999999999</v>
      </c>
      <c r="N7" s="59">
        <f t="shared" si="3"/>
        <v>2.652844</v>
      </c>
      <c r="O7" s="59">
        <f t="shared" si="3"/>
        <v>3.3381150000000002</v>
      </c>
      <c r="P7" s="59">
        <f t="shared" si="3"/>
        <v>2.9678550000000001</v>
      </c>
      <c r="Q7" s="59">
        <f t="shared" si="3"/>
        <v>2.4254629999999997</v>
      </c>
      <c r="R7" s="59">
        <f t="shared" si="3"/>
        <v>2.862892</v>
      </c>
      <c r="S7" s="59">
        <f t="shared" si="3"/>
        <v>3.0663689999999999</v>
      </c>
      <c r="T7" s="59">
        <f t="shared" si="3"/>
        <v>3.3332579999999998</v>
      </c>
      <c r="U7" s="59">
        <f t="shared" si="3"/>
        <v>3.4244000000000003</v>
      </c>
      <c r="V7" s="59">
        <f t="shared" si="3"/>
        <v>2.5535389999999998</v>
      </c>
      <c r="W7" s="59">
        <f t="shared" si="3"/>
        <v>2.7719209999999999</v>
      </c>
      <c r="X7" s="59">
        <f t="shared" ref="X7:Y7" si="4">SUM(X8:X9)</f>
        <v>2.8529770000000001</v>
      </c>
      <c r="Y7" s="59">
        <f t="shared" si="4"/>
        <v>3.0932770000000001</v>
      </c>
      <c r="DA7" s="172" t="s">
        <v>963</v>
      </c>
    </row>
    <row r="8" spans="1:105" ht="11.45" customHeight="1" x14ac:dyDescent="0.25">
      <c r="A8" s="55" t="s">
        <v>166</v>
      </c>
      <c r="B8" s="60">
        <v>1.244971</v>
      </c>
      <c r="C8" s="60">
        <v>1.7766950000000001</v>
      </c>
      <c r="D8" s="60">
        <v>1.783425</v>
      </c>
      <c r="E8" s="60">
        <v>1.2768619999999999</v>
      </c>
      <c r="F8" s="60">
        <v>1.1696570000000002</v>
      </c>
      <c r="G8" s="60">
        <v>1.1509749999999999</v>
      </c>
      <c r="H8" s="60">
        <v>1.48492</v>
      </c>
      <c r="I8" s="60">
        <v>0.72037700000000005</v>
      </c>
      <c r="J8" s="60">
        <v>0.84121400000000002</v>
      </c>
      <c r="K8" s="60">
        <v>1.5284260000000001</v>
      </c>
      <c r="L8" s="60">
        <v>1.3261719999999999</v>
      </c>
      <c r="M8" s="60">
        <v>1.706642</v>
      </c>
      <c r="N8" s="60">
        <v>1.5275540000000001</v>
      </c>
      <c r="O8" s="60">
        <v>2.032651</v>
      </c>
      <c r="P8" s="60">
        <v>1.717017</v>
      </c>
      <c r="Q8" s="60">
        <v>1.2887439999999999</v>
      </c>
      <c r="R8" s="60">
        <v>1.672741</v>
      </c>
      <c r="S8" s="60">
        <v>1.8894089999999999</v>
      </c>
      <c r="T8" s="60">
        <v>2.14175</v>
      </c>
      <c r="U8" s="60">
        <v>2.1451280000000001</v>
      </c>
      <c r="V8" s="60">
        <v>1.576349</v>
      </c>
      <c r="W8" s="60">
        <v>1.610036</v>
      </c>
      <c r="X8" s="60">
        <v>1.542079</v>
      </c>
      <c r="Y8" s="60">
        <v>1.573223</v>
      </c>
      <c r="DA8" s="181" t="s">
        <v>964</v>
      </c>
    </row>
    <row r="9" spans="1:105" ht="11.45" customHeight="1" x14ac:dyDescent="0.25">
      <c r="A9" s="57" t="s">
        <v>167</v>
      </c>
      <c r="B9" s="61">
        <v>1.1210709999999999</v>
      </c>
      <c r="C9" s="61">
        <v>1.618325</v>
      </c>
      <c r="D9" s="61">
        <v>1.5806819999999999</v>
      </c>
      <c r="E9" s="61">
        <v>1.933924</v>
      </c>
      <c r="F9" s="61">
        <v>2.017118</v>
      </c>
      <c r="G9" s="61">
        <v>2.0239929999999999</v>
      </c>
      <c r="H9" s="61">
        <v>2.1270929999999999</v>
      </c>
      <c r="I9" s="61">
        <v>1.6716929999999999</v>
      </c>
      <c r="J9" s="61">
        <v>1.5172279999999998</v>
      </c>
      <c r="K9" s="61">
        <v>1.135667</v>
      </c>
      <c r="L9" s="61">
        <v>1.2740659999999999</v>
      </c>
      <c r="M9" s="61">
        <v>1.2510509999999999</v>
      </c>
      <c r="N9" s="61">
        <v>1.1252899999999999</v>
      </c>
      <c r="O9" s="61">
        <v>1.305464</v>
      </c>
      <c r="P9" s="61">
        <v>1.2508380000000001</v>
      </c>
      <c r="Q9" s="61">
        <v>1.136719</v>
      </c>
      <c r="R9" s="61">
        <v>1.190151</v>
      </c>
      <c r="S9" s="61">
        <v>1.17696</v>
      </c>
      <c r="T9" s="61">
        <v>1.191508</v>
      </c>
      <c r="U9" s="61">
        <v>1.279272</v>
      </c>
      <c r="V9" s="61">
        <v>0.97719</v>
      </c>
      <c r="W9" s="61">
        <v>1.1618849999999998</v>
      </c>
      <c r="X9" s="61">
        <v>1.3108979999999999</v>
      </c>
      <c r="Y9" s="61">
        <v>1.520054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12029.294429262032</v>
      </c>
      <c r="C13" s="62">
        <f t="shared" si="5"/>
        <v>12452.044796496042</v>
      </c>
      <c r="D13" s="62">
        <f t="shared" si="5"/>
        <v>12218.306492926653</v>
      </c>
      <c r="E13" s="62">
        <f t="shared" si="5"/>
        <v>14679.232240641391</v>
      </c>
      <c r="F13" s="62">
        <f t="shared" si="5"/>
        <v>15090.018027002217</v>
      </c>
      <c r="G13" s="62">
        <f t="shared" si="5"/>
        <v>15878.673496236814</v>
      </c>
      <c r="H13" s="62">
        <f t="shared" si="5"/>
        <v>15109.99679818428</v>
      </c>
      <c r="I13" s="62">
        <f t="shared" si="5"/>
        <v>16526.829447716831</v>
      </c>
      <c r="J13" s="62">
        <f t="shared" si="5"/>
        <v>16549.605320376759</v>
      </c>
      <c r="K13" s="62">
        <f t="shared" si="5"/>
        <v>12490.584942792912</v>
      </c>
      <c r="L13" s="62">
        <f t="shared" si="5"/>
        <v>13129.249161807496</v>
      </c>
      <c r="M13" s="62">
        <f t="shared" si="5"/>
        <v>10855.689561086969</v>
      </c>
      <c r="N13" s="62">
        <f t="shared" si="5"/>
        <v>11896.390054221054</v>
      </c>
      <c r="O13" s="62">
        <f t="shared" si="5"/>
        <v>12928.935213136752</v>
      </c>
      <c r="P13" s="62">
        <f t="shared" si="5"/>
        <v>15040.232023127814</v>
      </c>
      <c r="Q13" s="62">
        <f t="shared" si="5"/>
        <v>17915.777100289717</v>
      </c>
      <c r="R13" s="62">
        <f t="shared" si="5"/>
        <v>16710.108435456175</v>
      </c>
      <c r="S13" s="62">
        <f t="shared" si="5"/>
        <v>15718.999423748413</v>
      </c>
      <c r="T13" s="62">
        <f t="shared" si="5"/>
        <v>14278.315578332073</v>
      </c>
      <c r="U13" s="62">
        <f t="shared" si="5"/>
        <v>14900.69536093914</v>
      </c>
      <c r="V13" s="62">
        <f t="shared" si="5"/>
        <v>15171.855137516994</v>
      </c>
      <c r="W13" s="62">
        <f t="shared" si="5"/>
        <v>16541.641942898081</v>
      </c>
      <c r="X13" s="62">
        <f t="shared" ref="X13:Y13" si="6">IF(X3=0,0,X3/X7)</f>
        <v>17056.146636653571</v>
      </c>
      <c r="Y13" s="62">
        <f t="shared" si="6"/>
        <v>19668.434562439768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5462.8870600198716</v>
      </c>
      <c r="C14" s="63">
        <f t="shared" si="5"/>
        <v>5574.5463025448935</v>
      </c>
      <c r="D14" s="63">
        <f t="shared" si="5"/>
        <v>5632.3462898636053</v>
      </c>
      <c r="E14" s="63">
        <f t="shared" si="5"/>
        <v>5681.1677009731675</v>
      </c>
      <c r="F14" s="63">
        <f t="shared" si="5"/>
        <v>5651.1923837501072</v>
      </c>
      <c r="G14" s="63">
        <f t="shared" si="5"/>
        <v>5834.7661434870442</v>
      </c>
      <c r="H14" s="63">
        <f t="shared" si="5"/>
        <v>5770.0763529348387</v>
      </c>
      <c r="I14" s="63">
        <f t="shared" si="5"/>
        <v>5608.274608989459</v>
      </c>
      <c r="J14" s="63">
        <f t="shared" si="5"/>
        <v>6065.7857441744909</v>
      </c>
      <c r="K14" s="63">
        <f t="shared" si="5"/>
        <v>6164.521916010327</v>
      </c>
      <c r="L14" s="63">
        <f t="shared" si="5"/>
        <v>5978.3364503246949</v>
      </c>
      <c r="M14" s="63">
        <f t="shared" si="5"/>
        <v>5645.106836114428</v>
      </c>
      <c r="N14" s="63">
        <f t="shared" si="5"/>
        <v>5906.6700097017838</v>
      </c>
      <c r="O14" s="63">
        <f t="shared" si="5"/>
        <v>6244.3646435123392</v>
      </c>
      <c r="P14" s="63">
        <f t="shared" si="5"/>
        <v>6247.2872376918804</v>
      </c>
      <c r="Q14" s="63">
        <f t="shared" si="5"/>
        <v>6826.5185172540096</v>
      </c>
      <c r="R14" s="63">
        <f t="shared" si="5"/>
        <v>7180.9543802656835</v>
      </c>
      <c r="S14" s="63">
        <f t="shared" si="5"/>
        <v>7136.7473622704247</v>
      </c>
      <c r="T14" s="63">
        <f t="shared" si="5"/>
        <v>6979.8856024279212</v>
      </c>
      <c r="U14" s="63">
        <f t="shared" si="5"/>
        <v>6831.7657272666238</v>
      </c>
      <c r="V14" s="63">
        <f t="shared" si="5"/>
        <v>7274.0914689576994</v>
      </c>
      <c r="W14" s="63">
        <f t="shared" si="5"/>
        <v>6940.8829578965933</v>
      </c>
      <c r="X14" s="63">
        <f t="shared" ref="X14:Y14" si="7">IF(X4=0,0,X4/X8)</f>
        <v>7025.1221104755332</v>
      </c>
      <c r="Y14" s="63">
        <f t="shared" si="7"/>
        <v>7507.5712127269935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19321.416648900919</v>
      </c>
      <c r="C15" s="64">
        <f t="shared" si="5"/>
        <v>20002.578333771027</v>
      </c>
      <c r="D15" s="64">
        <f t="shared" si="5"/>
        <v>19649.001645492262</v>
      </c>
      <c r="E15" s="64">
        <f t="shared" si="5"/>
        <v>20620.151679176641</v>
      </c>
      <c r="F15" s="64">
        <f t="shared" si="5"/>
        <v>20563.266734023491</v>
      </c>
      <c r="G15" s="64">
        <f t="shared" si="5"/>
        <v>21590.297135909066</v>
      </c>
      <c r="H15" s="64">
        <f t="shared" si="5"/>
        <v>21630.17935134947</v>
      </c>
      <c r="I15" s="64">
        <f t="shared" si="5"/>
        <v>21231.925287119109</v>
      </c>
      <c r="J15" s="64">
        <f t="shared" si="5"/>
        <v>22362.268809961322</v>
      </c>
      <c r="K15" s="64">
        <f t="shared" si="5"/>
        <v>21004.453187422019</v>
      </c>
      <c r="L15" s="64">
        <f t="shared" si="5"/>
        <v>20572.615684744749</v>
      </c>
      <c r="M15" s="64">
        <f t="shared" si="5"/>
        <v>17963.792526443765</v>
      </c>
      <c r="N15" s="64">
        <f t="shared" si="5"/>
        <v>20027.290366927638</v>
      </c>
      <c r="O15" s="64">
        <f t="shared" si="5"/>
        <v>23337.034596128273</v>
      </c>
      <c r="P15" s="64">
        <f t="shared" si="5"/>
        <v>27110.248825187591</v>
      </c>
      <c r="Q15" s="64">
        <f t="shared" si="5"/>
        <v>30488.11508649015</v>
      </c>
      <c r="R15" s="64">
        <f t="shared" si="5"/>
        <v>30103.204507663315</v>
      </c>
      <c r="S15" s="64">
        <f t="shared" si="5"/>
        <v>29496.344690558723</v>
      </c>
      <c r="T15" s="64">
        <f t="shared" si="5"/>
        <v>27397.331481618254</v>
      </c>
      <c r="U15" s="64">
        <f t="shared" si="5"/>
        <v>28430.958578785434</v>
      </c>
      <c r="V15" s="64">
        <f t="shared" si="5"/>
        <v>27912.091796886991</v>
      </c>
      <c r="W15" s="64">
        <f t="shared" si="5"/>
        <v>29845.512457773359</v>
      </c>
      <c r="X15" s="64">
        <f t="shared" ref="X15:Y15" si="8">IF(X5=0,0,X5/X9)</f>
        <v>28856.173999807772</v>
      </c>
      <c r="Y15" s="64">
        <f t="shared" si="8"/>
        <v>32254.665000059209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0.23895650234839111</v>
      </c>
      <c r="C18" s="66">
        <f t="shared" si="9"/>
        <v>0.23428225514767054</v>
      </c>
      <c r="D18" s="66">
        <f t="shared" si="9"/>
        <v>0.2443787184071341</v>
      </c>
      <c r="E18" s="66">
        <f t="shared" si="9"/>
        <v>0.15391001109179778</v>
      </c>
      <c r="F18" s="66">
        <f t="shared" si="9"/>
        <v>0.13745402336143342</v>
      </c>
      <c r="G18" s="66">
        <f t="shared" si="9"/>
        <v>0.13320967652344029</v>
      </c>
      <c r="H18" s="66">
        <f t="shared" si="9"/>
        <v>0.15698962052577523</v>
      </c>
      <c r="I18" s="66">
        <f t="shared" si="9"/>
        <v>0.10219406611838439</v>
      </c>
      <c r="J18" s="66">
        <f t="shared" si="9"/>
        <v>0.13073164217635591</v>
      </c>
      <c r="K18" s="66">
        <f t="shared" si="9"/>
        <v>0.28314680091275535</v>
      </c>
      <c r="L18" s="66">
        <f t="shared" si="9"/>
        <v>0.23223475577671809</v>
      </c>
      <c r="M18" s="66">
        <f t="shared" si="9"/>
        <v>0.30005722328126622</v>
      </c>
      <c r="N18" s="66">
        <f t="shared" si="9"/>
        <v>0.28589882669251071</v>
      </c>
      <c r="O18" s="66">
        <f t="shared" si="9"/>
        <v>0.29409457982145776</v>
      </c>
      <c r="P18" s="66">
        <f t="shared" si="9"/>
        <v>0.24030834612799606</v>
      </c>
      <c r="Q18" s="66">
        <f t="shared" si="9"/>
        <v>0.20245831802568331</v>
      </c>
      <c r="R18" s="66">
        <f t="shared" si="9"/>
        <v>0.25108839262216276</v>
      </c>
      <c r="S18" s="66">
        <f t="shared" si="9"/>
        <v>0.27975444080279049</v>
      </c>
      <c r="T18" s="66">
        <f t="shared" si="9"/>
        <v>0.31410234139726928</v>
      </c>
      <c r="U18" s="66">
        <f t="shared" si="9"/>
        <v>0.28720708737702305</v>
      </c>
      <c r="V18" s="66">
        <f t="shared" si="9"/>
        <v>0.29597153908458945</v>
      </c>
      <c r="W18" s="66">
        <f t="shared" si="9"/>
        <v>0.24371981697609918</v>
      </c>
      <c r="X18" s="66">
        <f t="shared" ref="X18:Y18" si="11">IF(X4=0,0,X4/X$3)</f>
        <v>0.22262878129309574</v>
      </c>
      <c r="Y18" s="66">
        <f t="shared" si="11"/>
        <v>0.19413379295121777</v>
      </c>
      <c r="DA18" s="181"/>
    </row>
    <row r="19" spans="1:105" ht="11.45" customHeight="1" x14ac:dyDescent="0.25">
      <c r="A19" s="57" t="s">
        <v>167</v>
      </c>
      <c r="B19" s="67">
        <f t="shared" si="9"/>
        <v>0.76104349765160895</v>
      </c>
      <c r="C19" s="67">
        <f t="shared" si="9"/>
        <v>0.76571774485232946</v>
      </c>
      <c r="D19" s="67">
        <f t="shared" si="9"/>
        <v>0.7556212815928659</v>
      </c>
      <c r="E19" s="67">
        <f t="shared" si="9"/>
        <v>0.84608998890820208</v>
      </c>
      <c r="F19" s="67">
        <f t="shared" si="9"/>
        <v>0.86254597663856658</v>
      </c>
      <c r="G19" s="67">
        <f t="shared" si="9"/>
        <v>0.86679032347655971</v>
      </c>
      <c r="H19" s="67">
        <f t="shared" si="9"/>
        <v>0.84301037947422486</v>
      </c>
      <c r="I19" s="67">
        <f t="shared" si="9"/>
        <v>0.89780593388161567</v>
      </c>
      <c r="J19" s="67">
        <f t="shared" si="9"/>
        <v>0.86926835782364409</v>
      </c>
      <c r="K19" s="67">
        <f t="shared" si="9"/>
        <v>0.71685319908724465</v>
      </c>
      <c r="L19" s="67">
        <f t="shared" si="9"/>
        <v>0.76776524422328196</v>
      </c>
      <c r="M19" s="67">
        <f t="shared" si="9"/>
        <v>0.69994277671873384</v>
      </c>
      <c r="N19" s="67">
        <f t="shared" si="9"/>
        <v>0.71410117330748935</v>
      </c>
      <c r="O19" s="67">
        <f t="shared" si="9"/>
        <v>0.7059054201785423</v>
      </c>
      <c r="P19" s="67">
        <f t="shared" si="9"/>
        <v>0.75969165387200399</v>
      </c>
      <c r="Q19" s="67">
        <f t="shared" si="9"/>
        <v>0.79754168197431663</v>
      </c>
      <c r="R19" s="67">
        <f t="shared" si="9"/>
        <v>0.74891160737783724</v>
      </c>
      <c r="S19" s="67">
        <f t="shared" si="9"/>
        <v>0.72024555919720945</v>
      </c>
      <c r="T19" s="67">
        <f t="shared" si="9"/>
        <v>0.68589765860273066</v>
      </c>
      <c r="U19" s="67">
        <f t="shared" si="9"/>
        <v>0.71279291262297695</v>
      </c>
      <c r="V19" s="67">
        <f t="shared" si="9"/>
        <v>0.70402846091541049</v>
      </c>
      <c r="W19" s="67">
        <f t="shared" si="9"/>
        <v>0.75628018302390088</v>
      </c>
      <c r="X19" s="67">
        <f t="shared" ref="X19:Y19" si="12">IF(X5=0,0,X5/X$3)</f>
        <v>0.77737121870690429</v>
      </c>
      <c r="Y19" s="67">
        <f t="shared" si="12"/>
        <v>0.80586620704878231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0.52618296716626334</v>
      </c>
      <c r="C22" s="66">
        <f t="shared" si="13"/>
        <v>0.52332386848972912</v>
      </c>
      <c r="D22" s="66">
        <f t="shared" si="13"/>
        <v>0.53013325676026357</v>
      </c>
      <c r="E22" s="66">
        <f t="shared" si="13"/>
        <v>0.39767894839456758</v>
      </c>
      <c r="F22" s="66">
        <f t="shared" si="13"/>
        <v>0.36703469808819267</v>
      </c>
      <c r="G22" s="66">
        <f t="shared" si="13"/>
        <v>0.36251546472279406</v>
      </c>
      <c r="H22" s="66">
        <f t="shared" si="13"/>
        <v>0.41110594009489998</v>
      </c>
      <c r="I22" s="66">
        <f t="shared" si="13"/>
        <v>0.30115214019656616</v>
      </c>
      <c r="J22" s="66">
        <f t="shared" si="13"/>
        <v>0.35668208079740782</v>
      </c>
      <c r="K22" s="66">
        <f t="shared" si="13"/>
        <v>0.57371345519844841</v>
      </c>
      <c r="L22" s="66">
        <f t="shared" si="13"/>
        <v>0.51001946744874893</v>
      </c>
      <c r="M22" s="66">
        <f t="shared" si="13"/>
        <v>0.57701796636770619</v>
      </c>
      <c r="N22" s="66">
        <f t="shared" si="13"/>
        <v>0.5758175000113086</v>
      </c>
      <c r="O22" s="66">
        <f t="shared" si="13"/>
        <v>0.60892180167549648</v>
      </c>
      <c r="P22" s="66">
        <f t="shared" si="13"/>
        <v>0.5785380350455126</v>
      </c>
      <c r="Q22" s="66">
        <f t="shared" si="13"/>
        <v>0.53133937726528913</v>
      </c>
      <c r="R22" s="66">
        <f t="shared" si="13"/>
        <v>0.58428365443055486</v>
      </c>
      <c r="S22" s="66">
        <f t="shared" si="13"/>
        <v>0.6161714392494837</v>
      </c>
      <c r="T22" s="66">
        <f t="shared" si="13"/>
        <v>0.64253952139318349</v>
      </c>
      <c r="U22" s="66">
        <f t="shared" si="13"/>
        <v>0.62642448312113064</v>
      </c>
      <c r="V22" s="66">
        <f t="shared" si="13"/>
        <v>0.61731933602737221</v>
      </c>
      <c r="W22" s="66">
        <f t="shared" si="13"/>
        <v>0.58083762127419936</v>
      </c>
      <c r="X22" s="66">
        <f t="shared" ref="X22:Y22" si="15">IF(X8=0,0,X8/X$7)</f>
        <v>0.54051574898781163</v>
      </c>
      <c r="Y22" s="66">
        <f t="shared" si="15"/>
        <v>0.50859428366745041</v>
      </c>
      <c r="DA22" s="181"/>
    </row>
    <row r="23" spans="1:105" ht="11.45" customHeight="1" x14ac:dyDescent="0.25">
      <c r="A23" s="57" t="s">
        <v>167</v>
      </c>
      <c r="B23" s="67">
        <f t="shared" si="13"/>
        <v>0.47381703283373661</v>
      </c>
      <c r="C23" s="67">
        <f t="shared" si="13"/>
        <v>0.47667613151027088</v>
      </c>
      <c r="D23" s="67">
        <f t="shared" si="13"/>
        <v>0.46986674323973643</v>
      </c>
      <c r="E23" s="67">
        <f t="shared" si="13"/>
        <v>0.60232105160543248</v>
      </c>
      <c r="F23" s="67">
        <f t="shared" si="13"/>
        <v>0.63296530191180744</v>
      </c>
      <c r="G23" s="67">
        <f t="shared" si="13"/>
        <v>0.63748453527720594</v>
      </c>
      <c r="H23" s="67">
        <f t="shared" si="13"/>
        <v>0.58889405990509991</v>
      </c>
      <c r="I23" s="67">
        <f t="shared" si="13"/>
        <v>0.69884785980343378</v>
      </c>
      <c r="J23" s="67">
        <f t="shared" si="13"/>
        <v>0.64331791920259218</v>
      </c>
      <c r="K23" s="67">
        <f t="shared" si="13"/>
        <v>0.42628654480155154</v>
      </c>
      <c r="L23" s="67">
        <f t="shared" si="13"/>
        <v>0.48998053255125101</v>
      </c>
      <c r="M23" s="67">
        <f t="shared" si="13"/>
        <v>0.42298203363229381</v>
      </c>
      <c r="N23" s="67">
        <f t="shared" si="13"/>
        <v>0.42418249998869134</v>
      </c>
      <c r="O23" s="67">
        <f t="shared" si="13"/>
        <v>0.39107819832450347</v>
      </c>
      <c r="P23" s="67">
        <f t="shared" si="13"/>
        <v>0.42146196495448734</v>
      </c>
      <c r="Q23" s="67">
        <f t="shared" si="13"/>
        <v>0.46866062273471093</v>
      </c>
      <c r="R23" s="67">
        <f t="shared" si="13"/>
        <v>0.41571634556944514</v>
      </c>
      <c r="S23" s="67">
        <f t="shared" si="13"/>
        <v>0.38382856075051636</v>
      </c>
      <c r="T23" s="67">
        <f t="shared" si="13"/>
        <v>0.35746047860681651</v>
      </c>
      <c r="U23" s="67">
        <f t="shared" si="13"/>
        <v>0.37357551687886925</v>
      </c>
      <c r="V23" s="67">
        <f t="shared" si="13"/>
        <v>0.38268066397262784</v>
      </c>
      <c r="W23" s="67">
        <f t="shared" si="13"/>
        <v>0.41916237872580059</v>
      </c>
      <c r="X23" s="67">
        <f t="shared" ref="X23:Y23" si="16">IF(X9=0,0,X9/X$7)</f>
        <v>0.45948425101218826</v>
      </c>
      <c r="Y23" s="67">
        <f t="shared" si="16"/>
        <v>0.49140571633254959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65.730352536543421</v>
      </c>
      <c r="C3" s="62">
        <f t="shared" ref="C3:W3" si="0">SUM(C4,C10)</f>
        <v>98.5334479793637</v>
      </c>
      <c r="D3" s="62">
        <f t="shared" si="0"/>
        <v>107.83895098882201</v>
      </c>
      <c r="E3" s="62">
        <f t="shared" si="0"/>
        <v>140.70412725709369</v>
      </c>
      <c r="F3" s="62">
        <f t="shared" si="0"/>
        <v>118.10928632846088</v>
      </c>
      <c r="G3" s="62">
        <f t="shared" si="0"/>
        <v>112.9741186586414</v>
      </c>
      <c r="H3" s="62">
        <f t="shared" si="0"/>
        <v>106</v>
      </c>
      <c r="I3" s="62">
        <f t="shared" si="0"/>
        <v>52.536543422183996</v>
      </c>
      <c r="J3" s="62">
        <f t="shared" si="0"/>
        <v>122.37987962166807</v>
      </c>
      <c r="K3" s="62">
        <f t="shared" si="0"/>
        <v>206.00455717970769</v>
      </c>
      <c r="L3" s="62">
        <f t="shared" si="0"/>
        <v>96.484178847807385</v>
      </c>
      <c r="M3" s="62">
        <f t="shared" si="0"/>
        <v>75.468099742046434</v>
      </c>
      <c r="N3" s="62">
        <f t="shared" si="0"/>
        <v>63.616595012897676</v>
      </c>
      <c r="O3" s="62">
        <f t="shared" si="0"/>
        <v>90.235941530524499</v>
      </c>
      <c r="P3" s="62">
        <f t="shared" si="0"/>
        <v>81.417798796216672</v>
      </c>
      <c r="Q3" s="62">
        <f t="shared" si="0"/>
        <v>86.744024075666374</v>
      </c>
      <c r="R3" s="62">
        <f t="shared" si="0"/>
        <v>77.761049011177988</v>
      </c>
      <c r="S3" s="62">
        <f t="shared" si="0"/>
        <v>80.080481513327584</v>
      </c>
      <c r="T3" s="62">
        <f t="shared" si="0"/>
        <v>82.119432502149607</v>
      </c>
      <c r="U3" s="62">
        <f t="shared" si="0"/>
        <v>75.8462596732588</v>
      </c>
      <c r="V3" s="62">
        <f t="shared" si="0"/>
        <v>84.746431642304387</v>
      </c>
      <c r="W3" s="62">
        <f t="shared" si="0"/>
        <v>85.220722269991398</v>
      </c>
      <c r="X3" s="62">
        <f t="shared" ref="X3:Y3" si="1">SUM(X4,X10)</f>
        <v>68.352708512467743</v>
      </c>
      <c r="Y3" s="62">
        <f t="shared" si="1"/>
        <v>66.642132416165083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32.239397793887228</v>
      </c>
      <c r="C4" s="71">
        <f t="shared" ref="C4:W4" si="2">SUM(C5:C9)</f>
        <v>48.111348580748832</v>
      </c>
      <c r="D4" s="71">
        <f t="shared" si="2"/>
        <v>53.316540480887113</v>
      </c>
      <c r="E4" s="71">
        <f t="shared" si="2"/>
        <v>56.446871728760449</v>
      </c>
      <c r="F4" s="71">
        <f t="shared" si="2"/>
        <v>44.289567581428273</v>
      </c>
      <c r="G4" s="71">
        <f t="shared" si="2"/>
        <v>42.06316880944879</v>
      </c>
      <c r="H4" s="71">
        <f t="shared" si="2"/>
        <v>43.000029987704735</v>
      </c>
      <c r="I4" s="71">
        <f t="shared" si="2"/>
        <v>16.630589254116192</v>
      </c>
      <c r="J4" s="71">
        <f t="shared" si="2"/>
        <v>44.001030138106898</v>
      </c>
      <c r="K4" s="71">
        <f t="shared" si="2"/>
        <v>107.54071744392701</v>
      </c>
      <c r="L4" s="71">
        <f t="shared" si="2"/>
        <v>44.673515949692636</v>
      </c>
      <c r="M4" s="71">
        <f t="shared" si="2"/>
        <v>37.719036569657412</v>
      </c>
      <c r="N4" s="71">
        <f t="shared" si="2"/>
        <v>31.648390309779504</v>
      </c>
      <c r="O4" s="71">
        <f t="shared" si="2"/>
        <v>47.15470285721198</v>
      </c>
      <c r="P4" s="71">
        <f t="shared" si="2"/>
        <v>40.687562859888473</v>
      </c>
      <c r="Q4" s="71">
        <f t="shared" si="2"/>
        <v>40.931133992476084</v>
      </c>
      <c r="R4" s="71">
        <f t="shared" si="2"/>
        <v>39.529304753235785</v>
      </c>
      <c r="S4" s="71">
        <f t="shared" si="2"/>
        <v>42.597776688173312</v>
      </c>
      <c r="T4" s="71">
        <f t="shared" si="2"/>
        <v>44.525506866903406</v>
      </c>
      <c r="U4" s="71">
        <f t="shared" si="2"/>
        <v>40.162042722592275</v>
      </c>
      <c r="V4" s="71">
        <f t="shared" si="2"/>
        <v>41.761132249995484</v>
      </c>
      <c r="W4" s="71">
        <f t="shared" si="2"/>
        <v>39.004352707311163</v>
      </c>
      <c r="X4" s="71">
        <f t="shared" ref="X4:Y4" si="3">SUM(X5:X9)</f>
        <v>31.765999731235521</v>
      </c>
      <c r="Y4" s="71">
        <f t="shared" si="3"/>
        <v>30.17257502569856</v>
      </c>
      <c r="DA4" s="186" t="s">
        <v>971</v>
      </c>
    </row>
    <row r="5" spans="1:105" ht="11.45" customHeight="1" x14ac:dyDescent="0.25">
      <c r="A5" s="72" t="s">
        <v>144</v>
      </c>
      <c r="B5" s="73">
        <v>32.239397793887228</v>
      </c>
      <c r="C5" s="73">
        <v>48.111348580748832</v>
      </c>
      <c r="D5" s="73">
        <v>53.316540480887113</v>
      </c>
      <c r="E5" s="73">
        <v>56.446871728760449</v>
      </c>
      <c r="F5" s="73">
        <v>44.289567581428273</v>
      </c>
      <c r="G5" s="73">
        <v>42.06316880944879</v>
      </c>
      <c r="H5" s="73">
        <v>43.000029987704735</v>
      </c>
      <c r="I5" s="73">
        <v>16.630589254116192</v>
      </c>
      <c r="J5" s="73">
        <v>44.001030138106898</v>
      </c>
      <c r="K5" s="73">
        <v>107.54071744392701</v>
      </c>
      <c r="L5" s="73">
        <v>42.662022108740096</v>
      </c>
      <c r="M5" s="73">
        <v>37.6898830378911</v>
      </c>
      <c r="N5" s="73">
        <v>31.648390309779504</v>
      </c>
      <c r="O5" s="73">
        <v>47.145190884874062</v>
      </c>
      <c r="P5" s="73">
        <v>40.687562859888473</v>
      </c>
      <c r="Q5" s="73">
        <v>40.931133992476084</v>
      </c>
      <c r="R5" s="73">
        <v>39.529304753235785</v>
      </c>
      <c r="S5" s="73">
        <v>42.597776688173312</v>
      </c>
      <c r="T5" s="73">
        <v>44.525506866903406</v>
      </c>
      <c r="U5" s="73">
        <v>40.162042722592275</v>
      </c>
      <c r="V5" s="73">
        <v>41.761132249995484</v>
      </c>
      <c r="W5" s="73">
        <v>39.004352707311163</v>
      </c>
      <c r="X5" s="73">
        <v>31.765999731235521</v>
      </c>
      <c r="Y5" s="73">
        <v>30.17257502569856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2.0114938409525425</v>
      </c>
      <c r="M6" s="73">
        <v>2.9153531766312996E-2</v>
      </c>
      <c r="N6" s="73">
        <v>0</v>
      </c>
      <c r="O6" s="73">
        <v>9.5119723379178678E-3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33.490954742656193</v>
      </c>
      <c r="C10" s="71">
        <f t="shared" ref="C10:W10" si="4">SUM(C11:C15)</f>
        <v>50.422099398614868</v>
      </c>
      <c r="D10" s="71">
        <f t="shared" si="4"/>
        <v>54.522410507934893</v>
      </c>
      <c r="E10" s="71">
        <f t="shared" si="4"/>
        <v>84.257255528333246</v>
      </c>
      <c r="F10" s="71">
        <f t="shared" si="4"/>
        <v>73.81971874703261</v>
      </c>
      <c r="G10" s="71">
        <f t="shared" si="4"/>
        <v>70.910949849192605</v>
      </c>
      <c r="H10" s="71">
        <f t="shared" si="4"/>
        <v>62.999970012295265</v>
      </c>
      <c r="I10" s="71">
        <f t="shared" si="4"/>
        <v>35.905954168067808</v>
      </c>
      <c r="J10" s="71">
        <f t="shared" si="4"/>
        <v>78.378849483561169</v>
      </c>
      <c r="K10" s="71">
        <f t="shared" si="4"/>
        <v>98.463839735780681</v>
      </c>
      <c r="L10" s="71">
        <f t="shared" si="4"/>
        <v>51.810662898114749</v>
      </c>
      <c r="M10" s="71">
        <f t="shared" si="4"/>
        <v>37.749063172389022</v>
      </c>
      <c r="N10" s="71">
        <f t="shared" si="4"/>
        <v>31.968204703118175</v>
      </c>
      <c r="O10" s="71">
        <f t="shared" si="4"/>
        <v>43.081238673312519</v>
      </c>
      <c r="P10" s="71">
        <f t="shared" si="4"/>
        <v>40.730235936328199</v>
      </c>
      <c r="Q10" s="71">
        <f t="shared" si="4"/>
        <v>45.812890083190283</v>
      </c>
      <c r="R10" s="71">
        <f t="shared" si="4"/>
        <v>38.231744257942196</v>
      </c>
      <c r="S10" s="71">
        <f t="shared" si="4"/>
        <v>37.482704825154272</v>
      </c>
      <c r="T10" s="71">
        <f t="shared" si="4"/>
        <v>37.593925635246201</v>
      </c>
      <c r="U10" s="71">
        <f t="shared" si="4"/>
        <v>35.684216950666524</v>
      </c>
      <c r="V10" s="71">
        <f t="shared" si="4"/>
        <v>42.985299392308903</v>
      </c>
      <c r="W10" s="71">
        <f t="shared" si="4"/>
        <v>46.216369562680228</v>
      </c>
      <c r="X10" s="71">
        <f t="shared" ref="X10:Y10" si="5">SUM(X11:X15)</f>
        <v>36.586708781232218</v>
      </c>
      <c r="Y10" s="71">
        <f t="shared" si="5"/>
        <v>36.46955739046652</v>
      </c>
      <c r="DA10" s="186" t="s">
        <v>977</v>
      </c>
    </row>
    <row r="11" spans="1:105" ht="11.45" customHeight="1" x14ac:dyDescent="0.25">
      <c r="A11" s="72" t="s">
        <v>144</v>
      </c>
      <c r="B11" s="73">
        <v>33.490954742656193</v>
      </c>
      <c r="C11" s="73">
        <v>49.457181083911514</v>
      </c>
      <c r="D11" s="73">
        <v>54.522410507934893</v>
      </c>
      <c r="E11" s="73">
        <v>84.257255528333246</v>
      </c>
      <c r="F11" s="73">
        <v>73.81971874703261</v>
      </c>
      <c r="G11" s="73">
        <v>70.910949849192605</v>
      </c>
      <c r="H11" s="73">
        <v>62.999970012295265</v>
      </c>
      <c r="I11" s="73">
        <v>35.905954168067808</v>
      </c>
      <c r="J11" s="73">
        <v>63.092692991729706</v>
      </c>
      <c r="K11" s="73">
        <v>44.007003966219202</v>
      </c>
      <c r="L11" s="73">
        <v>9.8745213134439069</v>
      </c>
      <c r="M11" s="73">
        <v>9.7950696706213716</v>
      </c>
      <c r="N11" s="73">
        <v>13.815926113264345</v>
      </c>
      <c r="O11" s="73">
        <v>13.473897679184411</v>
      </c>
      <c r="P11" s="73">
        <v>15.890253133232754</v>
      </c>
      <c r="Q11" s="73">
        <v>25.74986342798822</v>
      </c>
      <c r="R11" s="73">
        <v>20.079465668088371</v>
      </c>
      <c r="S11" s="73">
        <v>14.949944721972855</v>
      </c>
      <c r="T11" s="73">
        <v>13.430383072907423</v>
      </c>
      <c r="U11" s="73">
        <v>18.959797346195334</v>
      </c>
      <c r="V11" s="73">
        <v>27.256752530743981</v>
      </c>
      <c r="W11" s="73">
        <v>20.556954257435184</v>
      </c>
      <c r="X11" s="73">
        <v>16.959623656554673</v>
      </c>
      <c r="Y11" s="73">
        <v>16.047459368110548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0.96491831470335399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15.286156491831463</v>
      </c>
      <c r="K12" s="73">
        <v>54.456835769561479</v>
      </c>
      <c r="L12" s="73">
        <v>41.936141584670843</v>
      </c>
      <c r="M12" s="73">
        <v>27.953993501767648</v>
      </c>
      <c r="N12" s="73">
        <v>18.152278589853829</v>
      </c>
      <c r="O12" s="73">
        <v>29.607340994128108</v>
      </c>
      <c r="P12" s="73">
        <v>24.839982803095445</v>
      </c>
      <c r="Q12" s="73">
        <v>20.063026655202066</v>
      </c>
      <c r="R12" s="73">
        <v>18.152278589853829</v>
      </c>
      <c r="S12" s="73">
        <v>22.532760103181417</v>
      </c>
      <c r="T12" s="73">
        <v>24.163542562338776</v>
      </c>
      <c r="U12" s="73">
        <v>16.724419604471187</v>
      </c>
      <c r="V12" s="73">
        <v>15.728546861564922</v>
      </c>
      <c r="W12" s="73">
        <v>25.659415305245041</v>
      </c>
      <c r="X12" s="73">
        <v>19.627085124677549</v>
      </c>
      <c r="Y12" s="73">
        <v>20.422098022355975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2778.0720940939941</v>
      </c>
      <c r="C19" s="62">
        <f>IF(C3=0,0,C3/MBunk_act!C7*100)</f>
        <v>2902.2935941279784</v>
      </c>
      <c r="D19" s="62">
        <f>IF(D3=0,0,D3/MBunk_act!D7*100)</f>
        <v>3205.574346738139</v>
      </c>
      <c r="E19" s="62">
        <f>IF(E3=0,0,E3/MBunk_act!E7*100)</f>
        <v>4382.2331123000322</v>
      </c>
      <c r="F19" s="62">
        <f>IF(F3=0,0,F3/MBunk_act!F7*100)</f>
        <v>3706.2323611946526</v>
      </c>
      <c r="G19" s="62">
        <f>IF(G3=0,0,G3/MBunk_act!G7*100)</f>
        <v>3558.2758206898907</v>
      </c>
      <c r="H19" s="62">
        <f>IF(H3=0,0,H3/MBunk_act!H7*100)</f>
        <v>2934.6516748417016</v>
      </c>
      <c r="I19" s="62">
        <f>IF(I3=0,0,I3/MBunk_act!I7*100)</f>
        <v>2196.2795161589752</v>
      </c>
      <c r="J19" s="62">
        <f>IF(J3=0,0,J3/MBunk_act!J7*100)</f>
        <v>5189.0137481298279</v>
      </c>
      <c r="K19" s="62">
        <f>IF(K3=0,0,K3/MBunk_act!K7*100)</f>
        <v>7732.6338524859184</v>
      </c>
      <c r="L19" s="62">
        <f>IF(L3=0,0,L3/MBunk_act!L7*100)</f>
        <v>3710.5902939579905</v>
      </c>
      <c r="M19" s="62">
        <f>IF(M3=0,0,M3/MBunk_act!M7*100)</f>
        <v>2551.5866502049548</v>
      </c>
      <c r="N19" s="62">
        <f>IF(N3=0,0,N3/MBunk_act!N7*100)</f>
        <v>2398.0526187328646</v>
      </c>
      <c r="O19" s="62">
        <f>IF(O3=0,0,O3/MBunk_act!O7*100)</f>
        <v>2703.2005047916114</v>
      </c>
      <c r="P19" s="62">
        <f>IF(P3=0,0,P3/MBunk_act!P7*100)</f>
        <v>2743.3213144246151</v>
      </c>
      <c r="Q19" s="62">
        <f>IF(Q3=0,0,Q3/MBunk_act!Q7*100)</f>
        <v>3576.39032529733</v>
      </c>
      <c r="R19" s="62">
        <f>IF(R3=0,0,R3/MBunk_act!R7*100)</f>
        <v>2716.1712356308931</v>
      </c>
      <c r="S19" s="62">
        <f>IF(S3=0,0,S3/MBunk_act!S7*100)</f>
        <v>2611.5735423012557</v>
      </c>
      <c r="T19" s="62">
        <f>IF(T3=0,0,T3/MBunk_act!T7*100)</f>
        <v>2463.6386532980528</v>
      </c>
      <c r="U19" s="62">
        <f>IF(U3=0,0,U3/MBunk_act!U7*100)</f>
        <v>2214.877341235218</v>
      </c>
      <c r="V19" s="62">
        <f>IF(V3=0,0,V3/MBunk_act!V7*100)</f>
        <v>3318.7835252292757</v>
      </c>
      <c r="W19" s="62">
        <f>IF(W3=0,0,W3/MBunk_act!W7*100)</f>
        <v>3074.4282492174707</v>
      </c>
      <c r="X19" s="62">
        <f>IF(X3=0,0,X3/MBunk_act!X7*100)</f>
        <v>2395.838049604597</v>
      </c>
      <c r="Y19" s="62">
        <f>IF(Y3=0,0,Y3/MBunk_act!Y7*100)</f>
        <v>2154.418515256315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2589.57018226828</v>
      </c>
      <c r="C20" s="63">
        <f>IF(C4=0,0,C4/MBunk_act!C8*100)</f>
        <v>2707.9126457129009</v>
      </c>
      <c r="D20" s="63">
        <f>IF(D4=0,0,D4/MBunk_act!D8*100)</f>
        <v>2989.5588814156531</v>
      </c>
      <c r="E20" s="63">
        <f>IF(E4=0,0,E4/MBunk_act!E8*100)</f>
        <v>4420.7495977451326</v>
      </c>
      <c r="F20" s="63">
        <f>IF(F4=0,0,F4/MBunk_act!F8*100)</f>
        <v>3786.5431986837393</v>
      </c>
      <c r="G20" s="63">
        <f>IF(G4=0,0,G4/MBunk_act!G8*100)</f>
        <v>3654.5684145571186</v>
      </c>
      <c r="H20" s="63">
        <f>IF(H4=0,0,H4/MBunk_act!H8*100)</f>
        <v>2895.7809166624957</v>
      </c>
      <c r="I20" s="63">
        <f>IF(I4=0,0,I4/MBunk_act!I8*100)</f>
        <v>2308.5952569440988</v>
      </c>
      <c r="J20" s="63">
        <f>IF(J4=0,0,J4/MBunk_act!J8*100)</f>
        <v>5230.6583269069342</v>
      </c>
      <c r="K20" s="63">
        <f>IF(K4=0,0,K4/MBunk_act!K8*100)</f>
        <v>7036.0434488766214</v>
      </c>
      <c r="L20" s="63">
        <f>IF(L4=0,0,L4/MBunk_act!L8*100)</f>
        <v>3368.6064816398357</v>
      </c>
      <c r="M20" s="63">
        <f>IF(M4=0,0,M4/MBunk_act!M8*100)</f>
        <v>2210.131742313702</v>
      </c>
      <c r="N20" s="63">
        <f>IF(N4=0,0,N4/MBunk_act!N8*100)</f>
        <v>2071.8344693398403</v>
      </c>
      <c r="O20" s="63">
        <f>IF(O4=0,0,O4/MBunk_act!O8*100)</f>
        <v>2319.8622319922101</v>
      </c>
      <c r="P20" s="63">
        <f>IF(P4=0,0,P4/MBunk_act!P8*100)</f>
        <v>2369.6656969551536</v>
      </c>
      <c r="Q20" s="63">
        <f>IF(Q4=0,0,Q4/MBunk_act!Q8*100)</f>
        <v>3176.0484621054366</v>
      </c>
      <c r="R20" s="63">
        <f>IF(R4=0,0,R4/MBunk_act!R8*100)</f>
        <v>2363.1455648684278</v>
      </c>
      <c r="S20" s="63">
        <f>IF(S4=0,0,S4/MBunk_act!S8*100)</f>
        <v>2254.5556143838267</v>
      </c>
      <c r="T20" s="63">
        <f>IF(T4=0,0,T4/MBunk_act!T8*100)</f>
        <v>2078.931101524613</v>
      </c>
      <c r="U20" s="63">
        <f>IF(U4=0,0,U4/MBunk_act!U8*100)</f>
        <v>1872.2445803976391</v>
      </c>
      <c r="V20" s="63">
        <f>IF(V4=0,0,V4/MBunk_act!V8*100)</f>
        <v>2649.2313726208781</v>
      </c>
      <c r="W20" s="63">
        <f>IF(W4=0,0,W4/MBunk_act!W8*100)</f>
        <v>2422.5764335276453</v>
      </c>
      <c r="X20" s="63">
        <f>IF(X4=0,0,X4/MBunk_act!X8*100)</f>
        <v>2059.9463277325949</v>
      </c>
      <c r="Y20" s="63">
        <f>IF(Y4=0,0,Y4/MBunk_act!Y8*100)</f>
        <v>1917.8829082525847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2987.4071082613136</v>
      </c>
      <c r="C21" s="64">
        <f>IF(C10=0,0,C10/MBunk_act!C9*100)</f>
        <v>3115.696748095399</v>
      </c>
      <c r="D21" s="64">
        <f>IF(D10=0,0,D10/MBunk_act!D9*100)</f>
        <v>3449.2966015893708</v>
      </c>
      <c r="E21" s="64">
        <f>IF(E10=0,0,E10/MBunk_act!E9*100)</f>
        <v>4356.8028282566038</v>
      </c>
      <c r="F21" s="64">
        <f>IF(F10=0,0,F10/MBunk_act!F9*100)</f>
        <v>3659.6628827382738</v>
      </c>
      <c r="G21" s="64">
        <f>IF(G10=0,0,G10/MBunk_act!G9*100)</f>
        <v>3503.5175442401533</v>
      </c>
      <c r="H21" s="64">
        <f>IF(H10=0,0,H10/MBunk_act!H9*100)</f>
        <v>2961.7872849139771</v>
      </c>
      <c r="I21" s="64">
        <f>IF(I10=0,0,I10/MBunk_act!I9*100)</f>
        <v>2147.8796745615259</v>
      </c>
      <c r="J21" s="64">
        <f>IF(J10=0,0,J10/MBunk_act!J9*100)</f>
        <v>5165.9242700214591</v>
      </c>
      <c r="K21" s="64">
        <f>IF(K10=0,0,K10/MBunk_act!K9*100)</f>
        <v>8670.1330351045399</v>
      </c>
      <c r="L21" s="64">
        <f>IF(L10=0,0,L10/MBunk_act!L9*100)</f>
        <v>4066.5603585775584</v>
      </c>
      <c r="M21" s="64">
        <f>IF(M10=0,0,M10/MBunk_act!M9*100)</f>
        <v>3017.3880339321918</v>
      </c>
      <c r="N21" s="64">
        <f>IF(N10=0,0,N10/MBunk_act!N9*100)</f>
        <v>2840.8858785840252</v>
      </c>
      <c r="O21" s="64">
        <f>IF(O10=0,0,O10/MBunk_act!O9*100)</f>
        <v>3300.0709842104052</v>
      </c>
      <c r="P21" s="64">
        <f>IF(P10=0,0,P10/MBunk_act!P9*100)</f>
        <v>3256.235894362675</v>
      </c>
      <c r="Q21" s="64">
        <f>IF(Q10=0,0,Q10/MBunk_act!Q9*100)</f>
        <v>4030.2739800417057</v>
      </c>
      <c r="R21" s="64">
        <f>IF(R10=0,0,R10/MBunk_act!R9*100)</f>
        <v>3212.3440015546093</v>
      </c>
      <c r="S21" s="64">
        <f>IF(S10=0,0,S10/MBunk_act!S9*100)</f>
        <v>3184.7050728278168</v>
      </c>
      <c r="T21" s="64">
        <f>IF(T10=0,0,T10/MBunk_act!T9*100)</f>
        <v>3155.1551173173993</v>
      </c>
      <c r="U21" s="64">
        <f>IF(U10=0,0,U10/MBunk_act!U9*100)</f>
        <v>2789.4159295807713</v>
      </c>
      <c r="V21" s="64">
        <f>IF(V10=0,0,V10/MBunk_act!V9*100)</f>
        <v>4398.8681210725554</v>
      </c>
      <c r="W21" s="64">
        <f>IF(W10=0,0,W10/MBunk_act!W9*100)</f>
        <v>3977.7060176076147</v>
      </c>
      <c r="X21" s="64">
        <f>IF(X10=0,0,X10/MBunk_act!X9*100)</f>
        <v>2790.9653368326308</v>
      </c>
      <c r="Y21" s="64">
        <f>IF(Y10=0,0,Y10/MBunk_act!Y9*100)</f>
        <v>2399.2277504921876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2.3094223110344321</v>
      </c>
      <c r="C23" s="62">
        <f>IF(C3=0,0,C3/MBunk_act!C3*1000)</f>
        <v>2.3307767049992245</v>
      </c>
      <c r="D23" s="62">
        <f>IF(D3=0,0,D3/MBunk_act!D3*1000)</f>
        <v>2.6235831852752183</v>
      </c>
      <c r="E23" s="62">
        <f>IF(E3=0,0,E3/MBunk_act!E3*1000)</f>
        <v>2.9853285515622821</v>
      </c>
      <c r="F23" s="62">
        <f>IF(F3=0,0,F3/MBunk_act!F3*1000)</f>
        <v>2.4560821296321089</v>
      </c>
      <c r="G23" s="62">
        <f>IF(G3=0,0,G3/MBunk_act!G3*1000)</f>
        <v>2.2409150370987785</v>
      </c>
      <c r="H23" s="62">
        <f>IF(H3=0,0,H3/MBunk_act!H3*1000)</f>
        <v>1.9421921222341685</v>
      </c>
      <c r="I23" s="62">
        <f>IF(I3=0,0,I3/MBunk_act!I3*1000)</f>
        <v>1.3289176385022776</v>
      </c>
      <c r="J23" s="62">
        <f>IF(J3=0,0,J3/MBunk_act!J3*1000)</f>
        <v>3.1354305118931372</v>
      </c>
      <c r="K23" s="62">
        <f>IF(K3=0,0,K3/MBunk_act!K3*1000)</f>
        <v>6.1907699982839164</v>
      </c>
      <c r="L23" s="62">
        <f>IF(L3=0,0,L3/MBunk_act!L3*1000)</f>
        <v>2.8262014439881011</v>
      </c>
      <c r="M23" s="62">
        <f>IF(M3=0,0,M3/MBunk_act!M3*1000)</f>
        <v>2.3504602225834721</v>
      </c>
      <c r="N23" s="62">
        <f>IF(N3=0,0,N3/MBunk_act!N3*1000)</f>
        <v>2.0157817689257693</v>
      </c>
      <c r="O23" s="62">
        <f>IF(O3=0,0,O3/MBunk_act!O3*1000)</f>
        <v>2.0908144872169827</v>
      </c>
      <c r="P23" s="62">
        <f>IF(P3=0,0,P3/MBunk_act!P3*1000)</f>
        <v>1.8239886925987103</v>
      </c>
      <c r="Q23" s="62">
        <f>IF(Q3=0,0,Q3/MBunk_act!Q3*1000)</f>
        <v>1.9962239456749524</v>
      </c>
      <c r="R23" s="62">
        <f>IF(R3=0,0,R3/MBunk_act!R3*1000)</f>
        <v>1.6254659544085379</v>
      </c>
      <c r="S23" s="62">
        <f>IF(S3=0,0,S3/MBunk_act!S3*1000)</f>
        <v>1.6614120733127997</v>
      </c>
      <c r="T23" s="62">
        <f>IF(T3=0,0,T3/MBunk_act!T3*1000)</f>
        <v>1.725440679457124</v>
      </c>
      <c r="U23" s="62">
        <f>IF(U3=0,0,U3/MBunk_act!U3*1000)</f>
        <v>1.4864254906125545</v>
      </c>
      <c r="V23" s="62">
        <f>IF(V3=0,0,V3/MBunk_act!V3*1000)</f>
        <v>2.187460594072363</v>
      </c>
      <c r="W23" s="62">
        <f>IF(W3=0,0,W3/MBunk_act!W3*1000)</f>
        <v>1.8585992006297976</v>
      </c>
      <c r="X23" s="62">
        <f>IF(X3=0,0,X3/MBunk_act!X3*1000)</f>
        <v>1.4046772114728148</v>
      </c>
      <c r="Y23" s="62">
        <f>IF(Y3=0,0,Y3/MBunk_act!Y3*1000)</f>
        <v>1.0953685756824516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4.7402960262899159</v>
      </c>
      <c r="C24" s="63">
        <f>IF(C4=0,0,C4/MBunk_act!C4*1000)</f>
        <v>4.8576377318396009</v>
      </c>
      <c r="D24" s="63">
        <f>IF(D4=0,0,D4/MBunk_act!D4*1000)</f>
        <v>5.307839269037645</v>
      </c>
      <c r="E24" s="63">
        <f>IF(E4=0,0,E4/MBunk_act!E4*1000)</f>
        <v>7.7814101438826926</v>
      </c>
      <c r="F24" s="63">
        <f>IF(F4=0,0,F4/MBunk_act!F4*1000)</f>
        <v>6.7004323009279778</v>
      </c>
      <c r="G24" s="63">
        <f>IF(G4=0,0,G4/MBunk_act!G4*1000)</f>
        <v>6.2634359710139655</v>
      </c>
      <c r="H24" s="63">
        <f>IF(H4=0,0,H4/MBunk_act!H4*1000)</f>
        <v>5.0186180208683249</v>
      </c>
      <c r="I24" s="63">
        <f>IF(I4=0,0,I4/MBunk_act!I4*1000)</f>
        <v>4.1164090881777966</v>
      </c>
      <c r="J24" s="63">
        <f>IF(J4=0,0,J4/MBunk_act!J4*1000)</f>
        <v>8.6232164265452269</v>
      </c>
      <c r="K24" s="63">
        <f>IF(K4=0,0,K4/MBunk_act!K4*1000)</f>
        <v>11.413769866893981</v>
      </c>
      <c r="L24" s="63">
        <f>IF(L4=0,0,L4/MBunk_act!L4*1000)</f>
        <v>5.6346886958108229</v>
      </c>
      <c r="M24" s="63">
        <f>IF(M4=0,0,M4/MBunk_act!M4*1000)</f>
        <v>3.9151282809643928</v>
      </c>
      <c r="N24" s="63">
        <f>IF(N4=0,0,N4/MBunk_act!N4*1000)</f>
        <v>3.5076184481896311</v>
      </c>
      <c r="O24" s="63">
        <f>IF(O4=0,0,O4/MBunk_act!O4*1000)</f>
        <v>3.7151293437074662</v>
      </c>
      <c r="P24" s="63">
        <f>IF(P4=0,0,P4/MBunk_act!P4*1000)</f>
        <v>3.7931114847068392</v>
      </c>
      <c r="Q24" s="63">
        <f>IF(Q4=0,0,Q4/MBunk_act!Q4*1000)</f>
        <v>4.6525157063267049</v>
      </c>
      <c r="R24" s="63">
        <f>IF(R4=0,0,R4/MBunk_act!R4*1000)</f>
        <v>3.2908516608359166</v>
      </c>
      <c r="S24" s="63">
        <f>IF(S4=0,0,S4/MBunk_act!S4*1000)</f>
        <v>3.1590800401635364</v>
      </c>
      <c r="T24" s="63">
        <f>IF(T4=0,0,T4/MBunk_act!T4*1000)</f>
        <v>2.9784601352226554</v>
      </c>
      <c r="U24" s="63">
        <f>IF(U4=0,0,U4/MBunk_act!U4*1000)</f>
        <v>2.7404988038820246</v>
      </c>
      <c r="V24" s="63">
        <f>IF(V4=0,0,V4/MBunk_act!V4*1000)</f>
        <v>3.6420099801143757</v>
      </c>
      <c r="W24" s="63">
        <f>IF(W4=0,0,W4/MBunk_act!W4*1000)</f>
        <v>3.4903000788559582</v>
      </c>
      <c r="X24" s="63">
        <f>IF(X4=0,0,X4/MBunk_act!X4*1000)</f>
        <v>2.9322569705384898</v>
      </c>
      <c r="Y24" s="63">
        <f>IF(Y4=0,0,Y4/MBunk_act!Y4*1000)</f>
        <v>2.5545983566580746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1.5461635979115691</v>
      </c>
      <c r="C25" s="64">
        <f>IF(C10=0,0,C10/MBunk_act!C5*1000)</f>
        <v>1.5576475672813956</v>
      </c>
      <c r="D25" s="64">
        <f>IF(D10=0,0,D10/MBunk_act!D5*1000)</f>
        <v>1.7554564164743118</v>
      </c>
      <c r="E25" s="64">
        <f>IF(E10=0,0,E10/MBunk_act!E5*1000)</f>
        <v>2.1128859263709212</v>
      </c>
      <c r="F25" s="64">
        <f>IF(F10=0,0,F10/MBunk_act!F5*1000)</f>
        <v>1.7797089003777218</v>
      </c>
      <c r="G25" s="64">
        <f>IF(G10=0,0,G10/MBunk_act!G5*1000)</f>
        <v>1.6227278032283721</v>
      </c>
      <c r="H25" s="64">
        <f>IF(H10=0,0,H10/MBunk_act!H5*1000)</f>
        <v>1.3692846632495426</v>
      </c>
      <c r="I25" s="64">
        <f>IF(I10=0,0,I10/MBunk_act!I5*1000)</f>
        <v>1.0116273703471406</v>
      </c>
      <c r="J25" s="64">
        <f>IF(J10=0,0,J10/MBunk_act!J5*1000)</f>
        <v>2.3101074018573136</v>
      </c>
      <c r="K25" s="64">
        <f>IF(K10=0,0,K10/MBunk_act!K5*1000)</f>
        <v>4.1277594602160024</v>
      </c>
      <c r="L25" s="64">
        <f>IF(L10=0,0,L10/MBunk_act!L5*1000)</f>
        <v>1.9766861058864005</v>
      </c>
      <c r="M25" s="64">
        <f>IF(M10=0,0,M10/MBunk_act!M5*1000)</f>
        <v>1.6797054572359471</v>
      </c>
      <c r="N25" s="64">
        <f>IF(N10=0,0,N10/MBunk_act!N5*1000)</f>
        <v>1.4185073599748492</v>
      </c>
      <c r="O25" s="64">
        <f>IF(O10=0,0,O10/MBunk_act!O5*1000)</f>
        <v>1.4140918249990093</v>
      </c>
      <c r="P25" s="64">
        <f>IF(P10=0,0,P10/MBunk_act!P5*1000)</f>
        <v>1.2011088187937882</v>
      </c>
      <c r="Q25" s="64">
        <f>IF(Q10=0,0,Q10/MBunk_act!Q5*1000)</f>
        <v>1.3219164151697904</v>
      </c>
      <c r="R25" s="64">
        <f>IF(R10=0,0,R10/MBunk_act!R5*1000)</f>
        <v>1.0671103140321321</v>
      </c>
      <c r="S25" s="64">
        <f>IF(S10=0,0,S10/MBunk_act!S5*1000)</f>
        <v>1.0796948253209104</v>
      </c>
      <c r="T25" s="64">
        <f>IF(T10=0,0,T10/MBunk_act!T5*1000)</f>
        <v>1.1516286246470004</v>
      </c>
      <c r="U25" s="64">
        <f>IF(U10=0,0,U10/MBunk_act!U5*1000)</f>
        <v>0.98111919858452223</v>
      </c>
      <c r="V25" s="64">
        <f>IF(V10=0,0,V10/MBunk_act!V5*1000)</f>
        <v>1.5759722177336621</v>
      </c>
      <c r="W25" s="64">
        <f>IF(W10=0,0,W10/MBunk_act!W5*1000)</f>
        <v>1.3327651931711457</v>
      </c>
      <c r="X25" s="64">
        <f>IF(X10=0,0,X10/MBunk_act!X5*1000)</f>
        <v>0.9671986788169572</v>
      </c>
      <c r="Y25" s="64">
        <f>IF(Y10=0,0,Y10/MBunk_act!Y5*1000)</f>
        <v>0.74383899212339777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0.49047961177392779</v>
      </c>
      <c r="C28" s="77">
        <f t="shared" si="6"/>
        <v>0.48827428215873464</v>
      </c>
      <c r="D28" s="77">
        <f t="shared" si="6"/>
        <v>0.49440893102171973</v>
      </c>
      <c r="E28" s="77">
        <f t="shared" si="6"/>
        <v>0.40117424292480836</v>
      </c>
      <c r="F28" s="77">
        <f t="shared" si="6"/>
        <v>0.37498802133355863</v>
      </c>
      <c r="G28" s="77">
        <f t="shared" si="6"/>
        <v>0.37232570883376725</v>
      </c>
      <c r="H28" s="77">
        <f t="shared" si="6"/>
        <v>0.40566066026136544</v>
      </c>
      <c r="I28" s="77">
        <f t="shared" si="6"/>
        <v>0.31655278727556685</v>
      </c>
      <c r="J28" s="77">
        <f t="shared" si="6"/>
        <v>0.35954464307477763</v>
      </c>
      <c r="K28" s="77">
        <f t="shared" si="6"/>
        <v>0.52203076920339231</v>
      </c>
      <c r="L28" s="77">
        <f t="shared" si="6"/>
        <v>0.4630139001354816</v>
      </c>
      <c r="M28" s="77">
        <f t="shared" si="6"/>
        <v>0.4998010642719623</v>
      </c>
      <c r="N28" s="77">
        <f t="shared" si="6"/>
        <v>0.49748639177188098</v>
      </c>
      <c r="O28" s="77">
        <f t="shared" si="6"/>
        <v>0.52257118457904883</v>
      </c>
      <c r="P28" s="77">
        <f t="shared" si="6"/>
        <v>0.49973793766798746</v>
      </c>
      <c r="Q28" s="77">
        <f t="shared" si="6"/>
        <v>0.47186113889265807</v>
      </c>
      <c r="R28" s="77">
        <f t="shared" si="6"/>
        <v>0.50834325482869358</v>
      </c>
      <c r="S28" s="77">
        <f t="shared" si="6"/>
        <v>0.53193706984746181</v>
      </c>
      <c r="T28" s="77">
        <f t="shared" si="6"/>
        <v>0.54220426895592444</v>
      </c>
      <c r="U28" s="77">
        <f t="shared" si="6"/>
        <v>0.52951909422571375</v>
      </c>
      <c r="V28" s="77">
        <f t="shared" si="6"/>
        <v>0.49277747087051199</v>
      </c>
      <c r="W28" s="77">
        <f t="shared" si="6"/>
        <v>0.45768624893532128</v>
      </c>
      <c r="X28" s="77">
        <f t="shared" ref="X28:Y28" si="8">IF(X4=0,0,X4/X$3)</f>
        <v>0.46473651772616015</v>
      </c>
      <c r="Y28" s="77">
        <f t="shared" si="8"/>
        <v>0.45275524554462987</v>
      </c>
      <c r="DA28" s="184"/>
    </row>
    <row r="29" spans="1:105" ht="11.45" customHeight="1" x14ac:dyDescent="0.25">
      <c r="A29" s="57" t="s">
        <v>167</v>
      </c>
      <c r="B29" s="78">
        <f>IF(B10=0,0,B10/B$3)</f>
        <v>0.50952038822607215</v>
      </c>
      <c r="C29" s="78">
        <f t="shared" ref="C29:W29" si="9">IF(C10=0,0,C10/C$3)</f>
        <v>0.51172571784126542</v>
      </c>
      <c r="D29" s="78">
        <f t="shared" si="9"/>
        <v>0.50559106897828032</v>
      </c>
      <c r="E29" s="78">
        <f t="shared" si="9"/>
        <v>0.5988257570751917</v>
      </c>
      <c r="F29" s="78">
        <f t="shared" si="9"/>
        <v>0.62501197866644143</v>
      </c>
      <c r="G29" s="78">
        <f t="shared" si="9"/>
        <v>0.62767429116623275</v>
      </c>
      <c r="H29" s="78">
        <f t="shared" si="9"/>
        <v>0.59433933973863462</v>
      </c>
      <c r="I29" s="78">
        <f t="shared" si="9"/>
        <v>0.68344721272443321</v>
      </c>
      <c r="J29" s="78">
        <f t="shared" si="9"/>
        <v>0.64045535692522237</v>
      </c>
      <c r="K29" s="78">
        <f t="shared" si="9"/>
        <v>0.47796923079660775</v>
      </c>
      <c r="L29" s="78">
        <f t="shared" si="9"/>
        <v>0.5369860998645184</v>
      </c>
      <c r="M29" s="78">
        <f t="shared" si="9"/>
        <v>0.50019893572803764</v>
      </c>
      <c r="N29" s="78">
        <f t="shared" si="9"/>
        <v>0.50251360822811908</v>
      </c>
      <c r="O29" s="78">
        <f t="shared" si="9"/>
        <v>0.47742881542095111</v>
      </c>
      <c r="P29" s="78">
        <f t="shared" si="9"/>
        <v>0.50026206233201254</v>
      </c>
      <c r="Q29" s="78">
        <f t="shared" si="9"/>
        <v>0.52813886110734187</v>
      </c>
      <c r="R29" s="78">
        <f t="shared" si="9"/>
        <v>0.49165674517130631</v>
      </c>
      <c r="S29" s="78">
        <f t="shared" si="9"/>
        <v>0.46806293015253814</v>
      </c>
      <c r="T29" s="78">
        <f t="shared" si="9"/>
        <v>0.45779573104407562</v>
      </c>
      <c r="U29" s="78">
        <f t="shared" si="9"/>
        <v>0.47048090577428631</v>
      </c>
      <c r="V29" s="78">
        <f t="shared" si="9"/>
        <v>0.50722252912948806</v>
      </c>
      <c r="W29" s="78">
        <f t="shared" si="9"/>
        <v>0.54231375106467861</v>
      </c>
      <c r="X29" s="78">
        <f t="shared" ref="X29:Y29" si="10">IF(X10=0,0,X10/X$3)</f>
        <v>0.5352634822738398</v>
      </c>
      <c r="Y29" s="78">
        <f t="shared" si="10"/>
        <v>0.54724475445537013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203.92308144000003</v>
      </c>
      <c r="C3" s="62">
        <f t="shared" ref="C3:W3" si="1">SUM(C4:C5)</f>
        <v>305.82533879999994</v>
      </c>
      <c r="D3" s="62">
        <f t="shared" si="1"/>
        <v>334.56158891999996</v>
      </c>
      <c r="E3" s="62">
        <f t="shared" si="1"/>
        <v>436.52312963999987</v>
      </c>
      <c r="F3" s="62">
        <f t="shared" si="1"/>
        <v>366.42447036000004</v>
      </c>
      <c r="G3" s="62">
        <f t="shared" si="1"/>
        <v>350.49302963999992</v>
      </c>
      <c r="H3" s="62">
        <f t="shared" si="1"/>
        <v>328.85639279999998</v>
      </c>
      <c r="I3" s="62">
        <f t="shared" si="1"/>
        <v>162.99036000000001</v>
      </c>
      <c r="J3" s="62">
        <f t="shared" si="1"/>
        <v>381.78564191999988</v>
      </c>
      <c r="K3" s="62">
        <f t="shared" si="1"/>
        <v>646.63640712000006</v>
      </c>
      <c r="L3" s="62">
        <f t="shared" si="1"/>
        <v>305.40632904000006</v>
      </c>
      <c r="M3" s="62">
        <f t="shared" si="1"/>
        <v>237.99992616000003</v>
      </c>
      <c r="N3" s="62">
        <f t="shared" si="1"/>
        <v>199.87331904000001</v>
      </c>
      <c r="O3" s="62">
        <f t="shared" si="1"/>
        <v>284.04167616000001</v>
      </c>
      <c r="P3" s="62">
        <f t="shared" si="1"/>
        <v>256.02411095999997</v>
      </c>
      <c r="Q3" s="62">
        <f t="shared" si="1"/>
        <v>271.88828711999997</v>
      </c>
      <c r="R3" s="62">
        <f t="shared" si="1"/>
        <v>243.75533904000002</v>
      </c>
      <c r="S3" s="62">
        <f t="shared" si="1"/>
        <v>251.55641664000001</v>
      </c>
      <c r="T3" s="62">
        <f t="shared" si="1"/>
        <v>258.10741260000003</v>
      </c>
      <c r="U3" s="62">
        <f t="shared" si="1"/>
        <v>237.50302895999999</v>
      </c>
      <c r="V3" s="62">
        <f t="shared" si="1"/>
        <v>264.98887559999997</v>
      </c>
      <c r="W3" s="62">
        <f t="shared" si="1"/>
        <v>267.84444564</v>
      </c>
      <c r="X3" s="62">
        <f t="shared" ref="X3:Y3" si="2">SUM(X4:X5)</f>
        <v>214.64869284000002</v>
      </c>
      <c r="Y3" s="62">
        <f t="shared" si="2"/>
        <v>209.44765619999998</v>
      </c>
      <c r="DA3" s="172" t="s">
        <v>987</v>
      </c>
    </row>
    <row r="4" spans="1:105" ht="11.45" customHeight="1" x14ac:dyDescent="0.25">
      <c r="A4" s="55" t="s">
        <v>166</v>
      </c>
      <c r="B4" s="63">
        <v>100.02011381643428</v>
      </c>
      <c r="C4" s="63">
        <v>149.2615523302685</v>
      </c>
      <c r="D4" s="63">
        <v>165.41023753886523</v>
      </c>
      <c r="E4" s="63">
        <v>175.1218360524949</v>
      </c>
      <c r="F4" s="63">
        <v>137.40478710849362</v>
      </c>
      <c r="G4" s="63">
        <v>130.49756570200756</v>
      </c>
      <c r="H4" s="63">
        <v>133.40410143441895</v>
      </c>
      <c r="I4" s="63">
        <v>51.595052757048059</v>
      </c>
      <c r="J4" s="63">
        <v>136.50962311982943</v>
      </c>
      <c r="K4" s="63">
        <v>333.63634356352708</v>
      </c>
      <c r="L4" s="63">
        <v>138.87387258406525</v>
      </c>
      <c r="M4" s="63">
        <v>117.02427615181705</v>
      </c>
      <c r="N4" s="63">
        <v>98.186561086797767</v>
      </c>
      <c r="O4" s="63">
        <v>146.29495086857906</v>
      </c>
      <c r="P4" s="63">
        <v>126.22985994269975</v>
      </c>
      <c r="Q4" s="63">
        <v>126.98551960357688</v>
      </c>
      <c r="R4" s="63">
        <v>122.63645821736809</v>
      </c>
      <c r="S4" s="63">
        <v>132.15614323559063</v>
      </c>
      <c r="T4" s="63">
        <v>138.13676958341023</v>
      </c>
      <c r="U4" s="63">
        <v>124.59947638897349</v>
      </c>
      <c r="V4" s="63">
        <v>129.56052180167228</v>
      </c>
      <c r="W4" s="63">
        <v>121.00783712099305</v>
      </c>
      <c r="X4" s="63">
        <v>98.551434766980037</v>
      </c>
      <c r="Y4" s="63">
        <v>93.607964004137699</v>
      </c>
      <c r="DA4" s="181" t="s">
        <v>988</v>
      </c>
    </row>
    <row r="5" spans="1:105" ht="11.45" customHeight="1" x14ac:dyDescent="0.25">
      <c r="A5" s="57" t="s">
        <v>167</v>
      </c>
      <c r="B5" s="64">
        <v>103.90296762356574</v>
      </c>
      <c r="C5" s="64">
        <v>156.56378646973144</v>
      </c>
      <c r="D5" s="64">
        <v>169.15135138113476</v>
      </c>
      <c r="E5" s="64">
        <v>261.40129358750499</v>
      </c>
      <c r="F5" s="64">
        <v>229.01968325150642</v>
      </c>
      <c r="G5" s="64">
        <v>219.99546393799233</v>
      </c>
      <c r="H5" s="64">
        <v>195.45229136558106</v>
      </c>
      <c r="I5" s="64">
        <v>111.39530724295194</v>
      </c>
      <c r="J5" s="64">
        <v>245.27601880017048</v>
      </c>
      <c r="K5" s="64">
        <v>313.00006355647298</v>
      </c>
      <c r="L5" s="64">
        <v>166.53245645593478</v>
      </c>
      <c r="M5" s="64">
        <v>120.97565000818297</v>
      </c>
      <c r="N5" s="64">
        <v>101.68675795320226</v>
      </c>
      <c r="O5" s="64">
        <v>137.74672529142094</v>
      </c>
      <c r="P5" s="64">
        <v>129.79425101730021</v>
      </c>
      <c r="Q5" s="64">
        <v>144.90276751642307</v>
      </c>
      <c r="R5" s="64">
        <v>121.11888082263195</v>
      </c>
      <c r="S5" s="64">
        <v>119.40027340440936</v>
      </c>
      <c r="T5" s="64">
        <v>119.9706430165898</v>
      </c>
      <c r="U5" s="64">
        <v>112.90355257102652</v>
      </c>
      <c r="V5" s="64">
        <v>135.42835379832769</v>
      </c>
      <c r="W5" s="64">
        <v>146.83660851900697</v>
      </c>
      <c r="X5" s="64">
        <v>116.09725807301997</v>
      </c>
      <c r="Y5" s="64">
        <v>115.83969219586227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3.1024188000000006</v>
      </c>
      <c r="C9" s="79">
        <f>IF(C3=0,0,C3/MBunk_ene!C3)</f>
        <v>3.1037718162877068</v>
      </c>
      <c r="D9" s="79">
        <f>IF(D3=0,0,D3/MBunk_ene!D3)</f>
        <v>3.1024187999999997</v>
      </c>
      <c r="E9" s="79">
        <f>IF(E3=0,0,E3/MBunk_ene!E3)</f>
        <v>3.1024187999999997</v>
      </c>
      <c r="F9" s="79">
        <f>IF(F3=0,0,F3/MBunk_ene!F3)</f>
        <v>3.1024188000000001</v>
      </c>
      <c r="G9" s="79">
        <f>IF(G3=0,0,G3/MBunk_ene!G3)</f>
        <v>3.1024188000000006</v>
      </c>
      <c r="H9" s="79">
        <f>IF(H3=0,0,H3/MBunk_ene!H3)</f>
        <v>3.1024187999999997</v>
      </c>
      <c r="I9" s="79">
        <f>IF(I3=0,0,I3/MBunk_ene!I3)</f>
        <v>3.102418800000001</v>
      </c>
      <c r="J9" s="79">
        <f>IF(J3=0,0,J3/MBunk_ene!J3)</f>
        <v>3.1196765603976173</v>
      </c>
      <c r="K9" s="79">
        <f>IF(K3=0,0,K3/MBunk_ene!K3)</f>
        <v>3.138942244641258</v>
      </c>
      <c r="L9" s="79">
        <f>IF(L3=0,0,L3/MBunk_ene!L3)</f>
        <v>3.1653513838962466</v>
      </c>
      <c r="M9" s="79">
        <f>IF(M3=0,0,M3/MBunk_ene!M3)</f>
        <v>3.1536493826331276</v>
      </c>
      <c r="N9" s="79">
        <f>IF(N3=0,0,N3/MBunk_ene!N3)</f>
        <v>3.1418424547789385</v>
      </c>
      <c r="O9" s="79">
        <f>IF(O3=0,0,O3/MBunk_ene!O3)</f>
        <v>3.1477665256467238</v>
      </c>
      <c r="P9" s="79">
        <f>IF(P3=0,0,P3/MBunk_ene!P3)</f>
        <v>3.1445717612780379</v>
      </c>
      <c r="Q9" s="79">
        <f>IF(Q3=0,0,Q3/MBunk_ene!Q3)</f>
        <v>3.1343748461892105</v>
      </c>
      <c r="R9" s="79">
        <f>IF(R3=0,0,R3/MBunk_ene!R3)</f>
        <v>3.134671434344471</v>
      </c>
      <c r="S9" s="79">
        <f>IF(S3=0,0,S3/MBunk_ene!S3)</f>
        <v>3.1412950058015592</v>
      </c>
      <c r="T9" s="79">
        <f>IF(T3=0,0,T3/MBunk_ene!T3)</f>
        <v>3.1430735056923789</v>
      </c>
      <c r="U9" s="79">
        <f>IF(U3=0,0,U3/MBunk_ene!U3)</f>
        <v>3.1313743088076986</v>
      </c>
      <c r="V9" s="79">
        <f>IF(V3=0,0,V3/MBunk_ene!V3)</f>
        <v>3.1268440507142339</v>
      </c>
      <c r="W9" s="79">
        <f>IF(W3=0,0,W3/MBunk_ene!W3)</f>
        <v>3.142949725202171</v>
      </c>
      <c r="X9" s="79">
        <f>IF(X3=0,0,X3/MBunk_ene!X3)</f>
        <v>3.1403099820228402</v>
      </c>
      <c r="Y9" s="79">
        <f>IF(Y3=0,0,Y3/MBunk_ene!Y3)</f>
        <v>3.1428714629364891</v>
      </c>
      <c r="DA9" s="172"/>
    </row>
    <row r="10" spans="1:105" ht="11.45" customHeight="1" x14ac:dyDescent="0.25">
      <c r="A10" s="55" t="s">
        <v>166</v>
      </c>
      <c r="B10" s="80">
        <f>IF(B4=0,0,B4/MBunk_ene!B4)</f>
        <v>3.1024188000000006</v>
      </c>
      <c r="C10" s="80">
        <f>IF(C4=0,0,C4/MBunk_ene!C4)</f>
        <v>3.1024188000000001</v>
      </c>
      <c r="D10" s="80">
        <f>IF(D4=0,0,D4/MBunk_ene!D4)</f>
        <v>3.1024188000000001</v>
      </c>
      <c r="E10" s="80">
        <f>IF(E4=0,0,E4/MBunk_ene!E4)</f>
        <v>3.1024187999999997</v>
      </c>
      <c r="F10" s="80">
        <f>IF(F4=0,0,F4/MBunk_ene!F4)</f>
        <v>3.1024188000000006</v>
      </c>
      <c r="G10" s="80">
        <f>IF(G4=0,0,G4/MBunk_ene!G4)</f>
        <v>3.1024188000000006</v>
      </c>
      <c r="H10" s="80">
        <f>IF(H4=0,0,H4/MBunk_ene!H4)</f>
        <v>3.1024188000000001</v>
      </c>
      <c r="I10" s="80">
        <f>IF(I4=0,0,I4/MBunk_ene!I4)</f>
        <v>3.1024188000000006</v>
      </c>
      <c r="J10" s="80">
        <f>IF(J4=0,0,J4/MBunk_ene!J4)</f>
        <v>3.1024187999999997</v>
      </c>
      <c r="K10" s="80">
        <f>IF(K4=0,0,K4/MBunk_ene!K4)</f>
        <v>3.1024187999999997</v>
      </c>
      <c r="L10" s="80">
        <f>IF(L4=0,0,L4/MBunk_ene!L4)</f>
        <v>3.1086398648463831</v>
      </c>
      <c r="M10" s="80">
        <f>IF(M4=0,0,M4/MBunk_ene!M4)</f>
        <v>3.1025255890537697</v>
      </c>
      <c r="N10" s="80">
        <f>IF(N4=0,0,N4/MBunk_ene!N4)</f>
        <v>3.1024188000000001</v>
      </c>
      <c r="O10" s="80">
        <f>IF(O4=0,0,O4/MBunk_ene!O4)</f>
        <v>3.1024466703050018</v>
      </c>
      <c r="P10" s="80">
        <f>IF(P4=0,0,P4/MBunk_ene!P4)</f>
        <v>3.1024187999999997</v>
      </c>
      <c r="Q10" s="80">
        <f>IF(Q4=0,0,Q4/MBunk_ene!Q4)</f>
        <v>3.1024188000000001</v>
      </c>
      <c r="R10" s="80">
        <f>IF(R4=0,0,R4/MBunk_ene!R4)</f>
        <v>3.1024188000000006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3.1024188000000006</v>
      </c>
      <c r="V10" s="80">
        <f>IF(V4=0,0,V4/MBunk_ene!V4)</f>
        <v>3.1024187999999997</v>
      </c>
      <c r="W10" s="80">
        <f>IF(W4=0,0,W4/MBunk_ene!W4)</f>
        <v>3.1024187999999997</v>
      </c>
      <c r="X10" s="80">
        <f>IF(X4=0,0,X4/MBunk_ene!X4)</f>
        <v>3.1024188000000001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3.1024188000000001</v>
      </c>
      <c r="C11" s="81">
        <f>IF(C5=0,0,C5/MBunk_ene!C10)</f>
        <v>3.1050628263612592</v>
      </c>
      <c r="D11" s="81">
        <f>IF(D5=0,0,D5/MBunk_ene!D10)</f>
        <v>3.1024188000000001</v>
      </c>
      <c r="E11" s="81">
        <f>IF(E5=0,0,E5/MBunk_ene!E10)</f>
        <v>3.1024188000000001</v>
      </c>
      <c r="F11" s="81">
        <f>IF(F5=0,0,F5/MBunk_ene!F10)</f>
        <v>3.1024188000000001</v>
      </c>
      <c r="G11" s="81">
        <f>IF(G5=0,0,G5/MBunk_ene!G10)</f>
        <v>3.1024188000000001</v>
      </c>
      <c r="H11" s="81">
        <f>IF(H5=0,0,H5/MBunk_ene!H10)</f>
        <v>3.1024188000000001</v>
      </c>
      <c r="I11" s="81">
        <f>IF(I5=0,0,I5/MBunk_ene!I10)</f>
        <v>3.1024188000000006</v>
      </c>
      <c r="J11" s="81">
        <f>IF(J5=0,0,J5/MBunk_ene!J10)</f>
        <v>3.1293648786158004</v>
      </c>
      <c r="K11" s="81">
        <f>IF(K5=0,0,K5/MBunk_ene!K10)</f>
        <v>3.1788325988137571</v>
      </c>
      <c r="L11" s="81">
        <f>IF(L5=0,0,L5/MBunk_ene!L10)</f>
        <v>3.2142506414831926</v>
      </c>
      <c r="M11" s="81">
        <f>IF(M5=0,0,M5/MBunk_ene!M10)</f>
        <v>3.2047325109956311</v>
      </c>
      <c r="N11" s="81">
        <f>IF(N5=0,0,N5/MBunk_ene!N10)</f>
        <v>3.1808717097986969</v>
      </c>
      <c r="O11" s="81">
        <f>IF(O5=0,0,O5/MBunk_ene!O10)</f>
        <v>3.1973715132928788</v>
      </c>
      <c r="P11" s="81">
        <f>IF(P5=0,0,P5/MBunk_ene!P10)</f>
        <v>3.1866805588900076</v>
      </c>
      <c r="Q11" s="81">
        <f>IF(Q5=0,0,Q5/MBunk_ene!Q10)</f>
        <v>3.1629257017686156</v>
      </c>
      <c r="R11" s="81">
        <f>IF(R5=0,0,R5/MBunk_ene!R10)</f>
        <v>3.1680187020886685</v>
      </c>
      <c r="S11" s="81">
        <f>IF(S5=0,0,S5/MBunk_ene!S10)</f>
        <v>3.1854764473742305</v>
      </c>
      <c r="T11" s="81">
        <f>IF(T5=0,0,T5/MBunk_ene!T10)</f>
        <v>3.1912241403199264</v>
      </c>
      <c r="U11" s="81">
        <f>IF(U5=0,0,U5/MBunk_ene!U10)</f>
        <v>3.1639632929907311</v>
      </c>
      <c r="V11" s="81">
        <f>IF(V5=0,0,V5/MBunk_ene!V10)</f>
        <v>3.1505737010769561</v>
      </c>
      <c r="W11" s="81">
        <f>IF(W5=0,0,W5/MBunk_ene!W10)</f>
        <v>3.1771558412839442</v>
      </c>
      <c r="X11" s="81">
        <f>IF(X5=0,0,X5/MBunk_ene!X10)</f>
        <v>3.1732085760218491</v>
      </c>
      <c r="Y11" s="81">
        <f>IF(Y5=0,0,Y5/MBunk_ene!Y10)</f>
        <v>3.1763394042765061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8618.7430924725777</v>
      </c>
      <c r="C13" s="62">
        <f>IF(C3=0,0,C3/MBunk_act!C7*100)</f>
        <v>9008.0570600467727</v>
      </c>
      <c r="D13" s="62">
        <f>IF(D3=0,0,D3/MBunk_act!D7*100)</f>
        <v>9945.0341181181211</v>
      </c>
      <c r="E13" s="62">
        <f>IF(E3=0,0,E3/MBunk_act!E7*100)</f>
        <v>13595.522393582129</v>
      </c>
      <c r="F13" s="62">
        <f>IF(F3=0,0,F3/MBunk_act!F7*100)</f>
        <v>11498.284954538682</v>
      </c>
      <c r="G13" s="62">
        <f>IF(G3=0,0,G3/MBunk_act!G7*100)</f>
        <v>11039.261801693747</v>
      </c>
      <c r="H13" s="62">
        <f>IF(H3=0,0,H3/MBunk_act!H7*100)</f>
        <v>9104.5185274803807</v>
      </c>
      <c r="I13" s="62">
        <f>IF(I3=0,0,I3/MBunk_act!I7*100)</f>
        <v>6813.7788609865102</v>
      </c>
      <c r="J13" s="62">
        <f>IF(J3=0,0,J3/MBunk_act!J7*100)</f>
        <v>16188.044561621609</v>
      </c>
      <c r="K13" s="62">
        <f>IF(K3=0,0,K3/MBunk_act!K7*100)</f>
        <v>24272.291061911128</v>
      </c>
      <c r="L13" s="62">
        <f>IF(L3=0,0,L3/MBunk_act!L7*100)</f>
        <v>11745.322122051906</v>
      </c>
      <c r="M13" s="62">
        <f>IF(M3=0,0,M3/MBunk_act!M7*100)</f>
        <v>8046.8096641537859</v>
      </c>
      <c r="N13" s="62">
        <f>IF(N3=0,0,N3/MBunk_act!N7*100)</f>
        <v>7534.3035263287247</v>
      </c>
      <c r="O13" s="62">
        <f>IF(O3=0,0,O3/MBunk_act!O7*100)</f>
        <v>8509.0440610943606</v>
      </c>
      <c r="P13" s="62">
        <f>IF(P3=0,0,P3/MBunk_act!P7*100)</f>
        <v>8626.5707374517951</v>
      </c>
      <c r="Q13" s="62">
        <f>IF(Q3=0,0,Q3/MBunk_act!Q7*100)</f>
        <v>11209.747875766401</v>
      </c>
      <c r="R13" s="62">
        <f>IF(R3=0,0,R3/MBunk_act!R7*100)</f>
        <v>8514.3043831202867</v>
      </c>
      <c r="S13" s="62">
        <f>IF(S3=0,0,S3/MBunk_act!S7*100)</f>
        <v>8203.7229257144209</v>
      </c>
      <c r="T13" s="62">
        <f>IF(T3=0,0,T3/MBunk_act!T7*100)</f>
        <v>7743.3973787807618</v>
      </c>
      <c r="U13" s="62">
        <f>IF(U3=0,0,U3/MBunk_act!U7*100)</f>
        <v>6935.6100035042627</v>
      </c>
      <c r="V13" s="62">
        <f>IF(V3=0,0,V3/MBunk_act!V7*100)</f>
        <v>10377.318521471574</v>
      </c>
      <c r="W13" s="62">
        <f>IF(W3=0,0,W3/MBunk_act!W7*100)</f>
        <v>9662.7734210318413</v>
      </c>
      <c r="X13" s="62">
        <f>IF(X3=0,0,X3/MBunk_act!X7*100)</f>
        <v>7523.674142483449</v>
      </c>
      <c r="Y13" s="62">
        <f>IF(Y3=0,0,Y3/MBunk_act!Y7*100)</f>
        <v>6771.060470821074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8033.9312173885392</v>
      </c>
      <c r="C14" s="63">
        <f>IF(C4=0,0,C4/MBunk_act!C8*100)</f>
        <v>8401.0791008174438</v>
      </c>
      <c r="D14" s="63">
        <f>IF(D4=0,0,D4/MBunk_act!D8*100)</f>
        <v>9274.8636774108927</v>
      </c>
      <c r="E14" s="63">
        <f>IF(E4=0,0,E4/MBunk_act!E8*100)</f>
        <v>13715.016662136935</v>
      </c>
      <c r="F14" s="63">
        <f>IF(F4=0,0,F4/MBunk_act!F8*100)</f>
        <v>11747.442806608571</v>
      </c>
      <c r="G14" s="63">
        <f>IF(G4=0,0,G4/MBunk_act!G8*100)</f>
        <v>11338.001755208199</v>
      </c>
      <c r="H14" s="63">
        <f>IF(H4=0,0,H4/MBunk_act!H8*100)</f>
        <v>8983.9251565349605</v>
      </c>
      <c r="I14" s="63">
        <f>IF(I4=0,0,I4/MBunk_act!I8*100)</f>
        <v>7162.2293267342047</v>
      </c>
      <c r="J14" s="63">
        <f>IF(J4=0,0,J4/MBunk_act!J8*100)</f>
        <v>16227.692729772616</v>
      </c>
      <c r="K14" s="63">
        <f>IF(K4=0,0,K4/MBunk_act!K8*100)</f>
        <v>21828.753473411671</v>
      </c>
      <c r="L14" s="63">
        <f>IF(L4=0,0,L4/MBunk_act!L8*100)</f>
        <v>10471.784397805508</v>
      </c>
      <c r="M14" s="63">
        <f>IF(M4=0,0,M4/MBunk_act!M8*100)</f>
        <v>6856.9902857082543</v>
      </c>
      <c r="N14" s="63">
        <f>IF(N4=0,0,N4/MBunk_act!N8*100)</f>
        <v>6427.6982081679453</v>
      </c>
      <c r="O14" s="63">
        <f>IF(O4=0,0,O4/MBunk_act!O8*100)</f>
        <v>7197.2488572105622</v>
      </c>
      <c r="P14" s="63">
        <f>IF(P4=0,0,P4/MBunk_act!P8*100)</f>
        <v>7351.6954079487705</v>
      </c>
      <c r="Q14" s="63">
        <f>IF(Q4=0,0,Q4/MBunk_act!Q8*100)</f>
        <v>9853.4324585469949</v>
      </c>
      <c r="R14" s="63">
        <f>IF(R4=0,0,R4/MBunk_act!R8*100)</f>
        <v>7331.4672275844305</v>
      </c>
      <c r="S14" s="63">
        <f>IF(S4=0,0,S4/MBunk_act!S8*100)</f>
        <v>6994.5757237099342</v>
      </c>
      <c r="T14" s="63">
        <f>IF(T4=0,0,T4/MBunk_act!T8*100)</f>
        <v>6449.7149332746685</v>
      </c>
      <c r="U14" s="63">
        <f>IF(U4=0,0,U4/MBunk_act!U8*100)</f>
        <v>5808.4867844237488</v>
      </c>
      <c r="V14" s="63">
        <f>IF(V4=0,0,V4/MBunk_act!V8*100)</f>
        <v>8219.0252159688171</v>
      </c>
      <c r="W14" s="63">
        <f>IF(W4=0,0,W4/MBunk_act!W8*100)</f>
        <v>7515.8466718131176</v>
      </c>
      <c r="X14" s="63">
        <f>IF(X4=0,0,X4/MBunk_act!X8*100)</f>
        <v>6390.8162141485636</v>
      </c>
      <c r="Y14" s="63">
        <f>IF(Y4=0,0,Y4/MBunk_act!Y8*100)</f>
        <v>5950.0759907614938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9268.187975923538</v>
      </c>
      <c r="C15" s="64">
        <f>IF(C5=0,0,C5/MBunk_act!C9*100)</f>
        <v>9674.434150725685</v>
      </c>
      <c r="D15" s="64">
        <f>IF(D5=0,0,D5/MBunk_act!D9*100)</f>
        <v>10701.162623546974</v>
      </c>
      <c r="E15" s="64">
        <f>IF(E5=0,0,E5/MBunk_act!E9*100)</f>
        <v>13516.627002276458</v>
      </c>
      <c r="F15" s="64">
        <f>IF(F5=0,0,F5/MBunk_act!F9*100)</f>
        <v>11353.806929069417</v>
      </c>
      <c r="G15" s="64">
        <f>IF(G5=0,0,G5/MBunk_act!G9*100)</f>
        <v>10869.378695380485</v>
      </c>
      <c r="H15" s="64">
        <f>IF(H5=0,0,H5/MBunk_act!H9*100)</f>
        <v>9188.7045543180793</v>
      </c>
      <c r="I15" s="64">
        <f>IF(I5=0,0,I5/MBunk_act!I9*100)</f>
        <v>6663.6222824975603</v>
      </c>
      <c r="J15" s="64">
        <f>IF(J5=0,0,J5/MBunk_act!J9*100)</f>
        <v>16166.061976194118</v>
      </c>
      <c r="K15" s="64">
        <f>IF(K5=0,0,K5/MBunk_act!K9*100)</f>
        <v>27560.901528042377</v>
      </c>
      <c r="L15" s="64">
        <f>IF(L5=0,0,L5/MBunk_act!L9*100)</f>
        <v>13070.944241188039</v>
      </c>
      <c r="M15" s="64">
        <f>IF(M5=0,0,M5/MBunk_act!M9*100)</f>
        <v>9669.9215306316837</v>
      </c>
      <c r="N15" s="64">
        <f>IF(N5=0,0,N5/MBunk_act!N9*100)</f>
        <v>9036.4935219545423</v>
      </c>
      <c r="O15" s="64">
        <f>IF(O5=0,0,O5/MBunk_act!O9*100)</f>
        <v>10551.552956758742</v>
      </c>
      <c r="P15" s="64">
        <f>IF(P5=0,0,P5/MBunk_act!P9*100)</f>
        <v>10376.583619725352</v>
      </c>
      <c r="Q15" s="64">
        <f>IF(Q5=0,0,Q5/MBunk_act!Q9*100)</f>
        <v>12747.457156643204</v>
      </c>
      <c r="R15" s="64">
        <f>IF(R5=0,0,R5/MBunk_act!R9*100)</f>
        <v>10176.765874467354</v>
      </c>
      <c r="S15" s="64">
        <f>IF(S5=0,0,S5/MBunk_act!S9*100)</f>
        <v>10144.803001326243</v>
      </c>
      <c r="T15" s="64">
        <f>IF(T5=0,0,T5/MBunk_act!T9*100)</f>
        <v>10068.807176837236</v>
      </c>
      <c r="U15" s="64">
        <f>IF(U5=0,0,U5/MBunk_act!U9*100)</f>
        <v>8825.6096100771792</v>
      </c>
      <c r="V15" s="64">
        <f>IF(V5=0,0,V5/MBunk_act!V9*100)</f>
        <v>13858.958216756997</v>
      </c>
      <c r="W15" s="64">
        <f>IF(W5=0,0,W5/MBunk_act!W9*100)</f>
        <v>12637.791908752328</v>
      </c>
      <c r="X15" s="64">
        <f>IF(X5=0,0,X5/MBunk_act!X9*100)</f>
        <v>8856.315142217014</v>
      </c>
      <c r="Y15" s="64">
        <f>IF(Y5=0,0,Y5/MBunk_act!Y9*100)</f>
        <v>7620.7616437220167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7.1647951948926707</v>
      </c>
      <c r="C17" s="62">
        <f>IF(C3=0,0,C3/MBunk_act!C3*1000)</f>
        <v>7.2341990470365189</v>
      </c>
      <c r="D17" s="62">
        <f>IF(D3=0,0,D3/MBunk_act!D3*1000)</f>
        <v>8.1394537973617211</v>
      </c>
      <c r="E17" s="62">
        <f>IF(E3=0,0,E3/MBunk_act!E3*1000)</f>
        <v>9.2617394225435916</v>
      </c>
      <c r="F17" s="62">
        <f>IF(F3=0,0,F3/MBunk_act!F3*1000)</f>
        <v>7.6197953733146928</v>
      </c>
      <c r="G17" s="62">
        <f>IF(G3=0,0,G3/MBunk_act!G3*1000)</f>
        <v>6.9522569402979482</v>
      </c>
      <c r="H17" s="62">
        <f>IF(H3=0,0,H3/MBunk_act!H3*1000)</f>
        <v>6.0254933532311821</v>
      </c>
      <c r="I17" s="62">
        <f>IF(I3=0,0,I3/MBunk_act!I3*1000)</f>
        <v>4.1228590653410704</v>
      </c>
      <c r="J17" s="62">
        <f>IF(J3=0,0,J3/MBunk_act!J3*1000)</f>
        <v>9.7815290747085211</v>
      </c>
      <c r="K17" s="62">
        <f>IF(K3=0,0,K3/MBunk_act!K3*1000)</f>
        <v>19.43246947447107</v>
      </c>
      <c r="L17" s="62">
        <f>IF(L3=0,0,L3/MBunk_act!L3*1000)</f>
        <v>8.9459206518973069</v>
      </c>
      <c r="M17" s="62">
        <f>IF(M3=0,0,M3/MBunk_act!M3*1000)</f>
        <v>7.4125274298540891</v>
      </c>
      <c r="N17" s="62">
        <f>IF(N3=0,0,N3/MBunk_act!N3*1000)</f>
        <v>6.3332687411803699</v>
      </c>
      <c r="O17" s="62">
        <f>IF(O3=0,0,O3/MBunk_act!O3*1000)</f>
        <v>6.5813958541988384</v>
      </c>
      <c r="P17" s="62">
        <f>IF(P3=0,0,P3/MBunk_act!P3*1000)</f>
        <v>5.7356633356363513</v>
      </c>
      <c r="Q17" s="62">
        <f>IF(Q3=0,0,Q3/MBunk_act!Q3*1000)</f>
        <v>6.2569141226841483</v>
      </c>
      <c r="R17" s="62">
        <f>IF(R3=0,0,R3/MBunk_act!R3*1000)</f>
        <v>5.0953016947839158</v>
      </c>
      <c r="S17" s="62">
        <f>IF(S3=0,0,S3/MBunk_act!S3*1000)</f>
        <v>5.2189854484759115</v>
      </c>
      <c r="T17" s="62">
        <f>IF(T3=0,0,T3/MBunk_act!T3*1000)</f>
        <v>5.4231868852455429</v>
      </c>
      <c r="U17" s="62">
        <f>IF(U3=0,0,U3/MBunk_act!U3*1000)</f>
        <v>4.6545545932610315</v>
      </c>
      <c r="V17" s="62">
        <f>IF(V3=0,0,V3/MBunk_act!V3*1000)</f>
        <v>6.8398481447469921</v>
      </c>
      <c r="W17" s="62">
        <f>IF(W3=0,0,W3/MBunk_act!W3*1000)</f>
        <v>5.8414838468803971</v>
      </c>
      <c r="X17" s="62">
        <f>IF(X3=0,0,X3/MBunk_act!X3*1000)</f>
        <v>4.4111218687080882</v>
      </c>
      <c r="Y17" s="62">
        <f>IF(Y3=0,0,Y3/MBunk_act!Y3*1000)</f>
        <v>3.442602637909765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14.706383509527132</v>
      </c>
      <c r="C18" s="63">
        <f>IF(C4=0,0,C4/MBunk_act!C4*1000)</f>
        <v>15.070426622848538</v>
      </c>
      <c r="D18" s="63">
        <f>IF(D4=0,0,D4/MBunk_act!D4*1000)</f>
        <v>16.46714033564065</v>
      </c>
      <c r="E18" s="63">
        <f>IF(E4=0,0,E4/MBunk_act!E4*1000)</f>
        <v>24.141193120892371</v>
      </c>
      <c r="F18" s="63">
        <f>IF(F4=0,0,F4/MBunk_act!F4*1000)</f>
        <v>20.787547138526218</v>
      </c>
      <c r="G18" s="63">
        <f>IF(G4=0,0,G4/MBunk_act!G4*1000)</f>
        <v>19.431801509069981</v>
      </c>
      <c r="H18" s="63">
        <f>IF(H4=0,0,H4/MBunk_act!H4*1000)</f>
        <v>15.569854897960685</v>
      </c>
      <c r="I18" s="63">
        <f>IF(I4=0,0,I4/MBunk_act!I4*1000)</f>
        <v>12.770824943653656</v>
      </c>
      <c r="J18" s="63">
        <f>IF(J4=0,0,J4/MBunk_act!J4*1000)</f>
        <v>26.75282875818273</v>
      </c>
      <c r="K18" s="63">
        <f>IF(K4=0,0,K4/MBunk_act!K4*1000)</f>
        <v>35.410294213925383</v>
      </c>
      <c r="L18" s="63">
        <f>IF(L4=0,0,L4/MBunk_act!L4*1000)</f>
        <v>17.5162179057968</v>
      </c>
      <c r="M18" s="63">
        <f>IF(M4=0,0,M4/MBunk_act!M4*1000)</f>
        <v>12.146785676120125</v>
      </c>
      <c r="N18" s="63">
        <f>IF(N4=0,0,N4/MBunk_act!N4*1000)</f>
        <v>10.882101416890338</v>
      </c>
      <c r="O18" s="63">
        <f>IF(O4=0,0,O4/MBunk_act!O4*1000)</f>
        <v>11.525990662137634</v>
      </c>
      <c r="P18" s="63">
        <f>IF(P4=0,0,P4/MBunk_act!P4*1000)</f>
        <v>11.767820380650409</v>
      </c>
      <c r="Q18" s="63">
        <f>IF(Q4=0,0,Q4/MBunk_act!Q4*1000)</f>
        <v>14.43405219460325</v>
      </c>
      <c r="R18" s="63">
        <f>IF(R4=0,0,R4/MBunk_act!R4*1000)</f>
        <v>10.209600060588574</v>
      </c>
      <c r="S18" s="63">
        <f>IF(S4=0,0,S4/MBunk_act!S4*1000)</f>
        <v>9.8007893073081114</v>
      </c>
      <c r="T18" s="63">
        <f>IF(T4=0,0,T4/MBunk_act!T4*1000)</f>
        <v>9.2404307185653085</v>
      </c>
      <c r="U18" s="63">
        <f>IF(U4=0,0,U4/MBunk_act!U4*1000)</f>
        <v>8.5021750105411087</v>
      </c>
      <c r="V18" s="63">
        <f>IF(V4=0,0,V4/MBunk_act!V4*1000)</f>
        <v>11.299040232094464</v>
      </c>
      <c r="W18" s="63">
        <f>IF(W4=0,0,W4/MBunk_act!W4*1000)</f>
        <v>10.828372582284207</v>
      </c>
      <c r="X18" s="63">
        <f>IF(X4=0,0,X4/MBunk_act!X4*1000)</f>
        <v>9.0970891518296568</v>
      </c>
      <c r="Y18" s="63">
        <f>IF(Y4=0,0,Y4/MBunk_act!Y4*1000)</f>
        <v>7.9254339681451151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4.7968470140364934</v>
      </c>
      <c r="C19" s="64">
        <f>IF(C5=0,0,C5/MBunk_act!C5*1000)</f>
        <v>4.8365935577375101</v>
      </c>
      <c r="D19" s="64">
        <f>IF(D5=0,0,D5/MBunk_act!D5*1000)</f>
        <v>5.4461609890505347</v>
      </c>
      <c r="E19" s="64">
        <f>IF(E5=0,0,E5/MBunk_act!E5*1000)</f>
        <v>6.5550570202285616</v>
      </c>
      <c r="F19" s="64">
        <f>IF(F5=0,0,F5/MBunk_act!F5*1000)</f>
        <v>5.5214023510591721</v>
      </c>
      <c r="G19" s="64">
        <f>IF(G5=0,0,G5/MBunk_act!G5*1000)</f>
        <v>5.0343812440184026</v>
      </c>
      <c r="H19" s="64">
        <f>IF(H5=0,0,H5/MBunk_act!H5*1000)</f>
        <v>4.2480944818170503</v>
      </c>
      <c r="I19" s="64">
        <f>IF(I5=0,0,I5/MBunk_act!I5*1000)</f>
        <v>3.1384917723595316</v>
      </c>
      <c r="J19" s="64">
        <f>IF(J5=0,0,J5/MBunk_act!J5*1000)</f>
        <v>7.2291689692026733</v>
      </c>
      <c r="K19" s="64">
        <f>IF(K5=0,0,K5/MBunk_act!K5*1000)</f>
        <v>13.121456332196507</v>
      </c>
      <c r="L19" s="64">
        <f>IF(L5=0,0,L5/MBunk_act!L5*1000)</f>
        <v>6.3535645838562766</v>
      </c>
      <c r="M19" s="64">
        <f>IF(M5=0,0,M5/MBunk_act!M5*1000)</f>
        <v>5.3830066877008207</v>
      </c>
      <c r="N19" s="64">
        <f>IF(N5=0,0,N5/MBunk_act!N5*1000)</f>
        <v>4.5120899314852343</v>
      </c>
      <c r="O19" s="64">
        <f>IF(O5=0,0,O5/MBunk_act!O5*1000)</f>
        <v>4.5213769184321713</v>
      </c>
      <c r="P19" s="64">
        <f>IF(P5=0,0,P5/MBunk_act!P5*1000)</f>
        <v>3.8275501219615053</v>
      </c>
      <c r="Q19" s="64">
        <f>IF(Q5=0,0,Q5/MBunk_act!Q5*1000)</f>
        <v>4.1811234051303616</v>
      </c>
      <c r="R19" s="64">
        <f>IF(R5=0,0,R5/MBunk_act!R5*1000)</f>
        <v>3.3806254320455067</v>
      </c>
      <c r="S19" s="64">
        <f>IF(S5=0,0,S5/MBunk_act!S5*1000)</f>
        <v>3.4393424364115948</v>
      </c>
      <c r="T19" s="64">
        <f>IF(T5=0,0,T5/MBunk_act!T5*1000)</f>
        <v>3.6751050676569434</v>
      </c>
      <c r="U19" s="64">
        <f>IF(U5=0,0,U5/MBunk_act!U5*1000)</f>
        <v>3.1042251303699122</v>
      </c>
      <c r="V19" s="64">
        <f>IF(V5=0,0,V5/MBunk_act!V5*1000)</f>
        <v>4.9652166228196029</v>
      </c>
      <c r="W19" s="64">
        <f>IF(W5=0,0,W5/MBunk_act!W5*1000)</f>
        <v>4.2344027185436302</v>
      </c>
      <c r="X19" s="64">
        <f>IF(X5=0,0,X5/MBunk_act!X5*1000)</f>
        <v>3.0691231423389711</v>
      </c>
      <c r="Y19" s="64">
        <f>IF(Y5=0,0,Y5/MBunk_act!Y5*1000)</f>
        <v>2.3626851011188701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0.49047961177392779</v>
      </c>
      <c r="C22" s="77">
        <f t="shared" si="3"/>
        <v>0.48806143047512757</v>
      </c>
      <c r="D22" s="77">
        <f t="shared" si="3"/>
        <v>0.49440893102171979</v>
      </c>
      <c r="E22" s="77">
        <f t="shared" si="3"/>
        <v>0.4011742429248083</v>
      </c>
      <c r="F22" s="77">
        <f t="shared" si="3"/>
        <v>0.37498802133355863</v>
      </c>
      <c r="G22" s="77">
        <f t="shared" si="3"/>
        <v>0.37232570883376725</v>
      </c>
      <c r="H22" s="77">
        <f t="shared" si="3"/>
        <v>0.40566066026136549</v>
      </c>
      <c r="I22" s="77">
        <f t="shared" si="3"/>
        <v>0.31655278727556685</v>
      </c>
      <c r="J22" s="77">
        <f t="shared" si="3"/>
        <v>0.35755567557051798</v>
      </c>
      <c r="K22" s="77">
        <f t="shared" si="3"/>
        <v>0.51595663326394214</v>
      </c>
      <c r="L22" s="77">
        <f t="shared" si="3"/>
        <v>0.45471838458814812</v>
      </c>
      <c r="M22" s="77">
        <f t="shared" si="3"/>
        <v>0.491698791843932</v>
      </c>
      <c r="N22" s="77">
        <f t="shared" si="3"/>
        <v>0.49124396171731155</v>
      </c>
      <c r="O22" s="77">
        <f t="shared" si="3"/>
        <v>0.51504748474365236</v>
      </c>
      <c r="P22" s="77">
        <f t="shared" si="3"/>
        <v>0.49303895429763378</v>
      </c>
      <c r="Q22" s="77">
        <f t="shared" si="3"/>
        <v>0.46705034979138638</v>
      </c>
      <c r="R22" s="77">
        <f t="shared" si="3"/>
        <v>0.50311291108681544</v>
      </c>
      <c r="S22" s="77">
        <f t="shared" si="3"/>
        <v>0.52535389476754246</v>
      </c>
      <c r="T22" s="77">
        <f t="shared" si="3"/>
        <v>0.53519102063715862</v>
      </c>
      <c r="U22" s="77">
        <f t="shared" si="3"/>
        <v>0.52462268348568475</v>
      </c>
      <c r="V22" s="77">
        <f t="shared" si="3"/>
        <v>0.48892815409067797</v>
      </c>
      <c r="W22" s="77">
        <f t="shared" si="3"/>
        <v>0.45178400781039635</v>
      </c>
      <c r="X22" s="77">
        <f t="shared" ref="X22:Y22" si="5">IF(X4=0,0,X4/X$3)</f>
        <v>0.45912897704175942</v>
      </c>
      <c r="Y22" s="77">
        <f t="shared" si="5"/>
        <v>0.44692772267048986</v>
      </c>
      <c r="DA22" s="184"/>
    </row>
    <row r="23" spans="1:105" ht="11.45" customHeight="1" x14ac:dyDescent="0.25">
      <c r="A23" s="57" t="s">
        <v>167</v>
      </c>
      <c r="B23" s="78">
        <f t="shared" si="3"/>
        <v>0.50952038822607215</v>
      </c>
      <c r="C23" s="78">
        <f t="shared" si="3"/>
        <v>0.51193856952487249</v>
      </c>
      <c r="D23" s="78">
        <f t="shared" si="3"/>
        <v>0.50559106897828032</v>
      </c>
      <c r="E23" s="78">
        <f t="shared" si="3"/>
        <v>0.5988257570751917</v>
      </c>
      <c r="F23" s="78">
        <f t="shared" si="3"/>
        <v>0.62501197866644131</v>
      </c>
      <c r="G23" s="78">
        <f t="shared" si="3"/>
        <v>0.62767429116623263</v>
      </c>
      <c r="H23" s="78">
        <f t="shared" si="3"/>
        <v>0.59433933973863462</v>
      </c>
      <c r="I23" s="78">
        <f t="shared" si="3"/>
        <v>0.6834472127244331</v>
      </c>
      <c r="J23" s="78">
        <f t="shared" si="3"/>
        <v>0.64244432442948207</v>
      </c>
      <c r="K23" s="78">
        <f t="shared" si="3"/>
        <v>0.4840433667360578</v>
      </c>
      <c r="L23" s="78">
        <f t="shared" si="3"/>
        <v>0.54528161541185183</v>
      </c>
      <c r="M23" s="78">
        <f t="shared" si="3"/>
        <v>0.50830120815606794</v>
      </c>
      <c r="N23" s="78">
        <f t="shared" si="3"/>
        <v>0.50875603828268856</v>
      </c>
      <c r="O23" s="78">
        <f t="shared" si="3"/>
        <v>0.48495251525634758</v>
      </c>
      <c r="P23" s="78">
        <f t="shared" si="3"/>
        <v>0.50696104570236611</v>
      </c>
      <c r="Q23" s="78">
        <f t="shared" si="3"/>
        <v>0.53294965020861351</v>
      </c>
      <c r="R23" s="78">
        <f t="shared" si="3"/>
        <v>0.49688708891318462</v>
      </c>
      <c r="S23" s="78">
        <f t="shared" si="3"/>
        <v>0.47464610523245748</v>
      </c>
      <c r="T23" s="78">
        <f t="shared" si="3"/>
        <v>0.46480897936284138</v>
      </c>
      <c r="U23" s="78">
        <f t="shared" si="3"/>
        <v>0.47537731651431536</v>
      </c>
      <c r="V23" s="78">
        <f t="shared" si="3"/>
        <v>0.51107184590932209</v>
      </c>
      <c r="W23" s="78">
        <f t="shared" si="3"/>
        <v>0.54821599218960371</v>
      </c>
      <c r="X23" s="78">
        <f t="shared" ref="X23:Y23" si="6">IF(X5=0,0,X5/X$3)</f>
        <v>0.54087102295824052</v>
      </c>
      <c r="Y23" s="78">
        <f t="shared" si="6"/>
        <v>0.55307227732951003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2025-11-06T10:19:56Z</dcterms:created>
  <dcterms:modified xsi:type="dcterms:W3CDTF">2025-11-06T10:19:56Z</dcterms:modified>
</cp:coreProperties>
</file>