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BG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119" i="6"/>
  <c r="Y173" i="6" s="1"/>
  <c r="X119" i="6"/>
  <c r="X173" i="6" s="1"/>
  <c r="X26" i="12"/>
  <c r="X24" i="12"/>
  <c r="Y16" i="7"/>
  <c r="Y14" i="13"/>
  <c r="X13" i="12"/>
  <c r="X23" i="12"/>
  <c r="Y22" i="12"/>
  <c r="X21" i="12"/>
  <c r="X20" i="12"/>
  <c r="X16" i="8"/>
  <c r="Y6" i="12"/>
  <c r="Y33" i="10"/>
  <c r="X33" i="10"/>
  <c r="Y22" i="13"/>
  <c r="X22" i="13"/>
  <c r="Y21" i="13"/>
  <c r="X21" i="13"/>
  <c r="Y20" i="13"/>
  <c r="Y18" i="13"/>
  <c r="X18" i="10"/>
  <c r="Y17" i="13"/>
  <c r="X17" i="10"/>
  <c r="Y6" i="13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14" i="24"/>
  <c r="X13" i="23"/>
  <c r="Y10" i="24"/>
  <c r="X9" i="23"/>
  <c r="Y8" i="23"/>
  <c r="Y7" i="25"/>
  <c r="X24" i="23"/>
  <c r="Y23" i="23"/>
  <c r="X23" i="23"/>
  <c r="Y22" i="23"/>
  <c r="Y20" i="23"/>
  <c r="Y20" i="26" s="1"/>
  <c r="X5" i="21"/>
  <c r="Y33" i="24"/>
  <c r="X33" i="21"/>
  <c r="Y22" i="24"/>
  <c r="Y20" i="21"/>
  <c r="X20" i="21"/>
  <c r="Y18" i="21"/>
  <c r="X18" i="24"/>
  <c r="Y17" i="24"/>
  <c r="X15" i="21"/>
  <c r="Y33" i="25"/>
  <c r="Y33" i="28" s="1"/>
  <c r="X33" i="25"/>
  <c r="X33" i="28" s="1"/>
  <c r="Y26" i="25"/>
  <c r="Y26" i="28" s="1"/>
  <c r="X25" i="25"/>
  <c r="X25" i="28" s="1"/>
  <c r="Y23" i="25"/>
  <c r="X23" i="25"/>
  <c r="Y22" i="25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X24" i="25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Y10" i="30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27" i="6" l="1"/>
  <c r="Y7" i="28" s="1"/>
  <c r="X5" i="10"/>
  <c r="Y5" i="10"/>
  <c r="Y24" i="12"/>
  <c r="X25" i="12"/>
  <c r="Y23" i="10"/>
  <c r="Y10" i="12"/>
  <c r="X8" i="13"/>
  <c r="X11" i="12"/>
  <c r="Y8" i="24"/>
  <c r="Y8" i="27" s="1"/>
  <c r="Y8" i="13"/>
  <c r="Y17" i="10"/>
  <c r="X9" i="21"/>
  <c r="X25" i="24"/>
  <c r="X17" i="24"/>
  <c r="X17" i="27" s="1"/>
  <c r="X25" i="13"/>
  <c r="X12" i="12"/>
  <c r="X7" i="14"/>
  <c r="Y25" i="13"/>
  <c r="X16" i="7"/>
  <c r="X31" i="23"/>
  <c r="X31" i="26" s="1"/>
  <c r="X26" i="13"/>
  <c r="Y26" i="24"/>
  <c r="Y31" i="23"/>
  <c r="Y10" i="13"/>
  <c r="Y26" i="13"/>
  <c r="Y18" i="10"/>
  <c r="X27" i="21"/>
  <c r="X32" i="23"/>
  <c r="X11" i="13"/>
  <c r="Y11" i="24"/>
  <c r="Y11" i="27" s="1"/>
  <c r="Y14" i="12"/>
  <c r="X7" i="12"/>
  <c r="X25" i="23"/>
  <c r="X25" i="26" s="1"/>
  <c r="X14" i="30"/>
  <c r="X13" i="29"/>
  <c r="X12" i="24"/>
  <c r="X12" i="13"/>
  <c r="X30" i="13"/>
  <c r="X8" i="12"/>
  <c r="Y7" i="24"/>
  <c r="Y13" i="29"/>
  <c r="Y9" i="25"/>
  <c r="Y9" i="28" s="1"/>
  <c r="Y12" i="24"/>
  <c r="Y21" i="25"/>
  <c r="Y21" i="28" s="1"/>
  <c r="X10" i="14"/>
  <c r="X30" i="14"/>
  <c r="Y12" i="13"/>
  <c r="Y8" i="25"/>
  <c r="Y8" i="28" s="1"/>
  <c r="Y52" i="38"/>
  <c r="X14" i="29"/>
  <c r="X10" i="25"/>
  <c r="X10" i="28" s="1"/>
  <c r="X13" i="21"/>
  <c r="X31" i="24"/>
  <c r="X17" i="23"/>
  <c r="X22" i="24"/>
  <c r="X22" i="27" s="1"/>
  <c r="Y10" i="14"/>
  <c r="X31" i="13"/>
  <c r="Y33" i="12"/>
  <c r="Y17" i="23"/>
  <c r="Y17" i="26" s="1"/>
  <c r="X31" i="14"/>
  <c r="Y31" i="13"/>
  <c r="X21" i="21"/>
  <c r="X7" i="21"/>
  <c r="X8" i="25"/>
  <c r="X9" i="36"/>
  <c r="Y53" i="38"/>
  <c r="Y31" i="14"/>
  <c r="X32" i="10"/>
  <c r="Y24" i="23"/>
  <c r="Y24" i="26" s="1"/>
  <c r="X8" i="24"/>
  <c r="X8" i="27" s="1"/>
  <c r="Y14" i="21"/>
  <c r="Y32" i="21"/>
  <c r="X17" i="13"/>
  <c r="X23" i="21"/>
  <c r="Y19" i="22"/>
  <c r="Y45" i="37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17" i="25"/>
  <c r="Y31" i="21"/>
  <c r="Y6" i="23"/>
  <c r="Y6" i="26" s="1"/>
  <c r="Y10" i="23"/>
  <c r="Y10" i="26" s="1"/>
  <c r="Y14" i="23"/>
  <c r="Y19" i="19"/>
  <c r="Y5" i="23"/>
  <c r="Y5" i="26" s="1"/>
  <c r="X14" i="36"/>
  <c r="X12" i="36" s="1"/>
  <c r="X22" i="25"/>
  <c r="X17" i="21"/>
  <c r="X32" i="21"/>
  <c r="X7" i="23"/>
  <c r="X11" i="23"/>
  <c r="X11" i="26" s="1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Y8" i="14"/>
  <c r="Y12" i="12"/>
  <c r="Y18" i="12"/>
  <c r="Y28" i="12"/>
  <c r="X82" i="6"/>
  <c r="X81" i="6" s="1"/>
  <c r="X93" i="6" s="1"/>
  <c r="X107" i="6"/>
  <c r="X24" i="28"/>
  <c r="X9" i="25"/>
  <c r="X9" i="28" s="1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Y12" i="27"/>
  <c r="X21" i="27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3"/>
  <c r="X30" i="23"/>
  <c r="X18" i="13"/>
  <c r="X20" i="10"/>
  <c r="X10" i="13"/>
  <c r="X14" i="10"/>
  <c r="X19" i="9"/>
  <c r="X24" i="13"/>
  <c r="X29" i="9"/>
  <c r="X29" i="13" s="1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X17" i="28"/>
  <c r="Y29" i="22"/>
  <c r="Y29" i="25" s="1"/>
  <c r="Y5" i="21"/>
  <c r="Y23" i="24"/>
  <c r="Y28" i="24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5" i="28" s="1"/>
  <c r="X28" i="13"/>
  <c r="Y9" i="13"/>
  <c r="Y16" i="9"/>
  <c r="Y16" i="13" s="1"/>
  <c r="Y9" i="39"/>
  <c r="Y17" i="38"/>
  <c r="Y46" i="37"/>
  <c r="Y17" i="27"/>
  <c r="X6" i="25"/>
  <c r="Y15" i="21"/>
  <c r="X51" i="39"/>
  <c r="Y32" i="24"/>
  <c r="Y16" i="22"/>
  <c r="Y16" i="25" s="1"/>
  <c r="Y16" i="28" s="1"/>
  <c r="X6" i="24"/>
  <c r="X24" i="24"/>
  <c r="X30" i="24"/>
  <c r="X6" i="13"/>
  <c r="Y11" i="10"/>
  <c r="Y15" i="10"/>
  <c r="X8" i="14"/>
  <c r="Y22" i="26"/>
  <c r="X13" i="13"/>
  <c r="X9" i="39"/>
  <c r="X5" i="39" s="1"/>
  <c r="X46" i="37"/>
  <c r="X21" i="23"/>
  <c r="X21" i="26" s="1"/>
  <c r="Y13" i="13"/>
  <c r="X19" i="7"/>
  <c r="X27" i="12" s="1"/>
  <c r="X29" i="7"/>
  <c r="Y19" i="18"/>
  <c r="Y27" i="24" s="1"/>
  <c r="Y31" i="25"/>
  <c r="Y9" i="38"/>
  <c r="Y52" i="37"/>
  <c r="X32" i="24"/>
  <c r="X32" i="27" s="1"/>
  <c r="Y51" i="39"/>
  <c r="Y6" i="24"/>
  <c r="Y6" i="27" s="1"/>
  <c r="Y24" i="24"/>
  <c r="Y24" i="27" s="1"/>
  <c r="Y18" i="23"/>
  <c r="Y18" i="26" s="1"/>
  <c r="X16" i="9"/>
  <c r="X16" i="10" s="1"/>
  <c r="X19" i="8"/>
  <c r="X3" i="8" s="1"/>
  <c r="Y33" i="6"/>
  <c r="Y31" i="6" s="1"/>
  <c r="X91" i="6"/>
  <c r="X103" i="6"/>
  <c r="X124" i="6" s="1"/>
  <c r="X17" i="37"/>
  <c r="X50" i="37" s="1"/>
  <c r="Y11" i="23"/>
  <c r="Y71" i="6"/>
  <c r="Y104" i="6"/>
  <c r="Y10" i="21"/>
  <c r="X21" i="10"/>
  <c r="X105" i="6"/>
  <c r="X8" i="33"/>
  <c r="Y9" i="21"/>
  <c r="Y25" i="21"/>
  <c r="Y13" i="23"/>
  <c r="Y21" i="10"/>
  <c r="Y9" i="12"/>
  <c r="Y105" i="6"/>
  <c r="X72" i="29"/>
  <c r="X6" i="34" s="1"/>
  <c r="X10" i="21"/>
  <c r="X26" i="21"/>
  <c r="X14" i="23"/>
  <c r="X14" i="26" s="1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8" i="28"/>
  <c r="X16" i="19"/>
  <c r="X7" i="10"/>
  <c r="Y25" i="10"/>
  <c r="Y19" i="9"/>
  <c r="X12" i="23"/>
  <c r="X12" i="26" s="1"/>
  <c r="Y22" i="21"/>
  <c r="Y13" i="21"/>
  <c r="Y16" i="19"/>
  <c r="Y16" i="23" s="1"/>
  <c r="Y16" i="26" s="1"/>
  <c r="X8" i="10"/>
  <c r="X26" i="10"/>
  <c r="X30" i="25"/>
  <c r="Y23" i="21"/>
  <c r="X14" i="21"/>
  <c r="X33" i="23"/>
  <c r="X4" i="11"/>
  <c r="Y8" i="10"/>
  <c r="Y26" i="10"/>
  <c r="X15" i="7"/>
  <c r="X15" i="13" s="1"/>
  <c r="Y19" i="7"/>
  <c r="Y27" i="12" s="1"/>
  <c r="Y17" i="37"/>
  <c r="X31" i="25"/>
  <c r="X31" i="28" s="1"/>
  <c r="Y24" i="21"/>
  <c r="X7" i="13"/>
  <c r="X9" i="10"/>
  <c r="X115" i="6"/>
  <c r="X23" i="24"/>
  <c r="X23" i="27" s="1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X29" i="22"/>
  <c r="Y12" i="10"/>
  <c r="X24" i="6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X25" i="6"/>
  <c r="X51" i="38"/>
  <c r="Y15" i="29"/>
  <c r="Y5" i="33" s="1"/>
  <c r="X28" i="24"/>
  <c r="X28" i="27" s="1"/>
  <c r="X23" i="26"/>
  <c r="X4" i="19"/>
  <c r="X26" i="23"/>
  <c r="X26" i="26" s="1"/>
  <c r="Y9" i="14"/>
  <c r="Y25" i="6"/>
  <c r="Y49" i="37"/>
  <c r="X16" i="29"/>
  <c r="Y9" i="23"/>
  <c r="Y9" i="26" s="1"/>
  <c r="X26" i="6"/>
  <c r="X33" i="39"/>
  <c r="Y51" i="38"/>
  <c r="X9" i="38"/>
  <c r="X52" i="38"/>
  <c r="X68" i="29"/>
  <c r="X6" i="30" s="1"/>
  <c r="X10" i="23"/>
  <c r="X6" i="29"/>
  <c r="X5" i="32"/>
  <c r="Y5" i="29"/>
  <c r="Y5" i="31"/>
  <c r="X5" i="31"/>
  <c r="X5" i="29"/>
  <c r="Y12" i="29"/>
  <c r="Y16" i="29"/>
  <c r="X8" i="23"/>
  <c r="X8" i="26" s="1"/>
  <c r="Y30" i="23"/>
  <c r="X24" i="21"/>
  <c r="X29" i="20"/>
  <c r="X31" i="21"/>
  <c r="X4" i="18"/>
  <c r="X3" i="18" s="1"/>
  <c r="X15" i="18"/>
  <c r="X6" i="23"/>
  <c r="Y32" i="14"/>
  <c r="Y29" i="11"/>
  <c r="Y29" i="8"/>
  <c r="Y30" i="12"/>
  <c r="X69" i="29"/>
  <c r="X6" i="31" s="1"/>
  <c r="Y8" i="26"/>
  <c r="Y13" i="24"/>
  <c r="Y13" i="27" s="1"/>
  <c r="X4" i="22"/>
  <c r="Y48" i="6"/>
  <c r="Y102" i="6"/>
  <c r="X8" i="35"/>
  <c r="Y4" i="18"/>
  <c r="Y3" i="18" s="1"/>
  <c r="Y15" i="18"/>
  <c r="Y15" i="24" s="1"/>
  <c r="X16" i="14"/>
  <c r="X16" i="12"/>
  <c r="Y8" i="35"/>
  <c r="X8" i="34"/>
  <c r="Y5" i="25"/>
  <c r="Y5" i="28" s="1"/>
  <c r="X20" i="23"/>
  <c r="X20" i="26" s="1"/>
  <c r="Y30" i="25"/>
  <c r="Y11" i="21"/>
  <c r="Y19" i="20"/>
  <c r="Y21" i="21"/>
  <c r="Y19" i="8"/>
  <c r="Y21" i="12"/>
  <c r="Y82" i="6"/>
  <c r="Y116" i="6"/>
  <c r="X73" i="29"/>
  <c r="X6" i="35" s="1"/>
  <c r="Y4" i="19"/>
  <c r="Y7" i="23"/>
  <c r="Y21" i="6"/>
  <c r="Y20" i="6"/>
  <c r="Y69" i="29"/>
  <c r="Y6" i="31" s="1"/>
  <c r="Y7" i="27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X8" i="31"/>
  <c r="Y8" i="34"/>
  <c r="Y8" i="31"/>
  <c r="Y17" i="29"/>
  <c r="Y6" i="25"/>
  <c r="Y6" i="28" s="1"/>
  <c r="Y4" i="22"/>
  <c r="X22" i="21"/>
  <c r="X19" i="20"/>
  <c r="X19" i="18"/>
  <c r="X22" i="23"/>
  <c r="X22" i="26" s="1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28" i="16" s="1"/>
  <c r="Y7" i="12"/>
  <c r="Y4" i="7"/>
  <c r="Y3" i="7" s="1"/>
  <c r="Y7" i="14"/>
  <c r="Y15" i="7"/>
  <c r="Y15" i="12" s="1"/>
  <c r="X10" i="24"/>
  <c r="X10" i="27" s="1"/>
  <c r="X19" i="22"/>
  <c r="Y4" i="20"/>
  <c r="Y16" i="20"/>
  <c r="Y17" i="21"/>
  <c r="Y32" i="23"/>
  <c r="Y29" i="19"/>
  <c r="Y29" i="23" s="1"/>
  <c r="Y4" i="11"/>
  <c r="Y5" i="14"/>
  <c r="Y4" i="8"/>
  <c r="Y5" i="12"/>
  <c r="Y149" i="6"/>
  <c r="X14" i="24"/>
  <c r="X14" i="27" s="1"/>
  <c r="Y10" i="27"/>
  <c r="X16" i="22"/>
  <c r="Y7" i="21"/>
  <c r="X16" i="20"/>
  <c r="X18" i="21"/>
  <c r="Y28" i="23"/>
  <c r="X16" i="18"/>
  <c r="X18" i="23"/>
  <c r="Y7" i="13"/>
  <c r="Y11" i="13"/>
  <c r="Y23" i="13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7" i="28" l="1"/>
  <c r="Y26" i="27"/>
  <c r="Y33" i="26"/>
  <c r="Y22" i="28"/>
  <c r="Y18" i="27"/>
  <c r="Y22" i="27"/>
  <c r="Y14" i="27"/>
  <c r="Y7" i="26"/>
  <c r="Y25" i="27"/>
  <c r="X25" i="27"/>
  <c r="X4" i="13"/>
  <c r="X30" i="26"/>
  <c r="Y29" i="12"/>
  <c r="Y29" i="26"/>
  <c r="Y29" i="14"/>
  <c r="X90" i="6"/>
  <c r="X19" i="10"/>
  <c r="X94" i="6"/>
  <c r="Y5" i="39"/>
  <c r="Y37" i="39" s="1"/>
  <c r="Y5" i="37"/>
  <c r="Y37" i="37" s="1"/>
  <c r="X9" i="29"/>
  <c r="Y32" i="26"/>
  <c r="Y32" i="27"/>
  <c r="Y30" i="28"/>
  <c r="Y28" i="27"/>
  <c r="Y13" i="26"/>
  <c r="Y23" i="27"/>
  <c r="Y14" i="26"/>
  <c r="Y30" i="26"/>
  <c r="Y29" i="28"/>
  <c r="Y23" i="28"/>
  <c r="Y27" i="27"/>
  <c r="Y31" i="26"/>
  <c r="Y25" i="26"/>
  <c r="Y30" i="27"/>
  <c r="Y31" i="28"/>
  <c r="Y26" i="26"/>
  <c r="Y28" i="26"/>
  <c r="X163" i="6"/>
  <c r="Y15" i="27"/>
  <c r="Y11" i="26"/>
  <c r="X4" i="23"/>
  <c r="X4" i="26" s="1"/>
  <c r="X31" i="6"/>
  <c r="X29" i="10"/>
  <c r="X4" i="14"/>
  <c r="X4" i="17" s="1"/>
  <c r="X15" i="12"/>
  <c r="X15" i="15" s="1"/>
  <c r="Y24" i="15"/>
  <c r="X3" i="19"/>
  <c r="X16" i="13"/>
  <c r="X16" i="16" s="1"/>
  <c r="X5" i="26"/>
  <c r="X13" i="26"/>
  <c r="X5" i="27"/>
  <c r="X17" i="26"/>
  <c r="X11" i="27"/>
  <c r="X92" i="6"/>
  <c r="X10" i="26"/>
  <c r="X27" i="13"/>
  <c r="X27" i="16" s="1"/>
  <c r="X28" i="26"/>
  <c r="X33" i="27"/>
  <c r="X9" i="27"/>
  <c r="X13" i="27"/>
  <c r="X113" i="6"/>
  <c r="X167" i="6" s="1"/>
  <c r="Y10" i="16"/>
  <c r="X6" i="27"/>
  <c r="X89" i="6"/>
  <c r="Y139" i="6"/>
  <c r="X26" i="27"/>
  <c r="X21" i="28"/>
  <c r="X4" i="12"/>
  <c r="X4" i="15" s="1"/>
  <c r="X7" i="27"/>
  <c r="X30" i="27"/>
  <c r="X24" i="27"/>
  <c r="Y30" i="15"/>
  <c r="Y15" i="13"/>
  <c r="Y15" i="16" s="1"/>
  <c r="X33" i="26"/>
  <c r="X32" i="26"/>
  <c r="Y10" i="17"/>
  <c r="X22" i="15"/>
  <c r="X18" i="26"/>
  <c r="X6" i="26"/>
  <c r="X23" i="28"/>
  <c r="X22" i="28"/>
  <c r="X7" i="26"/>
  <c r="X30" i="28"/>
  <c r="X18" i="27"/>
  <c r="Y19" i="23"/>
  <c r="Y19" i="26" s="1"/>
  <c r="Y33" i="27"/>
  <c r="Y24" i="28"/>
  <c r="X114" i="6"/>
  <c r="X144" i="6" s="1"/>
  <c r="X29" i="23"/>
  <c r="X29" i="26" s="1"/>
  <c r="X6" i="28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" i="27"/>
  <c r="X24" i="26"/>
  <c r="X58" i="6"/>
  <c r="Y50" i="39"/>
  <c r="Y48" i="38"/>
  <c r="X19" i="14"/>
  <c r="X19" i="17" s="1"/>
  <c r="X31" i="27"/>
  <c r="X16" i="23"/>
  <c r="X16" i="26" s="1"/>
  <c r="X5" i="37"/>
  <c r="X37" i="37" s="1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9" i="16"/>
  <c r="Y18" i="15"/>
  <c r="Y14" i="16"/>
  <c r="Y5" i="15"/>
  <c r="Y32" i="15"/>
  <c r="Y29" i="15"/>
  <c r="Y20" i="15"/>
  <c r="Y25" i="15"/>
  <c r="Y11" i="16"/>
  <c r="Y17" i="16"/>
  <c r="Y22" i="15"/>
  <c r="Y18" i="16"/>
  <c r="Y17" i="15"/>
  <c r="Y29" i="17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29" i="16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29" i="25"/>
  <c r="X29" i="28" s="1"/>
  <c r="X140" i="6"/>
  <c r="X16" i="15"/>
  <c r="X20" i="17"/>
  <c r="X32" i="16"/>
  <c r="X8" i="15"/>
  <c r="X23" i="15"/>
  <c r="Y31" i="36"/>
  <c r="Y34" i="36"/>
  <c r="Y32" i="36"/>
  <c r="X8" i="36"/>
  <c r="X3" i="23"/>
  <c r="X3" i="11"/>
  <c r="Y44" i="37"/>
  <c r="X3" i="35"/>
  <c r="Y159" i="6"/>
  <c r="Y135" i="6"/>
  <c r="X5" i="38"/>
  <c r="X38" i="38" s="1"/>
  <c r="X44" i="37"/>
  <c r="X3" i="31"/>
  <c r="Y163" i="6"/>
  <c r="Y165" i="6"/>
  <c r="Y3" i="31"/>
  <c r="X158" i="6"/>
  <c r="X125" i="6"/>
  <c r="Y164" i="6"/>
  <c r="X3" i="32"/>
  <c r="X3" i="30"/>
  <c r="X3" i="33"/>
  <c r="Y171" i="6"/>
  <c r="Y162" i="6"/>
  <c r="Y38" i="37"/>
  <c r="Y157" i="6"/>
  <c r="Y124" i="6"/>
  <c r="Y134" i="6"/>
  <c r="Y125" i="6"/>
  <c r="X12" i="15"/>
  <c r="X13" i="16"/>
  <c r="Y169" i="6"/>
  <c r="X35" i="39"/>
  <c r="X16" i="25"/>
  <c r="X16" i="28" s="1"/>
  <c r="X30" i="16"/>
  <c r="X9" i="17"/>
  <c r="X31" i="17"/>
  <c r="X147" i="6"/>
  <c r="X26" i="15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X3" i="12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X129" i="6"/>
  <c r="X153" i="6"/>
  <c r="Y123" i="6"/>
  <c r="Y132" i="6"/>
  <c r="Y156" i="6"/>
  <c r="Y16" i="10"/>
  <c r="X31" i="36"/>
  <c r="X34" i="36"/>
  <c r="X32" i="36"/>
  <c r="X38" i="39"/>
  <c r="X37" i="39"/>
  <c r="Y32" i="37" l="1"/>
  <c r="Y40" i="37"/>
  <c r="Y34" i="37"/>
  <c r="Y39" i="37"/>
  <c r="Y33" i="37"/>
  <c r="X3" i="29"/>
  <c r="Y36" i="39"/>
  <c r="Y35" i="37"/>
  <c r="Y36" i="37"/>
  <c r="Y38" i="39"/>
  <c r="Y35" i="39"/>
  <c r="Y44" i="39"/>
  <c r="X34" i="37"/>
  <c r="X143" i="6"/>
  <c r="X33" i="37"/>
  <c r="X3" i="13"/>
  <c r="X39" i="37"/>
  <c r="X3" i="10"/>
  <c r="X40" i="37"/>
  <c r="Y39" i="38"/>
  <c r="Y44" i="38"/>
  <c r="X44" i="39"/>
  <c r="X36" i="37"/>
  <c r="X32" i="37"/>
  <c r="X168" i="6"/>
  <c r="X3" i="14"/>
  <c r="X35" i="37"/>
  <c r="X38" i="37"/>
  <c r="X154" i="6"/>
  <c r="X121" i="6"/>
  <c r="X31" i="39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26"/>
  <c r="X39" i="38"/>
  <c r="X37" i="38"/>
  <c r="Y3" i="35"/>
  <c r="X32" i="38"/>
  <c r="Y3" i="14"/>
  <c r="X3" i="16"/>
  <c r="Y3" i="34"/>
  <c r="Y3" i="25"/>
  <c r="X3" i="1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Y31" i="37"/>
  <c r="X3" i="17" l="1"/>
  <c r="X31" i="37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T7" i="29"/>
  <c r="R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S8" i="32"/>
  <c r="W3" i="31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N3" i="29" l="1"/>
  <c r="R3" i="35"/>
  <c r="T3" i="35"/>
  <c r="U3" i="32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V3" i="23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30" i="27"/>
  <c r="L30" i="21"/>
  <c r="L29" i="20"/>
  <c r="H30" i="21"/>
  <c r="H29" i="20"/>
  <c r="D30" i="21"/>
  <c r="D29" i="20"/>
  <c r="I29" i="20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J19" i="24" l="1"/>
  <c r="K29" i="12"/>
  <c r="K16" i="24"/>
  <c r="K29" i="13"/>
  <c r="N29" i="12"/>
  <c r="P29" i="25"/>
  <c r="P29" i="28" s="1"/>
  <c r="N19" i="24"/>
  <c r="I29" i="24"/>
  <c r="E19" i="14"/>
  <c r="O4" i="24"/>
  <c r="E4" i="24"/>
  <c r="O4" i="23"/>
  <c r="N19" i="23"/>
  <c r="G16" i="12"/>
  <c r="C4" i="13"/>
  <c r="O4" i="12"/>
  <c r="C16" i="13"/>
  <c r="E4" i="23"/>
  <c r="H4" i="12"/>
  <c r="J29" i="13"/>
  <c r="C4" i="12"/>
  <c r="F4" i="24"/>
  <c r="P29" i="24"/>
  <c r="G19" i="24"/>
  <c r="P29" i="12"/>
  <c r="P29" i="15" s="1"/>
  <c r="H29" i="23"/>
  <c r="H29" i="26" s="1"/>
  <c r="O29" i="13"/>
  <c r="O29" i="16" s="1"/>
  <c r="P19" i="24"/>
  <c r="P19" i="27" s="1"/>
  <c r="J19" i="23"/>
  <c r="J19" i="26" s="1"/>
  <c r="P29" i="13"/>
  <c r="P29" i="16" s="1"/>
  <c r="H29" i="24"/>
  <c r="H29" i="27" s="1"/>
  <c r="G19" i="23"/>
  <c r="G19" i="26" s="1"/>
  <c r="O29" i="23"/>
  <c r="O29" i="26" s="1"/>
  <c r="O29" i="12"/>
  <c r="O29" i="15" s="1"/>
  <c r="C17" i="16"/>
  <c r="E4" i="13"/>
  <c r="P4" i="12"/>
  <c r="P4" i="15" s="1"/>
  <c r="O4" i="13"/>
  <c r="O4" i="16" s="1"/>
  <c r="K4" i="24"/>
  <c r="K4" i="27" s="1"/>
  <c r="D16" i="13"/>
  <c r="O16" i="24"/>
  <c r="B16" i="13"/>
  <c r="M29" i="24"/>
  <c r="L19" i="24"/>
  <c r="N29" i="13"/>
  <c r="K19" i="12"/>
  <c r="K19" i="15" s="1"/>
  <c r="H29" i="12"/>
  <c r="D16" i="25"/>
  <c r="O29" i="24"/>
  <c r="J4" i="12"/>
  <c r="H4" i="23"/>
  <c r="Q16" i="13"/>
  <c r="O16" i="12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I29" i="26" s="1"/>
  <c r="C19" i="23"/>
  <c r="C19" i="26" s="1"/>
  <c r="F4" i="12"/>
  <c r="F4" i="15" s="1"/>
  <c r="E19" i="24"/>
  <c r="E19" i="27" s="1"/>
  <c r="P16" i="25"/>
  <c r="G29" i="12"/>
  <c r="G29" i="13"/>
  <c r="G29" i="16" s="1"/>
  <c r="I4" i="23"/>
  <c r="I4" i="26" s="1"/>
  <c r="G16" i="13"/>
  <c r="G16" i="16" s="1"/>
  <c r="N29" i="23"/>
  <c r="C19" i="13"/>
  <c r="C19" i="16" s="1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M4" i="17" s="1"/>
  <c r="O16" i="13"/>
  <c r="O16" i="23"/>
  <c r="O16" i="26" s="1"/>
  <c r="F19" i="12"/>
  <c r="M16" i="24"/>
  <c r="J4" i="23"/>
  <c r="J4" i="26" s="1"/>
  <c r="P19" i="12"/>
  <c r="P19" i="15" s="1"/>
  <c r="H4" i="24"/>
  <c r="H4" i="27" s="1"/>
  <c r="M4" i="12"/>
  <c r="M4" i="15" s="1"/>
  <c r="O19" i="24"/>
  <c r="O19" i="27" s="1"/>
  <c r="P16" i="24"/>
  <c r="P16" i="27" s="1"/>
  <c r="L19" i="13"/>
  <c r="L19" i="16" s="1"/>
  <c r="G4" i="23"/>
  <c r="P4" i="24"/>
  <c r="P4" i="27" s="1"/>
  <c r="C29" i="24"/>
  <c r="C29" i="27" s="1"/>
  <c r="G4" i="24"/>
  <c r="G4" i="27" s="1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4" i="24"/>
  <c r="D4" i="27" s="1"/>
  <c r="P19" i="23"/>
  <c r="P19" i="26" s="1"/>
  <c r="N16" i="14"/>
  <c r="N16" i="17" s="1"/>
  <c r="D4" i="13"/>
  <c r="D4" i="16" s="1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G16" i="24"/>
  <c r="I4" i="12"/>
  <c r="I4" i="15" s="1"/>
  <c r="L16" i="13"/>
  <c r="L16" i="16" s="1"/>
  <c r="B29" i="13"/>
  <c r="B29" i="16" s="1"/>
  <c r="L4" i="24"/>
  <c r="L4" i="27" s="1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I27" i="15" s="1"/>
  <c r="E27" i="12"/>
  <c r="E27" i="15" s="1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O19" i="15" s="1"/>
  <c r="G27" i="24"/>
  <c r="G27" i="27" s="1"/>
  <c r="G27" i="23"/>
  <c r="G27" i="26" s="1"/>
  <c r="L4" i="13"/>
  <c r="K4" i="12"/>
  <c r="K4" i="15" s="1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P16" i="15" s="1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D27" i="27" s="1"/>
  <c r="L29" i="24"/>
  <c r="L29" i="27" s="1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0"/>
  <c r="F3" i="8"/>
  <c r="F16" i="15"/>
  <c r="F19" i="15"/>
  <c r="G16" i="21"/>
  <c r="G16" i="27"/>
  <c r="O3" i="19"/>
  <c r="O4" i="26"/>
  <c r="I3" i="19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7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0"/>
  <c r="C29" i="16"/>
  <c r="C29" i="10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1"/>
  <c r="N29" i="21"/>
  <c r="D19" i="26"/>
  <c r="C4" i="14"/>
  <c r="C4" i="17" s="1"/>
  <c r="C3" i="11"/>
  <c r="C3" i="14" s="1"/>
  <c r="C3" i="17" s="1"/>
  <c r="G9" i="17"/>
  <c r="G20" i="17"/>
  <c r="C22" i="17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22" i="4"/>
  <c r="B45" i="4"/>
  <c r="B20" i="4"/>
  <c r="B39" i="4"/>
  <c r="B29" i="4"/>
  <c r="B24" i="4"/>
  <c r="B11" i="4"/>
  <c r="B23" i="4"/>
  <c r="B43" i="4"/>
  <c r="B13" i="4"/>
  <c r="B4" i="4"/>
  <c r="B21" i="4"/>
  <c r="B16" i="4"/>
  <c r="B17" i="4"/>
  <c r="B35" i="4"/>
  <c r="B38" i="4"/>
  <c r="B42" i="4"/>
  <c r="B27" i="4"/>
  <c r="B37" i="4"/>
  <c r="B33" i="4"/>
  <c r="B9" i="4"/>
  <c r="B36" i="4"/>
  <c r="B44" i="4"/>
  <c r="B14" i="4"/>
  <c r="B28" i="4"/>
  <c r="B25" i="4"/>
  <c r="B15" i="4"/>
  <c r="B12" i="4"/>
  <c r="B10" i="4"/>
  <c r="B8" i="4"/>
  <c r="B7" i="4"/>
  <c r="B30" i="4"/>
  <c r="B26" i="4"/>
  <c r="B34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<sst xmlns="http://schemas.openxmlformats.org/spreadsheetml/2006/main" count="2101" uniqueCount="1057">
  <si>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</si>
  <si>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</si>
  <si>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</si>
  <si>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</si>
  <si>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</si>
  <si>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</si>
  <si>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</si>
  <si>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</si>
  <si>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</si>
  <si>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</si>
  <si>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</si>
  <si>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</si>
  <si>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</si>
  <si>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</si>
  <si>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</si>
  <si>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</si>
  <si>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</si>
  <si>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</si>
  <si>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</si>
  <si>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</si>
  <si>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</si>
  <si>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</si>
  <si>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</si>
  <si>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</si>
  <si>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</si>
  <si>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</si>
  <si>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</si>
  <si>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</si>
  <si>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</si>
  <si>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</si>
  <si>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</si>
  <si>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</si>
  <si>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</si>
  <si>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</si>
  <si>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</si>
  <si>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</si>
  <si>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</si>
  <si>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</si>
  <si>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</si>
  <si>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</si>
  <si>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</si>
  <si>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</si>
  <si>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</si>
  <si>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</si>
  <si>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</si>
  <si>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</si>
  <si>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</si>
  <si>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</si>
  <si>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</si>
  <si>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</si>
  <si>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</si>
  <si>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</si>
  <si>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</si>
  <si>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</si>
  <si>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</si>
  <si>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</si>
  <si>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</si>
  <si>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</si>
  <si>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</si>
  <si>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</si>
  <si>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</si>
  <si>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</si>
  <si>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</si>
  <si>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</si>
  <si>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</si>
  <si>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</si>
  <si>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</si>
  <si>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</si>
  <si>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</si>
  <si>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</si>
  <si>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</si>
  <si>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</si>
  <si>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</si>
  <si>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</si>
  <si>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</si>
  <si>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</si>
  <si>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</si>
  <si>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</si>
  <si>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</si>
  <si>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</si>
  <si>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</si>
  <si>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</si>
  <si>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</si>
  <si>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</si>
  <si>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</si>
  <si>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</si>
  <si>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</si>
  <si>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</si>
  <si>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</si>
  <si>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</si>
  <si>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</si>
  <si>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</si>
  <si>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</si>
  <si>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</si>
  <si>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</si>
  <si>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</si>
  <si>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</si>
  <si>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</si>
  <si>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</si>
  <si>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</si>
  <si>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</si>
  <si>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</si>
  <si>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</si>
  <si>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</si>
  <si>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</si>
  <si>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</si>
  <si>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</si>
  <si>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</si>
  <si>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</si>
  <si>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</si>
  <si>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</si>
  <si>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</si>
  <si>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</si>
  <si>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</si>
  <si>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</si>
  <si>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</si>
  <si>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</si>
  <si>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</si>
  <si>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</si>
  <si>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</si>
  <si>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</si>
  <si>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</si>
  <si>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</si>
  <si>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</si>
  <si>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</si>
  <si>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</si>
  <si>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</si>
  <si>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</si>
  <si>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</si>
  <si>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</si>
  <si>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</si>
  <si>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</si>
  <si>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</si>
  <si>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</si>
  <si>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</si>
  <si>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</si>
  <si>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</si>
  <si>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</si>
  <si>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</si>
  <si>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</si>
  <si>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</si>
  <si>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</si>
  <si>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</si>
  <si>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</si>
  <si>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</si>
  <si>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</si>
  <si>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</si>
  <si>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</si>
  <si>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</si>
  <si>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</si>
  <si>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</si>
  <si>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</si>
  <si>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</si>
  <si>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</si>
  <si>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</si>
  <si>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</si>
  <si>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</si>
  <si>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</si>
  <si>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</si>
  <si>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</si>
  <si>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</si>
  <si>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</si>
  <si>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</si>
  <si>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</si>
  <si>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</si>
  <si>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</si>
  <si>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</si>
  <si>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</si>
  <si>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</si>
  <si>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</si>
  <si>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</si>
  <si>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</si>
  <si>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</si>
  <si>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</si>
  <si>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</si>
  <si>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</si>
  <si>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</si>
  <si>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</si>
  <si>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</si>
  <si>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</si>
  <si>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</si>
  <si>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</si>
  <si>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</si>
  <si>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</si>
  <si>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</si>
  <si>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BG</t>
  </si>
  <si>
    <t>Bulgaria</t>
  </si>
  <si>
    <t>BG - Services sector summary</t>
  </si>
  <si>
    <t>Macro.number.BG.Population</t>
  </si>
  <si>
    <t>Macro.Meuro2015.BG.GDP</t>
  </si>
  <si>
    <t>Macro.Meuro2015.BG.VA</t>
  </si>
  <si>
    <t>Macro.number.BG.Employees</t>
  </si>
  <si>
    <t>NUM.number.BG.Ser.Bld</t>
  </si>
  <si>
    <t>SurfaceArea.ksqm.BG.Ser.Bld</t>
  </si>
  <si>
    <t>NUM.number.BG.Ser.BldNew</t>
  </si>
  <si>
    <t>SurfaceArea.ksqm.BG.Ser.BldNew</t>
  </si>
  <si>
    <t>HDD.Celsius.BG.Actual</t>
  </si>
  <si>
    <t>HDD.Celsius.BG.Mean</t>
  </si>
  <si>
    <t>HDD.ratio.BG.Relative</t>
  </si>
  <si>
    <t>FEC.ktoe.BG.ES.Ser</t>
  </si>
  <si>
    <t>FEC.ktoe.BG.ES.Ser.Solids</t>
  </si>
  <si>
    <t>FEC.ktoe.BG.ES.Ser.LPG</t>
  </si>
  <si>
    <t>FEC.ktoe.BG.ES.Ser.Oil</t>
  </si>
  <si>
    <t>FEC.ktoe.BG.ES.Ser.NG</t>
  </si>
  <si>
    <t>FEC.ktoe.BG.ES.Ser.Biomass_Waste</t>
  </si>
  <si>
    <t>FEC.ktoe.BG.ES.Ser.Biogas</t>
  </si>
  <si>
    <t>FEC.ktoe.BG.ES.Ser.LiqBio</t>
  </si>
  <si>
    <t>FEC.ktoe.BG.ES.Ser.Solar</t>
  </si>
  <si>
    <t>FEC.ktoe.BG.ES.Ser.Geo</t>
  </si>
  <si>
    <t>FEC.ktoe.BG.ES.Ser.Ambient</t>
  </si>
  <si>
    <t>FEC.ktoe.BG.ES.Ser.Steam_Distr</t>
  </si>
  <si>
    <t>FEC.ktoe.BG.ES.Ser.Elec</t>
  </si>
  <si>
    <t>FEC.ktoe.BG.Ser</t>
  </si>
  <si>
    <t>FEC.ktoe.BG.Ser.Bld.Thermal</t>
  </si>
  <si>
    <t>FEC.ktoe.BG.Ser.Bld.Thermal.SH</t>
  </si>
  <si>
    <t>FEC.ktoe.BG.Ser.Bld.Thermal.SC</t>
  </si>
  <si>
    <t>FEC.ktoe.BG.Ser.Bld.Thermal.HW</t>
  </si>
  <si>
    <t>FEC.ktoe.BG.Ser.Bld.Thermal.CA</t>
  </si>
  <si>
    <t>FEC.ktoe.BG.Ser.SEU</t>
  </si>
  <si>
    <t>EMI.ktCO2.BG.ES.Ser</t>
  </si>
  <si>
    <t>EMI.ktCO2.BG.ES.Ser.Solids</t>
  </si>
  <si>
    <t>EMI.ktCO2.BG.ES.Ser.LPG</t>
  </si>
  <si>
    <t>EMI.ktCO2.BG.ES.Ser.Oil</t>
  </si>
  <si>
    <t>EMI.ktCO2.BG.ES.Ser.NG</t>
  </si>
  <si>
    <t>EMI.ktCO2.BG.ES.Ser.Biomass_Waste</t>
  </si>
  <si>
    <t>EMI.ktCO2.BG.ES.Ser.Biogas</t>
  </si>
  <si>
    <t>EMI.ktCO2.BG.ES.Ser.LiqBio</t>
  </si>
  <si>
    <t>EMI.ktCO2.BG.ES.Ser.Solar</t>
  </si>
  <si>
    <t>EMI.ktCO2.BG.ES.Ser.Geo</t>
  </si>
  <si>
    <t>EMI.ktCO2.BG.ES.Ser.Ambient</t>
  </si>
  <si>
    <t>EMI.ktCO2.BG.ES.Ser.Steam_Distr</t>
  </si>
  <si>
    <t>EMI.ktCO2.BG.ES.Ser.Elec</t>
  </si>
  <si>
    <t>EMI.ktCO2.BG.Ser</t>
  </si>
  <si>
    <t>EMI.ktCO2.BG.Ser.Bld.Thermal</t>
  </si>
  <si>
    <t>EMI.ktCO2.BG.Ser.Bld.Thermal.SH</t>
  </si>
  <si>
    <t>EMI.ktCO2.BG.Ser.Bld.Thermal.SC</t>
  </si>
  <si>
    <t>EMI.ktCO2.BG.Ser.Bld.Thermal.HW</t>
  </si>
  <si>
    <t>EMI.ktCO2.BG.Ser.Bld.Thermal.CA</t>
  </si>
  <si>
    <t>EMI.ktCO2.BG.Ser.SEU</t>
  </si>
  <si>
    <t>Eff.ratio.BG.Ser.Bld.Thermal</t>
  </si>
  <si>
    <t>Eff.ratio.BG.Ser.Bld.Thermal.SH</t>
  </si>
  <si>
    <t>Eff.ratio.BG.Ser.Bld.Thermal.SC</t>
  </si>
  <si>
    <t>Eff.ratio.BG.Ser.Bld.Thermal.HW</t>
  </si>
  <si>
    <t>Eff.ratio.BG.Ser.Bld.Thermal.CA</t>
  </si>
  <si>
    <t>BG - Number of buildings</t>
  </si>
  <si>
    <t>NUM.number.BG.Ser.Bld.Thermal</t>
  </si>
  <si>
    <t>NUM.number.BG.Ser.Bld.Thermal.SH</t>
  </si>
  <si>
    <t>NUM.number.BG.Ser.Bld.Thermal.SH.Solids</t>
  </si>
  <si>
    <t>NUM.number.BG.Ser.Bld.Thermal.SH.LPG</t>
  </si>
  <si>
    <t>NUM.number.BG.Ser.Bld.Thermal.SH.Oil</t>
  </si>
  <si>
    <t>NUM.number.BG.Ser.Bld.Thermal.SH.GasHP</t>
  </si>
  <si>
    <t>NUM.number.BG.Ser.Bld.Thermal.SH.GasTH</t>
  </si>
  <si>
    <t>NUM.number.BG.Ser.Bld.Thermal.SH.Biomass</t>
  </si>
  <si>
    <t>NUM.number.BG.Ser.Bld.Thermal.SH.Geo</t>
  </si>
  <si>
    <t>NUM.number.BG.Ser.Bld.Thermal.SH.DistrHeat</t>
  </si>
  <si>
    <t>NUM.number.BG.Ser.Bld.Thermal.SH.AdvElc</t>
  </si>
  <si>
    <t>NUM.number.BG.Ser.Bld.Thermal.SH.ConvElc</t>
  </si>
  <si>
    <t>NUM.number.BG.Ser.Bld.Thermal.SC</t>
  </si>
  <si>
    <t>NUM.number.BG.Ser.Bld.Thermal.SC.GasHP</t>
  </si>
  <si>
    <t>NUM.number.BG.Ser.Bld.Thermal.SC.AC</t>
  </si>
  <si>
    <t>NUM.number.BG.Ser.Bld.Thermal.HW</t>
  </si>
  <si>
    <t>NUM.number.BG.Ser.Bld.Thermal.HW.Solids</t>
  </si>
  <si>
    <t>NUM.number.BG.Ser.Bld.Thermal.HW.LPG</t>
  </si>
  <si>
    <t>NUM.number.BG.Ser.Bld.Thermal.HW.Oil</t>
  </si>
  <si>
    <t>NUM.number.BG.Ser.Bld.Thermal.HW.Gas</t>
  </si>
  <si>
    <t>NUM.number.BG.Ser.Bld.Thermal.HW.Biomass</t>
  </si>
  <si>
    <t>NUM.number.BG.Ser.Bld.Thermal.HW.DistrHeat</t>
  </si>
  <si>
    <t>NUM.number.BG.Ser.Bld.Thermal.HW.Elc</t>
  </si>
  <si>
    <t>NUM.number.BG.Ser.Bld.Thermal.HW.Solar</t>
  </si>
  <si>
    <t>NUM.number.BG.Ser.Bld.Thermal.CA</t>
  </si>
  <si>
    <t>NUM.number.BG.Ser.Bld.Thermal.CA.LPG</t>
  </si>
  <si>
    <t>NUM.number.BG.Ser.Bld.Thermal.CA.Gas</t>
  </si>
  <si>
    <t>NUM.number.BG.Ser.Bld.Thermal.CA.Biomass</t>
  </si>
  <si>
    <t>NUM.number.BG.Ser.Bld.Thermal.CA.Elc</t>
  </si>
  <si>
    <t>BG - Final energy consumption</t>
  </si>
  <si>
    <t>FEC.ktoe.BG.Ser.Bld.Thermal.SH.Solids.Solids</t>
  </si>
  <si>
    <t>FEC.ktoe.BG.Ser.Bld.Thermal.SH.LPG.LPG</t>
  </si>
  <si>
    <t>FEC.ktoe.BG.Ser.Bld.Thermal.SH.Oil.Oil_LiqBio</t>
  </si>
  <si>
    <t>FEC.ktoe.BG.Ser.Bld.Thermal.SH.GasHP.NG_Biogas</t>
  </si>
  <si>
    <t>FEC.ktoe.BG.Ser.Bld.Thermal.SH.GasTH.NG_Biogas</t>
  </si>
  <si>
    <t>FEC.ktoe.BG.Ser.Bld.Thermal.SH.Biomass.Biomass_Waste</t>
  </si>
  <si>
    <t>FEC.ktoe.BG.Ser.Bld.Thermal.SH.Geo.Geo</t>
  </si>
  <si>
    <t>FEC.ktoe.BG.Ser.Bld.Thermal.SH.DistrHeat.Steam_Distr</t>
  </si>
  <si>
    <t>FEC.ktoe.BG.Ser.Bld.Thermal.SH.AdvElc.Elec</t>
  </si>
  <si>
    <t>FEC.ktoe.BG.Ser.Bld.Thermal.SH.ConvElc.Elec</t>
  </si>
  <si>
    <t>FEC.ktoe.BG.Ser.Bld.Thermal.SH.TotalCirculation.Elec</t>
  </si>
  <si>
    <t>FEC.ktoe.BG.Ser.Bld.Thermal.SC.GasHP.NG_Biogas</t>
  </si>
  <si>
    <t>FEC.ktoe.BG.Ser.Bld.Thermal.SC.AC.Elec</t>
  </si>
  <si>
    <t>FEC.ktoe.BG.Ser.Bld.Thermal.HW.Solids.Solids</t>
  </si>
  <si>
    <t>FEC.ktoe.BG.Ser.Bld.Thermal.HW.LPG.LPG</t>
  </si>
  <si>
    <t>FEC.ktoe.BG.Ser.Bld.Thermal.HW.Oil.Oil_LiqBio</t>
  </si>
  <si>
    <t>FEC.ktoe.BG.Ser.Bld.Thermal.HW.Gas.NG_Biogas</t>
  </si>
  <si>
    <t>FEC.ktoe.BG.Ser.Bld.Thermal.HW.Biomass.Biomass_Waste</t>
  </si>
  <si>
    <t>FEC.ktoe.BG.Ser.Bld.Thermal.HW.DistrHeat.Steam_Distr</t>
  </si>
  <si>
    <t>FEC.ktoe.BG.Ser.Bld.Thermal.HW.Elc.Elec</t>
  </si>
  <si>
    <t>FEC.ktoe.BG.Ser.Bld.Thermal.HW.TotalSolar.Solar</t>
  </si>
  <si>
    <t>FEC.ktoe.BG.Ser.Bld.Thermal.CA.LPG</t>
  </si>
  <si>
    <t>FEC.ktoe.BG.Ser.Bld.Thermal.CA.Gas.NG_Biogas</t>
  </si>
  <si>
    <t>FEC.ktoe.BG.Ser.Bld.Thermal.CA.Biomass.Biomass_Waste</t>
  </si>
  <si>
    <t>FEC.ktoe.BG.Ser.Bld.Thermal.CA.Elc.Elec</t>
  </si>
  <si>
    <t>BG - Thermal energy service</t>
  </si>
  <si>
    <t>TES.ktoe.BG.Ser.Bld.Thermal</t>
  </si>
  <si>
    <t>TES.ktoe.BG.Ser.Bld.Thermal.SH</t>
  </si>
  <si>
    <t>TES.ktoe.BG.Ser.Bld.Thermal.SH.Solids.Solids</t>
  </si>
  <si>
    <t>TES.ktoe.BG.Ser.Bld.Thermal.SH.LPG.LPG</t>
  </si>
  <si>
    <t>TES.ktoe.BG.Ser.Bld.Thermal.SH.Oil.Oil_LiqBio</t>
  </si>
  <si>
    <t>TES.ktoe.BG.Ser.Bld.Thermal.SH.GasHP.NG_Biogas</t>
  </si>
  <si>
    <t>TES.ktoe.BG.Ser.Bld.Thermal.SH.GasTH.NG_Biogas</t>
  </si>
  <si>
    <t>TES.ktoe.BG.Ser.Bld.Thermal.SH.Biomass.Biomass_Waste</t>
  </si>
  <si>
    <t>TES.ktoe.BG.Ser.Bld.Thermal.SH.Geo.Geo</t>
  </si>
  <si>
    <t>TES.ktoe.BG.Ser.Bld.Thermal.SH.DistrHeat.Steam_Distr</t>
  </si>
  <si>
    <t>TES.ktoe.BG.Ser.Bld.Thermal.SH.AdvElc.Elec</t>
  </si>
  <si>
    <t>TES.ktoe.BG.Ser.Bld.Thermal.SH.ConvElc.Elec</t>
  </si>
  <si>
    <t>TES.ktoe.BG.Ser.Bld.Thermal.SH.TotalCirculation.Elec</t>
  </si>
  <si>
    <t>TES.ktoe.BG.Ser.Bld.Thermal.SC</t>
  </si>
  <si>
    <t>TES.ktoe.BG.Ser.Bld.Thermal.SC.GasHP.NG_Biogas</t>
  </si>
  <si>
    <t>TES.ktoe.BG.Ser.Bld.Thermal.SC.AC.Elec</t>
  </si>
  <si>
    <t>TES.ktoe.BG.Ser.Bld.Thermal.HW</t>
  </si>
  <si>
    <t>TES.ktoe.BG.Ser.Bld.Thermal.HW.Solids.Solids</t>
  </si>
  <si>
    <t>TES.ktoe.BG.Ser.Bld.Thermal.HW.LPG.LPG</t>
  </si>
  <si>
    <t>TES.ktoe.BG.Ser.Bld.Thermal.HW.Oil.Oil_LiqBio</t>
  </si>
  <si>
    <t>TES.ktoe.BG.Ser.Bld.Thermal.HW.Gas.NG_Biogas</t>
  </si>
  <si>
    <t>TES.ktoe.BG.Ser.Bld.Thermal.HW.Biomass.Biomass_Waste</t>
  </si>
  <si>
    <t>TES.ktoe.BG.Ser.Bld.Thermal.HW.DistrHeat.Steam_Distr</t>
  </si>
  <si>
    <t>TES.ktoe.BG.Ser.Bld.Thermal.HW.Elc.Elec</t>
  </si>
  <si>
    <t>TES.ktoe.BG.Ser.Bld.Thermal.HW.TotalSolar.Solar</t>
  </si>
  <si>
    <t>TES.ktoe.BG.Ser.Bld.Thermal.CA</t>
  </si>
  <si>
    <t>TES.ktoe.BG.Ser.Bld.Thermal.CA.LPG</t>
  </si>
  <si>
    <t>TES.ktoe.BG.Ser.Bld.Thermal.CA.Gas.NG_Biogas</t>
  </si>
  <si>
    <t>TES.ktoe.BG.Ser.Bld.Thermal.CA.Biomass.Biomass_Waste</t>
  </si>
  <si>
    <t>TES.ktoe.BG.Ser.Bld.Thermal.CA.Elc.Elec</t>
  </si>
  <si>
    <t>BG - System efficiency indicator of total stock</t>
  </si>
  <si>
    <t>Eff.ratio.BG.Ser.Bld.Thermal.SH.Solids.Solids</t>
  </si>
  <si>
    <t>Eff.ratio.BG.Ser.Bld.Thermal.SH.LPG.LPG</t>
  </si>
  <si>
    <t>Eff.ratio.BG.Ser.Bld.Thermal.SH.Oil.Oil_LiqBio</t>
  </si>
  <si>
    <t>Eff.ratio.BG.Ser.Bld.Thermal.SH.GasHP.NG_Biogas</t>
  </si>
  <si>
    <t>Eff.ratio.BG.Ser.Bld.Thermal.SH.GasTH.NG_Biogas</t>
  </si>
  <si>
    <t>Eff.ratio.BG.Ser.Bld.Thermal.SH.Biomass.Biomass_Waste</t>
  </si>
  <si>
    <t>Eff.ratio.BG.Ser.Bld.Thermal.SH.Geo.Geo</t>
  </si>
  <si>
    <t>Eff.ratio.BG.Ser.Bld.Thermal.SH.DistrHeat.Steam_Distr</t>
  </si>
  <si>
    <t>Eff.ratio.BG.Ser.Bld.Thermal.SH.AdvElc.Elec</t>
  </si>
  <si>
    <t>Eff.ratio.BG.Ser.Bld.Thermal.SH.ConvElc.Elec</t>
  </si>
  <si>
    <t>Eff.ratio.BG.Ser.Bld.Thermal.SH.TotalCirculation.Elec</t>
  </si>
  <si>
    <t>Eff.ratio.BG.Ser.Bld.Thermal.SC.GasHP.NG_Biogas</t>
  </si>
  <si>
    <t>Eff.ratio.BG.Ser.Bld.Thermal.SC.AC.Elec</t>
  </si>
  <si>
    <t>Eff.ratio.BG.Ser.Bld.Thermal.HW.Solids.Solids</t>
  </si>
  <si>
    <t>Eff.ratio.BG.Ser.Bld.Thermal.HW.LPG.LPG</t>
  </si>
  <si>
    <t>Eff.ratio.BG.Ser.Bld.Thermal.HW.Oil.Oil_LiqBio</t>
  </si>
  <si>
    <t>Eff.ratio.BG.Ser.Bld.Thermal.HW.Gas.NG_Biogas</t>
  </si>
  <si>
    <t>Eff.ratio.BG.Ser.Bld.Thermal.HW.Biomass.Biomass_Waste</t>
  </si>
  <si>
    <t>Eff.ratio.BG.Ser.Bld.Thermal.HW.DistrHeat.Steam_Distr</t>
  </si>
  <si>
    <t>Eff.ratio.BG.Ser.Bld.Thermal.HW.Elc.Elec</t>
  </si>
  <si>
    <t>Eff.ratio.BG.Ser.Bld.Thermal.HW.TotalSolar.Solar</t>
  </si>
  <si>
    <t>Eff.ratio.BG.Ser.Bld.Thermal.CA.LPG</t>
  </si>
  <si>
    <t>Eff.ratio.BG.Ser.Bld.Thermal.CA.Gas.NG_Biogas</t>
  </si>
  <si>
    <t>Eff.ratio.BG.Ser.Bld.Thermal.CA.Biomass.Biomass_Waste</t>
  </si>
  <si>
    <t>Eff.ratio.BG.Ser.Bld.Thermal.CA.Elc.Elec</t>
  </si>
  <si>
    <t>BG - CO2 emissions</t>
  </si>
  <si>
    <t>EMI.ktCO2.BG.Ser.Bld.Thermal.SH.Solids.Solids</t>
  </si>
  <si>
    <t>EMI.ktCO2.BG.Ser.Bld.Thermal.SH.LPG.LPG</t>
  </si>
  <si>
    <t>EMI.ktCO2.BG.Ser.Bld.Thermal.SH.Oil.Oil_LiqBio</t>
  </si>
  <si>
    <t>EMI.ktCO2.BG.Ser.Bld.Thermal.SH.GasHP.NG_Biogas</t>
  </si>
  <si>
    <t>EMI.ktCO2.BG.Ser.Bld.Thermal.SH.GasTH.NG_Biogas</t>
  </si>
  <si>
    <t>EMI.ktCO2.BG.Ser.Bld.Thermal.SH.Biomass.Biomass_Waste</t>
  </si>
  <si>
    <t>EMI.ktCO2.BG.Ser.Bld.Thermal.SH.Geo.Geo</t>
  </si>
  <si>
    <t>EMI.ktCO2.BG.Ser.Bld.Thermal.SH.DistrHeat.Steam_Distr</t>
  </si>
  <si>
    <t>EMI.ktCO2.BG.Ser.Bld.Thermal.SH.AdvElc.Elec</t>
  </si>
  <si>
    <t>EMI.ktCO2.BG.Ser.Bld.Thermal.SH.ConvElc.Elec</t>
  </si>
  <si>
    <t>EMI.ktCO2.BG.Ser.Bld.Thermal.SH.TotalCirculation.Elec</t>
  </si>
  <si>
    <t>EMI.ktCO2.BG.Ser.Bld.Thermal.SC.GasHP.NG_Biogas</t>
  </si>
  <si>
    <t>EMI.ktCO2.BG.Ser.Bld.Thermal.SC.AC.Elec</t>
  </si>
  <si>
    <t>EMI.ktCO2.BG.Ser.Bld.Thermal.HW.Solids.Solids</t>
  </si>
  <si>
    <t>EMI.ktCO2.BG.Ser.Bld.Thermal.HW.LPG.LPG</t>
  </si>
  <si>
    <t>EMI.ktCO2.BG.Ser.Bld.Thermal.HW.Oil.Oil_LiqBio</t>
  </si>
  <si>
    <t>EMI.ktCO2.BG.Ser.Bld.Thermal.HW.Gas.NG_Biogas</t>
  </si>
  <si>
    <t>EMI.ktCO2.BG.Ser.Bld.Thermal.HW.Biomass.Biomass_Waste</t>
  </si>
  <si>
    <t>EMI.ktCO2.BG.Ser.Bld.Thermal.HW.DistrHeat.Steam_Distr</t>
  </si>
  <si>
    <t>EMI.ktCO2.BG.Ser.Bld.Thermal.HW.Elc.Elec</t>
  </si>
  <si>
    <t>EMI.ktCO2.BG.Ser.Bld.Thermal.HW.TotalSolar.Solar</t>
  </si>
  <si>
    <t>EMI.ktCO2.BG.Ser.Bld.Thermal.CA.LPG</t>
  </si>
  <si>
    <t>EMI.ktCO2.BG.Ser.Bld.Thermal.CA.Gas.NG_Biogas</t>
  </si>
  <si>
    <t>EMI.ktCO2.BG.Ser.Bld.Thermal.CA.Biomass.Biomass_Waste</t>
  </si>
  <si>
    <t>EMI.ktCO2.BG.Ser.Bld.Thermal.CA.Elc.Elec</t>
  </si>
  <si>
    <t>BG - Final energy consumption per building</t>
  </si>
  <si>
    <t>FEC_per_building.kWh.BG.Ser.Bld.Thermal</t>
  </si>
  <si>
    <t>FEC_per_building.kWh.BG.Ser.Bld.Thermal.SH</t>
  </si>
  <si>
    <t>FEC_per_building.kWh.BG.Ser.Bld.Thermal.SH.Solids.Solids</t>
  </si>
  <si>
    <t>FEC_per_building.kWh.BG.Ser.Bld.Thermal.SH.LPG.LPG</t>
  </si>
  <si>
    <t>FEC_per_building.kWh.BG.Ser.Bld.Thermal.SH.Oil.Oil_LiqBio</t>
  </si>
  <si>
    <t>FEC_per_building.kWh.BG.Ser.Bld.Thermal.SH.GasHP.NG_Biogas</t>
  </si>
  <si>
    <t>FEC_per_building.kWh.BG.Ser.Bld.Thermal.SH.GasTH.NG_Biogas</t>
  </si>
  <si>
    <t>FEC_per_building.kWh.BG.Ser.Bld.Thermal.SH.Biomass.Biomass_Waste</t>
  </si>
  <si>
    <t>FEC_per_building.kWh.BG.Ser.Bld.Thermal.SH.Geo.Geo</t>
  </si>
  <si>
    <t>FEC_per_building.kWh.BG.Ser.Bld.Thermal.SH.DistrHeat.Steam_Distr</t>
  </si>
  <si>
    <t>FEC_per_building.kWh.BG.Ser.Bld.Thermal.SH.AdvElc.Elec</t>
  </si>
  <si>
    <t>FEC_per_building.kWh.BG.Ser.Bld.Thermal.SH.ConvElc.Elec</t>
  </si>
  <si>
    <t>FEC_per_building.kWh.BG.Ser.Bld.Thermal.SH.TotalCirculation.Elec</t>
  </si>
  <si>
    <t>FEC_per_building.kWh.BG.Ser.Bld.Thermal.SC</t>
  </si>
  <si>
    <t>FEC_per_building.kWh.BG.Ser.Bld.Thermal.SC.GasHP.NG_Biogas</t>
  </si>
  <si>
    <t>FEC_per_building.kWh.BG.Ser.Bld.Thermal.SC.AC.Elec</t>
  </si>
  <si>
    <t>FEC_per_building.kWh.BG.Ser.Bld.Thermal.HW</t>
  </si>
  <si>
    <t>FEC_per_building.kWh.BG.Ser.Bld.Thermal.HW.Solids.Solids</t>
  </si>
  <si>
    <t>FEC_per_building.kWh.BG.Ser.Bld.Thermal.HW.LPG.LPG</t>
  </si>
  <si>
    <t>FEC_per_building.kWh.BG.Ser.Bld.Thermal.HW.Oil.Oil_LiqBio</t>
  </si>
  <si>
    <t>FEC_per_building.kWh.BG.Ser.Bld.Thermal.HW.Gas.NG_Biogas</t>
  </si>
  <si>
    <t>FEC_per_building.kWh.BG.Ser.Bld.Thermal.HW.Biomass.Biomass_Waste</t>
  </si>
  <si>
    <t>FEC_per_building.kWh.BG.Ser.Bld.Thermal.HW.DistrHeat.Steam_Distr</t>
  </si>
  <si>
    <t>FEC_per_building.kWh.BG.Ser.Bld.Thermal.HW.Elc.Elec</t>
  </si>
  <si>
    <t>FEC_per_building.kWh.BG.Ser.Bld.Thermal.HW.TotalSolar.Solar</t>
  </si>
  <si>
    <t>FEC_per_building.kWh.BG.Ser.Bld.Thermal.CA</t>
  </si>
  <si>
    <t>FEC_per_building.kWh.BG.Ser.Bld.Thermal.CA.LPG</t>
  </si>
  <si>
    <t>FEC_per_building.kWh.BG.Ser.Bld.Thermal.CA.Gas.NG_Biogas</t>
  </si>
  <si>
    <t>FEC_per_building.kWh.BG.Ser.Bld.Thermal.CA.Biomass.Biomass_Waste</t>
  </si>
  <si>
    <t>FEC_per_building.kWh.BG.Ser.Bld.Thermal.CA.Elc.Elec</t>
  </si>
  <si>
    <t>BG - Thermal energy service per building</t>
  </si>
  <si>
    <t>TES_per_building.kWh.BG.Ser.Bld.Thermal</t>
  </si>
  <si>
    <t>TES_per_building.kWh.BG.Ser.Bld.Thermal.SH</t>
  </si>
  <si>
    <t>TES_per_building.kWh.BG.Ser.Bld.Thermal.SH.Solids.Solids</t>
  </si>
  <si>
    <t>TES_per_building.kWh.BG.Ser.Bld.Thermal.SH.LPG.LPG</t>
  </si>
  <si>
    <t>TES_per_building.kWh.BG.Ser.Bld.Thermal.SH.Oil.Oil_LiqBio</t>
  </si>
  <si>
    <t>TES_per_building.kWh.BG.Ser.Bld.Thermal.SH.GasHP.NG_Biogas</t>
  </si>
  <si>
    <t>TES_per_building.kWh.BG.Ser.Bld.Thermal.SH.GasTH.NG_Biogas</t>
  </si>
  <si>
    <t>TES_per_building.kWh.BG.Ser.Bld.Thermal.SH.Biomass.Biomass_Waste</t>
  </si>
  <si>
    <t>TES_per_building.kWh.BG.Ser.Bld.Thermal.SH.Geo.Geo</t>
  </si>
  <si>
    <t>TES_per_building.kWh.BG.Ser.Bld.Thermal.SH.DistrHeat.Steam_Distr</t>
  </si>
  <si>
    <t>TES_per_building.kWh.BG.Ser.Bld.Thermal.SH.AdvElc.Elec</t>
  </si>
  <si>
    <t>TES_per_building.kWh.BG.Ser.Bld.Thermal.SH.ConvElc.Elec</t>
  </si>
  <si>
    <t>TES_per_building.kWh.BG.Ser.Bld.Thermal.SH.TotalCirculation.Elec</t>
  </si>
  <si>
    <t>TES_per_building.kWh.BG.Ser.Bld.Thermal.SC</t>
  </si>
  <si>
    <t>TES_per_building.kWh.BG.Ser.Bld.Thermal.SC.GasHP.NG_Biogas</t>
  </si>
  <si>
    <t>TES_per_building.kWh.BG.Ser.Bld.Thermal.SC.AC.Elec</t>
  </si>
  <si>
    <t>TES_per_building.kWh.BG.Ser.Bld.Thermal.HW</t>
  </si>
  <si>
    <t>TES_per_building.kWh.BG.Ser.Bld.Thermal.HW.Solids.Solids</t>
  </si>
  <si>
    <t>TES_per_building.kWh.BG.Ser.Bld.Thermal.HW.LPG.LPG</t>
  </si>
  <si>
    <t>TES_per_building.kWh.BG.Ser.Bld.Thermal.HW.Oil.Oil_LiqBio</t>
  </si>
  <si>
    <t>TES_per_building.kWh.BG.Ser.Bld.Thermal.HW.Gas.NG_Biogas</t>
  </si>
  <si>
    <t>TES_per_building.kWh.BG.Ser.Bld.Thermal.HW.Biomass.Biomass_Waste</t>
  </si>
  <si>
    <t>TES_per_building.kWh.BG.Ser.Bld.Thermal.HW.DistrHeat.Steam_Distr</t>
  </si>
  <si>
    <t>TES_per_building.kWh.BG.Ser.Bld.Thermal.HW.Elc.Elec</t>
  </si>
  <si>
    <t>TES_per_building.kWh.BG.Ser.Bld.Thermal.HW.TotalSolar.Solar</t>
  </si>
  <si>
    <t>TES_per_building.kWh.BG.Ser.Bld.Thermal.CA</t>
  </si>
  <si>
    <t>TES_per_building.kWh.BG.Ser.Bld.Thermal.CA.LPG</t>
  </si>
  <si>
    <t>TES_per_building.kWh.BG.Ser.Bld.Thermal.CA.Gas.NG_Biogas</t>
  </si>
  <si>
    <t>TES_per_building.kWh.BG.Ser.Bld.Thermal.CA.Biomass.Biomass_Waste</t>
  </si>
  <si>
    <t>TES_per_building.kWh.BG.Ser.Bld.Thermal.CA.Elc.Elec</t>
  </si>
  <si>
    <t>BG - CO2 emissions per building</t>
  </si>
  <si>
    <t>EMI_per_building.kgCO2.BG.Ser.Bld.Thermal</t>
  </si>
  <si>
    <t>EMI_per_building.kgCO2.BG.Ser.Bld.Thermal.SH</t>
  </si>
  <si>
    <t>EMI_per_building.kgCO2.BG.Ser.Bld.Thermal.SH.Solids.Solids</t>
  </si>
  <si>
    <t>EMI_per_building.kgCO2.BG.Ser.Bld.Thermal.SH.LPG.LPG</t>
  </si>
  <si>
    <t>EMI_per_building.kgCO2.BG.Ser.Bld.Thermal.SH.Oil.Oil_LiqBio</t>
  </si>
  <si>
    <t>EMI_per_building.kgCO2.BG.Ser.Bld.Thermal.SH.GasHP.NG_Biogas</t>
  </si>
  <si>
    <t>EMI_per_building.kgCO2.BG.Ser.Bld.Thermal.SH.GasTH.NG_Biogas</t>
  </si>
  <si>
    <t>EMI_per_building.kgCO2.BG.Ser.Bld.Thermal.SH.Biomass.Biomass_Waste</t>
  </si>
  <si>
    <t>EMI_per_building.kgCO2.BG.Ser.Bld.Thermal.SH.Geo.Geo</t>
  </si>
  <si>
    <t>EMI_per_building.kgCO2.BG.Ser.Bld.Thermal.SH.DistrHeat.Steam_Distr</t>
  </si>
  <si>
    <t>EMI_per_building.kgCO2.BG.Ser.Bld.Thermal.SH.AdvElc.Elec</t>
  </si>
  <si>
    <t>EMI_per_building.kgCO2.BG.Ser.Bld.Thermal.SH.ConvElc.Elec</t>
  </si>
  <si>
    <t>EMI_per_building.kgCO2.BG.Ser.Bld.Thermal.SH.TotalCirculation.Elec</t>
  </si>
  <si>
    <t>EMI_per_building.kgCO2.BG.Ser.Bld.Thermal.SC</t>
  </si>
  <si>
    <t>EMI_per_building.kgCO2.BG.Ser.Bld.Thermal.SC.GasHP.NG_Biogas</t>
  </si>
  <si>
    <t>EMI_per_building.kgCO2.BG.Ser.Bld.Thermal.SC.AC.Elec</t>
  </si>
  <si>
    <t>EMI_per_building.kgCO2.BG.Ser.Bld.Thermal.HW</t>
  </si>
  <si>
    <t>EMI_per_building.kgCO2.BG.Ser.Bld.Thermal.HW.Solids.Solids</t>
  </si>
  <si>
    <t>EMI_per_building.kgCO2.BG.Ser.Bld.Thermal.HW.LPG.LPG</t>
  </si>
  <si>
    <t>EMI_per_building.kgCO2.BG.Ser.Bld.Thermal.HW.Oil.Oil_LiqBio</t>
  </si>
  <si>
    <t>EMI_per_building.kgCO2.BG.Ser.Bld.Thermal.HW.Gas.NG_Biogas</t>
  </si>
  <si>
    <t>EMI_per_building.kgCO2.BG.Ser.Bld.Thermal.HW.Biomass.Biomass_Waste</t>
  </si>
  <si>
    <t>EMI_per_building.kgCO2.BG.Ser.Bld.Thermal.HW.DistrHeat.Steam_Distr</t>
  </si>
  <si>
    <t>EMI_per_building.kgCO2.BG.Ser.Bld.Thermal.HW.Elc.Elec</t>
  </si>
  <si>
    <t>EMI_per_building.kgCO2.BG.Ser.Bld.Thermal.HW.TotalSolar.Solar</t>
  </si>
  <si>
    <t>EMI_per_building.kgCO2.BG.Ser.Bld.Thermal.CA</t>
  </si>
  <si>
    <t>EMI_per_building.kgCO2.BG.Ser.Bld.Thermal.CA.LPG</t>
  </si>
  <si>
    <t>EMI_per_building.kgCO2.BG.Ser.Bld.Thermal.CA.Gas.NG_Biogas</t>
  </si>
  <si>
    <t>EMI_per_building.kgCO2.BG.Ser.Bld.Thermal.CA.Biomass.Biomass_Waste</t>
  </si>
  <si>
    <t>EMI_per_building.kgCO2.BG.Ser.Bld.Thermal.CA.Elc.Elec</t>
  </si>
  <si>
    <t>BG - Final energy consumption per useful surface area</t>
  </si>
  <si>
    <t>FEC_per_sqm.kWh.BG.Ser.Bld.Thermal</t>
  </si>
  <si>
    <t>FEC_per_sqm.kWh.BG.Ser.Bld.Thermal.SH</t>
  </si>
  <si>
    <t>FEC_per_sqm.kWh.BG.Ser.Bld.Thermal.SH.Solids.Solids</t>
  </si>
  <si>
    <t>FEC_per_sqm.kWh.BG.Ser.Bld.Thermal.SH.LPG.LPG</t>
  </si>
  <si>
    <t>FEC_per_sqm.kWh.BG.Ser.Bld.Thermal.SH.Oil.Oil_LiqBio</t>
  </si>
  <si>
    <t>FEC_per_sqm.kWh.BG.Ser.Bld.Thermal.SH.GasHP.NG_Biogas</t>
  </si>
  <si>
    <t>FEC_per_sqm.kWh.BG.Ser.Bld.Thermal.SH.GasTH.NG_Biogas</t>
  </si>
  <si>
    <t>FEC_per_sqm.kWh.BG.Ser.Bld.Thermal.SH.Biomass.Biomass_Waste</t>
  </si>
  <si>
    <t>FEC_per_sqm.kWh.BG.Ser.Bld.Thermal.SH.Geo.Geo</t>
  </si>
  <si>
    <t>FEC_per_sqm.kWh.BG.Ser.Bld.Thermal.SH.DistrHeat.Steam_Distr</t>
  </si>
  <si>
    <t>FEC_per_sqm.kWh.BG.Ser.Bld.Thermal.SH.AdvElc.Elec</t>
  </si>
  <si>
    <t>FEC_per_sqm.kWh.BG.Ser.Bld.Thermal.SH.ConvElc.Elec</t>
  </si>
  <si>
    <t>FEC_per_sqm.kWh.BG.Ser.Bld.Thermal.SH.TotalCirculation.Elec</t>
  </si>
  <si>
    <t>FEC_per_sqm.kWh.BG.Ser.Bld.Thermal.SC</t>
  </si>
  <si>
    <t>FEC_per_sqm.kWh.BG.Ser.Bld.Thermal.SC.GasHP.NG_Biogas</t>
  </si>
  <si>
    <t>FEC_per_sqm.kWh.BG.Ser.Bld.Thermal.SC.AC.Elec</t>
  </si>
  <si>
    <t>FEC_per_sqm.kWh.BG.Ser.Bld.Thermal.HW</t>
  </si>
  <si>
    <t>FEC_per_sqm.kWh.BG.Ser.Bld.Thermal.HW.Solids.Solids</t>
  </si>
  <si>
    <t>FEC_per_sqm.kWh.BG.Ser.Bld.Thermal.HW.LPG.LPG</t>
  </si>
  <si>
    <t>FEC_per_sqm.kWh.BG.Ser.Bld.Thermal.HW.Oil.Oil_LiqBio</t>
  </si>
  <si>
    <t>FEC_per_sqm.kWh.BG.Ser.Bld.Thermal.HW.Gas.NG_Biogas</t>
  </si>
  <si>
    <t>FEC_per_sqm.kWh.BG.Ser.Bld.Thermal.HW.Biomass.Biomass_Waste</t>
  </si>
  <si>
    <t>FEC_per_sqm.kWh.BG.Ser.Bld.Thermal.HW.DistrHeat.Steam_Distr</t>
  </si>
  <si>
    <t>FEC_per_sqm.kWh.BG.Ser.Bld.Thermal.HW.Elc.Elec</t>
  </si>
  <si>
    <t>FEC_per_sqm.kWh.BG.Ser.Bld.Thermal.HW.TotalSolar.Solar</t>
  </si>
  <si>
    <t>FEC_per_sqm.kWh.BG.Ser.Bld.Thermal.CA</t>
  </si>
  <si>
    <t>FEC_per_sqm.kWh.BG.Ser.Bld.Thermal.CA.LPG</t>
  </si>
  <si>
    <t>FEC_per_sqm.kWh.BG.Ser.Bld.Thermal.CA.Gas.NG_Biogas</t>
  </si>
  <si>
    <t>FEC_per_sqm.kWh.BG.Ser.Bld.Thermal.CA.Biomass.Biomass_Waste</t>
  </si>
  <si>
    <t>FEC_per_sqm.kWh.BG.Ser.Bld.Thermal.CA.Elc.Elec</t>
  </si>
  <si>
    <t>BG - Thermal energy service per useful surface area</t>
  </si>
  <si>
    <t>TES_per_sqm.kWh.BG.Ser.Bld.Thermal</t>
  </si>
  <si>
    <t>TES_per_sqm.kWh.BG.Ser.Bld.Thermal.SH</t>
  </si>
  <si>
    <t>TES_per_sqm.kWh.BG.Ser.Bld.Thermal.SH.Solids.Solids</t>
  </si>
  <si>
    <t>TES_per_sqm.kWh.BG.Ser.Bld.Thermal.SH.LPG.LPG</t>
  </si>
  <si>
    <t>TES_per_sqm.kWh.BG.Ser.Bld.Thermal.SH.Oil.Oil_LiqBio</t>
  </si>
  <si>
    <t>TES_per_sqm.kWh.BG.Ser.Bld.Thermal.SH.GasHP.NG_Biogas</t>
  </si>
  <si>
    <t>TES_per_sqm.kWh.BG.Ser.Bld.Thermal.SH.GasTH.NG_Biogas</t>
  </si>
  <si>
    <t>TES_per_sqm.kWh.BG.Ser.Bld.Thermal.SH.Biomass.Biomass_Waste</t>
  </si>
  <si>
    <t>TES_per_sqm.kWh.BG.Ser.Bld.Thermal.SH.Geo.Geo</t>
  </si>
  <si>
    <t>TES_per_sqm.kWh.BG.Ser.Bld.Thermal.SH.DistrHeat.Steam_Distr</t>
  </si>
  <si>
    <t>TES_per_sqm.kWh.BG.Ser.Bld.Thermal.SH.AdvElc.Elec</t>
  </si>
  <si>
    <t>TES_per_sqm.kWh.BG.Ser.Bld.Thermal.SH.ConvElc.Elec</t>
  </si>
  <si>
    <t>TES_per_sqm.kWh.BG.Ser.Bld.Thermal.SH.TotalCirculation.Elec</t>
  </si>
  <si>
    <t>TES_per_sqm.kWh.BG.Ser.Bld.Thermal.SC</t>
  </si>
  <si>
    <t>TES_per_sqm.kWh.BG.Ser.Bld.Thermal.SC.GasHP.NG_Biogas</t>
  </si>
  <si>
    <t>TES_per_sqm.kWh.BG.Ser.Bld.Thermal.SC.AC.Elec</t>
  </si>
  <si>
    <t>TES_per_sqm.kWh.BG.Ser.Bld.Thermal.HW</t>
  </si>
  <si>
    <t>TES_per_sqm.kWh.BG.Ser.Bld.Thermal.HW.Solids.Solids</t>
  </si>
  <si>
    <t>TES_per_sqm.kWh.BG.Ser.Bld.Thermal.HW.LPG.LPG</t>
  </si>
  <si>
    <t>TES_per_sqm.kWh.BG.Ser.Bld.Thermal.HW.Oil.Oil_LiqBio</t>
  </si>
  <si>
    <t>TES_per_sqm.kWh.BG.Ser.Bld.Thermal.HW.Gas.NG_Biogas</t>
  </si>
  <si>
    <t>TES_per_sqm.kWh.BG.Ser.Bld.Thermal.HW.Biomass.Biomass_Waste</t>
  </si>
  <si>
    <t>TES_per_sqm.kWh.BG.Ser.Bld.Thermal.HW.DistrHeat.Steam_Distr</t>
  </si>
  <si>
    <t>TES_per_sqm.kWh.BG.Ser.Bld.Thermal.HW.Elc.Elec</t>
  </si>
  <si>
    <t>TES_per_sqm.kWh.BG.Ser.Bld.Thermal.HW.TotalSolar.Solar</t>
  </si>
  <si>
    <t>TES_per_sqm.kWh.BG.Ser.Bld.Thermal.CA</t>
  </si>
  <si>
    <t>TES_per_sqm.kWh.BG.Ser.Bld.Thermal.CA.LPG</t>
  </si>
  <si>
    <t>TES_per_sqm.kWh.BG.Ser.Bld.Thermal.CA.Gas.NG_Biogas</t>
  </si>
  <si>
    <t>TES_per_sqm.kWh.BG.Ser.Bld.Thermal.CA.Biomass.Biomass_Waste</t>
  </si>
  <si>
    <t>TES_per_sqm.kWh.BG.Ser.Bld.Thermal.CA.Elc.Elec</t>
  </si>
  <si>
    <t>BG - CO2 emissions per useful surface area</t>
  </si>
  <si>
    <t>EMI_per_sqm.kgCO2.BG.Ser.Bld.Thermal</t>
  </si>
  <si>
    <t>EMI_per_sqm.kgCO2.BG.Ser.Bld.Thermal.SH</t>
  </si>
  <si>
    <t>EMI_per_sqm.kgCO2.BG.Ser.Bld.Thermal.SH.Solids.Solids</t>
  </si>
  <si>
    <t>EMI_per_sqm.kgCO2.BG.Ser.Bld.Thermal.SH.LPG.LPG</t>
  </si>
  <si>
    <t>EMI_per_sqm.kgCO2.BG.Ser.Bld.Thermal.SH.Oil.Oil_LiqBio</t>
  </si>
  <si>
    <t>EMI_per_sqm.kgCO2.BG.Ser.Bld.Thermal.SH.GasHP.NG_Biogas</t>
  </si>
  <si>
    <t>EMI_per_sqm.kgCO2.BG.Ser.Bld.Thermal.SH.GasTH.NG_Biogas</t>
  </si>
  <si>
    <t>EMI_per_sqm.kgCO2.BG.Ser.Bld.Thermal.SH.Biomass.Biomass_Waste</t>
  </si>
  <si>
    <t>EMI_per_sqm.kgCO2.BG.Ser.Bld.Thermal.SH.Geo.Geo</t>
  </si>
  <si>
    <t>EMI_per_sqm.kgCO2.BG.Ser.Bld.Thermal.SH.DistrHeat.Steam_Distr</t>
  </si>
  <si>
    <t>EMI_per_sqm.kgCO2.BG.Ser.Bld.Thermal.SH.AdvElc.Elec</t>
  </si>
  <si>
    <t>EMI_per_sqm.kgCO2.BG.Ser.Bld.Thermal.SH.ConvElc.Elec</t>
  </si>
  <si>
    <t>EMI_per_sqm.kgCO2.BG.Ser.Bld.Thermal.SH.TotalCirculation.Elec</t>
  </si>
  <si>
    <t>EMI_per_sqm.kgCO2.BG.Ser.Bld.Thermal.SC</t>
  </si>
  <si>
    <t>EMI_per_sqm.kgCO2.BG.Ser.Bld.Thermal.SC.GasHP.NG_Biogas</t>
  </si>
  <si>
    <t>EMI_per_sqm.kgCO2.BG.Ser.Bld.Thermal.SC.AC.Elec</t>
  </si>
  <si>
    <t>EMI_per_sqm.kgCO2.BG.Ser.Bld.Thermal.HW</t>
  </si>
  <si>
    <t>EMI_per_sqm.kgCO2.BG.Ser.Bld.Thermal.HW.Solids.Solids</t>
  </si>
  <si>
    <t>EMI_per_sqm.kgCO2.BG.Ser.Bld.Thermal.HW.LPG.LPG</t>
  </si>
  <si>
    <t>EMI_per_sqm.kgCO2.BG.Ser.Bld.Thermal.HW.Oil.Oil_LiqBio</t>
  </si>
  <si>
    <t>EMI_per_sqm.kgCO2.BG.Ser.Bld.Thermal.HW.Gas.NG_Biogas</t>
  </si>
  <si>
    <t>EMI_per_sqm.kgCO2.BG.Ser.Bld.Thermal.HW.Biomass.Biomass_Waste</t>
  </si>
  <si>
    <t>EMI_per_sqm.kgCO2.BG.Ser.Bld.Thermal.HW.DistrHeat.Steam_Distr</t>
  </si>
  <si>
    <t>EMI_per_sqm.kgCO2.BG.Ser.Bld.Thermal.HW.Elc.Elec</t>
  </si>
  <si>
    <t>EMI_per_sqm.kgCO2.BG.Ser.Bld.Thermal.HW.TotalSolar.Solar</t>
  </si>
  <si>
    <t>EMI_per_sqm.kgCO2.BG.Ser.Bld.Thermal.CA</t>
  </si>
  <si>
    <t>EMI_per_sqm.kgCO2.BG.Ser.Bld.Thermal.CA.LPG</t>
  </si>
  <si>
    <t>EMI_per_sqm.kgCO2.BG.Ser.Bld.Thermal.CA.Gas.NG_Biogas</t>
  </si>
  <si>
    <t>EMI_per_sqm.kgCO2.BG.Ser.Bld.Thermal.CA.Biomass.Biomass_Waste</t>
  </si>
  <si>
    <t>EMI_per_sqm.kgCO2.BG.Ser.Bld.Thermal.CA.Elc.Elec</t>
  </si>
  <si>
    <t>BG - Number of new and renovated buildings</t>
  </si>
  <si>
    <t>NUM.number.BG.Ser.BldNew.Thermal</t>
  </si>
  <si>
    <t>NUM.number.BG.Ser.BldNew.Thermal.SH</t>
  </si>
  <si>
    <t>NUM.number.BG.Ser.BldNew.Thermal.SH.Solids</t>
  </si>
  <si>
    <t>NUM.number.BG.Ser.BldNew.Thermal.SH.LPG</t>
  </si>
  <si>
    <t>NUM.number.BG.Ser.BldNew.Thermal.SH.Oil</t>
  </si>
  <si>
    <t>NUM.number.BG.Ser.BldNew.Thermal.SH.GasHP</t>
  </si>
  <si>
    <t>NUM.number.BG.Ser.BldNew.Thermal.SH.GasTH</t>
  </si>
  <si>
    <t>NUM.number.BG.Ser.BldNew.Thermal.SH.Biomass</t>
  </si>
  <si>
    <t>NUM.number.BG.Ser.BldNew.Thermal.SH.Geo</t>
  </si>
  <si>
    <t>NUM.number.BG.Ser.BldNew.Thermal.SH.DistrHeat</t>
  </si>
  <si>
    <t>NUM.number.BG.Ser.BldNew.Thermal.SH.AdvElc</t>
  </si>
  <si>
    <t>NUM.number.BG.Ser.BldNew.Thermal.SH.ConvElc</t>
  </si>
  <si>
    <t>NUM.number.BG.Ser.BldNew.Thermal.SC</t>
  </si>
  <si>
    <t>NUM.number.BG.Ser.BldNew.Thermal.SC.GasHP</t>
  </si>
  <si>
    <t>NUM.number.BG.Ser.BldNew.Thermal.SC.AC</t>
  </si>
  <si>
    <t>NUM.number.BG.Ser.BldNew.Thermal.HW</t>
  </si>
  <si>
    <t>NUM.number.BG.Ser.BldNew.Thermal.HW.Solids</t>
  </si>
  <si>
    <t>NUM.number.BG.Ser.BldNew.Thermal.HW.LPG</t>
  </si>
  <si>
    <t>NUM.number.BG.Ser.BldNew.Thermal.HW.Oil</t>
  </si>
  <si>
    <t>NUM.number.BG.Ser.BldNew.Thermal.HW.Gas</t>
  </si>
  <si>
    <t>NUM.number.BG.Ser.BldNew.Thermal.HW.Biomass</t>
  </si>
  <si>
    <t>NUM.number.BG.Ser.BldNew.Thermal.HW.DistrHeat</t>
  </si>
  <si>
    <t>NUM.number.BG.Ser.BldNew.Thermal.HW.Elc</t>
  </si>
  <si>
    <t>NUM.number.BG.Ser.BldNew.Thermal.HW.Solar</t>
  </si>
  <si>
    <t>NUM.number.BG.Ser.BldNew.Thermal.CA</t>
  </si>
  <si>
    <t>NUM.number.BG.Ser.BldNew.Thermal.CA.LPG</t>
  </si>
  <si>
    <t>NUM.number.BG.Ser.BldNew.Thermal.CA.Gas</t>
  </si>
  <si>
    <t>NUM.number.BG.Ser.BldNew.Thermal.CA.Biomass</t>
  </si>
  <si>
    <t>NUM.number.BG.Ser.BldNew.Thermal.CA.Elc</t>
  </si>
  <si>
    <t>BG - Final energy consumption in new and renovated buildings</t>
  </si>
  <si>
    <t>FEC.ktoe.BG.Ser.BldNew.Thermal</t>
  </si>
  <si>
    <t>FEC.ktoe.BG.Ser.BldNew.Thermal.SH</t>
  </si>
  <si>
    <t>FEC.ktoe.BG.Ser.BldNew.Thermal.SH.Solids.Solids</t>
  </si>
  <si>
    <t>FEC.ktoe.BG.Ser.BldNew.Thermal.SH.LPG.LPG</t>
  </si>
  <si>
    <t>FEC.ktoe.BG.Ser.BldNew.Thermal.SH.Oil.Oil_LiqBio</t>
  </si>
  <si>
    <t>FEC.ktoe.BG.Ser.BldNew.Thermal.SH.GasHP.NG_Biogas</t>
  </si>
  <si>
    <t>FEC.ktoe.BG.Ser.BldNew.Thermal.SH.GasTH.NG_Biogas</t>
  </si>
  <si>
    <t>FEC.ktoe.BG.Ser.BldNew.Thermal.SH.Biomass.Biomass_Waste</t>
  </si>
  <si>
    <t>FEC.ktoe.BG.Ser.BldNew.Thermal.SH.Geo.Geo</t>
  </si>
  <si>
    <t>FEC.ktoe.BG.Ser.BldNew.Thermal.SH.DistrHeat.Steam_Distr</t>
  </si>
  <si>
    <t>FEC.ktoe.BG.Ser.BldNew.Thermal.SH.AdvElc.Elec</t>
  </si>
  <si>
    <t>FEC.ktoe.BG.Ser.BldNew.Thermal.SH.ConvElc.Elec</t>
  </si>
  <si>
    <t>FEC.ktoe.BG.Ser.BldNew.Thermal.SH.TotalCirculation.Elec</t>
  </si>
  <si>
    <t>FEC.ktoe.BG.Ser.BldNew.Thermal.SC</t>
  </si>
  <si>
    <t>FEC.ktoe.BG.Ser.BldNew.Thermal.SC.GasHP.NG_Biogas</t>
  </si>
  <si>
    <t>FEC.ktoe.BG.Ser.BldNew.Thermal.SC.AC.Elec</t>
  </si>
  <si>
    <t>FEC.ktoe.BG.Ser.BldNew.Thermal.HW</t>
  </si>
  <si>
    <t>FEC.ktoe.BG.Ser.BldNew.Thermal.HW.Solids.Solids</t>
  </si>
  <si>
    <t>FEC.ktoe.BG.Ser.BldNew.Thermal.HW.LPG.LPG</t>
  </si>
  <si>
    <t>FEC.ktoe.BG.Ser.BldNew.Thermal.HW.Oil.Oil_LiqBio</t>
  </si>
  <si>
    <t>FEC.ktoe.BG.Ser.BldNew.Thermal.HW.Gas.NG_Biogas</t>
  </si>
  <si>
    <t>FEC.ktoe.BG.Ser.BldNew.Thermal.HW.Biomass.Biomass_Waste</t>
  </si>
  <si>
    <t>FEC.ktoe.BG.Ser.BldNew.Thermal.HW.DistrHeat.Steam_Distr</t>
  </si>
  <si>
    <t>FEC.ktoe.BG.Ser.BldNew.Thermal.HW.Elc.Elec</t>
  </si>
  <si>
    <t>FEC.ktoe.BG.Ser.BldNew.Thermal.HW.TotalSolar.Solar</t>
  </si>
  <si>
    <t>FEC.ktoe.BG.Ser.BldNew.Thermal.CA</t>
  </si>
  <si>
    <t>FEC.ktoe.BG.Ser.BldNew.Thermal.CA.LPG</t>
  </si>
  <si>
    <t>FEC.ktoe.BG.Ser.BldNew.Thermal.CA.Gas.NG_Biogas</t>
  </si>
  <si>
    <t>FEC.ktoe.BG.Ser.BldNew.Thermal.CA.Biomass.Biomass_Waste</t>
  </si>
  <si>
    <t>FEC.ktoe.BG.Ser.BldNew.Thermal.CA.Elc.Elec</t>
  </si>
  <si>
    <t>BG - Thermal energy service in new and renovated buildings</t>
  </si>
  <si>
    <t>TES.ktoe.BG.Ser.BldNew.Thermal</t>
  </si>
  <si>
    <t>TES.ktoe.BG.Ser.BldNew.Thermal.SH</t>
  </si>
  <si>
    <t>TES.ktoe.BG.Ser.BldNew.Thermal.SH.Solids.Solids</t>
  </si>
  <si>
    <t>TES.ktoe.BG.Ser.BldNew.Thermal.SH.LPG.LPG</t>
  </si>
  <si>
    <t>TES.ktoe.BG.Ser.BldNew.Thermal.SH.Oil.Oil_LiqBio</t>
  </si>
  <si>
    <t>TES.ktoe.BG.Ser.BldNew.Thermal.SH.GasHP.NG_Biogas</t>
  </si>
  <si>
    <t>TES.ktoe.BG.Ser.BldNew.Thermal.SH.GasTH.NG_Biogas</t>
  </si>
  <si>
    <t>TES.ktoe.BG.Ser.BldNew.Thermal.SH.Biomass.Biomass_Waste</t>
  </si>
  <si>
    <t>TES.ktoe.BG.Ser.BldNew.Thermal.SH.Geo.Geo</t>
  </si>
  <si>
    <t>TES.ktoe.BG.Ser.BldNew.Thermal.SH.DistrHeat.Steam_Distr</t>
  </si>
  <si>
    <t>TES.ktoe.BG.Ser.BldNew.Thermal.SH.AdvElc.Elec</t>
  </si>
  <si>
    <t>TES.ktoe.BG.Ser.BldNew.Thermal.SH.ConvElc.Elec</t>
  </si>
  <si>
    <t>TES.ktoe.BG.Ser.BldNew.Thermal.SH.TotalCirculation.Elec</t>
  </si>
  <si>
    <t>TES.ktoe.BG.Ser.BldNew.Thermal.SC</t>
  </si>
  <si>
    <t>TES.ktoe.BG.Ser.BldNew.Thermal.SC.GasHP.NG_Biogas</t>
  </si>
  <si>
    <t>TES.ktoe.BG.Ser.BldNew.Thermal.SC.AC.Elec</t>
  </si>
  <si>
    <t>TES.ktoe.BG.Ser.BldNew.Thermal.HW</t>
  </si>
  <si>
    <t>TES.ktoe.BG.Ser.BldNew.Thermal.HW.Solids.Solids</t>
  </si>
  <si>
    <t>TES.ktoe.BG.Ser.BldNew.Thermal.HW.LPG.LPG</t>
  </si>
  <si>
    <t>TES.ktoe.BG.Ser.BldNew.Thermal.HW.Oil.Oil_LiqBio</t>
  </si>
  <si>
    <t>TES.ktoe.BG.Ser.BldNew.Thermal.HW.Gas.NG_Biogas</t>
  </si>
  <si>
    <t>TES.ktoe.BG.Ser.BldNew.Thermal.HW.Biomass.Biomass_Waste</t>
  </si>
  <si>
    <t>TES.ktoe.BG.Ser.BldNew.Thermal.HW.DistrHeat.Steam_Distr</t>
  </si>
  <si>
    <t>TES.ktoe.BG.Ser.BldNew.Thermal.HW.Elc.Elec</t>
  </si>
  <si>
    <t>TES.ktoe.BG.Ser.BldNew.Thermal.HW.TotalSolar.Solar</t>
  </si>
  <si>
    <t>TES.ktoe.BG.Ser.BldNew.Thermal.CA</t>
  </si>
  <si>
    <t>TES.ktoe.BG.Ser.BldNew.Thermal.CA.LPG</t>
  </si>
  <si>
    <t>TES.ktoe.BG.Ser.BldNew.Thermal.CA.Gas.NG_Biogas</t>
  </si>
  <si>
    <t>TES.ktoe.BG.Ser.BldNew.Thermal.CA.Biomass.Biomass_Waste</t>
  </si>
  <si>
    <t>TES.ktoe.BG.Ser.BldNew.Thermal.CA.Elc.Elec</t>
  </si>
  <si>
    <t>BG - System efficiency indicator of new and renovated buildings</t>
  </si>
  <si>
    <t>Eff.ratio.BG.Ser.BldNew.Thermal</t>
  </si>
  <si>
    <t>Eff.ratio.BG.Ser.BldNew.Thermal.SH</t>
  </si>
  <si>
    <t>Eff.ratio.BG.Ser.BldNew.Thermal.SH.Solids.Solids</t>
  </si>
  <si>
    <t>Eff.ratio.BG.Ser.BldNew.Thermal.SH.LPG.LPG</t>
  </si>
  <si>
    <t>Eff.ratio.BG.Ser.BldNew.Thermal.SH.Oil.Oil_LiqBio</t>
  </si>
  <si>
    <t>Eff.ratio.BG.Ser.BldNew.Thermal.SH.GasHP.NG_Biogas</t>
  </si>
  <si>
    <t>Eff.ratio.BG.Ser.BldNew.Thermal.SH.GasTH.NG_Biogas</t>
  </si>
  <si>
    <t>Eff.ratio.BG.Ser.BldNew.Thermal.SH.Biomass.Biomass_Waste</t>
  </si>
  <si>
    <t>Eff.ratio.BG.Ser.BldNew.Thermal.SH.Geo.Geo</t>
  </si>
  <si>
    <t>Eff.ratio.BG.Ser.BldNew.Thermal.SH.DistrHeat.Steam_Distr</t>
  </si>
  <si>
    <t>Eff.ratio.BG.Ser.BldNew.Thermal.SH.AdvElc.Elec</t>
  </si>
  <si>
    <t>Eff.ratio.BG.Ser.BldNew.Thermal.SH.ConvElc.Elec</t>
  </si>
  <si>
    <t>Eff.ratio.BG.Ser.BldNew.Thermal.SH.TotalCirculation.Elec</t>
  </si>
  <si>
    <t>Eff.ratio.BG.Ser.BldNew.Thermal.SC</t>
  </si>
  <si>
    <t>Eff.ratio.BG.Ser.BldNew.Thermal.SC.GasHP.NG_Biogas</t>
  </si>
  <si>
    <t>Eff.ratio.BG.Ser.BldNew.Thermal.SC.AC.Elec</t>
  </si>
  <si>
    <t>Eff.ratio.BG.Ser.BldNew.Thermal.HW</t>
  </si>
  <si>
    <t>Eff.ratio.BG.Ser.BldNew.Thermal.HW.Solids.Solids</t>
  </si>
  <si>
    <t>Eff.ratio.BG.Ser.BldNew.Thermal.HW.LPG.LPG</t>
  </si>
  <si>
    <t>Eff.ratio.BG.Ser.BldNew.Thermal.HW.Oil.Oil_LiqBio</t>
  </si>
  <si>
    <t>Eff.ratio.BG.Ser.BldNew.Thermal.HW.Gas.NG_Biogas</t>
  </si>
  <si>
    <t>Eff.ratio.BG.Ser.BldNew.Thermal.HW.Biomass.Biomass_Waste</t>
  </si>
  <si>
    <t>Eff.ratio.BG.Ser.BldNew.Thermal.HW.DistrHeat.Steam_Distr</t>
  </si>
  <si>
    <t>Eff.ratio.BG.Ser.BldNew.Thermal.HW.Elc.Elec</t>
  </si>
  <si>
    <t>Eff.ratio.BG.Ser.BldNew.Thermal.HW.TotalSolar.Solar</t>
  </si>
  <si>
    <t>Eff.ratio.BG.Ser.BldNew.Thermal.CA</t>
  </si>
  <si>
    <t>Eff.ratio.BG.Ser.BldNew.Thermal.CA.LPG</t>
  </si>
  <si>
    <t>Eff.ratio.BG.Ser.BldNew.Thermal.CA.Gas.NG_Biogas</t>
  </si>
  <si>
    <t>Eff.ratio.BG.Ser.BldNew.Thermal.CA.Biomass.Biomass_Waste</t>
  </si>
  <si>
    <t>Eff.ratio.BG.Ser.BldNew.Thermal.CA.Elc.Elec</t>
  </si>
  <si>
    <t>BG - CO2 emissions in new and renovated buildings</t>
  </si>
  <si>
    <t>EMI.ktCO2.BG.Ser.BldNew.Thermal</t>
  </si>
  <si>
    <t>EMI.ktCO2.BG.Ser.BldNew.Thermal.SH</t>
  </si>
  <si>
    <t>EMI.ktCO2.BG.Ser.BldNew.Thermal.SH.Solids.Solids</t>
  </si>
  <si>
    <t>EMI.ktCO2.BG.Ser.BldNew.Thermal.SH.LPG.LPG</t>
  </si>
  <si>
    <t>EMI.ktCO2.BG.Ser.BldNew.Thermal.SH.Oil.Oil_LiqBio</t>
  </si>
  <si>
    <t>EMI.ktCO2.BG.Ser.BldNew.Thermal.SH.GasHP.NG_Biogas</t>
  </si>
  <si>
    <t>EMI.ktCO2.BG.Ser.BldNew.Thermal.SH.GasTH.NG_Biogas</t>
  </si>
  <si>
    <t>EMI.ktCO2.BG.Ser.BldNew.Thermal.SH.Biomass.Biomass_Waste</t>
  </si>
  <si>
    <t>EMI.ktCO2.BG.Ser.BldNew.Thermal.SH.Geo.Geo</t>
  </si>
  <si>
    <t>EMI.ktCO2.BG.Ser.BldNew.Thermal.SH.DistrHeat.Steam_Distr</t>
  </si>
  <si>
    <t>EMI.ktCO2.BG.Ser.BldNew.Thermal.SH.AdvElc.Elec</t>
  </si>
  <si>
    <t>EMI.ktCO2.BG.Ser.BldNew.Thermal.SH.ConvElc.Elec</t>
  </si>
  <si>
    <t>EMI.ktCO2.BG.Ser.BldNew.Thermal.SH.TotalCirculation.Elec</t>
  </si>
  <si>
    <t>EMI.ktCO2.BG.Ser.BldNew.Thermal.SC</t>
  </si>
  <si>
    <t>EMI.ktCO2.BG.Ser.BldNew.Thermal.SC.GasHP.NG_Biogas</t>
  </si>
  <si>
    <t>EMI.ktCO2.BG.Ser.BldNew.Thermal.SC.AC.Elec</t>
  </si>
  <si>
    <t>EMI.ktCO2.BG.Ser.BldNew.Thermal.HW</t>
  </si>
  <si>
    <t>EMI.ktCO2.BG.Ser.BldNew.Thermal.HW.Solids.Solids</t>
  </si>
  <si>
    <t>EMI.ktCO2.BG.Ser.BldNew.Thermal.HW.LPG.LPG</t>
  </si>
  <si>
    <t>EMI.ktCO2.BG.Ser.BldNew.Thermal.HW.Oil.Oil_LiqBio</t>
  </si>
  <si>
    <t>EMI.ktCO2.BG.Ser.BldNew.Thermal.HW.Gas.NG_Biogas</t>
  </si>
  <si>
    <t>EMI.ktCO2.BG.Ser.BldNew.Thermal.HW.Biomass.Biomass_Waste</t>
  </si>
  <si>
    <t>EMI.ktCO2.BG.Ser.BldNew.Thermal.HW.DistrHeat.Steam_Distr</t>
  </si>
  <si>
    <t>EMI.ktCO2.BG.Ser.BldNew.Thermal.HW.Elc.Elec</t>
  </si>
  <si>
    <t>EMI.ktCO2.BG.Ser.BldNew.Thermal.HW.TotalSolar.Solar</t>
  </si>
  <si>
    <t>EMI.ktCO2.BG.Ser.BldNew.Thermal.CA</t>
  </si>
  <si>
    <t>EMI.ktCO2.BG.Ser.BldNew.Thermal.CA.LPG</t>
  </si>
  <si>
    <t>EMI.ktCO2.BG.Ser.BldNew.Thermal.CA.Gas.NG_Biogas</t>
  </si>
  <si>
    <t>EMI.ktCO2.BG.Ser.BldNew.Thermal.CA.Biomass.Biomass_Waste</t>
  </si>
  <si>
    <t>EMI.ktCO2.BG.Ser.BldNew.Thermal.CA.Elc.Elec</t>
  </si>
  <si>
    <t>BG - Final energy consumption of new and renovated buildings (per building)</t>
  </si>
  <si>
    <t>FEC_per_building.kWh.BG.Ser.BldNew.Thermal</t>
  </si>
  <si>
    <t>FEC_per_building.kWh.BG.Ser.BldNew.Thermal.SH</t>
  </si>
  <si>
    <t>FEC_per_building.kWh.BG.Ser.BldNew.Thermal.SH.Solids.Solids</t>
  </si>
  <si>
    <t>FEC_per_building.kWh.BG.Ser.BldNew.Thermal.SH.LPG.LPG</t>
  </si>
  <si>
    <t>FEC_per_building.kWh.BG.Ser.BldNew.Thermal.SH.Oil.Oil_LiqBio</t>
  </si>
  <si>
    <t>FEC_per_building.kWh.BG.Ser.BldNew.Thermal.SH.GasHP.NG_Biogas</t>
  </si>
  <si>
    <t>FEC_per_building.kWh.BG.Ser.BldNew.Thermal.SH.GasTH.NG_Biogas</t>
  </si>
  <si>
    <t>FEC_per_building.kWh.BG.Ser.BldNew.Thermal.SH.Biomass.Biomass_Waste</t>
  </si>
  <si>
    <t>FEC_per_building.kWh.BG.Ser.BldNew.Thermal.SH.Geo.Geo</t>
  </si>
  <si>
    <t>FEC_per_building.kWh.BG.Ser.BldNew.Thermal.SH.DistrHeat.Steam_Distr</t>
  </si>
  <si>
    <t>FEC_per_building.kWh.BG.Ser.BldNew.Thermal.SH.AdvElc.Elec</t>
  </si>
  <si>
    <t>FEC_per_building.kWh.BG.Ser.BldNew.Thermal.SH.ConvElc.Elec</t>
  </si>
  <si>
    <t>FEC_per_building.kWh.BG.Ser.BldNew.Thermal.SH.TotalCirculation.Elec</t>
  </si>
  <si>
    <t>FEC_per_building.kWh.BG.Ser.BldNew.Thermal.SC</t>
  </si>
  <si>
    <t>FEC_per_building.kWh.BG.Ser.BldNew.Thermal.SC.GasHP.NG_Biogas</t>
  </si>
  <si>
    <t>FEC_per_building.kWh.BG.Ser.BldNew.Thermal.SC.AC.Elec</t>
  </si>
  <si>
    <t>FEC_per_building.kWh.BG.Ser.BldNew.Thermal.HW</t>
  </si>
  <si>
    <t>FEC_per_building.kWh.BG.Ser.BldNew.Thermal.HW.Solids.Solids</t>
  </si>
  <si>
    <t>FEC_per_building.kWh.BG.Ser.BldNew.Thermal.HW.LPG.LPG</t>
  </si>
  <si>
    <t>FEC_per_building.kWh.BG.Ser.BldNew.Thermal.HW.Oil.Oil_LiqBio</t>
  </si>
  <si>
    <t>FEC_per_building.kWh.BG.Ser.BldNew.Thermal.HW.Gas.NG_Biogas</t>
  </si>
  <si>
    <t>FEC_per_building.kWh.BG.Ser.BldNew.Thermal.HW.Biomass.Biomass_Waste</t>
  </si>
  <si>
    <t>FEC_per_building.kWh.BG.Ser.BldNew.Thermal.HW.DistrHeat.Steam_Distr</t>
  </si>
  <si>
    <t>FEC_per_building.kWh.BG.Ser.BldNew.Thermal.HW.Elc.Elec</t>
  </si>
  <si>
    <t>FEC_per_building.kWh.BG.Ser.BldNew.Thermal.HW.TotalSolar.Solar</t>
  </si>
  <si>
    <t>FEC_per_building.kWh.BG.Ser.BldNew.Thermal.CA</t>
  </si>
  <si>
    <t>FEC_per_building.kWh.BG.Ser.BldNew.Thermal.CA.LPG</t>
  </si>
  <si>
    <t>FEC_per_building.kWh.BG.Ser.BldNew.Thermal.CA.Gas.NG_Biogas</t>
  </si>
  <si>
    <t>FEC_per_building.kWh.BG.Ser.BldNew.Thermal.CA.Biomass.Biomass_Waste</t>
  </si>
  <si>
    <t>FEC_per_building.kWh.BG.Ser.BldNew.Thermal.CA.Elc.Elec</t>
  </si>
  <si>
    <t>BG - Thermal energy service of new and renovated buildings (per building)</t>
  </si>
  <si>
    <t>TES_per_building.kWh.BG.Ser.BldNew.Thermal</t>
  </si>
  <si>
    <t>TES_per_building.kWh.BG.Ser.BldNew.Thermal.SH</t>
  </si>
  <si>
    <t>TES_per_building.kWh.BG.Ser.BldNew.Thermal.SH.Solids.Solids</t>
  </si>
  <si>
    <t>TES_per_building.kWh.BG.Ser.BldNew.Thermal.SH.LPG.LPG</t>
  </si>
  <si>
    <t>TES_per_building.kWh.BG.Ser.BldNew.Thermal.SH.Oil.Oil_LiqBio</t>
  </si>
  <si>
    <t>TES_per_building.kWh.BG.Ser.BldNew.Thermal.SH.GasHP.NG_Biogas</t>
  </si>
  <si>
    <t>TES_per_building.kWh.BG.Ser.BldNew.Thermal.SH.GasTH.NG_Biogas</t>
  </si>
  <si>
    <t>TES_per_building.kWh.BG.Ser.BldNew.Thermal.SH.Biomass.Biomass_Waste</t>
  </si>
  <si>
    <t>TES_per_building.kWh.BG.Ser.BldNew.Thermal.SH.Geo.Geo</t>
  </si>
  <si>
    <t>TES_per_building.kWh.BG.Ser.BldNew.Thermal.SH.DistrHeat.Steam_Distr</t>
  </si>
  <si>
    <t>TES_per_building.kWh.BG.Ser.BldNew.Thermal.SH.AdvElc.Elec</t>
  </si>
  <si>
    <t>TES_per_building.kWh.BG.Ser.BldNew.Thermal.SH.ConvElc.Elec</t>
  </si>
  <si>
    <t>TES_per_building.kWh.BG.Ser.BldNew.Thermal.SH.TotalCirculation.Elec</t>
  </si>
  <si>
    <t>TES_per_building.kWh.BG.Ser.BldNew.Thermal.SC</t>
  </si>
  <si>
    <t>TES_per_building.kWh.BG.Ser.BldNew.Thermal.SC.GasHP.NG_Biogas</t>
  </si>
  <si>
    <t>TES_per_building.kWh.BG.Ser.BldNew.Thermal.SC.AC.Elec</t>
  </si>
  <si>
    <t>TES_per_building.kWh.BG.Ser.BldNew.Thermal.HW</t>
  </si>
  <si>
    <t>TES_per_building.kWh.BG.Ser.BldNew.Thermal.HW.Solids.Solids</t>
  </si>
  <si>
    <t>TES_per_building.kWh.BG.Ser.BldNew.Thermal.HW.LPG.LPG</t>
  </si>
  <si>
    <t>TES_per_building.kWh.BG.Ser.BldNew.Thermal.HW.Oil.Oil_LiqBio</t>
  </si>
  <si>
    <t>TES_per_building.kWh.BG.Ser.BldNew.Thermal.HW.Gas.NG_Biogas</t>
  </si>
  <si>
    <t>TES_per_building.kWh.BG.Ser.BldNew.Thermal.HW.Biomass.Biomass_Waste</t>
  </si>
  <si>
    <t>TES_per_building.kWh.BG.Ser.BldNew.Thermal.HW.DistrHeat.Steam_Distr</t>
  </si>
  <si>
    <t>TES_per_building.kWh.BG.Ser.BldNew.Thermal.HW.Elc.Elec</t>
  </si>
  <si>
    <t>TES_per_building.kWh.BG.Ser.BldNew.Thermal.HW.TotalSolar.Solar</t>
  </si>
  <si>
    <t>TES_per_building.kWh.BG.Ser.BldNew.Thermal.CA</t>
  </si>
  <si>
    <t>TES_per_building.kWh.BG.Ser.BldNew.Thermal.CA.LPG</t>
  </si>
  <si>
    <t>TES_per_building.kWh.BG.Ser.BldNew.Thermal.CA.Gas.NG_Biogas</t>
  </si>
  <si>
    <t>TES_per_building.kWh.BG.Ser.BldNew.Thermal.CA.Biomass.Biomass_Waste</t>
  </si>
  <si>
    <t>TES_per_building.kWh.BG.Ser.BldNew.Thermal.CA.Elc.Elec</t>
  </si>
  <si>
    <t>BG - CO2 emissions in new and renovated buildings (per building)</t>
  </si>
  <si>
    <t>EMI_per_building.kgCO2.BG.Ser.BldNew.Thermal</t>
  </si>
  <si>
    <t>EMI_per_building.kgCO2.BG.Ser.BldNew.Thermal.SH</t>
  </si>
  <si>
    <t>EMI_per_building.kgCO2.BG.Ser.BldNew.Thermal.SH.Solids.Solids</t>
  </si>
  <si>
    <t>EMI_per_building.kgCO2.BG.Ser.BldNew.Thermal.SH.LPG.LPG</t>
  </si>
  <si>
    <t>EMI_per_building.kgCO2.BG.Ser.BldNew.Thermal.SH.Oil.Oil_LiqBio</t>
  </si>
  <si>
    <t>EMI_per_building.kgCO2.BG.Ser.BldNew.Thermal.SH.GasHP.NG_Biogas</t>
  </si>
  <si>
    <t>EMI_per_building.kgCO2.BG.Ser.BldNew.Thermal.SH.GasTH.NG_Biogas</t>
  </si>
  <si>
    <t>EMI_per_building.kgCO2.BG.Ser.BldNew.Thermal.SH.Biomass.Biomass_Waste</t>
  </si>
  <si>
    <t>EMI_per_building.kgCO2.BG.Ser.BldNew.Thermal.SH.Geo.Geo</t>
  </si>
  <si>
    <t>EMI_per_building.kgCO2.BG.Ser.BldNew.Thermal.SH.DistrHeat.Steam_Distr</t>
  </si>
  <si>
    <t>EMI_per_building.kgCO2.BG.Ser.BldNew.Thermal.SH.AdvElc.Elec</t>
  </si>
  <si>
    <t>EMI_per_building.kgCO2.BG.Ser.BldNew.Thermal.SH.ConvElc.Elec</t>
  </si>
  <si>
    <t>EMI_per_building.kgCO2.BG.Ser.BldNew.Thermal.SH.TotalCirculation.Elec</t>
  </si>
  <si>
    <t>EMI_per_building.kgCO2.BG.Ser.BldNew.Thermal.SC</t>
  </si>
  <si>
    <t>EMI_per_building.kgCO2.BG.Ser.BldNew.Thermal.SC.GasHP.NG_Biogas</t>
  </si>
  <si>
    <t>EMI_per_building.kgCO2.BG.Ser.BldNew.Thermal.SC.AC.Elec</t>
  </si>
  <si>
    <t>EMI_per_building.kgCO2.BG.Ser.BldNew.Thermal.HW</t>
  </si>
  <si>
    <t>EMI_per_building.kgCO2.BG.Ser.BldNew.Thermal.HW.Solids.Solids</t>
  </si>
  <si>
    <t>EMI_per_building.kgCO2.BG.Ser.BldNew.Thermal.HW.LPG.LPG</t>
  </si>
  <si>
    <t>EMI_per_building.kgCO2.BG.Ser.BldNew.Thermal.HW.Oil.Oil_LiqBio</t>
  </si>
  <si>
    <t>EMI_per_building.kgCO2.BG.Ser.BldNew.Thermal.HW.Gas.NG_Biogas</t>
  </si>
  <si>
    <t>EMI_per_building.kgCO2.BG.Ser.BldNew.Thermal.HW.Biomass.Biomass_Waste</t>
  </si>
  <si>
    <t>EMI_per_building.kgCO2.BG.Ser.BldNew.Thermal.HW.DistrHeat.Steam_Distr</t>
  </si>
  <si>
    <t>EMI_per_building.kgCO2.BG.Ser.BldNew.Thermal.HW.Elc.Elec</t>
  </si>
  <si>
    <t>EMI_per_building.kgCO2.BG.Ser.BldNew.Thermal.HW.TotalSolar.Solar</t>
  </si>
  <si>
    <t>EMI_per_building.kgCO2.BG.Ser.BldNew.Thermal.CA</t>
  </si>
  <si>
    <t>EMI_per_building.kgCO2.BG.Ser.BldNew.Thermal.CA.LPG</t>
  </si>
  <si>
    <t>EMI_per_building.kgCO2.BG.Ser.BldNew.Thermal.CA.Gas.NG_Biogas</t>
  </si>
  <si>
    <t>EMI_per_building.kgCO2.BG.Ser.BldNew.Thermal.CA.Biomass.Biomass_Waste</t>
  </si>
  <si>
    <t>EMI_per_building.kgCO2.BG.Ser.BldNew.Thermal.CA.Elc.Elec</t>
  </si>
  <si>
    <t>BG - Final energy consumption in new and renovated buildings per surface area</t>
  </si>
  <si>
    <t>FEC_per_sqm.kWh.BG.Ser.BldNew.Thermal</t>
  </si>
  <si>
    <t>FEC_per_sqm.kWh.BG.Ser.BldNew.Thermal.SH</t>
  </si>
  <si>
    <t>FEC_per_sqm.kWh.BG.Ser.BldNew.Thermal.SH.Solids.Solids</t>
  </si>
  <si>
    <t>FEC_per_sqm.kWh.BG.Ser.BldNew.Thermal.SH.LPG.LPG</t>
  </si>
  <si>
    <t>FEC_per_sqm.kWh.BG.Ser.BldNew.Thermal.SH.Oil.Oil_LiqBio</t>
  </si>
  <si>
    <t>FEC_per_sqm.kWh.BG.Ser.BldNew.Thermal.SH.GasHP.NG_Biogas</t>
  </si>
  <si>
    <t>FEC_per_sqm.kWh.BG.Ser.BldNew.Thermal.SH.GasTH.NG_Biogas</t>
  </si>
  <si>
    <t>FEC_per_sqm.kWh.BG.Ser.BldNew.Thermal.SH.Biomass.Biomass_Waste</t>
  </si>
  <si>
    <t>FEC_per_sqm.kWh.BG.Ser.BldNew.Thermal.SH.Geo.Geo</t>
  </si>
  <si>
    <t>FEC_per_sqm.kWh.BG.Ser.BldNew.Thermal.SH.DistrHeat.Steam_Distr</t>
  </si>
  <si>
    <t>FEC_per_sqm.kWh.BG.Ser.BldNew.Thermal.SH.AdvElc.Elec</t>
  </si>
  <si>
    <t>FEC_per_sqm.kWh.BG.Ser.BldNew.Thermal.SH.ConvElc.Elec</t>
  </si>
  <si>
    <t>FEC_per_sqm.kWh.BG.Ser.BldNew.Thermal.SH.TotalCirculation.Elec</t>
  </si>
  <si>
    <t>FEC_per_sqm.kWh.BG.Ser.BldNew.Thermal.SC</t>
  </si>
  <si>
    <t>FEC_per_sqm.kWh.BG.Ser.BldNew.Thermal.SC.GasHP.NG_Biogas</t>
  </si>
  <si>
    <t>FEC_per_sqm.kWh.BG.Ser.BldNew.Thermal.SC.AC.Elec</t>
  </si>
  <si>
    <t>FEC_per_sqm.kWh.BG.Ser.BldNew.Thermal.HW</t>
  </si>
  <si>
    <t>FEC_per_sqm.kWh.BG.Ser.BldNew.Thermal.HW.Solids.Solids</t>
  </si>
  <si>
    <t>FEC_per_sqm.kWh.BG.Ser.BldNew.Thermal.HW.LPG.LPG</t>
  </si>
  <si>
    <t>FEC_per_sqm.kWh.BG.Ser.BldNew.Thermal.HW.Oil.Oil_LiqBio</t>
  </si>
  <si>
    <t>FEC_per_sqm.kWh.BG.Ser.BldNew.Thermal.HW.Gas.NG_Biogas</t>
  </si>
  <si>
    <t>FEC_per_sqm.kWh.BG.Ser.BldNew.Thermal.HW.Biomass.Biomass_Waste</t>
  </si>
  <si>
    <t>FEC_per_sqm.kWh.BG.Ser.BldNew.Thermal.HW.DistrHeat.Steam_Distr</t>
  </si>
  <si>
    <t>FEC_per_sqm.kWh.BG.Ser.BldNew.Thermal.HW.Elc.Elec</t>
  </si>
  <si>
    <t>FEC_per_sqm.kWh.BG.Ser.BldNew.Thermal.HW.TotalSolar.Solar</t>
  </si>
  <si>
    <t>FEC_per_sqm.kWh.BG.Ser.BldNew.Thermal.CA</t>
  </si>
  <si>
    <t>FEC_per_sqm.kWh.BG.Ser.BldNew.Thermal.CA.LPG</t>
  </si>
  <si>
    <t>FEC_per_sqm.kWh.BG.Ser.BldNew.Thermal.CA.Gas.NG_Biogas</t>
  </si>
  <si>
    <t>FEC_per_sqm.kWh.BG.Ser.BldNew.Thermal.CA.Biomass.Biomass_Waste</t>
  </si>
  <si>
    <t>FEC_per_sqm.kWh.BG.Ser.BldNew.Thermal.CA.Elc.Elec</t>
  </si>
  <si>
    <t>BG - Thermal energy service in new and renovated buildings per surface area</t>
  </si>
  <si>
    <t>TES_per_sqm.kWh.BG.Ser.BldNew.Thermal</t>
  </si>
  <si>
    <t>TES_per_sqm.kWh.BG.Ser.BldNew.Thermal.SH</t>
  </si>
  <si>
    <t>TES_per_sqm.kWh.BG.Ser.BldNew.Thermal.SH.Solids.Solids</t>
  </si>
  <si>
    <t>TES_per_sqm.kWh.BG.Ser.BldNew.Thermal.SH.LPG.LPG</t>
  </si>
  <si>
    <t>TES_per_sqm.kWh.BG.Ser.BldNew.Thermal.SH.Oil.Oil_LiqBio</t>
  </si>
  <si>
    <t>TES_per_sqm.kWh.BG.Ser.BldNew.Thermal.SH.GasHP.NG_Biogas</t>
  </si>
  <si>
    <t>TES_per_sqm.kWh.BG.Ser.BldNew.Thermal.SH.GasTH.NG_Biogas</t>
  </si>
  <si>
    <t>TES_per_sqm.kWh.BG.Ser.BldNew.Thermal.SH.Biomass.Biomass_Waste</t>
  </si>
  <si>
    <t>TES_per_sqm.kWh.BG.Ser.BldNew.Thermal.SH.Geo.Geo</t>
  </si>
  <si>
    <t>TES_per_sqm.kWh.BG.Ser.BldNew.Thermal.SH.DistrHeat.Steam_Distr</t>
  </si>
  <si>
    <t>TES_per_sqm.kWh.BG.Ser.BldNew.Thermal.SH.AdvElc.Elec</t>
  </si>
  <si>
    <t>TES_per_sqm.kWh.BG.Ser.BldNew.Thermal.SH.ConvElc.Elec</t>
  </si>
  <si>
    <t>TES_per_sqm.kWh.BG.Ser.BldNew.Thermal.SH.TotalCirculation.Elec</t>
  </si>
  <si>
    <t>TES_per_sqm.kWh.BG.Ser.BldNew.Thermal.SC</t>
  </si>
  <si>
    <t>TES_per_sqm.kWh.BG.Ser.BldNew.Thermal.SC.GasHP.NG_Biogas</t>
  </si>
  <si>
    <t>TES_per_sqm.kWh.BG.Ser.BldNew.Thermal.SC.AC.Elec</t>
  </si>
  <si>
    <t>TES_per_sqm.kWh.BG.Ser.BldNew.Thermal.HW</t>
  </si>
  <si>
    <t>TES_per_sqm.kWh.BG.Ser.BldNew.Thermal.HW.Solids.Solids</t>
  </si>
  <si>
    <t>TES_per_sqm.kWh.BG.Ser.BldNew.Thermal.HW.LPG.LPG</t>
  </si>
  <si>
    <t>TES_per_sqm.kWh.BG.Ser.BldNew.Thermal.HW.Oil.Oil_LiqBio</t>
  </si>
  <si>
    <t>TES_per_sqm.kWh.BG.Ser.BldNew.Thermal.HW.Gas.NG_Biogas</t>
  </si>
  <si>
    <t>TES_per_sqm.kWh.BG.Ser.BldNew.Thermal.HW.Biomass.Biomass_Waste</t>
  </si>
  <si>
    <t>TES_per_sqm.kWh.BG.Ser.BldNew.Thermal.HW.DistrHeat.Steam_Distr</t>
  </si>
  <si>
    <t>TES_per_sqm.kWh.BG.Ser.BldNew.Thermal.HW.Elc.Elec</t>
  </si>
  <si>
    <t>TES_per_sqm.kWh.BG.Ser.BldNew.Thermal.HW.TotalSolar.Solar</t>
  </si>
  <si>
    <t>TES_per_sqm.kWh.BG.Ser.BldNew.Thermal.CA</t>
  </si>
  <si>
    <t>TES_per_sqm.kWh.BG.Ser.BldNew.Thermal.CA.LPG</t>
  </si>
  <si>
    <t>TES_per_sqm.kWh.BG.Ser.BldNew.Thermal.CA.Gas.NG_Biogas</t>
  </si>
  <si>
    <t>TES_per_sqm.kWh.BG.Ser.BldNew.Thermal.CA.Biomass.Biomass_Waste</t>
  </si>
  <si>
    <t>TES_per_sqm.kWh.BG.Ser.BldNew.Thermal.CA.Elc.Elec</t>
  </si>
  <si>
    <t>BG - CO2 emissions in new and renovated buildings per surface area</t>
  </si>
  <si>
    <t>EMI_per_sqm.kgCO2.BG.Ser.BldNew.Thermal</t>
  </si>
  <si>
    <t>EMI_per_sqm.kgCO2.BG.Ser.BldNew.Thermal.SH</t>
  </si>
  <si>
    <t>EMI_per_sqm.kgCO2.BG.Ser.BldNew.Thermal.SH.Solids.Solids</t>
  </si>
  <si>
    <t>EMI_per_sqm.kgCO2.BG.Ser.BldNew.Thermal.SH.LPG.LPG</t>
  </si>
  <si>
    <t>EMI_per_sqm.kgCO2.BG.Ser.BldNew.Thermal.SH.Oil.Oil_LiqBio</t>
  </si>
  <si>
    <t>EMI_per_sqm.kgCO2.BG.Ser.BldNew.Thermal.SH.GasHP.NG_Biogas</t>
  </si>
  <si>
    <t>EMI_per_sqm.kgCO2.BG.Ser.BldNew.Thermal.SH.GasTH.NG_Biogas</t>
  </si>
  <si>
    <t>EMI_per_sqm.kgCO2.BG.Ser.BldNew.Thermal.SH.Biomass.Biomass_Waste</t>
  </si>
  <si>
    <t>EMI_per_sqm.kgCO2.BG.Ser.BldNew.Thermal.SH.Geo.Geo</t>
  </si>
  <si>
    <t>EMI_per_sqm.kgCO2.BG.Ser.BldNew.Thermal.SH.DistrHeat.Steam_Distr</t>
  </si>
  <si>
    <t>EMI_per_sqm.kgCO2.BG.Ser.BldNew.Thermal.SH.AdvElc.Elec</t>
  </si>
  <si>
    <t>EMI_per_sqm.kgCO2.BG.Ser.BldNew.Thermal.SH.ConvElc.Elec</t>
  </si>
  <si>
    <t>EMI_per_sqm.kgCO2.BG.Ser.BldNew.Thermal.SH.TotalCirculation.Elec</t>
  </si>
  <si>
    <t>EMI_per_sqm.kgCO2.BG.Ser.BldNew.Thermal.SC</t>
  </si>
  <si>
    <t>EMI_per_sqm.kgCO2.BG.Ser.BldNew.Thermal.SC.GasHP.NG_Biogas</t>
  </si>
  <si>
    <t>EMI_per_sqm.kgCO2.BG.Ser.BldNew.Thermal.SC.AC.Elec</t>
  </si>
  <si>
    <t>EMI_per_sqm.kgCO2.BG.Ser.BldNew.Thermal.HW</t>
  </si>
  <si>
    <t>EMI_per_sqm.kgCO2.BG.Ser.BldNew.Thermal.HW.Solids.Solids</t>
  </si>
  <si>
    <t>EMI_per_sqm.kgCO2.BG.Ser.BldNew.Thermal.HW.LPG.LPG</t>
  </si>
  <si>
    <t>EMI_per_sqm.kgCO2.BG.Ser.BldNew.Thermal.HW.Oil.Oil_LiqBio</t>
  </si>
  <si>
    <t>EMI_per_sqm.kgCO2.BG.Ser.BldNew.Thermal.HW.Gas.NG_Biogas</t>
  </si>
  <si>
    <t>EMI_per_sqm.kgCO2.BG.Ser.BldNew.Thermal.HW.Biomass.Biomass_Waste</t>
  </si>
  <si>
    <t>EMI_per_sqm.kgCO2.BG.Ser.BldNew.Thermal.HW.DistrHeat.Steam_Distr</t>
  </si>
  <si>
    <t>EMI_per_sqm.kgCO2.BG.Ser.BldNew.Thermal.HW.Elc.Elec</t>
  </si>
  <si>
    <t>EMI_per_sqm.kgCO2.BG.Ser.BldNew.Thermal.HW.TotalSolar.Solar</t>
  </si>
  <si>
    <t>EMI_per_sqm.kgCO2.BG.Ser.BldNew.Thermal.CA</t>
  </si>
  <si>
    <t>EMI_per_sqm.kgCO2.BG.Ser.BldNew.Thermal.CA.LPG</t>
  </si>
  <si>
    <t>EMI_per_sqm.kgCO2.BG.Ser.BldNew.Thermal.CA.Gas.NG_Biogas</t>
  </si>
  <si>
    <t>EMI_per_sqm.kgCO2.BG.Ser.BldNew.Thermal.CA.Biomass.Biomass_Waste</t>
  </si>
  <si>
    <t>EMI_per_sqm.kgCO2.BG.Ser.BldNew.Thermal.CA.Elc.Elec</t>
  </si>
  <si>
    <t>FEC.ktoe.BG.Ser.SEU.VE</t>
  </si>
  <si>
    <t>FEC.ktoe.BG.Ser.SEU.SL</t>
  </si>
  <si>
    <t>FEC.ktoe.BG.Ser.SEU.BL</t>
  </si>
  <si>
    <t>FEC.ktoe.BG.Ser.SEU.CR</t>
  </si>
  <si>
    <t>FEC.ktoe.BG.Ser.SEU.BT</t>
  </si>
  <si>
    <t>FEC.ktoe.BG.Ser.SEU.IT</t>
  </si>
  <si>
    <t>Size.MW.BG.Ser.SEU</t>
  </si>
  <si>
    <t>Size.MW.BG.Ser.SEU.VE</t>
  </si>
  <si>
    <t>Size.MW.BG.Ser.SEU.SL</t>
  </si>
  <si>
    <t>Size.MW.BG.Ser.SEU.BL</t>
  </si>
  <si>
    <t>Size.MW.BG.Ser.SEU.CR</t>
  </si>
  <si>
    <t>Size.MW.BG.Ser.SEU.BT</t>
  </si>
  <si>
    <t>Size.MW.BG.Ser.SEU.IT</t>
  </si>
  <si>
    <t>NUM.Msqm.BG.Ser.SEU.VE</t>
  </si>
  <si>
    <t>NUM.k.BG.Ser.SEU.SL</t>
  </si>
  <si>
    <t>NUM.M.BG.Ser.SEU.BL</t>
  </si>
  <si>
    <t>NUM.k.BG.Ser.SEU.CR</t>
  </si>
  <si>
    <t>NUM.Msqm.BG.Ser.SEU.BT</t>
  </si>
  <si>
    <t>NUM.k.BG.Ser.SEU.IT</t>
  </si>
  <si>
    <t>NUM.Msqm.BG.Ser.SEUnew.VE</t>
  </si>
  <si>
    <t>NUM.k.BG.Ser.SEUnew.SL</t>
  </si>
  <si>
    <t>NUM.M.BG.Ser.SEUnew.BL</t>
  </si>
  <si>
    <t>NUM.k.BG.Ser.SEUnew.CR</t>
  </si>
  <si>
    <t>NUM.Msqm.BG.Ser.SEUnew.BT</t>
  </si>
  <si>
    <t>NUM.k.BG.Ser.SEUnew.IT</t>
  </si>
  <si>
    <t>NUM.Msqm.BG.Ser.SEUrepl.VE</t>
  </si>
  <si>
    <t>NUM.k.BG.Ser.SEUrepl.SL</t>
  </si>
  <si>
    <t>NUM.M.BG.Ser.SEUrepl.BL</t>
  </si>
  <si>
    <t>NUM.k.BG.Ser.SEUrepl.CR</t>
  </si>
  <si>
    <t>NUM.Msqm.BG.Ser.SEUrepl.BT</t>
  </si>
  <si>
    <t>NUM.k.BG.Ser.SEUrepl.IT</t>
  </si>
  <si>
    <t>Op.hours.BG.Ser.SEU.VE</t>
  </si>
  <si>
    <t>Op.hours.BG.Ser.SEU.SL</t>
  </si>
  <si>
    <t>Op.hours.BG.Ser.SEU.BL</t>
  </si>
  <si>
    <t>Op.hours.BG.Ser.SEU.CR</t>
  </si>
  <si>
    <t>Op.hours.BG.Ser.SEU.BT</t>
  </si>
  <si>
    <t>Op.hours.BG.Ser.SEU.IT</t>
  </si>
  <si>
    <t>Size_per_appl.W.BG.Ser.SEU.VE</t>
  </si>
  <si>
    <t>Size_per_appl.W.BG.Ser.SEU.SL</t>
  </si>
  <si>
    <t>Size_per_appl.W.BG.Ser.SEU.BL</t>
  </si>
  <si>
    <t>Size_per_appl.W.BG.Ser.SEU.CR</t>
  </si>
  <si>
    <t>Size_per_appl.W.BG.Ser.SEU.BT</t>
  </si>
  <si>
    <t>Size_per_appl.W.BG.Ser.SEU.IT</t>
  </si>
  <si>
    <t>Size_per_appl.W.BG.Ser.SEUnew.VE</t>
  </si>
  <si>
    <t>Size_per_appl.W.BG.Ser.SEUnew.SL</t>
  </si>
  <si>
    <t>Size_per_appl.W.BG.Ser.SEUnew.BL</t>
  </si>
  <si>
    <t>Size_per_appl.W.BG.Ser.SEUnew.CR</t>
  </si>
  <si>
    <t>Size_per_appl.W.BG.Ser.SEUnew.BT</t>
  </si>
  <si>
    <t>Size_per_appl.W.BG.Ser.SEUnew.IT</t>
  </si>
  <si>
    <t>NUM.sqm_per_building.BG.Ser.SEU.VE</t>
  </si>
  <si>
    <t>NUM.number_per_capita.BG.Ser.SEU.SL</t>
  </si>
  <si>
    <t>NUM.number_per_building.BG.Ser.SEU.BL</t>
  </si>
  <si>
    <t>NUM.number_per_capita.BG.Ser.SEU.CR</t>
  </si>
  <si>
    <t>NUM.sqm_per_building.BG.Ser.SEU.BT</t>
  </si>
  <si>
    <t>NUM.number_per_capita.BG.Ser.SEU.IT</t>
  </si>
  <si>
    <t>Lumens_per_sqm.lumen.BG.Ser.SEU.BL</t>
  </si>
  <si>
    <t>FEC.ktoe.BG.Ser.SEU.IT.DataCenters</t>
  </si>
  <si>
    <t>BG - Services / specific electric uses</t>
  </si>
  <si>
    <t>BG - Ventilation and others</t>
  </si>
  <si>
    <t>BG - Street lighting</t>
  </si>
  <si>
    <t>BG - Building lighting</t>
  </si>
  <si>
    <t>BG - Commercial refrigeration</t>
  </si>
  <si>
    <t>BG - Miscellaneous building technologies</t>
  </si>
  <si>
    <t>BG - ICT and multimedia</t>
  </si>
  <si>
    <t>BG - Agriculture, forestry and fishing</t>
  </si>
  <si>
    <t>VA.Meuro2015.Meuro2023.BG.AGR.AGR</t>
  </si>
  <si>
    <t>OUTPUT.index.index.BG.AGR.AGR</t>
  </si>
  <si>
    <t>CAP.index.index.BG.AGR.AGR</t>
  </si>
  <si>
    <t>NEWCAP.index.index.BG.AGR.AGR</t>
  </si>
  <si>
    <t>CAPOUT.index.BG.AGR.AGR</t>
  </si>
  <si>
    <t>CAPIDLE.index.BG.AGR.AGR</t>
  </si>
  <si>
    <t>FEC.ktoe.BG.ES.AGR</t>
  </si>
  <si>
    <t>FEC.ktoe.BG.ES.AGR.Solids</t>
  </si>
  <si>
    <t>FEC.ktoe.BG.ES.AGR.LPG</t>
  </si>
  <si>
    <t>FEC.ktoe.BG.ES.AGR.Diesel</t>
  </si>
  <si>
    <t>FEC.ktoe.BG.ES.AGR.RFO</t>
  </si>
  <si>
    <t>FEC.ktoe.BG.ES.AGR.NG</t>
  </si>
  <si>
    <t>FEC.ktoe.BG.ES.AGR.Biomass_Waste</t>
  </si>
  <si>
    <t>FEC.ktoe.BG.ES.AGR.Biogas</t>
  </si>
  <si>
    <t>FEC.ktoe.BG.ES.AGR.LiqBio</t>
  </si>
  <si>
    <t>FEC.ktoe.BG.ES.AGR.Solar</t>
  </si>
  <si>
    <t>FEC.ktoe.BG.ES.AGR.Geo</t>
  </si>
  <si>
    <t>FEC.ktoe.BG.ES.AGR.Ambient</t>
  </si>
  <si>
    <t>FEC.ktoe.BG.ES.AGR.Steam_Distr</t>
  </si>
  <si>
    <t>FEC.ktoe.BG.ES.AGR.Elec</t>
  </si>
  <si>
    <t>BG - Agriculture, forestry and fishing / final energy consumption</t>
  </si>
  <si>
    <t>FEC.ktoe.ktoe.BG.AGR.AGR.LIGHT.GENERIC.ELEC</t>
  </si>
  <si>
    <t>FEC.ktoe.ktoe.BG.AGR.AGR.FANS.GENERIC.ELEC</t>
  </si>
  <si>
    <t>FEC.ktoe.ktoe.BG.AGR.AGR.MOTOR.GENERIC.ELEC</t>
  </si>
  <si>
    <t>FEC.ktoe.ktoe.BG.AGR.AGR.LOW_ENTH.THERM.DIESEL_LIQBIO</t>
  </si>
  <si>
    <t>FEC.ktoe.ktoe.BG.AGR.AGR.LOW_ENTH.THERM.NG_BIOGAS</t>
  </si>
  <si>
    <t>FEC.ktoe.ktoe.BG.AGR.AGR.LOW_ENTH.THERM.SOLAR_GEO</t>
  </si>
  <si>
    <t>FEC.ktoe.ktoe.BG.AGR.AGR.LOW_ENTH.HP.AMBIENT</t>
  </si>
  <si>
    <t>FEC.ktoe.ktoe.BG.AGR.AGR.LOW_ENTH.THERM.STEAM_DISTR</t>
  </si>
  <si>
    <t>FEC.ktoe.ktoe.BG.AGR.AGR.LOW_ENTH.THERM.ELEC</t>
  </si>
  <si>
    <t>FEC.ktoe.ktoe.BG.AGR.AGR.FARM_DRIVES.MECH.DIESEL_LIQBIO</t>
  </si>
  <si>
    <t>FEC.ktoe.ktoe.BG.AGR.AGR.HEAT_USE.THERM.SOLIDS</t>
  </si>
  <si>
    <t>FEC.ktoe.ktoe.BG.AGR.AGR.HEAT_USE.THERM.LPG</t>
  </si>
  <si>
    <t>FEC.ktoe.ktoe.BG.AGR.AGR.HEAT_USE.THERM.DIESEL_LIQBIO</t>
  </si>
  <si>
    <t>FEC.ktoe.ktoe.BG.AGR.AGR.HEAT_USE.THERM.RFO</t>
  </si>
  <si>
    <t>FEC.ktoe.ktoe.BG.AGR.AGR.HEAT_USE.THERM.NG_BIOGAS</t>
  </si>
  <si>
    <t>FEC.ktoe.ktoe.BG.AGR.AGR.HEAT_USE.THERM.BIOMASS_WASTE</t>
  </si>
  <si>
    <t>FEC.ktoe.ktoe.BG.AGR.AGR.HEAT_USE.THERM.SOLAR_GEO</t>
  </si>
  <si>
    <t>FEC.ktoe.ktoe.BG.AGR.AGR.FARM_PUMP.MECH.DIESEL_LIQBIO</t>
  </si>
  <si>
    <t>FEC.ktoe.ktoe.BG.AGR.AGR.FARM_PUMP_ELEC.MECH.ELEC</t>
  </si>
  <si>
    <t>FEC.ktoe.ktoe.BG.AGR.AGR.GENERIC.MECH.ELEC</t>
  </si>
  <si>
    <t>BG - Agriculture, forestry and fishing / useful energy demand</t>
  </si>
  <si>
    <t>UED.ktoe.ktoe.BG.AGR.AGR.LIGHT.GENERIC.ELEC</t>
  </si>
  <si>
    <t>UED.ktoe.ktoe.BG.AGR.AGR.FANS.GENERIC.ELEC</t>
  </si>
  <si>
    <t>UED.ktoe.ktoe.BG.AGR.AGR.MOTOR.GENERIC.ELEC</t>
  </si>
  <si>
    <t>UED.ktoe.ktoe.BG.AGR.AGR.LOW_ENTH.THERM.DIESEL_LIQBIO</t>
  </si>
  <si>
    <t>UED.ktoe.ktoe.BG.AGR.AGR.LOW_ENTH.THERM.NG_BIOGAS</t>
  </si>
  <si>
    <t>UED.ktoe.ktoe.BG.AGR.AGR.LOW_ENTH.THERM.SOLAR_GEO</t>
  </si>
  <si>
    <t>UED.ktoe.ktoe.BG.AGR.AGR.LOW_ENTH.HP.AMBIENT</t>
  </si>
  <si>
    <t>UED.ktoe.ktoe.BG.AGR.AGR.LOW_ENTH.THERM.STEAM_DISTR</t>
  </si>
  <si>
    <t>UED.ktoe.ktoe.BG.AGR.AGR.LOW_ENTH.THERM.ELEC</t>
  </si>
  <si>
    <t>UED.ktoe.ktoe.BG.AGR.AGR.FARM_DRIVES.MECH.DIESEL_LIQBIO</t>
  </si>
  <si>
    <t>UED.ktoe.ktoe.BG.AGR.AGR.HEAT_USE.THERM.SOLIDS</t>
  </si>
  <si>
    <t>UED.ktoe.ktoe.BG.AGR.AGR.HEAT_USE.THERM.LPG</t>
  </si>
  <si>
    <t>UED.ktoe.ktoe.BG.AGR.AGR.HEAT_USE.THERM.DIESEL_LIQBIO</t>
  </si>
  <si>
    <t>UED.ktoe.ktoe.BG.AGR.AGR.HEAT_USE.THERM.RFO</t>
  </si>
  <si>
    <t>UED.ktoe.ktoe.BG.AGR.AGR.HEAT_USE.THERM.NG_BIOGAS</t>
  </si>
  <si>
    <t>UED.ktoe.ktoe.BG.AGR.AGR.HEAT_USE.THERM.BIOMASS_WASTE</t>
  </si>
  <si>
    <t>UED.ktoe.ktoe.BG.AGR.AGR.HEAT_USE.THERM.SOLAR_GEO</t>
  </si>
  <si>
    <t>UED.ktoe.ktoe.BG.AGR.AGR.FARM_PUMP.MECH.DIESEL_LIQBIO</t>
  </si>
  <si>
    <t>UED.ktoe.ktoe.BG.AGR.AGR.FARM_PUMP_ELEC.MECH.ELEC</t>
  </si>
  <si>
    <t>UED.ktoe.ktoe.BG.AGR.AGR.GENERIC.MECH.ELEC</t>
  </si>
  <si>
    <t>BG - Agriculture, forestry and fishing / CO2 emissions</t>
  </si>
  <si>
    <t>FUEL_EMI.ktCO2.ktCO2.BG.AGR.AGR.LIGHT.GENERIC.ELEC</t>
  </si>
  <si>
    <t>FUEL_EMI.ktCO2.ktCO2.BG.AGR.AGR.FANS.GENERIC.ELEC</t>
  </si>
  <si>
    <t>FUEL_EMI.ktCO2.ktCO2.BG.AGR.AGR.MOTOR.GENERIC.ELEC</t>
  </si>
  <si>
    <t>FUEL_EMI.ktCO2.ktCO2.BG.AGR.AGR.LOW_ENTH.THERM.DIESEL_LIQBIO</t>
  </si>
  <si>
    <t>FUEL_EMI.ktCO2.ktCO2.BG.AGR.AGR.LOW_ENTH.THERM.NG_BIOGAS</t>
  </si>
  <si>
    <t>FUEL_EMI.ktCO2.ktCO2.BG.AGR.AGR.LOW_ENTH.THERM.SOLAR_GEO</t>
  </si>
  <si>
    <t>FUEL_EMI.ktCO2.ktCO2.BG.AGR.AGR.LOW_ENTH.HP.AMBIENT</t>
  </si>
  <si>
    <t>FUEL_EMI.ktCO2.ktCO2.BG.AGR.AGR.LOW_ENTH.THERM.STEAM_DISTR</t>
  </si>
  <si>
    <t>FUEL_EMI.ktCO2.ktCO2.BG.AGR.AGR.LOW_ENTH.THERM.ELEC</t>
  </si>
  <si>
    <t>FUEL_EMI.ktCO2.ktCO2.BG.AGR.AGR.FARM_DRIVES.MECH.DIESEL_LIQBIO</t>
  </si>
  <si>
    <t>FUEL_EMI.ktCO2.ktCO2.BG.AGR.AGR.HEAT_USE.THERM.SOLIDS</t>
  </si>
  <si>
    <t>FUEL_EMI.ktCO2.ktCO2.BG.AGR.AGR.HEAT_USE.THERM.LPG</t>
  </si>
  <si>
    <t>FUEL_EMI.ktCO2.ktCO2.BG.AGR.AGR.HEAT_USE.THERM.DIESEL_LIQBIO</t>
  </si>
  <si>
    <t>FUEL_EMI.ktCO2.ktCO2.BG.AGR.AGR.HEAT_USE.THERM.RFO</t>
  </si>
  <si>
    <t>FUEL_EMI.ktCO2.ktCO2.BG.AGR.AGR.HEAT_USE.THERM.NG_BIOGAS</t>
  </si>
  <si>
    <t>FUEL_EMI.ktCO2.ktCO2.BG.AGR.AGR.HEAT_USE.THERM.BIOMASS_WASTE</t>
  </si>
  <si>
    <t>FUEL_EMI.ktCO2.ktCO2.BG.AGR.AGR.HEAT_USE.THERM.SOLAR_GEO</t>
  </si>
  <si>
    <t>FUEL_EMI.ktCO2.ktCO2.BG.AGR.AGR.FARM_PUMP.MECH.DIESEL_LIQBIO</t>
  </si>
  <si>
    <t>FUEL_EMI.ktCO2.ktCO2.BG.AGR.AGR.FARM_PUMP_ELEC.MECH.ELEC</t>
  </si>
  <si>
    <t>FUEL_EMI.ktCO2.ktCO2.BG.AGR.AGR.GENERIC.MECH.ELEC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</si>
</sst>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45967.47215277778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8190876</v>
      </c>
      <c r="C3" s="34">
        <v>8149468</v>
      </c>
      <c r="D3" s="34">
        <v>7868815</v>
      </c>
      <c r="E3" s="34">
        <v>7805506</v>
      </c>
      <c r="F3" s="34">
        <v>7745147</v>
      </c>
      <c r="G3" s="34">
        <v>7688573</v>
      </c>
      <c r="H3" s="34">
        <v>7629371</v>
      </c>
      <c r="I3" s="34">
        <v>7572673</v>
      </c>
      <c r="J3" s="34">
        <v>7518002</v>
      </c>
      <c r="K3" s="34">
        <v>7467119</v>
      </c>
      <c r="L3" s="34">
        <v>7421766</v>
      </c>
      <c r="M3" s="34">
        <v>7369431</v>
      </c>
      <c r="N3" s="34">
        <v>7327224</v>
      </c>
      <c r="O3" s="34">
        <v>7202556</v>
      </c>
      <c r="P3" s="34">
        <v>7117453</v>
      </c>
      <c r="Q3" s="34">
        <v>7029690</v>
      </c>
      <c r="R3" s="34">
        <v>6938759</v>
      </c>
      <c r="S3" s="34">
        <v>6849518</v>
      </c>
      <c r="T3" s="34">
        <v>6757418</v>
      </c>
      <c r="U3" s="34">
        <v>6664177</v>
      </c>
      <c r="V3" s="34">
        <v>6569275</v>
      </c>
      <c r="W3" s="34">
        <v>6532117</v>
      </c>
      <c r="X3" s="34">
        <v>6482484</v>
      </c>
      <c r="Y3" s="34">
        <v>6447710</v>
      </c>
      <c r="DA3" s="88" t="s">
        <v>188</v>
      </c>
    </row>
    <row r="4" spans="1:105" ht="12" customHeight="1" x14ac:dyDescent="0.25">
      <c r="A4" s="35" t="s">
        <v>178</v>
      </c>
      <c r="B4" s="36">
        <v>45487.890841462024</v>
      </c>
      <c r="C4" s="36">
        <v>47226.825681525464</v>
      </c>
      <c r="D4" s="36">
        <v>50000.438636794483</v>
      </c>
      <c r="E4" s="36">
        <v>52618.566184951604</v>
      </c>
      <c r="F4" s="36">
        <v>56044.491269968305</v>
      </c>
      <c r="G4" s="36">
        <v>59999.625920190061</v>
      </c>
      <c r="H4" s="36">
        <v>64080.844624095102</v>
      </c>
      <c r="I4" s="36">
        <v>68344.721519613435</v>
      </c>
      <c r="J4" s="36">
        <v>72534.450281564554</v>
      </c>
      <c r="K4" s="36">
        <v>70106.397382470779</v>
      </c>
      <c r="L4" s="36">
        <v>71196.70187740837</v>
      </c>
      <c r="M4" s="36">
        <v>72684.95435083237</v>
      </c>
      <c r="N4" s="36">
        <v>73228.902967123606</v>
      </c>
      <c r="O4" s="36">
        <v>72832.15414132351</v>
      </c>
      <c r="P4" s="36">
        <v>73522.952398159294</v>
      </c>
      <c r="Q4" s="36">
        <v>76021.142154000001</v>
      </c>
      <c r="R4" s="36">
        <v>78321.661330378221</v>
      </c>
      <c r="S4" s="36">
        <v>80472.508817418769</v>
      </c>
      <c r="T4" s="36">
        <v>82524.271563703995</v>
      </c>
      <c r="U4" s="36">
        <v>85651.192117223269</v>
      </c>
      <c r="V4" s="36">
        <v>82896.749419233049</v>
      </c>
      <c r="W4" s="36">
        <v>89346.39472743588</v>
      </c>
      <c r="X4" s="36">
        <v>92955.216128024971</v>
      </c>
      <c r="Y4" s="36">
        <v>94709.3</v>
      </c>
      <c r="DA4" s="89" t="s">
        <v>189</v>
      </c>
    </row>
    <row r="5" spans="1:105" ht="12" customHeight="1" x14ac:dyDescent="0.25">
      <c r="A5" s="35" t="s">
        <v>179</v>
      </c>
      <c r="B5" s="36">
        <v>24757.51177903188</v>
      </c>
      <c r="C5" s="36">
        <v>25408.2686120041</v>
      </c>
      <c r="D5" s="36">
        <v>27943.833795582956</v>
      </c>
      <c r="E5" s="36">
        <v>28915.465510421425</v>
      </c>
      <c r="F5" s="36">
        <v>30989.582921174642</v>
      </c>
      <c r="G5" s="36">
        <v>32902.666294459319</v>
      </c>
      <c r="H5" s="36">
        <v>35204.849913971084</v>
      </c>
      <c r="I5" s="36">
        <v>38024.837375837385</v>
      </c>
      <c r="J5" s="36">
        <v>40322.123973833644</v>
      </c>
      <c r="K5" s="36">
        <v>40706.069583447592</v>
      </c>
      <c r="L5" s="36">
        <v>43708.172344934668</v>
      </c>
      <c r="M5" s="36">
        <v>43156.288707889144</v>
      </c>
      <c r="N5" s="36">
        <v>43052.695266265968</v>
      </c>
      <c r="O5" s="36">
        <v>43532.980684573486</v>
      </c>
      <c r="P5" s="36">
        <v>44169.374122091889</v>
      </c>
      <c r="Q5" s="36">
        <v>45319.323064942175</v>
      </c>
      <c r="R5" s="36">
        <v>46107.90777951925</v>
      </c>
      <c r="S5" s="36">
        <v>47927.166312042791</v>
      </c>
      <c r="T5" s="36">
        <v>51678.523364732682</v>
      </c>
      <c r="U5" s="36">
        <v>54209.488461453344</v>
      </c>
      <c r="V5" s="36">
        <v>52180.085668391359</v>
      </c>
      <c r="W5" s="36">
        <v>56435.787668599245</v>
      </c>
      <c r="X5" s="36">
        <v>56170.354720370342</v>
      </c>
      <c r="Y5" s="36">
        <v>60355.9130374862</v>
      </c>
      <c r="DA5" s="89" t="s">
        <v>190</v>
      </c>
    </row>
    <row r="6" spans="1:105" ht="12" customHeight="1" x14ac:dyDescent="0.25">
      <c r="A6" s="37" t="s">
        <v>70</v>
      </c>
      <c r="B6" s="38">
        <v>1609010</v>
      </c>
      <c r="C6" s="38">
        <v>1615170</v>
      </c>
      <c r="D6" s="38">
        <v>1617980</v>
      </c>
      <c r="E6" s="38">
        <v>1719159.9999999998</v>
      </c>
      <c r="F6" s="38">
        <v>1789980</v>
      </c>
      <c r="G6" s="38">
        <v>1854340</v>
      </c>
      <c r="H6" s="38">
        <v>1916300</v>
      </c>
      <c r="I6" s="38">
        <v>1978449.9999999998</v>
      </c>
      <c r="J6" s="38">
        <v>1989040</v>
      </c>
      <c r="K6" s="38">
        <v>2027920</v>
      </c>
      <c r="L6" s="38">
        <v>2003290</v>
      </c>
      <c r="M6" s="38">
        <v>1981520</v>
      </c>
      <c r="N6" s="38">
        <v>1958800.0000000002</v>
      </c>
      <c r="O6" s="38">
        <v>1961370.0000000002</v>
      </c>
      <c r="P6" s="38">
        <v>1962980</v>
      </c>
      <c r="Q6" s="38">
        <v>1975170</v>
      </c>
      <c r="R6" s="38">
        <v>2019110</v>
      </c>
      <c r="S6" s="38">
        <v>2034630</v>
      </c>
      <c r="T6" s="38">
        <v>2059139.9999999998</v>
      </c>
      <c r="U6" s="38">
        <v>2070850</v>
      </c>
      <c r="V6" s="38">
        <v>2029900</v>
      </c>
      <c r="W6" s="38">
        <v>2063130</v>
      </c>
      <c r="X6" s="38">
        <v>2119690</v>
      </c>
      <c r="Y6" s="38">
        <v>2165430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58824.826828655401</v>
      </c>
      <c r="C8" s="34">
        <v>60914.027566257399</v>
      </c>
      <c r="D8" s="34">
        <v>63613.739296077998</v>
      </c>
      <c r="E8" s="34">
        <v>66683.498033002557</v>
      </c>
      <c r="F8" s="34">
        <v>69887.477037776174</v>
      </c>
      <c r="G8" s="34">
        <v>72987.127231166203</v>
      </c>
      <c r="H8" s="34">
        <v>76224.420158856388</v>
      </c>
      <c r="I8" s="34">
        <v>79869.243688850067</v>
      </c>
      <c r="J8" s="34">
        <v>82645.136224764268</v>
      </c>
      <c r="K8" s="34">
        <v>83587.297048423919</v>
      </c>
      <c r="L8" s="34">
        <v>84917.025412549119</v>
      </c>
      <c r="M8" s="34">
        <v>87374.145910783744</v>
      </c>
      <c r="N8" s="34">
        <v>88621.888505161842</v>
      </c>
      <c r="O8" s="34">
        <v>89985.776124600263</v>
      </c>
      <c r="P8" s="34">
        <v>91548.27889433461</v>
      </c>
      <c r="Q8" s="34">
        <v>93527.200824091473</v>
      </c>
      <c r="R8" s="34">
        <v>94844.894983847335</v>
      </c>
      <c r="S8" s="34">
        <v>96173.240587353677</v>
      </c>
      <c r="T8" s="34">
        <v>97476.899884091574</v>
      </c>
      <c r="U8" s="34">
        <v>98725.872463854044</v>
      </c>
      <c r="V8" s="34">
        <v>99861.017777777772</v>
      </c>
      <c r="W8" s="34">
        <v>100897.1229406209</v>
      </c>
      <c r="X8" s="34">
        <v>101810.96715321776</v>
      </c>
      <c r="Y8" s="34">
        <v>102603.34796725564</v>
      </c>
      <c r="DA8" s="88" t="s">
        <v>192</v>
      </c>
    </row>
    <row r="9" spans="1:105" ht="12" customHeight="1" x14ac:dyDescent="0.25">
      <c r="A9" s="39" t="s">
        <v>68</v>
      </c>
      <c r="B9" s="40">
        <v>52942.344145789866</v>
      </c>
      <c r="C9" s="40">
        <v>54822.624809631656</v>
      </c>
      <c r="D9" s="40">
        <v>57252.365366470192</v>
      </c>
      <c r="E9" s="40">
        <v>60015.148229702296</v>
      </c>
      <c r="F9" s="40">
        <v>62898.729333998555</v>
      </c>
      <c r="G9" s="40">
        <v>65688.41450804958</v>
      </c>
      <c r="H9" s="40">
        <v>68601.978142970751</v>
      </c>
      <c r="I9" s="40">
        <v>71882.319319965056</v>
      </c>
      <c r="J9" s="40">
        <v>74380.62260228784</v>
      </c>
      <c r="K9" s="40">
        <v>75228.567343581526</v>
      </c>
      <c r="L9" s="40">
        <v>76425.322871294207</v>
      </c>
      <c r="M9" s="40">
        <v>78636.731319705359</v>
      </c>
      <c r="N9" s="40">
        <v>79759.699654645665</v>
      </c>
      <c r="O9" s="40">
        <v>80987.198512140239</v>
      </c>
      <c r="P9" s="40">
        <v>82393.451004901159</v>
      </c>
      <c r="Q9" s="40">
        <v>84174.480741682317</v>
      </c>
      <c r="R9" s="40">
        <v>85360.405485462601</v>
      </c>
      <c r="S9" s="40">
        <v>86555.916528618312</v>
      </c>
      <c r="T9" s="40">
        <v>87729.209895682419</v>
      </c>
      <c r="U9" s="40">
        <v>88853.285217468641</v>
      </c>
      <c r="V9" s="40">
        <v>89874.915999999997</v>
      </c>
      <c r="W9" s="40">
        <v>90807.410646558812</v>
      </c>
      <c r="X9" s="40">
        <v>91629.870437895981</v>
      </c>
      <c r="Y9" s="40">
        <v>92343.013170530074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2324.7723909203678</v>
      </c>
      <c r="D10" s="41">
        <v>2943.4065435982643</v>
      </c>
      <c r="E10" s="41">
        <v>3324.4778398969192</v>
      </c>
      <c r="F10" s="41">
        <v>3470.8828484348569</v>
      </c>
      <c r="G10" s="41">
        <v>3379.3190034872359</v>
      </c>
      <c r="H10" s="41">
        <v>3529.1464784763075</v>
      </c>
      <c r="I10" s="41">
        <v>3949.4420472157371</v>
      </c>
      <c r="J10" s="41">
        <v>3095.5969225605913</v>
      </c>
      <c r="K10" s="41">
        <v>1272.8894995007722</v>
      </c>
      <c r="L10" s="41">
        <v>1663.938394448825</v>
      </c>
      <c r="M10" s="41">
        <v>2796.552560282083</v>
      </c>
      <c r="N10" s="41">
        <v>1597.0384941260793</v>
      </c>
      <c r="O10" s="41">
        <v>1718.4055509101906</v>
      </c>
      <c r="P10" s="41">
        <v>1922.2427329299426</v>
      </c>
      <c r="Q10" s="41">
        <v>2345.044376170405</v>
      </c>
      <c r="R10" s="41">
        <v>1802.2910552174988</v>
      </c>
      <c r="S10" s="41">
        <v>1819.7699298475143</v>
      </c>
      <c r="T10" s="41">
        <v>1801.9662427863486</v>
      </c>
      <c r="U10" s="41">
        <v>1754.0342371930235</v>
      </c>
      <c r="V10" s="41">
        <v>1646.6783318711566</v>
      </c>
      <c r="W10" s="41">
        <v>1553.5197627279629</v>
      </c>
      <c r="X10" s="41">
        <v>1436.6272330146228</v>
      </c>
      <c r="Y10" s="41">
        <v>1319.8987785622951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2092.2951518283312</v>
      </c>
      <c r="D11" s="42">
        <v>2649.0658892384376</v>
      </c>
      <c r="E11" s="42">
        <v>2992.0300559072275</v>
      </c>
      <c r="F11" s="42">
        <v>3123.7945635913711</v>
      </c>
      <c r="G11" s="42">
        <v>3041.3871031385124</v>
      </c>
      <c r="H11" s="42">
        <v>3176.2318306286766</v>
      </c>
      <c r="I11" s="42">
        <v>3554.4978424941633</v>
      </c>
      <c r="J11" s="42">
        <v>2786.0372303045319</v>
      </c>
      <c r="K11" s="42">
        <v>1145.600549550695</v>
      </c>
      <c r="L11" s="42">
        <v>1497.5445550039424</v>
      </c>
      <c r="M11" s="42">
        <v>2516.8973042538746</v>
      </c>
      <c r="N11" s="42">
        <v>1437.3346447134713</v>
      </c>
      <c r="O11" s="42">
        <v>1546.5649958191714</v>
      </c>
      <c r="P11" s="42">
        <v>1730.0184596369484</v>
      </c>
      <c r="Q11" s="42">
        <v>2110.5399385533647</v>
      </c>
      <c r="R11" s="42">
        <v>1622.0619496957488</v>
      </c>
      <c r="S11" s="42">
        <v>1637.7929368627629</v>
      </c>
      <c r="T11" s="42">
        <v>1621.7696185077136</v>
      </c>
      <c r="U11" s="42">
        <v>1578.6308134737212</v>
      </c>
      <c r="V11" s="42">
        <v>1482.0104986840411</v>
      </c>
      <c r="W11" s="42">
        <v>1398.1677864551666</v>
      </c>
      <c r="X11" s="42">
        <v>1292.9645097131606</v>
      </c>
      <c r="Y11" s="42">
        <v>1187.9089007060657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2481.29</v>
      </c>
      <c r="C13" s="43">
        <v>2525.98</v>
      </c>
      <c r="D13" s="43">
        <v>2522.88</v>
      </c>
      <c r="E13" s="43">
        <v>2891.31</v>
      </c>
      <c r="F13" s="43">
        <v>2537.4</v>
      </c>
      <c r="G13" s="43">
        <v>2692.51</v>
      </c>
      <c r="H13" s="43">
        <v>2660.51</v>
      </c>
      <c r="I13" s="43">
        <v>2393.19</v>
      </c>
      <c r="J13" s="43">
        <v>2466.8200000000002</v>
      </c>
      <c r="K13" s="43">
        <v>2437.31</v>
      </c>
      <c r="L13" s="43">
        <v>2516.8200000000002</v>
      </c>
      <c r="M13" s="43">
        <v>2798.59</v>
      </c>
      <c r="N13" s="43">
        <v>2614</v>
      </c>
      <c r="O13" s="43">
        <v>2387.56</v>
      </c>
      <c r="P13" s="43">
        <v>2365.02</v>
      </c>
      <c r="Q13" s="43">
        <v>2371.11</v>
      </c>
      <c r="R13" s="43">
        <v>2420.17</v>
      </c>
      <c r="S13" s="43">
        <v>2527.59</v>
      </c>
      <c r="T13" s="43">
        <v>2352.1</v>
      </c>
      <c r="U13" s="43">
        <v>2152.56</v>
      </c>
      <c r="V13" s="43">
        <v>2247.35</v>
      </c>
      <c r="W13" s="43">
        <v>2503.0700000000002</v>
      </c>
      <c r="X13" s="43">
        <v>2306.77</v>
      </c>
      <c r="Y13" s="43">
        <v>2081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2493.4319047619042</v>
      </c>
      <c r="C14" s="44">
        <f t="shared" ref="C14:Y14" si="0">AVERAGE($B$13:$V$13)</f>
        <v>2493.4319047619042</v>
      </c>
      <c r="D14" s="44">
        <f t="shared" si="0"/>
        <v>2493.4319047619042</v>
      </c>
      <c r="E14" s="44">
        <f t="shared" si="0"/>
        <v>2493.4319047619042</v>
      </c>
      <c r="F14" s="44">
        <f t="shared" si="0"/>
        <v>2493.4319047619042</v>
      </c>
      <c r="G14" s="44">
        <f t="shared" si="0"/>
        <v>2493.4319047619042</v>
      </c>
      <c r="H14" s="44">
        <f t="shared" si="0"/>
        <v>2493.4319047619042</v>
      </c>
      <c r="I14" s="44">
        <f t="shared" si="0"/>
        <v>2493.4319047619042</v>
      </c>
      <c r="J14" s="44">
        <f t="shared" si="0"/>
        <v>2493.4319047619042</v>
      </c>
      <c r="K14" s="44">
        <f t="shared" si="0"/>
        <v>2493.4319047619042</v>
      </c>
      <c r="L14" s="44">
        <f t="shared" si="0"/>
        <v>2493.4319047619042</v>
      </c>
      <c r="M14" s="44">
        <f t="shared" si="0"/>
        <v>2493.4319047619042</v>
      </c>
      <c r="N14" s="44">
        <f t="shared" si="0"/>
        <v>2493.4319047619042</v>
      </c>
      <c r="O14" s="44">
        <f t="shared" si="0"/>
        <v>2493.4319047619042</v>
      </c>
      <c r="P14" s="44">
        <f t="shared" si="0"/>
        <v>2493.4319047619042</v>
      </c>
      <c r="Q14" s="44">
        <f t="shared" si="0"/>
        <v>2493.4319047619042</v>
      </c>
      <c r="R14" s="44">
        <f t="shared" si="0"/>
        <v>2493.4319047619042</v>
      </c>
      <c r="S14" s="44">
        <f t="shared" si="0"/>
        <v>2493.4319047619042</v>
      </c>
      <c r="T14" s="44">
        <f t="shared" si="0"/>
        <v>2493.4319047619042</v>
      </c>
      <c r="U14" s="44">
        <f t="shared" si="0"/>
        <v>2493.4319047619042</v>
      </c>
      <c r="V14" s="44">
        <f t="shared" si="0"/>
        <v>2493.4319047619042</v>
      </c>
      <c r="W14" s="44">
        <f t="shared" si="0"/>
        <v>2493.4319047619042</v>
      </c>
      <c r="X14" s="44">
        <f t="shared" si="0"/>
        <v>2493.4319047619042</v>
      </c>
      <c r="Y14" s="44">
        <f t="shared" si="0"/>
        <v>2493.4319047619042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0.99513044461382083</v>
      </c>
      <c r="C15" s="46">
        <f t="shared" ref="C15:W15" si="1">C13/C14</f>
        <v>1.0130535328339771</v>
      </c>
      <c r="D15" s="46">
        <f t="shared" si="1"/>
        <v>1.0118102664772424</v>
      </c>
      <c r="E15" s="46">
        <f t="shared" si="1"/>
        <v>1.1595704677068728</v>
      </c>
      <c r="F15" s="46">
        <f t="shared" si="1"/>
        <v>1.0176335656707234</v>
      </c>
      <c r="G15" s="46">
        <f t="shared" si="1"/>
        <v>1.0798409994104514</v>
      </c>
      <c r="H15" s="46">
        <f t="shared" si="1"/>
        <v>1.067007282179639</v>
      </c>
      <c r="I15" s="46">
        <f t="shared" si="1"/>
        <v>0.95979761686274079</v>
      </c>
      <c r="J15" s="46">
        <f t="shared" si="1"/>
        <v>0.98932719810351299</v>
      </c>
      <c r="K15" s="46">
        <f t="shared" si="1"/>
        <v>0.97749210449472324</v>
      </c>
      <c r="L15" s="46">
        <f t="shared" si="1"/>
        <v>1.0093798812766572</v>
      </c>
      <c r="M15" s="46">
        <f t="shared" si="1"/>
        <v>1.1223847720305942</v>
      </c>
      <c r="N15" s="46">
        <f t="shared" si="1"/>
        <v>1.0483542762919802</v>
      </c>
      <c r="O15" s="46">
        <f t="shared" si="1"/>
        <v>0.95753968473744466</v>
      </c>
      <c r="P15" s="46">
        <f t="shared" si="1"/>
        <v>0.94849993516299125</v>
      </c>
      <c r="Q15" s="46">
        <f t="shared" si="1"/>
        <v>0.95094235197348032</v>
      </c>
      <c r="R15" s="46">
        <f t="shared" si="1"/>
        <v>0.97061804470296942</v>
      </c>
      <c r="S15" s="46">
        <f t="shared" si="1"/>
        <v>1.0136992292321525</v>
      </c>
      <c r="T15" s="46">
        <f t="shared" si="1"/>
        <v>0.9433183218310508</v>
      </c>
      <c r="U15" s="46">
        <f t="shared" si="1"/>
        <v>0.86329207382366679</v>
      </c>
      <c r="V15" s="46">
        <f t="shared" si="1"/>
        <v>0.90130795058331359</v>
      </c>
      <c r="W15" s="46">
        <f t="shared" si="1"/>
        <v>1.0038653934040425</v>
      </c>
      <c r="X15" s="46">
        <f t="shared" ref="X15:Y15" si="2">X13/X14</f>
        <v>0.9251385592662783</v>
      </c>
      <c r="Y15" s="46">
        <f t="shared" si="2"/>
        <v>0.83459267366626277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5553.4830269023751</v>
      </c>
      <c r="C19" s="34">
        <f t="shared" si="3"/>
        <v>5795.0808177325771</v>
      </c>
      <c r="D19" s="34">
        <f t="shared" ref="D19:W19" si="4">D4*1000000/D3</f>
        <v>6354.252658982894</v>
      </c>
      <c r="E19" s="34">
        <f t="shared" si="4"/>
        <v>6741.2114198556255</v>
      </c>
      <c r="F19" s="34">
        <f t="shared" si="4"/>
        <v>7236.0784462797556</v>
      </c>
      <c r="G19" s="34">
        <f t="shared" si="4"/>
        <v>7803.7401635114948</v>
      </c>
      <c r="H19" s="34">
        <f t="shared" si="4"/>
        <v>8399.230372214839</v>
      </c>
      <c r="I19" s="34">
        <f t="shared" si="4"/>
        <v>9025.177968151198</v>
      </c>
      <c r="J19" s="34">
        <f t="shared" si="4"/>
        <v>9648.1020198670558</v>
      </c>
      <c r="K19" s="34">
        <f t="shared" si="4"/>
        <v>9388.6808797972517</v>
      </c>
      <c r="L19" s="34">
        <f t="shared" si="4"/>
        <v>9592.9596645068541</v>
      </c>
      <c r="M19" s="34">
        <f t="shared" si="4"/>
        <v>9863.0347920799268</v>
      </c>
      <c r="N19" s="34">
        <f t="shared" si="4"/>
        <v>9994.0854772726489</v>
      </c>
      <c r="O19" s="34">
        <f t="shared" si="4"/>
        <v>10111.987208613653</v>
      </c>
      <c r="P19" s="34">
        <f t="shared" si="4"/>
        <v>10329.952638698041</v>
      </c>
      <c r="Q19" s="34">
        <f t="shared" si="4"/>
        <v>10814.295104620545</v>
      </c>
      <c r="R19" s="34">
        <f t="shared" si="4"/>
        <v>11287.560402426172</v>
      </c>
      <c r="S19" s="34">
        <f t="shared" si="4"/>
        <v>11748.638198690589</v>
      </c>
      <c r="T19" s="34">
        <f t="shared" si="4"/>
        <v>12212.397037404522</v>
      </c>
      <c r="U19" s="34">
        <f t="shared" si="4"/>
        <v>12852.478575707588</v>
      </c>
      <c r="V19" s="34">
        <f t="shared" si="4"/>
        <v>12618.858156985823</v>
      </c>
      <c r="W19" s="34">
        <f t="shared" si="4"/>
        <v>13678.015064248832</v>
      </c>
      <c r="X19" s="34">
        <f t="shared" ref="X19:Y19" si="5">X4*1000000/X3</f>
        <v>14339.443973641119</v>
      </c>
      <c r="Y19" s="34">
        <f t="shared" si="5"/>
        <v>14688.827506199876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15386.797955905731</v>
      </c>
      <c r="C20" s="36">
        <f t="shared" si="6"/>
        <v>15731.018166511327</v>
      </c>
      <c r="D20" s="36">
        <f t="shared" ref="D20:W20" si="7">D5*1000000/D6</f>
        <v>17270.815334913259</v>
      </c>
      <c r="E20" s="36">
        <f t="shared" si="7"/>
        <v>16819.531346949341</v>
      </c>
      <c r="F20" s="36">
        <f t="shared" si="7"/>
        <v>17312.80959629417</v>
      </c>
      <c r="G20" s="36">
        <f t="shared" si="7"/>
        <v>17743.599498721549</v>
      </c>
      <c r="H20" s="36">
        <f t="shared" si="7"/>
        <v>18371.262283552202</v>
      </c>
      <c r="I20" s="36">
        <f t="shared" si="7"/>
        <v>19219.508896276071</v>
      </c>
      <c r="J20" s="36">
        <f t="shared" si="7"/>
        <v>20272.153387480212</v>
      </c>
      <c r="K20" s="36">
        <f t="shared" si="7"/>
        <v>20072.8182489682</v>
      </c>
      <c r="L20" s="36">
        <f t="shared" si="7"/>
        <v>21818.195241295405</v>
      </c>
      <c r="M20" s="36">
        <f t="shared" si="7"/>
        <v>21779.385879470883</v>
      </c>
      <c r="N20" s="36">
        <f t="shared" si="7"/>
        <v>21979.117452657731</v>
      </c>
      <c r="O20" s="36">
        <f t="shared" si="7"/>
        <v>22195.190445746332</v>
      </c>
      <c r="P20" s="36">
        <f t="shared" si="7"/>
        <v>22501.183976450033</v>
      </c>
      <c r="Q20" s="36">
        <f t="shared" si="7"/>
        <v>22944.517719964446</v>
      </c>
      <c r="R20" s="36">
        <f t="shared" si="7"/>
        <v>22835.758219967833</v>
      </c>
      <c r="S20" s="36">
        <f t="shared" si="7"/>
        <v>23555.715934613563</v>
      </c>
      <c r="T20" s="36">
        <f t="shared" si="7"/>
        <v>25097.139274033183</v>
      </c>
      <c r="U20" s="36">
        <f t="shared" si="7"/>
        <v>26177.409499216916</v>
      </c>
      <c r="V20" s="36">
        <f t="shared" si="7"/>
        <v>25705.741991423893</v>
      </c>
      <c r="W20" s="36">
        <f t="shared" si="7"/>
        <v>27354.450601076638</v>
      </c>
      <c r="X20" s="36">
        <f t="shared" ref="X20:Y20" si="8">X5*1000000/X6</f>
        <v>26499.325241129758</v>
      </c>
      <c r="Y20" s="36">
        <f t="shared" si="8"/>
        <v>27872.484004325328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3022.5719177084206</v>
      </c>
      <c r="C21" s="36">
        <f t="shared" si="9"/>
        <v>3117.7824873972263</v>
      </c>
      <c r="D21" s="36">
        <f t="shared" ref="D21:W21" si="10">D5*1000000/D3</f>
        <v>3551.2124501062681</v>
      </c>
      <c r="E21" s="36">
        <f t="shared" si="10"/>
        <v>3704.4959686689658</v>
      </c>
      <c r="F21" s="36">
        <f t="shared" si="10"/>
        <v>4001.1613622278105</v>
      </c>
      <c r="G21" s="36">
        <f t="shared" si="10"/>
        <v>4279.4243215820825</v>
      </c>
      <c r="H21" s="36">
        <f t="shared" si="10"/>
        <v>4614.3843200142037</v>
      </c>
      <c r="I21" s="36">
        <f t="shared" si="10"/>
        <v>5021.3230355829955</v>
      </c>
      <c r="J21" s="36">
        <f t="shared" si="10"/>
        <v>5363.4095832687517</v>
      </c>
      <c r="K21" s="36">
        <f t="shared" si="10"/>
        <v>5451.3755015083589</v>
      </c>
      <c r="L21" s="36">
        <f t="shared" si="10"/>
        <v>5889.1876064180233</v>
      </c>
      <c r="M21" s="36">
        <f t="shared" si="10"/>
        <v>5856.1222308600409</v>
      </c>
      <c r="N21" s="36">
        <f t="shared" si="10"/>
        <v>5875.7170882541559</v>
      </c>
      <c r="O21" s="36">
        <f t="shared" si="10"/>
        <v>6044.101661212143</v>
      </c>
      <c r="P21" s="36">
        <f t="shared" si="10"/>
        <v>6205.7837434391049</v>
      </c>
      <c r="Q21" s="36">
        <f t="shared" si="10"/>
        <v>6446.8451759525924</v>
      </c>
      <c r="R21" s="36">
        <f t="shared" si="10"/>
        <v>6644.9789911307262</v>
      </c>
      <c r="S21" s="36">
        <f t="shared" si="10"/>
        <v>6997.1589697322925</v>
      </c>
      <c r="T21" s="36">
        <f t="shared" si="10"/>
        <v>7647.6730261074099</v>
      </c>
      <c r="U21" s="36">
        <f t="shared" si="10"/>
        <v>8134.4610837097134</v>
      </c>
      <c r="V21" s="36">
        <f t="shared" si="10"/>
        <v>7943.0508950213471</v>
      </c>
      <c r="W21" s="36">
        <f t="shared" si="10"/>
        <v>8639.7392558337888</v>
      </c>
      <c r="X21" s="36">
        <f t="shared" ref="X21:Y21" si="11">X5*1000000/X3</f>
        <v>8664.9430558363638</v>
      </c>
      <c r="Y21" s="36">
        <f t="shared" si="11"/>
        <v>9360.8293545283832</v>
      </c>
      <c r="DA21" s="89"/>
    </row>
    <row r="22" spans="1:105" ht="12" customHeight="1" x14ac:dyDescent="0.25">
      <c r="A22" s="51" t="s">
        <v>148</v>
      </c>
      <c r="B22" s="52">
        <v>0.16491714212907471</v>
      </c>
      <c r="C22" s="52">
        <v>0.16586966618391163</v>
      </c>
      <c r="D22" s="52">
        <v>0.18519192484820832</v>
      </c>
      <c r="E22" s="52">
        <v>0.1910743761023691</v>
      </c>
      <c r="F22" s="52">
        <v>0.20169677692792187</v>
      </c>
      <c r="G22" s="52">
        <v>0.2111676075168942</v>
      </c>
      <c r="H22" s="52">
        <v>0.22092937965931189</v>
      </c>
      <c r="I22" s="52">
        <v>0.23326575182206877</v>
      </c>
      <c r="J22" s="52">
        <v>0.24584642377111163</v>
      </c>
      <c r="K22" s="52">
        <v>0.25566111351627835</v>
      </c>
      <c r="L22" s="52">
        <v>0.27210057142442146</v>
      </c>
      <c r="M22" s="52">
        <v>0.26524315029312856</v>
      </c>
      <c r="N22" s="52">
        <v>0.26697692591745187</v>
      </c>
      <c r="O22" s="52">
        <v>0.27304751625953644</v>
      </c>
      <c r="P22" s="52">
        <v>0.27579277601206498</v>
      </c>
      <c r="Q22" s="52">
        <v>0.28182210516693079</v>
      </c>
      <c r="R22" s="52">
        <v>0.28567555100465136</v>
      </c>
      <c r="S22" s="52">
        <v>0.29294241319676523</v>
      </c>
      <c r="T22" s="52">
        <v>0.31341742984575455</v>
      </c>
      <c r="U22" s="52">
        <v>0.32716599484228814</v>
      </c>
      <c r="V22" s="52">
        <v>0.33754090790006008</v>
      </c>
      <c r="W22" s="52">
        <v>0.34595227666661887</v>
      </c>
      <c r="X22" s="52">
        <v>0.33648833558804708</v>
      </c>
      <c r="Y22" s="52">
        <v>0.36266604548114545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27.352566709405107</v>
      </c>
      <c r="C23" s="53">
        <f t="shared" si="12"/>
        <v>26.515567341909012</v>
      </c>
      <c r="D23" s="53">
        <f t="shared" ref="D23:W23" si="13">D6/D8</f>
        <v>25.434442589036014</v>
      </c>
      <c r="E23" s="53">
        <f t="shared" si="13"/>
        <v>25.780891085665068</v>
      </c>
      <c r="F23" s="53">
        <f t="shared" si="13"/>
        <v>25.612313906144657</v>
      </c>
      <c r="G23" s="53">
        <f t="shared" si="13"/>
        <v>25.406397954626978</v>
      </c>
      <c r="H23" s="53">
        <f t="shared" si="13"/>
        <v>25.140237157676147</v>
      </c>
      <c r="I23" s="53">
        <f t="shared" si="13"/>
        <v>24.771112240746007</v>
      </c>
      <c r="J23" s="53">
        <f t="shared" si="13"/>
        <v>24.06723602693987</v>
      </c>
      <c r="K23" s="53">
        <f t="shared" si="13"/>
        <v>24.261102722644356</v>
      </c>
      <c r="L23" s="53">
        <f t="shared" si="13"/>
        <v>23.591146654837392</v>
      </c>
      <c r="M23" s="53">
        <f t="shared" si="13"/>
        <v>22.678562168988712</v>
      </c>
      <c r="N23" s="53">
        <f t="shared" si="13"/>
        <v>22.102891656229019</v>
      </c>
      <c r="O23" s="53">
        <f t="shared" si="13"/>
        <v>21.796444776829588</v>
      </c>
      <c r="P23" s="53">
        <f t="shared" si="13"/>
        <v>21.442019704878117</v>
      </c>
      <c r="Q23" s="53">
        <f t="shared" si="13"/>
        <v>21.118669035278344</v>
      </c>
      <c r="R23" s="53">
        <f t="shared" si="13"/>
        <v>21.288546951777075</v>
      </c>
      <c r="S23" s="53">
        <f t="shared" si="13"/>
        <v>21.155884813426407</v>
      </c>
      <c r="T23" s="53">
        <f t="shared" si="13"/>
        <v>21.12438949585486</v>
      </c>
      <c r="U23" s="53">
        <f t="shared" si="13"/>
        <v>20.975757907413669</v>
      </c>
      <c r="V23" s="53">
        <f t="shared" si="13"/>
        <v>20.327251265525522</v>
      </c>
      <c r="W23" s="53">
        <f t="shared" si="13"/>
        <v>20.447857578795141</v>
      </c>
      <c r="X23" s="53">
        <f t="shared" ref="X23:Y23" si="14">X6/X8</f>
        <v>20.819859188745628</v>
      </c>
      <c r="Y23" s="53">
        <f t="shared" si="14"/>
        <v>21.10486687716141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6.4635753423430984</v>
      </c>
      <c r="C24" s="54">
        <f t="shared" si="15"/>
        <v>6.7271415520168496</v>
      </c>
      <c r="D24" s="54">
        <f t="shared" ref="D24:W24" si="16">D9*1000/D3</f>
        <v>7.2758560680954112</v>
      </c>
      <c r="E24" s="54">
        <f t="shared" si="16"/>
        <v>7.6888222531252035</v>
      </c>
      <c r="F24" s="54">
        <f t="shared" si="16"/>
        <v>8.1210504247367492</v>
      </c>
      <c r="G24" s="54">
        <f t="shared" si="16"/>
        <v>8.54364190962999</v>
      </c>
      <c r="H24" s="54">
        <f t="shared" si="16"/>
        <v>8.9918262125371484</v>
      </c>
      <c r="I24" s="54">
        <f t="shared" si="16"/>
        <v>9.4923310857295764</v>
      </c>
      <c r="J24" s="54">
        <f t="shared" si="16"/>
        <v>9.8936689032921041</v>
      </c>
      <c r="K24" s="54">
        <f t="shared" si="16"/>
        <v>10.07464422939845</v>
      </c>
      <c r="L24" s="54">
        <f t="shared" si="16"/>
        <v>10.297457892271758</v>
      </c>
      <c r="M24" s="54">
        <f t="shared" si="16"/>
        <v>10.67066525484876</v>
      </c>
      <c r="N24" s="54">
        <f t="shared" si="16"/>
        <v>10.885391200630098</v>
      </c>
      <c r="O24" s="54">
        <f t="shared" si="16"/>
        <v>11.244230313813629</v>
      </c>
      <c r="P24" s="54">
        <f t="shared" si="16"/>
        <v>11.576255017757218</v>
      </c>
      <c r="Q24" s="54">
        <f t="shared" si="16"/>
        <v>11.974138367649545</v>
      </c>
      <c r="R24" s="54">
        <f t="shared" si="16"/>
        <v>12.301970062004258</v>
      </c>
      <c r="S24" s="54">
        <f t="shared" si="16"/>
        <v>12.636789410381622</v>
      </c>
      <c r="T24" s="54">
        <f t="shared" si="16"/>
        <v>12.982652530253779</v>
      </c>
      <c r="U24" s="54">
        <f t="shared" si="16"/>
        <v>13.332971981006603</v>
      </c>
      <c r="V24" s="54">
        <f t="shared" si="16"/>
        <v>13.681101186965076</v>
      </c>
      <c r="W24" s="54">
        <f t="shared" si="16"/>
        <v>13.901681590602067</v>
      </c>
      <c r="X24" s="54">
        <f t="shared" ref="X24:Y24" si="17">X9*1000/X3</f>
        <v>14.134993690365604</v>
      </c>
      <c r="Y24" s="54">
        <f t="shared" si="17"/>
        <v>14.321831033115647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32.90367626415614</v>
      </c>
      <c r="C25" s="54">
        <f t="shared" si="18"/>
        <v>33.942324838643394</v>
      </c>
      <c r="D25" s="54">
        <f t="shared" ref="D25:W25" si="19">D9*1000/D6</f>
        <v>35.385088422891627</v>
      </c>
      <c r="E25" s="54">
        <f t="shared" si="19"/>
        <v>34.909576903663591</v>
      </c>
      <c r="F25" s="54">
        <f t="shared" si="19"/>
        <v>35.139347553603145</v>
      </c>
      <c r="G25" s="54">
        <f t="shared" si="19"/>
        <v>35.424147949162275</v>
      </c>
      <c r="H25" s="54">
        <f t="shared" si="19"/>
        <v>35.799184962151415</v>
      </c>
      <c r="I25" s="54">
        <f t="shared" si="19"/>
        <v>36.332643897983296</v>
      </c>
      <c r="J25" s="54">
        <f t="shared" si="19"/>
        <v>37.395237201005429</v>
      </c>
      <c r="K25" s="54">
        <f t="shared" si="19"/>
        <v>37.0964176809645</v>
      </c>
      <c r="L25" s="54">
        <f t="shared" si="19"/>
        <v>38.149904842181712</v>
      </c>
      <c r="M25" s="54">
        <f t="shared" si="19"/>
        <v>39.685055573350432</v>
      </c>
      <c r="N25" s="54">
        <f t="shared" si="19"/>
        <v>40.718654101820327</v>
      </c>
      <c r="O25" s="54">
        <f t="shared" si="19"/>
        <v>41.29113757839685</v>
      </c>
      <c r="P25" s="54">
        <f t="shared" si="19"/>
        <v>41.973657910371557</v>
      </c>
      <c r="Q25" s="54">
        <f t="shared" si="19"/>
        <v>42.616322008577654</v>
      </c>
      <c r="R25" s="54">
        <f t="shared" si="19"/>
        <v>42.276253143940949</v>
      </c>
      <c r="S25" s="54">
        <f t="shared" si="19"/>
        <v>42.54135470754796</v>
      </c>
      <c r="T25" s="54">
        <f t="shared" si="19"/>
        <v>42.604781557194961</v>
      </c>
      <c r="U25" s="54">
        <f t="shared" si="19"/>
        <v>42.906673693154325</v>
      </c>
      <c r="V25" s="54">
        <f t="shared" si="19"/>
        <v>44.275538696487509</v>
      </c>
      <c r="W25" s="54">
        <f t="shared" si="19"/>
        <v>44.014391069180711</v>
      </c>
      <c r="X25" s="54">
        <f t="shared" ref="X25:Y25" si="20">X9*1000/X6</f>
        <v>43.227958068347725</v>
      </c>
      <c r="Y25" s="54">
        <f t="shared" si="20"/>
        <v>42.644192225345577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900.00000000000011</v>
      </c>
      <c r="C26" s="55">
        <f t="shared" si="21"/>
        <v>899.99999999999989</v>
      </c>
      <c r="D26" s="55">
        <f t="shared" ref="D26:W26" si="22">D9*1000/D8</f>
        <v>900</v>
      </c>
      <c r="E26" s="55">
        <f t="shared" si="22"/>
        <v>899.99999999999989</v>
      </c>
      <c r="F26" s="55">
        <f t="shared" si="22"/>
        <v>900</v>
      </c>
      <c r="G26" s="55">
        <f t="shared" si="22"/>
        <v>899.99999999999989</v>
      </c>
      <c r="H26" s="55">
        <f t="shared" si="22"/>
        <v>900.00000000000011</v>
      </c>
      <c r="I26" s="55">
        <f t="shared" si="22"/>
        <v>899.99999999999989</v>
      </c>
      <c r="J26" s="55">
        <f t="shared" si="22"/>
        <v>900</v>
      </c>
      <c r="K26" s="55">
        <f t="shared" si="22"/>
        <v>900</v>
      </c>
      <c r="L26" s="55">
        <f t="shared" si="22"/>
        <v>899.99999999999989</v>
      </c>
      <c r="M26" s="55">
        <f t="shared" si="22"/>
        <v>899.99999999999977</v>
      </c>
      <c r="N26" s="55">
        <f t="shared" si="22"/>
        <v>900.00000000000011</v>
      </c>
      <c r="O26" s="55">
        <f t="shared" si="22"/>
        <v>900.00000000000011</v>
      </c>
      <c r="P26" s="55">
        <f t="shared" si="22"/>
        <v>900.00000000000011</v>
      </c>
      <c r="Q26" s="55">
        <f t="shared" si="22"/>
        <v>900</v>
      </c>
      <c r="R26" s="55">
        <f t="shared" si="22"/>
        <v>900</v>
      </c>
      <c r="S26" s="55">
        <f t="shared" si="22"/>
        <v>900</v>
      </c>
      <c r="T26" s="55">
        <f t="shared" si="22"/>
        <v>900.00000000000011</v>
      </c>
      <c r="U26" s="55">
        <f t="shared" si="22"/>
        <v>899.99999999999989</v>
      </c>
      <c r="V26" s="55">
        <f t="shared" si="22"/>
        <v>900</v>
      </c>
      <c r="W26" s="55">
        <f t="shared" si="22"/>
        <v>900</v>
      </c>
      <c r="X26" s="55">
        <f t="shared" ref="X26:Y26" si="23">X9*1000/X8</f>
        <v>900</v>
      </c>
      <c r="Y26" s="55">
        <f t="shared" si="23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900.00000000000011</v>
      </c>
      <c r="D27" s="57">
        <f t="shared" ref="D27:W27" si="25">IF(SUM(D11)=0,"",D11*1000/D10)</f>
        <v>899.99999999999989</v>
      </c>
      <c r="E27" s="57">
        <f t="shared" si="25"/>
        <v>900.00000000000011</v>
      </c>
      <c r="F27" s="57">
        <f t="shared" si="25"/>
        <v>900</v>
      </c>
      <c r="G27" s="57">
        <f t="shared" si="25"/>
        <v>900</v>
      </c>
      <c r="H27" s="57">
        <f t="shared" si="25"/>
        <v>899.99999999999989</v>
      </c>
      <c r="I27" s="57">
        <f t="shared" si="25"/>
        <v>899.99999999999989</v>
      </c>
      <c r="J27" s="57">
        <f t="shared" si="25"/>
        <v>899.99999999999989</v>
      </c>
      <c r="K27" s="57">
        <f t="shared" si="25"/>
        <v>899.99999999999989</v>
      </c>
      <c r="L27" s="57">
        <f t="shared" si="25"/>
        <v>900</v>
      </c>
      <c r="M27" s="57">
        <f t="shared" si="25"/>
        <v>900</v>
      </c>
      <c r="N27" s="57">
        <f t="shared" si="25"/>
        <v>900</v>
      </c>
      <c r="O27" s="57">
        <f t="shared" si="25"/>
        <v>899.99999999999989</v>
      </c>
      <c r="P27" s="57">
        <f t="shared" si="25"/>
        <v>900</v>
      </c>
      <c r="Q27" s="57">
        <f t="shared" si="25"/>
        <v>900</v>
      </c>
      <c r="R27" s="57">
        <f t="shared" si="25"/>
        <v>899.99999999999989</v>
      </c>
      <c r="S27" s="57">
        <f t="shared" si="25"/>
        <v>900</v>
      </c>
      <c r="T27" s="57">
        <f t="shared" si="25"/>
        <v>899.99999999999989</v>
      </c>
      <c r="U27" s="57">
        <f t="shared" si="25"/>
        <v>900.00000000000011</v>
      </c>
      <c r="V27" s="57">
        <f t="shared" si="25"/>
        <v>900</v>
      </c>
      <c r="W27" s="57">
        <f t="shared" si="25"/>
        <v>900</v>
      </c>
      <c r="X27" s="57">
        <f t="shared" ref="X27:Y27" si="26">IF(SUM(X11)=0,"",X11*1000/X10)</f>
        <v>900</v>
      </c>
      <c r="Y27" s="57">
        <f t="shared" si="26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658.39656061908863</v>
      </c>
      <c r="C31" s="80">
        <f t="shared" ref="C31:W31" si="27">SUM(C32:C33,C36:C37,C44:C45)</f>
        <v>773.15683576956144</v>
      </c>
      <c r="D31" s="80">
        <f t="shared" si="27"/>
        <v>747.41195184866706</v>
      </c>
      <c r="E31" s="80">
        <f t="shared" si="27"/>
        <v>762.99406706792774</v>
      </c>
      <c r="F31" s="80">
        <f t="shared" si="27"/>
        <v>706.77446259673252</v>
      </c>
      <c r="G31" s="80">
        <f t="shared" si="27"/>
        <v>828.40472914875318</v>
      </c>
      <c r="H31" s="80">
        <f t="shared" si="27"/>
        <v>944.8226139294926</v>
      </c>
      <c r="I31" s="80">
        <f t="shared" si="27"/>
        <v>898.4331040412726</v>
      </c>
      <c r="J31" s="80">
        <f t="shared" si="27"/>
        <v>959.25578785897972</v>
      </c>
      <c r="K31" s="80">
        <f t="shared" si="27"/>
        <v>944.22983169198631</v>
      </c>
      <c r="L31" s="80">
        <f t="shared" si="27"/>
        <v>995.00987454613835</v>
      </c>
      <c r="M31" s="80">
        <f t="shared" si="27"/>
        <v>1053.951993802588</v>
      </c>
      <c r="N31" s="80">
        <f t="shared" si="27"/>
        <v>1025.5734608488872</v>
      </c>
      <c r="O31" s="80">
        <f t="shared" si="27"/>
        <v>964.10072200702984</v>
      </c>
      <c r="P31" s="80">
        <f t="shared" si="27"/>
        <v>928.06246774862734</v>
      </c>
      <c r="Q31" s="80">
        <f t="shared" si="27"/>
        <v>1001.6620931869768</v>
      </c>
      <c r="R31" s="80">
        <f t="shared" si="27"/>
        <v>1073.8704578696377</v>
      </c>
      <c r="S31" s="80">
        <f t="shared" si="27"/>
        <v>1078.4370749986683</v>
      </c>
      <c r="T31" s="80">
        <f t="shared" si="27"/>
        <v>1135.3258049598685</v>
      </c>
      <c r="U31" s="80">
        <f t="shared" si="27"/>
        <v>1158.8588643205921</v>
      </c>
      <c r="V31" s="80">
        <f t="shared" si="27"/>
        <v>952.05244282374485</v>
      </c>
      <c r="W31" s="80">
        <f t="shared" si="27"/>
        <v>1164.9614813656513</v>
      </c>
      <c r="X31" s="80">
        <f t="shared" ref="X31:Y31" si="28">SUM(X32:X33,X36:X37,X44:X45)</f>
        <v>1186.2897980116927</v>
      </c>
      <c r="Y31" s="80">
        <f t="shared" si="28"/>
        <v>1111.534491938067</v>
      </c>
      <c r="DA31" s="103" t="s">
        <v>199</v>
      </c>
    </row>
    <row r="32" spans="1:105" ht="12" customHeight="1" x14ac:dyDescent="0.25">
      <c r="A32" s="58" t="s">
        <v>29</v>
      </c>
      <c r="B32" s="59">
        <v>2.8149613069647463</v>
      </c>
      <c r="C32" s="59">
        <v>3.1125537403267409</v>
      </c>
      <c r="D32" s="59">
        <v>5.0740326741186585</v>
      </c>
      <c r="E32" s="59">
        <v>6.4040412725709368</v>
      </c>
      <c r="F32" s="59">
        <v>4.5505588993981076</v>
      </c>
      <c r="G32" s="59">
        <v>6.0177128116938938</v>
      </c>
      <c r="H32" s="59">
        <v>6.177214101461737</v>
      </c>
      <c r="I32" s="59">
        <v>2.9129836629406705</v>
      </c>
      <c r="J32" s="59">
        <v>5.5129836629406705</v>
      </c>
      <c r="K32" s="59">
        <v>4.580825451418745</v>
      </c>
      <c r="L32" s="59">
        <v>4.2755803955288041</v>
      </c>
      <c r="M32" s="59">
        <v>4.7995700773860701</v>
      </c>
      <c r="N32" s="59">
        <v>3.6009458297506445</v>
      </c>
      <c r="O32" s="59">
        <v>4.7784178847807386</v>
      </c>
      <c r="P32" s="59">
        <v>2.1204643164230443</v>
      </c>
      <c r="Q32" s="59">
        <v>5.5542562338779007</v>
      </c>
      <c r="R32" s="59">
        <v>5.9650902837489257</v>
      </c>
      <c r="S32" s="59">
        <v>3.9016337059329329</v>
      </c>
      <c r="T32" s="59">
        <v>2.5331040412725714</v>
      </c>
      <c r="U32" s="59">
        <v>3.8332760103181416</v>
      </c>
      <c r="V32" s="59">
        <v>3.2777300085984509</v>
      </c>
      <c r="W32" s="59">
        <v>2.5315563198624247</v>
      </c>
      <c r="X32" s="59">
        <v>1.5366294067067923</v>
      </c>
      <c r="Y32" s="59">
        <v>1.9144453998280311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94.437231298366299</v>
      </c>
      <c r="C33" s="55">
        <f t="shared" ref="C33:W33" si="29">SUM(C34:C35)</f>
        <v>173.17291487532242</v>
      </c>
      <c r="D33" s="55">
        <f t="shared" si="29"/>
        <v>108.03714531384351</v>
      </c>
      <c r="E33" s="55">
        <f t="shared" si="29"/>
        <v>63.936629406706778</v>
      </c>
      <c r="F33" s="55">
        <f t="shared" si="29"/>
        <v>37.634995700773857</v>
      </c>
      <c r="G33" s="55">
        <f t="shared" si="29"/>
        <v>34.111951848667239</v>
      </c>
      <c r="H33" s="55">
        <f t="shared" si="29"/>
        <v>64.691659501289763</v>
      </c>
      <c r="I33" s="55">
        <f t="shared" si="29"/>
        <v>47.671281169389495</v>
      </c>
      <c r="J33" s="55">
        <f t="shared" si="29"/>
        <v>60.695528804815126</v>
      </c>
      <c r="K33" s="55">
        <f t="shared" si="29"/>
        <v>65.066380051590713</v>
      </c>
      <c r="L33" s="55">
        <f t="shared" si="29"/>
        <v>45.521668099742037</v>
      </c>
      <c r="M33" s="55">
        <f t="shared" si="29"/>
        <v>35.528374892519345</v>
      </c>
      <c r="N33" s="55">
        <f t="shared" si="29"/>
        <v>35.72897678417884</v>
      </c>
      <c r="O33" s="55">
        <f t="shared" si="29"/>
        <v>23.789767841788475</v>
      </c>
      <c r="P33" s="55">
        <f t="shared" si="29"/>
        <v>16.552020636285469</v>
      </c>
      <c r="Q33" s="55">
        <f t="shared" si="29"/>
        <v>38.745571797076522</v>
      </c>
      <c r="R33" s="55">
        <f t="shared" si="29"/>
        <v>39.053740326741185</v>
      </c>
      <c r="S33" s="55">
        <f t="shared" si="29"/>
        <v>35.544883920894236</v>
      </c>
      <c r="T33" s="55">
        <f t="shared" si="29"/>
        <v>26.309544282029229</v>
      </c>
      <c r="U33" s="55">
        <f t="shared" si="29"/>
        <v>30.68263112639724</v>
      </c>
      <c r="V33" s="55">
        <f t="shared" si="29"/>
        <v>26.605846947549441</v>
      </c>
      <c r="W33" s="55">
        <f t="shared" si="29"/>
        <v>28.773946689595874</v>
      </c>
      <c r="X33" s="55">
        <f t="shared" ref="X33:Y33" si="30">SUM(X34:X35)</f>
        <v>34.981685296646603</v>
      </c>
      <c r="Y33" s="55">
        <f t="shared" si="30"/>
        <v>47.891487532244199</v>
      </c>
      <c r="DA33" s="101"/>
    </row>
    <row r="34" spans="1:105" ht="12" customHeight="1" x14ac:dyDescent="0.25">
      <c r="A34" s="61" t="s">
        <v>52</v>
      </c>
      <c r="B34" s="55">
        <v>1.129750644883921</v>
      </c>
      <c r="C34" s="55">
        <v>4.519002579535683</v>
      </c>
      <c r="D34" s="55">
        <v>1.129750644883921</v>
      </c>
      <c r="E34" s="55">
        <v>1.129750644883921</v>
      </c>
      <c r="F34" s="55">
        <v>2.4959587274290631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5.4934651762682716</v>
      </c>
      <c r="M34" s="55">
        <v>6.592175408426483</v>
      </c>
      <c r="N34" s="55">
        <v>12.085640584694749</v>
      </c>
      <c r="O34" s="55">
        <v>8.7895098882201186</v>
      </c>
      <c r="P34" s="55">
        <v>5.4934651762682716</v>
      </c>
      <c r="Q34" s="55">
        <v>5.4934651762682716</v>
      </c>
      <c r="R34" s="55">
        <v>6.592175408426483</v>
      </c>
      <c r="S34" s="55">
        <v>8.4093723129836633</v>
      </c>
      <c r="T34" s="55">
        <v>10.14643164230438</v>
      </c>
      <c r="U34" s="55">
        <v>10.426569217540839</v>
      </c>
      <c r="V34" s="55">
        <v>8.6236457437661223</v>
      </c>
      <c r="W34" s="55">
        <v>10.36835769561479</v>
      </c>
      <c r="X34" s="55">
        <v>12.25812553740327</v>
      </c>
      <c r="Y34" s="55">
        <v>13.7073086844368</v>
      </c>
      <c r="DA34" s="101" t="s">
        <v>201</v>
      </c>
    </row>
    <row r="35" spans="1:105" ht="12" customHeight="1" x14ac:dyDescent="0.25">
      <c r="A35" s="61" t="s">
        <v>163</v>
      </c>
      <c r="B35" s="55">
        <v>93.307480653482372</v>
      </c>
      <c r="C35" s="55">
        <v>168.65391229578674</v>
      </c>
      <c r="D35" s="55">
        <v>106.90739466895958</v>
      </c>
      <c r="E35" s="55">
        <v>62.806878761822858</v>
      </c>
      <c r="F35" s="55">
        <v>35.139036973344794</v>
      </c>
      <c r="G35" s="55">
        <v>34.111951848667239</v>
      </c>
      <c r="H35" s="55">
        <v>64.691659501289763</v>
      </c>
      <c r="I35" s="55">
        <v>47.671281169389495</v>
      </c>
      <c r="J35" s="55">
        <v>60.695528804815126</v>
      </c>
      <c r="K35" s="55">
        <v>65.066380051590713</v>
      </c>
      <c r="L35" s="55">
        <v>40.028202923473764</v>
      </c>
      <c r="M35" s="55">
        <v>28.93619948409286</v>
      </c>
      <c r="N35" s="55">
        <v>23.643336199484089</v>
      </c>
      <c r="O35" s="55">
        <v>15.000257953568356</v>
      </c>
      <c r="P35" s="55">
        <v>11.058555460017198</v>
      </c>
      <c r="Q35" s="55">
        <v>33.252106620808249</v>
      </c>
      <c r="R35" s="55">
        <v>32.4615649183147</v>
      </c>
      <c r="S35" s="55">
        <v>27.135511607910573</v>
      </c>
      <c r="T35" s="55">
        <v>16.163112639724851</v>
      </c>
      <c r="U35" s="55">
        <v>20.256061908856402</v>
      </c>
      <c r="V35" s="55">
        <v>17.982201203783319</v>
      </c>
      <c r="W35" s="55">
        <v>18.405588993981084</v>
      </c>
      <c r="X35" s="55">
        <v>22.723559759243333</v>
      </c>
      <c r="Y35" s="55">
        <v>34.184178847807402</v>
      </c>
      <c r="DA35" s="101" t="s">
        <v>202</v>
      </c>
    </row>
    <row r="36" spans="1:105" ht="12" customHeight="1" x14ac:dyDescent="0.25">
      <c r="A36" s="60" t="s">
        <v>149</v>
      </c>
      <c r="B36" s="55">
        <v>12.25262252794497</v>
      </c>
      <c r="C36" s="55">
        <v>17.54110060189166</v>
      </c>
      <c r="D36" s="55">
        <v>19.92699914015477</v>
      </c>
      <c r="E36" s="55">
        <v>28.031212381771279</v>
      </c>
      <c r="F36" s="55">
        <v>31.29853826311264</v>
      </c>
      <c r="G36" s="55">
        <v>43.572656921754081</v>
      </c>
      <c r="H36" s="55">
        <v>64.509716251074806</v>
      </c>
      <c r="I36" s="55">
        <v>70.185726569217536</v>
      </c>
      <c r="J36" s="55">
        <v>81.213069647463456</v>
      </c>
      <c r="K36" s="55">
        <v>66.035769561478929</v>
      </c>
      <c r="L36" s="55">
        <v>80.138521066208071</v>
      </c>
      <c r="M36" s="55">
        <v>82.566380051590698</v>
      </c>
      <c r="N36" s="55">
        <v>81.664058469475492</v>
      </c>
      <c r="O36" s="55">
        <v>77.988907996560613</v>
      </c>
      <c r="P36" s="55">
        <v>83.169733447979354</v>
      </c>
      <c r="Q36" s="55">
        <v>89.059759243336202</v>
      </c>
      <c r="R36" s="55">
        <v>89.617110920034392</v>
      </c>
      <c r="S36" s="55">
        <v>94.721410146173667</v>
      </c>
      <c r="T36" s="55">
        <v>97.792003439380892</v>
      </c>
      <c r="U36" s="55">
        <v>89.542304385210656</v>
      </c>
      <c r="V36" s="55">
        <v>84.90696474634565</v>
      </c>
      <c r="W36" s="55">
        <v>105.4628546861565</v>
      </c>
      <c r="X36" s="55">
        <v>98.188907996560602</v>
      </c>
      <c r="Y36" s="55">
        <v>87.332932072226996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9.6971625107480648</v>
      </c>
      <c r="C37" s="55">
        <f t="shared" ref="C37:W37" si="31">SUM(C38:C42)</f>
        <v>8.7895098882201186</v>
      </c>
      <c r="D37" s="55">
        <f t="shared" si="31"/>
        <v>7.9774720550300948</v>
      </c>
      <c r="E37" s="55">
        <f t="shared" si="31"/>
        <v>12.94548581255374</v>
      </c>
      <c r="F37" s="55">
        <f t="shared" si="31"/>
        <v>8.9567497850386903</v>
      </c>
      <c r="G37" s="55">
        <f t="shared" si="31"/>
        <v>46.216680997420454</v>
      </c>
      <c r="H37" s="55">
        <f t="shared" si="31"/>
        <v>50.874204643164234</v>
      </c>
      <c r="I37" s="55">
        <f t="shared" si="31"/>
        <v>47.601977644024061</v>
      </c>
      <c r="J37" s="55">
        <f t="shared" si="31"/>
        <v>53.573086844368014</v>
      </c>
      <c r="K37" s="55">
        <f t="shared" si="31"/>
        <v>47.506534823731712</v>
      </c>
      <c r="L37" s="55">
        <f t="shared" si="31"/>
        <v>47.67360275150471</v>
      </c>
      <c r="M37" s="55">
        <f t="shared" si="31"/>
        <v>50.539810834049888</v>
      </c>
      <c r="N37" s="55">
        <f t="shared" si="31"/>
        <v>89.73439380911438</v>
      </c>
      <c r="O37" s="55">
        <f t="shared" si="31"/>
        <v>71.128288907996591</v>
      </c>
      <c r="P37" s="55">
        <f t="shared" si="31"/>
        <v>49.918830610490112</v>
      </c>
      <c r="Q37" s="55">
        <f t="shared" si="31"/>
        <v>63.509114359415292</v>
      </c>
      <c r="R37" s="55">
        <f t="shared" si="31"/>
        <v>63.174806534823723</v>
      </c>
      <c r="S37" s="55">
        <f t="shared" si="31"/>
        <v>109.49337919174548</v>
      </c>
      <c r="T37" s="55">
        <f t="shared" si="31"/>
        <v>150.42932072226998</v>
      </c>
      <c r="U37" s="55">
        <f t="shared" si="31"/>
        <v>165.38667239896819</v>
      </c>
      <c r="V37" s="55">
        <f t="shared" si="31"/>
        <v>141.13766122098025</v>
      </c>
      <c r="W37" s="55">
        <f t="shared" si="31"/>
        <v>173.26087704213234</v>
      </c>
      <c r="X37" s="55">
        <f t="shared" ref="X37:Y37" si="32">SUM(X38:X42)</f>
        <v>208.70292347377469</v>
      </c>
      <c r="Y37" s="55">
        <f t="shared" si="32"/>
        <v>155.32777300085985</v>
      </c>
      <c r="DA37" s="101"/>
    </row>
    <row r="38" spans="1:105" ht="12" customHeight="1" x14ac:dyDescent="0.25">
      <c r="A38" s="61" t="s">
        <v>164</v>
      </c>
      <c r="B38" s="55">
        <v>9.6971625107480648</v>
      </c>
      <c r="C38" s="55">
        <v>8.7895098882201186</v>
      </c>
      <c r="D38" s="55">
        <v>7.9774720550300948</v>
      </c>
      <c r="E38" s="55">
        <v>12.94548581255374</v>
      </c>
      <c r="F38" s="55">
        <v>8.9567497850386903</v>
      </c>
      <c r="G38" s="55">
        <v>13.542562338779017</v>
      </c>
      <c r="H38" s="55">
        <v>18.200085984522797</v>
      </c>
      <c r="I38" s="55">
        <v>14.92785898538262</v>
      </c>
      <c r="J38" s="55">
        <v>20.898968185726574</v>
      </c>
      <c r="K38" s="55">
        <v>14.689079965606183</v>
      </c>
      <c r="L38" s="55">
        <v>10.150902837489234</v>
      </c>
      <c r="M38" s="55">
        <v>10.365950128976799</v>
      </c>
      <c r="N38" s="55">
        <v>49.10670679277731</v>
      </c>
      <c r="O38" s="55">
        <v>27.300085984522809</v>
      </c>
      <c r="P38" s="55">
        <v>5.6845227858985368</v>
      </c>
      <c r="Q38" s="55">
        <v>14.163542562338762</v>
      </c>
      <c r="R38" s="55">
        <v>8.5984522785898463</v>
      </c>
      <c r="S38" s="55">
        <v>58.639552880481503</v>
      </c>
      <c r="T38" s="55">
        <v>97.351504729148743</v>
      </c>
      <c r="U38" s="55">
        <v>112.54720550300945</v>
      </c>
      <c r="V38" s="55">
        <v>85.509028374892537</v>
      </c>
      <c r="W38" s="55">
        <v>117.11332760103173</v>
      </c>
      <c r="X38" s="55">
        <v>150.18426483233017</v>
      </c>
      <c r="Y38" s="55">
        <v>95.653482373172835</v>
      </c>
      <c r="DA38" s="101" t="s">
        <v>204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0.14333619948409279</v>
      </c>
      <c r="L39" s="55">
        <v>1.0748065348237319</v>
      </c>
      <c r="M39" s="55">
        <v>1.337575236457438</v>
      </c>
      <c r="N39" s="55">
        <v>2.3903697334479789E-2</v>
      </c>
      <c r="O39" s="55">
        <v>0.28658641444539978</v>
      </c>
      <c r="P39" s="55">
        <v>0.5493551160791057</v>
      </c>
      <c r="Q39" s="55">
        <v>3.7737747205503012</v>
      </c>
      <c r="R39" s="55">
        <v>7.2131556319862424</v>
      </c>
      <c r="S39" s="55">
        <v>2.7185726569217539</v>
      </c>
      <c r="T39" s="55">
        <v>3.9839208942390369</v>
      </c>
      <c r="U39" s="55">
        <v>2.603439380911436</v>
      </c>
      <c r="V39" s="55">
        <v>4.0263972484952708</v>
      </c>
      <c r="W39" s="55">
        <v>3.1208942390369732</v>
      </c>
      <c r="X39" s="55">
        <v>3.3511607910576089</v>
      </c>
      <c r="Y39" s="55">
        <v>3.2811693895098881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  <c r="DA40" s="101" t="s">
        <v>206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3.7737747205503012</v>
      </c>
      <c r="M41" s="55">
        <v>5.8755803955288046</v>
      </c>
      <c r="N41" s="55">
        <v>7.1653482373172821</v>
      </c>
      <c r="O41" s="55">
        <v>10.103181427343079</v>
      </c>
      <c r="P41" s="55">
        <v>10.24651762682717</v>
      </c>
      <c r="Q41" s="55">
        <v>12.13336199484093</v>
      </c>
      <c r="R41" s="55">
        <v>12.73052450558899</v>
      </c>
      <c r="S41" s="55">
        <v>13.50257953568358</v>
      </c>
      <c r="T41" s="55">
        <v>14.46122098022356</v>
      </c>
      <c r="U41" s="55">
        <v>15.125709372312979</v>
      </c>
      <c r="V41" s="55">
        <v>15.89475494411006</v>
      </c>
      <c r="W41" s="55">
        <v>16.92244196044712</v>
      </c>
      <c r="X41" s="55">
        <v>18.5743766122098</v>
      </c>
      <c r="Y41" s="55">
        <v>19.278761822871878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32.67411865864144</v>
      </c>
      <c r="H42" s="55">
        <v>32.67411865864144</v>
      </c>
      <c r="I42" s="55">
        <v>32.67411865864144</v>
      </c>
      <c r="J42" s="55">
        <v>32.67411865864144</v>
      </c>
      <c r="K42" s="55">
        <v>32.67411865864144</v>
      </c>
      <c r="L42" s="55">
        <v>32.67411865864144</v>
      </c>
      <c r="M42" s="55">
        <v>32.960705073086842</v>
      </c>
      <c r="N42" s="55">
        <v>33.438435081685299</v>
      </c>
      <c r="O42" s="55">
        <v>33.438435081685299</v>
      </c>
      <c r="P42" s="55">
        <v>33.438435081685299</v>
      </c>
      <c r="Q42" s="55">
        <v>33.438435081685299</v>
      </c>
      <c r="R42" s="55">
        <v>34.632674118658642</v>
      </c>
      <c r="S42" s="55">
        <v>34.632674118658642</v>
      </c>
      <c r="T42" s="55">
        <v>34.632674118658642</v>
      </c>
      <c r="U42" s="55">
        <v>35.110318142734307</v>
      </c>
      <c r="V42" s="55">
        <v>35.707480653482371</v>
      </c>
      <c r="W42" s="55">
        <v>36.104213241616513</v>
      </c>
      <c r="X42" s="55">
        <v>36.593121238177133</v>
      </c>
      <c r="Y42" s="55">
        <v>37.114359415305238</v>
      </c>
      <c r="DA42" s="101" t="s">
        <v>208</v>
      </c>
    </row>
    <row r="43" spans="1:105" ht="12" customHeight="1" x14ac:dyDescent="0.25">
      <c r="A43" s="61" t="s">
        <v>151</v>
      </c>
      <c r="B43" s="309">
        <v>1.5029224080122017</v>
      </c>
      <c r="C43" s="309">
        <v>1.8505850069097178</v>
      </c>
      <c r="D43" s="55">
        <v>5.430281231194023</v>
      </c>
      <c r="E43" s="55">
        <v>9.8240392036965893</v>
      </c>
      <c r="F43" s="55">
        <v>12.777300085984507</v>
      </c>
      <c r="G43" s="55">
        <v>16.749785038693023</v>
      </c>
      <c r="H43" s="55">
        <v>22.570937231298359</v>
      </c>
      <c r="I43" s="55">
        <v>24.703353396388664</v>
      </c>
      <c r="J43" s="55">
        <v>27.575236457437647</v>
      </c>
      <c r="K43" s="55">
        <v>32.287188306104909</v>
      </c>
      <c r="L43" s="55">
        <v>37.790197764402357</v>
      </c>
      <c r="M43" s="55">
        <v>42.45915735167673</v>
      </c>
      <c r="N43" s="55">
        <v>46.964746345657758</v>
      </c>
      <c r="O43" s="55">
        <v>64.488392089423911</v>
      </c>
      <c r="P43" s="55">
        <v>65.004299226139295</v>
      </c>
      <c r="Q43" s="55">
        <v>74.85821152192598</v>
      </c>
      <c r="R43" s="55">
        <v>81.184694754944104</v>
      </c>
      <c r="S43" s="55">
        <v>87.409028374892443</v>
      </c>
      <c r="T43" s="55">
        <v>92.39595872742899</v>
      </c>
      <c r="U43" s="55">
        <v>105.53748925193455</v>
      </c>
      <c r="V43" s="55">
        <v>111.59845227858995</v>
      </c>
      <c r="W43" s="55">
        <v>130.88736027515046</v>
      </c>
      <c r="X43" s="55">
        <v>153.85924333619937</v>
      </c>
      <c r="Y43" s="55">
        <v>169.52244196044717</v>
      </c>
      <c r="DA43" s="101" t="s">
        <v>209</v>
      </c>
    </row>
    <row r="44" spans="1:105" ht="12" customHeight="1" x14ac:dyDescent="0.25">
      <c r="A44" s="60" t="s">
        <v>162</v>
      </c>
      <c r="B44" s="55">
        <v>99.383748925193473</v>
      </c>
      <c r="C44" s="55">
        <v>128.23637145313839</v>
      </c>
      <c r="D44" s="55">
        <v>121.3576096302665</v>
      </c>
      <c r="E44" s="55">
        <v>136.7153912295787</v>
      </c>
      <c r="F44" s="55">
        <v>123.81771281169389</v>
      </c>
      <c r="G44" s="55">
        <v>166.06956147893379</v>
      </c>
      <c r="H44" s="55">
        <v>162.00920034393809</v>
      </c>
      <c r="I44" s="55">
        <v>124.12820292347379</v>
      </c>
      <c r="J44" s="55">
        <v>110.8006018916595</v>
      </c>
      <c r="K44" s="55">
        <v>115.4581255374033</v>
      </c>
      <c r="L44" s="55">
        <v>114.7177128116939</v>
      </c>
      <c r="M44" s="55">
        <v>148.39492691315559</v>
      </c>
      <c r="N44" s="55">
        <v>109.51083404987099</v>
      </c>
      <c r="O44" s="55">
        <v>102.7276010318143</v>
      </c>
      <c r="P44" s="55">
        <v>101.89165950128979</v>
      </c>
      <c r="Q44" s="55">
        <v>112.52029234737751</v>
      </c>
      <c r="R44" s="55">
        <v>146.7469475494411</v>
      </c>
      <c r="S44" s="55">
        <v>111.7023215821152</v>
      </c>
      <c r="T44" s="55">
        <v>133.5406706792777</v>
      </c>
      <c r="U44" s="55">
        <v>120.5928632846088</v>
      </c>
      <c r="V44" s="55">
        <v>98.495270851246772</v>
      </c>
      <c r="W44" s="55">
        <v>123.8050730868444</v>
      </c>
      <c r="X44" s="55">
        <v>124.1015477214101</v>
      </c>
      <c r="Y44" s="55">
        <v>122.8644883920894</v>
      </c>
      <c r="DA44" s="101" t="s">
        <v>210</v>
      </c>
    </row>
    <row r="45" spans="1:105" ht="12" customHeight="1" x14ac:dyDescent="0.25">
      <c r="A45" s="62" t="s">
        <v>24</v>
      </c>
      <c r="B45" s="63">
        <v>439.810834049871</v>
      </c>
      <c r="C45" s="63">
        <v>442.30438521066208</v>
      </c>
      <c r="D45" s="63">
        <v>485.03869303525357</v>
      </c>
      <c r="E45" s="63">
        <v>514.96130696474631</v>
      </c>
      <c r="F45" s="63">
        <v>500.51590713671533</v>
      </c>
      <c r="G45" s="63">
        <v>532.4161650902837</v>
      </c>
      <c r="H45" s="63">
        <v>596.56061908856395</v>
      </c>
      <c r="I45" s="63">
        <v>605.932932072227</v>
      </c>
      <c r="J45" s="63">
        <v>647.46051700773296</v>
      </c>
      <c r="K45" s="63">
        <v>645.58219626636287</v>
      </c>
      <c r="L45" s="63">
        <v>702.68278942146082</v>
      </c>
      <c r="M45" s="63">
        <v>732.12293103388652</v>
      </c>
      <c r="N45" s="63">
        <v>705.33425190649677</v>
      </c>
      <c r="O45" s="63">
        <v>683.6877383440891</v>
      </c>
      <c r="P45" s="63">
        <v>674.40975923615952</v>
      </c>
      <c r="Q45" s="63">
        <v>692.27309920589335</v>
      </c>
      <c r="R45" s="63">
        <v>729.31276225484828</v>
      </c>
      <c r="S45" s="63">
        <v>723.07344645180683</v>
      </c>
      <c r="T45" s="63">
        <v>724.72116179563807</v>
      </c>
      <c r="U45" s="63">
        <v>748.82111711508924</v>
      </c>
      <c r="V45" s="63">
        <v>597.62896904902425</v>
      </c>
      <c r="W45" s="63">
        <v>731.12717354105962</v>
      </c>
      <c r="X45" s="63">
        <v>718.77810411659391</v>
      </c>
      <c r="Y45" s="63">
        <v>696.2033655408186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658.39656061908863</v>
      </c>
      <c r="C47" s="82">
        <f t="shared" ref="C47:W47" si="34">SUM(C48,C53)</f>
        <v>773.15683576956155</v>
      </c>
      <c r="D47" s="82">
        <f t="shared" si="34"/>
        <v>747.41195184866706</v>
      </c>
      <c r="E47" s="82">
        <f t="shared" si="34"/>
        <v>762.99406706792763</v>
      </c>
      <c r="F47" s="82">
        <f t="shared" si="34"/>
        <v>706.77446259673252</v>
      </c>
      <c r="G47" s="82">
        <f t="shared" si="34"/>
        <v>828.40472914875318</v>
      </c>
      <c r="H47" s="82">
        <f t="shared" si="34"/>
        <v>944.82261392949249</v>
      </c>
      <c r="I47" s="82">
        <f t="shared" si="34"/>
        <v>898.4331040412726</v>
      </c>
      <c r="J47" s="82">
        <f t="shared" si="34"/>
        <v>959.25578785897972</v>
      </c>
      <c r="K47" s="82">
        <f t="shared" si="34"/>
        <v>944.22983169198642</v>
      </c>
      <c r="L47" s="82">
        <f t="shared" si="34"/>
        <v>995.00987454613846</v>
      </c>
      <c r="M47" s="82">
        <f t="shared" si="34"/>
        <v>1053.9519938025883</v>
      </c>
      <c r="N47" s="82">
        <f t="shared" si="34"/>
        <v>1025.5734608488872</v>
      </c>
      <c r="O47" s="82">
        <f t="shared" si="34"/>
        <v>964.10072200702973</v>
      </c>
      <c r="P47" s="82">
        <f t="shared" si="34"/>
        <v>928.06246774862711</v>
      </c>
      <c r="Q47" s="82">
        <f t="shared" si="34"/>
        <v>1001.6620931869767</v>
      </c>
      <c r="R47" s="82">
        <f t="shared" si="34"/>
        <v>1073.8704578696377</v>
      </c>
      <c r="S47" s="82">
        <f t="shared" si="34"/>
        <v>1078.4370749986685</v>
      </c>
      <c r="T47" s="82">
        <f t="shared" si="34"/>
        <v>1135.3258049598685</v>
      </c>
      <c r="U47" s="82">
        <f t="shared" si="34"/>
        <v>1158.8588643205921</v>
      </c>
      <c r="V47" s="82">
        <f t="shared" si="34"/>
        <v>952.05244282374485</v>
      </c>
      <c r="W47" s="82">
        <f t="shared" si="34"/>
        <v>1164.9614813656513</v>
      </c>
      <c r="X47" s="82">
        <f t="shared" ref="X47:Y47" si="35">SUM(X48,X53)</f>
        <v>1186.2897980116925</v>
      </c>
      <c r="Y47" s="82">
        <f t="shared" si="35"/>
        <v>1111.534491938067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437.97470793623575</v>
      </c>
      <c r="C48" s="64">
        <f t="shared" ref="C48:W48" si="37">SUM(C49:C52)</f>
        <v>543.38755901892455</v>
      </c>
      <c r="D48" s="64">
        <f t="shared" si="37"/>
        <v>507.46259684154404</v>
      </c>
      <c r="E48" s="64">
        <f t="shared" si="37"/>
        <v>510.88324012222768</v>
      </c>
      <c r="F48" s="64">
        <f t="shared" si="37"/>
        <v>440.07574186153181</v>
      </c>
      <c r="G48" s="64">
        <f t="shared" si="37"/>
        <v>545.87327848267523</v>
      </c>
      <c r="H48" s="64">
        <f t="shared" si="37"/>
        <v>644.17877870649022</v>
      </c>
      <c r="I48" s="64">
        <f t="shared" si="37"/>
        <v>580.35474649599905</v>
      </c>
      <c r="J48" s="64">
        <f t="shared" si="37"/>
        <v>626.92136124107958</v>
      </c>
      <c r="K48" s="64">
        <f t="shared" si="37"/>
        <v>603.22617887941578</v>
      </c>
      <c r="L48" s="64">
        <f t="shared" si="37"/>
        <v>646.76815659571571</v>
      </c>
      <c r="M48" s="64">
        <f t="shared" si="37"/>
        <v>697.76084847873858</v>
      </c>
      <c r="N48" s="64">
        <f t="shared" si="37"/>
        <v>663.71838066937823</v>
      </c>
      <c r="O48" s="64">
        <f t="shared" si="37"/>
        <v>595.95365228483183</v>
      </c>
      <c r="P48" s="64">
        <f t="shared" si="37"/>
        <v>550.9443263568794</v>
      </c>
      <c r="Q48" s="64">
        <f t="shared" si="37"/>
        <v>610.92213367946488</v>
      </c>
      <c r="R48" s="64">
        <f t="shared" si="37"/>
        <v>678.2687754360486</v>
      </c>
      <c r="S48" s="64">
        <f t="shared" si="37"/>
        <v>682.15342573703822</v>
      </c>
      <c r="T48" s="64">
        <f t="shared" si="37"/>
        <v>741.94212824045485</v>
      </c>
      <c r="U48" s="64">
        <f t="shared" si="37"/>
        <v>776.11252428343607</v>
      </c>
      <c r="V48" s="64">
        <f t="shared" si="37"/>
        <v>618.20669007978222</v>
      </c>
      <c r="W48" s="64">
        <f t="shared" si="37"/>
        <v>802.06205381859615</v>
      </c>
      <c r="X48" s="64">
        <f t="shared" ref="X48:Y48" si="38">SUM(X49:X52)</f>
        <v>828.47010486250133</v>
      </c>
      <c r="Y48" s="64">
        <f t="shared" si="38"/>
        <v>761.04133086022125</v>
      </c>
      <c r="DA48" s="108" t="s">
        <v>213</v>
      </c>
    </row>
    <row r="49" spans="1:105" ht="12" customHeight="1" x14ac:dyDescent="0.25">
      <c r="A49" s="61" t="s">
        <v>32</v>
      </c>
      <c r="B49" s="65">
        <v>261.36645489655979</v>
      </c>
      <c r="C49" s="65">
        <v>359.6053722520615</v>
      </c>
      <c r="D49" s="65">
        <v>322.60270158055573</v>
      </c>
      <c r="E49" s="65">
        <v>318.1560239539445</v>
      </c>
      <c r="F49" s="65">
        <v>242.04935160198013</v>
      </c>
      <c r="G49" s="65">
        <v>342.08149287635456</v>
      </c>
      <c r="H49" s="65">
        <v>427.85543559568703</v>
      </c>
      <c r="I49" s="65">
        <v>340.82394014028728</v>
      </c>
      <c r="J49" s="65">
        <v>387.35781034860463</v>
      </c>
      <c r="K49" s="65">
        <v>357.3324347386058</v>
      </c>
      <c r="L49" s="65">
        <v>382.96553753685657</v>
      </c>
      <c r="M49" s="65">
        <v>432.18413596905009</v>
      </c>
      <c r="N49" s="65">
        <v>369.86469692665975</v>
      </c>
      <c r="O49" s="65">
        <v>321.38821726597382</v>
      </c>
      <c r="P49" s="65">
        <v>279.91503442129346</v>
      </c>
      <c r="Q49" s="65">
        <v>325.66737137658635</v>
      </c>
      <c r="R49" s="65">
        <v>391.0460316556144</v>
      </c>
      <c r="S49" s="65">
        <v>385.07350760097734</v>
      </c>
      <c r="T49" s="65">
        <v>442.23615643548118</v>
      </c>
      <c r="U49" s="65">
        <v>469.96492905758151</v>
      </c>
      <c r="V49" s="65">
        <v>354.58816627980377</v>
      </c>
      <c r="W49" s="65">
        <v>505.70102492569271</v>
      </c>
      <c r="X49" s="65">
        <v>522.04191622206577</v>
      </c>
      <c r="Y49" s="65">
        <v>451.68411323820624</v>
      </c>
      <c r="DA49" s="109" t="s">
        <v>214</v>
      </c>
    </row>
    <row r="50" spans="1:105" ht="12" customHeight="1" x14ac:dyDescent="0.25">
      <c r="A50" s="61" t="s">
        <v>31</v>
      </c>
      <c r="B50" s="65">
        <v>12.338525268310052</v>
      </c>
      <c r="C50" s="65">
        <v>12.244667148740811</v>
      </c>
      <c r="D50" s="65">
        <v>9.6115750947370984</v>
      </c>
      <c r="E50" s="65">
        <v>11.71795410548534</v>
      </c>
      <c r="F50" s="65">
        <v>10.433966238710498</v>
      </c>
      <c r="G50" s="65">
        <v>11.374058172167688</v>
      </c>
      <c r="H50" s="65">
        <v>14.25309463500923</v>
      </c>
      <c r="I50" s="65">
        <v>28.620564596188931</v>
      </c>
      <c r="J50" s="65">
        <v>19.204281060960788</v>
      </c>
      <c r="K50" s="65">
        <v>17.448688956313593</v>
      </c>
      <c r="L50" s="65">
        <v>22.354146670320915</v>
      </c>
      <c r="M50" s="65">
        <v>19.067864685758423</v>
      </c>
      <c r="N50" s="65">
        <v>40.168330868246173</v>
      </c>
      <c r="O50" s="65">
        <v>19.492763824413199</v>
      </c>
      <c r="P50" s="65">
        <v>17.913316496692719</v>
      </c>
      <c r="Q50" s="65">
        <v>25.676505527384819</v>
      </c>
      <c r="R50" s="65">
        <v>23.580720569743853</v>
      </c>
      <c r="S50" s="65">
        <v>24.426759507271054</v>
      </c>
      <c r="T50" s="65">
        <v>18.075147498122629</v>
      </c>
      <c r="U50" s="65">
        <v>19.807950948207143</v>
      </c>
      <c r="V50" s="65">
        <v>19.058603382891228</v>
      </c>
      <c r="W50" s="65">
        <v>26.288656853832975</v>
      </c>
      <c r="X50" s="65">
        <v>24.180038287236187</v>
      </c>
      <c r="Y50" s="65">
        <v>29.813054281267579</v>
      </c>
      <c r="DA50" s="109" t="s">
        <v>215</v>
      </c>
    </row>
    <row r="51" spans="1:105" ht="12" customHeight="1" x14ac:dyDescent="0.25">
      <c r="A51" s="61" t="s">
        <v>35</v>
      </c>
      <c r="B51" s="65">
        <v>82.316627970048131</v>
      </c>
      <c r="C51" s="65">
        <v>84.481209300285144</v>
      </c>
      <c r="D51" s="65">
        <v>87.164267665285436</v>
      </c>
      <c r="E51" s="65">
        <v>89.529458877667906</v>
      </c>
      <c r="F51" s="65">
        <v>90.868658882438083</v>
      </c>
      <c r="G51" s="65">
        <v>94.855382902490504</v>
      </c>
      <c r="H51" s="65">
        <v>100.51108762957324</v>
      </c>
      <c r="I51" s="65">
        <v>105.65994432841993</v>
      </c>
      <c r="J51" s="65">
        <v>109.21119171949999</v>
      </c>
      <c r="K51" s="65">
        <v>113.90830104693228</v>
      </c>
      <c r="L51" s="65">
        <v>119.62209421110255</v>
      </c>
      <c r="M51" s="65">
        <v>122.25039613646737</v>
      </c>
      <c r="N51" s="65">
        <v>122.18971554060428</v>
      </c>
      <c r="O51" s="65">
        <v>123.43091780786312</v>
      </c>
      <c r="P51" s="65">
        <v>122.91458345122641</v>
      </c>
      <c r="Q51" s="65">
        <v>126.60218518331021</v>
      </c>
      <c r="R51" s="65">
        <v>128.09329508834577</v>
      </c>
      <c r="S51" s="65">
        <v>130.31245794758917</v>
      </c>
      <c r="T51" s="65">
        <v>131.40257899140042</v>
      </c>
      <c r="U51" s="65">
        <v>133.31680308529423</v>
      </c>
      <c r="V51" s="65">
        <v>116.10447341432075</v>
      </c>
      <c r="W51" s="65">
        <v>125.42641904108594</v>
      </c>
      <c r="X51" s="65">
        <v>129.06815333048957</v>
      </c>
      <c r="Y51" s="65">
        <v>131.42189726370219</v>
      </c>
      <c r="DA51" s="109" t="s">
        <v>216</v>
      </c>
    </row>
    <row r="52" spans="1:105" ht="12" customHeight="1" x14ac:dyDescent="0.25">
      <c r="A52" s="66" t="s">
        <v>34</v>
      </c>
      <c r="B52" s="67">
        <v>81.953099801317791</v>
      </c>
      <c r="C52" s="67">
        <v>87.056310317837045</v>
      </c>
      <c r="D52" s="67">
        <v>88.084052500965839</v>
      </c>
      <c r="E52" s="67">
        <v>91.47980318513001</v>
      </c>
      <c r="F52" s="67">
        <v>96.723765138403095</v>
      </c>
      <c r="G52" s="67">
        <v>97.562344531662433</v>
      </c>
      <c r="H52" s="67">
        <v>101.55916084622071</v>
      </c>
      <c r="I52" s="67">
        <v>105.25029743110291</v>
      </c>
      <c r="J52" s="67">
        <v>111.14807811201413</v>
      </c>
      <c r="K52" s="67">
        <v>114.53675413756406</v>
      </c>
      <c r="L52" s="67">
        <v>121.82637817743567</v>
      </c>
      <c r="M52" s="67">
        <v>124.25845168746258</v>
      </c>
      <c r="N52" s="67">
        <v>131.49563733386802</v>
      </c>
      <c r="O52" s="67">
        <v>131.64175338658166</v>
      </c>
      <c r="P52" s="67">
        <v>130.20139198766682</v>
      </c>
      <c r="Q52" s="67">
        <v>132.97607159218356</v>
      </c>
      <c r="R52" s="67">
        <v>135.5487281223445</v>
      </c>
      <c r="S52" s="67">
        <v>142.34070068120067</v>
      </c>
      <c r="T52" s="67">
        <v>150.22824531545058</v>
      </c>
      <c r="U52" s="67">
        <v>153.02284119235321</v>
      </c>
      <c r="V52" s="67">
        <v>128.45544700276639</v>
      </c>
      <c r="W52" s="67">
        <v>144.64595299798452</v>
      </c>
      <c r="X52" s="67">
        <v>153.17999702270987</v>
      </c>
      <c r="Y52" s="67">
        <v>148.12226607704525</v>
      </c>
      <c r="DA52" s="110" t="s">
        <v>217</v>
      </c>
    </row>
    <row r="53" spans="1:105" ht="12" customHeight="1" x14ac:dyDescent="0.25">
      <c r="A53" s="78" t="s">
        <v>33</v>
      </c>
      <c r="B53" s="68">
        <v>220.42185268285286</v>
      </c>
      <c r="C53" s="68">
        <v>229.76927675063698</v>
      </c>
      <c r="D53" s="68">
        <v>239.94935500712299</v>
      </c>
      <c r="E53" s="68">
        <v>252.11082694569996</v>
      </c>
      <c r="F53" s="68">
        <v>266.69872073520071</v>
      </c>
      <c r="G53" s="68">
        <v>282.531450666078</v>
      </c>
      <c r="H53" s="68">
        <v>300.64383522300227</v>
      </c>
      <c r="I53" s="68">
        <v>318.07835754527355</v>
      </c>
      <c r="J53" s="68">
        <v>332.33442661790014</v>
      </c>
      <c r="K53" s="68">
        <v>341.00365281257064</v>
      </c>
      <c r="L53" s="68">
        <v>348.2417179504227</v>
      </c>
      <c r="M53" s="68">
        <v>356.19114532384975</v>
      </c>
      <c r="N53" s="68">
        <v>361.85508017950895</v>
      </c>
      <c r="O53" s="68">
        <v>368.1470697221979</v>
      </c>
      <c r="P53" s="68">
        <v>377.11814139174771</v>
      </c>
      <c r="Q53" s="68">
        <v>390.7399595075118</v>
      </c>
      <c r="R53" s="68">
        <v>395.60168243358908</v>
      </c>
      <c r="S53" s="68">
        <v>396.28364926163027</v>
      </c>
      <c r="T53" s="68">
        <v>393.38367671941376</v>
      </c>
      <c r="U53" s="68">
        <v>382.74634003715619</v>
      </c>
      <c r="V53" s="68">
        <v>333.84575274396263</v>
      </c>
      <c r="W53" s="68">
        <v>362.89942754705498</v>
      </c>
      <c r="X53" s="68">
        <v>357.81969314919115</v>
      </c>
      <c r="Y53" s="68">
        <v>350.4931610778458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0.66521414924222755</v>
      </c>
      <c r="C56" s="70">
        <f t="shared" ref="C56:W56" si="43">IF(C48=0,0,C48/C$47)</f>
        <v>0.70281672990456567</v>
      </c>
      <c r="D56" s="70">
        <f t="shared" si="43"/>
        <v>0.67895970299427721</v>
      </c>
      <c r="E56" s="70">
        <f t="shared" si="43"/>
        <v>0.66957694977298543</v>
      </c>
      <c r="F56" s="70">
        <f t="shared" si="43"/>
        <v>0.62265371083820242</v>
      </c>
      <c r="G56" s="70">
        <f t="shared" si="43"/>
        <v>0.65894514996745635</v>
      </c>
      <c r="H56" s="70">
        <f t="shared" si="43"/>
        <v>0.68179864580862171</v>
      </c>
      <c r="I56" s="70">
        <f t="shared" si="43"/>
        <v>0.64596322629418435</v>
      </c>
      <c r="J56" s="70">
        <f t="shared" si="43"/>
        <v>0.65354973008851247</v>
      </c>
      <c r="K56" s="70">
        <f t="shared" si="43"/>
        <v>0.6388552433240553</v>
      </c>
      <c r="L56" s="70">
        <f t="shared" si="43"/>
        <v>0.65001179700928202</v>
      </c>
      <c r="M56" s="70">
        <f t="shared" si="43"/>
        <v>0.66204234403624407</v>
      </c>
      <c r="N56" s="70">
        <f t="shared" si="43"/>
        <v>0.64716805378330045</v>
      </c>
      <c r="O56" s="70">
        <f t="shared" si="43"/>
        <v>0.61814459701284863</v>
      </c>
      <c r="P56" s="70">
        <f t="shared" si="43"/>
        <v>0.59365004566277424</v>
      </c>
      <c r="Q56" s="70">
        <f t="shared" si="43"/>
        <v>0.60990840906807309</v>
      </c>
      <c r="R56" s="70">
        <f t="shared" si="43"/>
        <v>0.63161135541581959</v>
      </c>
      <c r="S56" s="70">
        <f t="shared" si="43"/>
        <v>0.63253892280908497</v>
      </c>
      <c r="T56" s="70">
        <f t="shared" si="43"/>
        <v>0.65350591433679339</v>
      </c>
      <c r="U56" s="70">
        <f t="shared" si="43"/>
        <v>0.66972135104515085</v>
      </c>
      <c r="V56" s="70">
        <f t="shared" si="43"/>
        <v>0.64934100504611791</v>
      </c>
      <c r="W56" s="70">
        <f t="shared" si="43"/>
        <v>0.68848804586943213</v>
      </c>
      <c r="X56" s="70">
        <f t="shared" ref="X56:Y56" si="44">IF(X48=0,0,X48/X$47)</f>
        <v>0.69837075750889632</v>
      </c>
      <c r="Y56" s="70">
        <f t="shared" si="44"/>
        <v>0.68467630683531255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0.39697421057424354</v>
      </c>
      <c r="C57" s="71">
        <f t="shared" ref="C57:W57" si="46">IF(C49=0,0,C49/C$47)</f>
        <v>0.46511309945818219</v>
      </c>
      <c r="D57" s="71">
        <f t="shared" si="46"/>
        <v>0.43162636185121511</v>
      </c>
      <c r="E57" s="71">
        <f t="shared" si="46"/>
        <v>0.41698361453395127</v>
      </c>
      <c r="F57" s="71">
        <f t="shared" si="46"/>
        <v>0.34247042643939912</v>
      </c>
      <c r="G57" s="71">
        <f t="shared" si="46"/>
        <v>0.41294005314029109</v>
      </c>
      <c r="H57" s="71">
        <f t="shared" si="46"/>
        <v>0.45284207774859186</v>
      </c>
      <c r="I57" s="71">
        <f t="shared" si="46"/>
        <v>0.3793537199455535</v>
      </c>
      <c r="J57" s="71">
        <f t="shared" si="46"/>
        <v>0.40381076168763252</v>
      </c>
      <c r="K57" s="71">
        <f t="shared" si="46"/>
        <v>0.37843798484770796</v>
      </c>
      <c r="L57" s="71">
        <f t="shared" si="46"/>
        <v>0.38488616779963275</v>
      </c>
      <c r="M57" s="71">
        <f t="shared" si="46"/>
        <v>0.41006055162888266</v>
      </c>
      <c r="N57" s="71">
        <f t="shared" si="46"/>
        <v>0.36064183702697955</v>
      </c>
      <c r="O57" s="71">
        <f t="shared" si="46"/>
        <v>0.33335543676071472</v>
      </c>
      <c r="P57" s="71">
        <f t="shared" si="46"/>
        <v>0.30161227735061324</v>
      </c>
      <c r="Q57" s="71">
        <f t="shared" si="46"/>
        <v>0.32512698003816259</v>
      </c>
      <c r="R57" s="71">
        <f t="shared" si="46"/>
        <v>0.36414637239521247</v>
      </c>
      <c r="S57" s="71">
        <f t="shared" si="46"/>
        <v>0.3570662735250017</v>
      </c>
      <c r="T57" s="71">
        <f t="shared" si="46"/>
        <v>0.38952356627806356</v>
      </c>
      <c r="U57" s="71">
        <f t="shared" si="46"/>
        <v>0.40554112629850686</v>
      </c>
      <c r="V57" s="71">
        <f t="shared" si="46"/>
        <v>0.37244604428313965</v>
      </c>
      <c r="W57" s="71">
        <f t="shared" si="46"/>
        <v>0.43409248547245849</v>
      </c>
      <c r="X57" s="71">
        <f t="shared" ref="X57:Y57" si="47">IF(X49=0,0,X49/X$47)</f>
        <v>0.44006272084363007</v>
      </c>
      <c r="Y57" s="71">
        <f t="shared" si="47"/>
        <v>0.40636086105672858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1.8740263856646164E-2</v>
      </c>
      <c r="C58" s="72">
        <f t="shared" ref="C58:W58" si="49">IF(C50=0,0,C50/C$47)</f>
        <v>1.5837235839159441E-2</v>
      </c>
      <c r="D58" s="72">
        <f t="shared" si="49"/>
        <v>1.2859809200218959E-2</v>
      </c>
      <c r="E58" s="72">
        <f t="shared" si="49"/>
        <v>1.5357857434613731E-2</v>
      </c>
      <c r="F58" s="72">
        <f t="shared" si="49"/>
        <v>1.4762794626698127E-2</v>
      </c>
      <c r="G58" s="72">
        <f t="shared" si="49"/>
        <v>1.3730073926370953E-2</v>
      </c>
      <c r="H58" s="72">
        <f t="shared" si="49"/>
        <v>1.5085471521189553E-2</v>
      </c>
      <c r="I58" s="72">
        <f t="shared" si="49"/>
        <v>3.1856088636371245E-2</v>
      </c>
      <c r="J58" s="72">
        <f t="shared" si="49"/>
        <v>2.0019979346513998E-2</v>
      </c>
      <c r="K58" s="72">
        <f t="shared" si="49"/>
        <v>1.8479281601436907E-2</v>
      </c>
      <c r="L58" s="72">
        <f t="shared" si="49"/>
        <v>2.2466256106772293E-2</v>
      </c>
      <c r="M58" s="72">
        <f t="shared" si="49"/>
        <v>1.8091777232625977E-2</v>
      </c>
      <c r="N58" s="72">
        <f t="shared" si="49"/>
        <v>3.9166702729415463E-2</v>
      </c>
      <c r="O58" s="72">
        <f t="shared" si="49"/>
        <v>2.0218596853484223E-2</v>
      </c>
      <c r="P58" s="72">
        <f t="shared" si="49"/>
        <v>1.9301843484898561E-2</v>
      </c>
      <c r="Q58" s="72">
        <f t="shared" si="49"/>
        <v>2.5633899597508156E-2</v>
      </c>
      <c r="R58" s="72">
        <f t="shared" si="49"/>
        <v>2.1958626757014699E-2</v>
      </c>
      <c r="S58" s="72">
        <f t="shared" si="49"/>
        <v>2.2650148138964168E-2</v>
      </c>
      <c r="T58" s="72">
        <f t="shared" si="49"/>
        <v>1.5920670013099499E-2</v>
      </c>
      <c r="U58" s="72">
        <f t="shared" si="49"/>
        <v>1.7092634451064077E-2</v>
      </c>
      <c r="V58" s="72">
        <f t="shared" si="49"/>
        <v>2.001843861286072E-2</v>
      </c>
      <c r="W58" s="72">
        <f t="shared" si="49"/>
        <v>2.2566116798141283E-2</v>
      </c>
      <c r="X58" s="72">
        <f t="shared" ref="X58:Y58" si="50">IF(X50=0,0,X50/X$47)</f>
        <v>2.0382910084672128E-2</v>
      </c>
      <c r="Y58" s="72">
        <f t="shared" si="50"/>
        <v>2.6821528704238099E-2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0.12502590823476661</v>
      </c>
      <c r="C59" s="72">
        <f t="shared" ref="C59:W59" si="52">IF(C51=0,0,C51/C$47)</f>
        <v>0.10926788122644843</v>
      </c>
      <c r="D59" s="72">
        <f t="shared" si="52"/>
        <v>0.11662145280081647</v>
      </c>
      <c r="E59" s="72">
        <f t="shared" si="52"/>
        <v>0.11733965274686375</v>
      </c>
      <c r="F59" s="72">
        <f t="shared" si="52"/>
        <v>0.12856811287235972</v>
      </c>
      <c r="G59" s="72">
        <f t="shared" si="52"/>
        <v>0.11450367141187302</v>
      </c>
      <c r="H59" s="72">
        <f t="shared" si="52"/>
        <v>0.10638090806437227</v>
      </c>
      <c r="I59" s="72">
        <f t="shared" si="52"/>
        <v>0.11760468737532859</v>
      </c>
      <c r="J59" s="72">
        <f t="shared" si="52"/>
        <v>0.11384991688531271</v>
      </c>
      <c r="K59" s="72">
        <f t="shared" si="52"/>
        <v>0.1206362023563876</v>
      </c>
      <c r="L59" s="72">
        <f t="shared" si="52"/>
        <v>0.12022201715904246</v>
      </c>
      <c r="M59" s="72">
        <f t="shared" si="52"/>
        <v>0.11599237617587886</v>
      </c>
      <c r="N59" s="72">
        <f t="shared" si="52"/>
        <v>0.11914282126554393</v>
      </c>
      <c r="O59" s="72">
        <f t="shared" si="52"/>
        <v>0.12802699447305582</v>
      </c>
      <c r="P59" s="72">
        <f t="shared" si="52"/>
        <v>0.13244214449206534</v>
      </c>
      <c r="Q59" s="72">
        <f t="shared" si="52"/>
        <v>0.12639210971885889</v>
      </c>
      <c r="R59" s="72">
        <f t="shared" si="52"/>
        <v>0.1192818874470757</v>
      </c>
      <c r="S59" s="72">
        <f t="shared" si="52"/>
        <v>0.12083454933868075</v>
      </c>
      <c r="T59" s="72">
        <f t="shared" si="52"/>
        <v>0.11573997386243259</v>
      </c>
      <c r="U59" s="72">
        <f t="shared" si="52"/>
        <v>0.11504144912715863</v>
      </c>
      <c r="V59" s="72">
        <f t="shared" si="52"/>
        <v>0.1219517625205184</v>
      </c>
      <c r="W59" s="72">
        <f t="shared" si="52"/>
        <v>0.10766572204091426</v>
      </c>
      <c r="X59" s="72">
        <f t="shared" ref="X59:Y59" si="53">IF(X51=0,0,X51/X$47)</f>
        <v>0.10879985105394746</v>
      </c>
      <c r="Y59" s="72">
        <f t="shared" si="53"/>
        <v>0.11823465507989366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0.12447376657657126</v>
      </c>
      <c r="C60" s="73">
        <f t="shared" ref="C60:W60" si="55">IF(C52=0,0,C52/C$47)</f>
        <v>0.11259851338077553</v>
      </c>
      <c r="D60" s="73">
        <f t="shared" si="55"/>
        <v>0.11785207914202681</v>
      </c>
      <c r="E60" s="73">
        <f t="shared" si="55"/>
        <v>0.1198958250575568</v>
      </c>
      <c r="F60" s="73">
        <f t="shared" si="55"/>
        <v>0.13685237689974547</v>
      </c>
      <c r="G60" s="73">
        <f t="shared" si="55"/>
        <v>0.11777135148892127</v>
      </c>
      <c r="H60" s="73">
        <f t="shared" si="55"/>
        <v>0.10749018847446805</v>
      </c>
      <c r="I60" s="73">
        <f t="shared" si="55"/>
        <v>0.11714873033693099</v>
      </c>
      <c r="J60" s="73">
        <f t="shared" si="55"/>
        <v>0.11586907216905323</v>
      </c>
      <c r="K60" s="73">
        <f t="shared" si="55"/>
        <v>0.1213017745185228</v>
      </c>
      <c r="L60" s="73">
        <f t="shared" si="55"/>
        <v>0.12243735594383451</v>
      </c>
      <c r="M60" s="73">
        <f t="shared" si="55"/>
        <v>0.11789763899885648</v>
      </c>
      <c r="N60" s="73">
        <f t="shared" si="55"/>
        <v>0.12821669276136155</v>
      </c>
      <c r="O60" s="73">
        <f t="shared" si="55"/>
        <v>0.13654356892559386</v>
      </c>
      <c r="P60" s="73">
        <f t="shared" si="55"/>
        <v>0.1402937803351971</v>
      </c>
      <c r="Q60" s="73">
        <f t="shared" si="55"/>
        <v>0.13275541971354346</v>
      </c>
      <c r="R60" s="73">
        <f t="shared" si="55"/>
        <v>0.12622446881651661</v>
      </c>
      <c r="S60" s="73">
        <f t="shared" si="55"/>
        <v>0.13198795180643841</v>
      </c>
      <c r="T60" s="73">
        <f t="shared" si="55"/>
        <v>0.13232170418319775</v>
      </c>
      <c r="U60" s="73">
        <f t="shared" si="55"/>
        <v>0.13204614116842123</v>
      </c>
      <c r="V60" s="73">
        <f t="shared" si="55"/>
        <v>0.13492475962959907</v>
      </c>
      <c r="W60" s="73">
        <f t="shared" si="55"/>
        <v>0.12416372155791811</v>
      </c>
      <c r="X60" s="73">
        <f t="shared" ref="X60:Y60" si="56">IF(X52=0,0,X52/X$47)</f>
        <v>0.12912527552664671</v>
      </c>
      <c r="Y60" s="73">
        <f t="shared" si="56"/>
        <v>0.13325926199445226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0.3347858507577724</v>
      </c>
      <c r="C61" s="70">
        <f t="shared" ref="C61:W61" si="58">IF(C53=0,0,C53/C$47)</f>
        <v>0.29718327009543433</v>
      </c>
      <c r="D61" s="70">
        <f t="shared" si="58"/>
        <v>0.32104029700572273</v>
      </c>
      <c r="E61" s="70">
        <f t="shared" si="58"/>
        <v>0.33042305022701457</v>
      </c>
      <c r="F61" s="70">
        <f t="shared" si="58"/>
        <v>0.37734628916179758</v>
      </c>
      <c r="G61" s="70">
        <f t="shared" si="58"/>
        <v>0.34105485003254371</v>
      </c>
      <c r="H61" s="70">
        <f t="shared" si="58"/>
        <v>0.31820135419137824</v>
      </c>
      <c r="I61" s="70">
        <f t="shared" si="58"/>
        <v>0.35403677370581565</v>
      </c>
      <c r="J61" s="70">
        <f t="shared" si="58"/>
        <v>0.34645026991148753</v>
      </c>
      <c r="K61" s="70">
        <f t="shared" si="58"/>
        <v>0.3611447566759447</v>
      </c>
      <c r="L61" s="70">
        <f t="shared" si="58"/>
        <v>0.34998820299071792</v>
      </c>
      <c r="M61" s="70">
        <f t="shared" si="58"/>
        <v>0.33795765596375593</v>
      </c>
      <c r="N61" s="70">
        <f t="shared" si="58"/>
        <v>0.3528319462166995</v>
      </c>
      <c r="O61" s="70">
        <f t="shared" si="58"/>
        <v>0.38185540298715132</v>
      </c>
      <c r="P61" s="70">
        <f t="shared" si="58"/>
        <v>0.40634995433722582</v>
      </c>
      <c r="Q61" s="70">
        <f t="shared" si="58"/>
        <v>0.39009159093192697</v>
      </c>
      <c r="R61" s="70">
        <f t="shared" si="58"/>
        <v>0.36838864458418047</v>
      </c>
      <c r="S61" s="70">
        <f t="shared" si="58"/>
        <v>0.36746107719091492</v>
      </c>
      <c r="T61" s="70">
        <f t="shared" si="58"/>
        <v>0.34649408566320666</v>
      </c>
      <c r="U61" s="70">
        <f t="shared" si="58"/>
        <v>0.33027864895484932</v>
      </c>
      <c r="V61" s="70">
        <f t="shared" si="58"/>
        <v>0.35065899495388209</v>
      </c>
      <c r="W61" s="70">
        <f t="shared" si="58"/>
        <v>0.3115119541305677</v>
      </c>
      <c r="X61" s="70">
        <f t="shared" ref="X61:Y61" si="59">IF(X53=0,0,X53/X$47)</f>
        <v>0.30162924249110362</v>
      </c>
      <c r="Y61" s="70">
        <f t="shared" si="59"/>
        <v>0.31532369316468745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335.84810584788113</v>
      </c>
      <c r="C65" s="80">
        <v>591.25569528540314</v>
      </c>
      <c r="D65" s="80">
        <v>404.62436771955885</v>
      </c>
      <c r="E65" s="80">
        <v>292.16735926159095</v>
      </c>
      <c r="F65" s="80">
        <v>209.91033967249763</v>
      </c>
      <c r="G65" s="80">
        <v>235.13095416141738</v>
      </c>
      <c r="H65" s="80">
        <v>384.05193619061288</v>
      </c>
      <c r="I65" s="80">
        <v>326.95928965522694</v>
      </c>
      <c r="J65" s="80">
        <v>404.48942578981439</v>
      </c>
      <c r="K65" s="80">
        <v>377.97381639483149</v>
      </c>
      <c r="L65" s="80">
        <v>345.8601287554564</v>
      </c>
      <c r="M65" s="80">
        <v>322.24489523088289</v>
      </c>
      <c r="N65" s="80">
        <v>313.686735850498</v>
      </c>
      <c r="O65" s="80">
        <v>273.26704794223753</v>
      </c>
      <c r="P65" s="80">
        <v>253.21777651233543</v>
      </c>
      <c r="Q65" s="80">
        <v>352.20162553875059</v>
      </c>
      <c r="R65" s="80">
        <v>355.48624755366279</v>
      </c>
      <c r="S65" s="80">
        <v>346.98289694705966</v>
      </c>
      <c r="T65" s="80">
        <v>317.49378118821534</v>
      </c>
      <c r="U65" s="80">
        <v>316.39433985215464</v>
      </c>
      <c r="V65" s="80">
        <v>290.73822264378799</v>
      </c>
      <c r="W65" s="80">
        <v>342.28058367477428</v>
      </c>
      <c r="X65" s="80">
        <v>339.98636408996873</v>
      </c>
      <c r="Y65" s="80">
        <v>354.28305908272347</v>
      </c>
      <c r="DA65" s="103" t="s">
        <v>219</v>
      </c>
    </row>
    <row r="66" spans="1:105" ht="12" customHeight="1" x14ac:dyDescent="0.25">
      <c r="A66" s="58" t="s">
        <v>29</v>
      </c>
      <c r="B66" s="59">
        <v>12.072595007881112</v>
      </c>
      <c r="C66" s="59">
        <v>13.148398925403288</v>
      </c>
      <c r="D66" s="59">
        <v>21.163973399558895</v>
      </c>
      <c r="E66" s="59">
        <v>26.623418021590929</v>
      </c>
      <c r="F66" s="59">
        <v>19.053325032497636</v>
      </c>
      <c r="G66" s="59">
        <v>25.225002121417369</v>
      </c>
      <c r="H66" s="59">
        <v>25.794597550612878</v>
      </c>
      <c r="I66" s="59">
        <v>12.231137175226923</v>
      </c>
      <c r="J66" s="59">
        <v>23.189639149814354</v>
      </c>
      <c r="K66" s="59">
        <v>19.554186154831449</v>
      </c>
      <c r="L66" s="59">
        <v>18.009910035456404</v>
      </c>
      <c r="M66" s="59">
        <v>20.058963470882897</v>
      </c>
      <c r="N66" s="59">
        <v>15.142390930497967</v>
      </c>
      <c r="O66" s="59">
        <v>19.933278542237524</v>
      </c>
      <c r="P66" s="59">
        <v>8.9158447923354078</v>
      </c>
      <c r="Q66" s="59">
        <v>22.703542818750538</v>
      </c>
      <c r="R66" s="59">
        <v>24.756995793662732</v>
      </c>
      <c r="S66" s="59">
        <v>16.456802187059704</v>
      </c>
      <c r="T66" s="59">
        <v>10.561442028215355</v>
      </c>
      <c r="U66" s="59">
        <v>15.541831532154639</v>
      </c>
      <c r="V66" s="59">
        <v>12.618320403787996</v>
      </c>
      <c r="W66" s="59">
        <v>9.9853189547741916</v>
      </c>
      <c r="X66" s="59">
        <v>6.3542116499687555</v>
      </c>
      <c r="Y66" s="59">
        <v>7.5322146827234775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294.99661476000006</v>
      </c>
      <c r="C67" s="55">
        <f t="shared" ref="C67:W67" si="60">SUM(C68:C69)</f>
        <v>536.90685047999989</v>
      </c>
      <c r="D67" s="55">
        <f t="shared" si="60"/>
        <v>336.65596235999999</v>
      </c>
      <c r="E67" s="55">
        <f t="shared" si="60"/>
        <v>199.70437535999997</v>
      </c>
      <c r="F67" s="55">
        <f t="shared" si="60"/>
        <v>117.34317071999999</v>
      </c>
      <c r="G67" s="55">
        <f t="shared" si="60"/>
        <v>107.56272204000001</v>
      </c>
      <c r="H67" s="55">
        <f t="shared" si="60"/>
        <v>206.73725256</v>
      </c>
      <c r="I67" s="55">
        <f t="shared" si="60"/>
        <v>149.87628287999996</v>
      </c>
      <c r="J67" s="55">
        <f t="shared" si="60"/>
        <v>190.54695096</v>
      </c>
      <c r="K67" s="55">
        <f t="shared" si="60"/>
        <v>203.31515808</v>
      </c>
      <c r="L67" s="55">
        <f t="shared" si="60"/>
        <v>139.62127715999998</v>
      </c>
      <c r="M67" s="55">
        <f t="shared" si="60"/>
        <v>108.25444764</v>
      </c>
      <c r="N67" s="55">
        <f t="shared" si="60"/>
        <v>106.73222903999999</v>
      </c>
      <c r="O67" s="55">
        <f t="shared" si="60"/>
        <v>70.153827840000005</v>
      </c>
      <c r="P67" s="55">
        <f t="shared" si="60"/>
        <v>48.953294280000009</v>
      </c>
      <c r="Q67" s="55">
        <f t="shared" si="60"/>
        <v>120.31498332</v>
      </c>
      <c r="R67" s="55">
        <f t="shared" si="60"/>
        <v>120.23704764000001</v>
      </c>
      <c r="S67" s="55">
        <f t="shared" si="60"/>
        <v>108.04493915999998</v>
      </c>
      <c r="T67" s="55">
        <f t="shared" si="60"/>
        <v>77.238989999999987</v>
      </c>
      <c r="U67" s="55">
        <f t="shared" si="60"/>
        <v>90.536009399999998</v>
      </c>
      <c r="V67" s="55">
        <f t="shared" si="60"/>
        <v>78.690864959999999</v>
      </c>
      <c r="W67" s="55">
        <f t="shared" si="60"/>
        <v>84.584660040000017</v>
      </c>
      <c r="X67" s="55">
        <f t="shared" ref="X67:Y67" si="61">SUM(X68:X69)</f>
        <v>103.00655591999998</v>
      </c>
      <c r="Y67" s="55">
        <f t="shared" si="61"/>
        <v>141.62370768</v>
      </c>
      <c r="DA67" s="101"/>
    </row>
    <row r="68" spans="1:105" ht="12" customHeight="1" x14ac:dyDescent="0.25">
      <c r="A68" s="61" t="s">
        <v>52</v>
      </c>
      <c r="B68" s="55">
        <v>2.9846552400000008</v>
      </c>
      <c r="C68" s="55">
        <v>11.93862096</v>
      </c>
      <c r="D68" s="55">
        <v>2.9846552400000008</v>
      </c>
      <c r="E68" s="55">
        <v>2.9846552400000008</v>
      </c>
      <c r="F68" s="55">
        <v>6.5940004800000018</v>
      </c>
      <c r="G68" s="55">
        <v>0</v>
      </c>
      <c r="H68" s="55">
        <v>0</v>
      </c>
      <c r="I68" s="55">
        <v>0</v>
      </c>
      <c r="J68" s="55">
        <v>0</v>
      </c>
      <c r="K68" s="55">
        <v>0</v>
      </c>
      <c r="L68" s="55">
        <v>14.513025240000001</v>
      </c>
      <c r="M68" s="55">
        <v>17.415675720000003</v>
      </c>
      <c r="N68" s="55">
        <v>31.92870095999999</v>
      </c>
      <c r="O68" s="55">
        <v>23.220749519999998</v>
      </c>
      <c r="P68" s="55">
        <v>14.513025240000001</v>
      </c>
      <c r="Q68" s="55">
        <v>14.513025240000001</v>
      </c>
      <c r="R68" s="55">
        <v>17.415675720000003</v>
      </c>
      <c r="S68" s="55">
        <v>22.216475160000005</v>
      </c>
      <c r="T68" s="55">
        <v>26.805561479999991</v>
      </c>
      <c r="U68" s="55">
        <v>27.545648759999995</v>
      </c>
      <c r="V68" s="55">
        <v>22.782557880000002</v>
      </c>
      <c r="W68" s="55">
        <v>27.391861440000007</v>
      </c>
      <c r="X68" s="55">
        <v>32.384383920000012</v>
      </c>
      <c r="Y68" s="55">
        <v>36.212938560000005</v>
      </c>
      <c r="DA68" s="101" t="s">
        <v>221</v>
      </c>
    </row>
    <row r="69" spans="1:105" ht="12" customHeight="1" x14ac:dyDescent="0.25">
      <c r="A69" s="61" t="s">
        <v>163</v>
      </c>
      <c r="B69" s="55">
        <v>292.01195952000006</v>
      </c>
      <c r="C69" s="55">
        <v>524.96822951999991</v>
      </c>
      <c r="D69" s="55">
        <v>333.67130711999999</v>
      </c>
      <c r="E69" s="55">
        <v>196.71972011999998</v>
      </c>
      <c r="F69" s="55">
        <v>110.74917023999998</v>
      </c>
      <c r="G69" s="55">
        <v>107.56272204000001</v>
      </c>
      <c r="H69" s="55">
        <v>206.73725256</v>
      </c>
      <c r="I69" s="55">
        <v>149.87628287999996</v>
      </c>
      <c r="J69" s="55">
        <v>190.54695096</v>
      </c>
      <c r="K69" s="55">
        <v>203.31515808</v>
      </c>
      <c r="L69" s="55">
        <v>125.10825191999997</v>
      </c>
      <c r="M69" s="55">
        <v>90.838771919999999</v>
      </c>
      <c r="N69" s="55">
        <v>74.803528080000007</v>
      </c>
      <c r="O69" s="55">
        <v>46.933078320000007</v>
      </c>
      <c r="P69" s="55">
        <v>34.440269040000004</v>
      </c>
      <c r="Q69" s="55">
        <v>105.80195807999999</v>
      </c>
      <c r="R69" s="55">
        <v>102.82137192000002</v>
      </c>
      <c r="S69" s="55">
        <v>85.828463999999983</v>
      </c>
      <c r="T69" s="55">
        <v>50.433428519999993</v>
      </c>
      <c r="U69" s="55">
        <v>62.990360640000006</v>
      </c>
      <c r="V69" s="55">
        <v>55.90830708</v>
      </c>
      <c r="W69" s="55">
        <v>57.19279860000001</v>
      </c>
      <c r="X69" s="55">
        <v>70.622171999999978</v>
      </c>
      <c r="Y69" s="55">
        <v>105.41076912</v>
      </c>
      <c r="DA69" s="101" t="s">
        <v>222</v>
      </c>
    </row>
    <row r="70" spans="1:105" ht="12" customHeight="1" x14ac:dyDescent="0.25">
      <c r="A70" s="60" t="s">
        <v>149</v>
      </c>
      <c r="B70" s="55">
        <v>28.778896080000003</v>
      </c>
      <c r="C70" s="55">
        <v>41.200445880000004</v>
      </c>
      <c r="D70" s="55">
        <v>46.804431960000002</v>
      </c>
      <c r="E70" s="55">
        <v>65.839565880000009</v>
      </c>
      <c r="F70" s="55">
        <v>73.513843920000014</v>
      </c>
      <c r="G70" s="55">
        <v>102.34323000000001</v>
      </c>
      <c r="H70" s="55">
        <v>151.52008608000003</v>
      </c>
      <c r="I70" s="55">
        <v>164.85186960000001</v>
      </c>
      <c r="J70" s="55">
        <v>190.75283568000003</v>
      </c>
      <c r="K70" s="55">
        <v>155.10447216</v>
      </c>
      <c r="L70" s="55">
        <v>188.22894156000001</v>
      </c>
      <c r="M70" s="55">
        <v>193.93148411999999</v>
      </c>
      <c r="N70" s="55">
        <v>191.81211588000002</v>
      </c>
      <c r="O70" s="55">
        <v>183.17994156</v>
      </c>
      <c r="P70" s="55">
        <v>195.34863744</v>
      </c>
      <c r="Q70" s="55">
        <v>209.18309940000003</v>
      </c>
      <c r="R70" s="55">
        <v>210.49220412000003</v>
      </c>
      <c r="S70" s="55">
        <v>222.48115559999997</v>
      </c>
      <c r="T70" s="55">
        <v>229.69334916</v>
      </c>
      <c r="U70" s="55">
        <v>210.31649892000002</v>
      </c>
      <c r="V70" s="55">
        <v>199.42903728000002</v>
      </c>
      <c r="W70" s="55">
        <v>247.71060468000007</v>
      </c>
      <c r="X70" s="55">
        <v>230.62559651999999</v>
      </c>
      <c r="Y70" s="55">
        <v>205.12713672000001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0</v>
      </c>
      <c r="F71" s="55">
        <f t="shared" si="62"/>
        <v>0</v>
      </c>
      <c r="G71" s="55">
        <f t="shared" si="62"/>
        <v>0</v>
      </c>
      <c r="H71" s="55">
        <f t="shared" si="62"/>
        <v>0</v>
      </c>
      <c r="I71" s="55">
        <f t="shared" si="62"/>
        <v>0</v>
      </c>
      <c r="J71" s="55">
        <f t="shared" si="62"/>
        <v>0</v>
      </c>
      <c r="K71" s="55">
        <f t="shared" si="62"/>
        <v>0</v>
      </c>
      <c r="L71" s="55">
        <f t="shared" si="62"/>
        <v>0</v>
      </c>
      <c r="M71" s="55">
        <f t="shared" si="62"/>
        <v>0</v>
      </c>
      <c r="N71" s="55">
        <f t="shared" si="62"/>
        <v>0</v>
      </c>
      <c r="O71" s="55">
        <f t="shared" si="62"/>
        <v>0</v>
      </c>
      <c r="P71" s="55">
        <f t="shared" si="62"/>
        <v>0</v>
      </c>
      <c r="Q71" s="55">
        <f t="shared" si="62"/>
        <v>0</v>
      </c>
      <c r="R71" s="55">
        <f t="shared" si="62"/>
        <v>0</v>
      </c>
      <c r="S71" s="55">
        <f t="shared" si="62"/>
        <v>0</v>
      </c>
      <c r="T71" s="55">
        <f t="shared" si="62"/>
        <v>0</v>
      </c>
      <c r="U71" s="55">
        <f t="shared" si="62"/>
        <v>0</v>
      </c>
      <c r="V71" s="55">
        <f t="shared" si="62"/>
        <v>0</v>
      </c>
      <c r="W71" s="55">
        <f t="shared" si="62"/>
        <v>0</v>
      </c>
      <c r="X71" s="55">
        <f t="shared" ref="X71:Y71" si="63">SUM(X72:X76)</f>
        <v>0</v>
      </c>
      <c r="Y71" s="55">
        <f t="shared" si="63"/>
        <v>0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335.84810584788113</v>
      </c>
      <c r="C81" s="82">
        <f t="shared" ref="C81:W81" si="65">C82+C87</f>
        <v>591.25569528540325</v>
      </c>
      <c r="D81" s="82">
        <f t="shared" si="65"/>
        <v>404.62436771955885</v>
      </c>
      <c r="E81" s="82">
        <f t="shared" si="65"/>
        <v>292.16735926159089</v>
      </c>
      <c r="F81" s="82">
        <f t="shared" si="65"/>
        <v>209.91033967249763</v>
      </c>
      <c r="G81" s="82">
        <f t="shared" si="65"/>
        <v>235.13095416141741</v>
      </c>
      <c r="H81" s="82">
        <f t="shared" si="65"/>
        <v>384.05193619061288</v>
      </c>
      <c r="I81" s="82">
        <f t="shared" si="65"/>
        <v>326.95928965522688</v>
      </c>
      <c r="J81" s="82">
        <f t="shared" si="65"/>
        <v>404.48942578981439</v>
      </c>
      <c r="K81" s="82">
        <f t="shared" si="65"/>
        <v>377.97381639483137</v>
      </c>
      <c r="L81" s="82">
        <f t="shared" si="65"/>
        <v>345.86012875545646</v>
      </c>
      <c r="M81" s="82">
        <f t="shared" si="65"/>
        <v>322.24489523088295</v>
      </c>
      <c r="N81" s="82">
        <f t="shared" si="65"/>
        <v>313.68673585049805</v>
      </c>
      <c r="O81" s="82">
        <f t="shared" si="65"/>
        <v>273.26704794223758</v>
      </c>
      <c r="P81" s="82">
        <f t="shared" si="65"/>
        <v>253.21777651233538</v>
      </c>
      <c r="Q81" s="82">
        <f t="shared" si="65"/>
        <v>352.20162553875065</v>
      </c>
      <c r="R81" s="82">
        <f t="shared" si="65"/>
        <v>355.48624755366274</v>
      </c>
      <c r="S81" s="82">
        <f t="shared" si="65"/>
        <v>346.98289694705966</v>
      </c>
      <c r="T81" s="82">
        <f t="shared" si="65"/>
        <v>317.49378118821562</v>
      </c>
      <c r="U81" s="82">
        <f t="shared" si="65"/>
        <v>316.39433985215481</v>
      </c>
      <c r="V81" s="82">
        <f t="shared" si="65"/>
        <v>290.73822264378794</v>
      </c>
      <c r="W81" s="82">
        <f t="shared" si="65"/>
        <v>342.28058367477445</v>
      </c>
      <c r="X81" s="82">
        <f t="shared" ref="X81:Y81" si="66">X82+X87</f>
        <v>339.98636408996867</v>
      </c>
      <c r="Y81" s="82">
        <f t="shared" si="66"/>
        <v>354.28305908272336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335.84810584788113</v>
      </c>
      <c r="C82" s="64">
        <f t="shared" ref="C82:W82" si="68">SUM(C83:C86)</f>
        <v>591.25569528540325</v>
      </c>
      <c r="D82" s="64">
        <f t="shared" si="68"/>
        <v>404.62436771955885</v>
      </c>
      <c r="E82" s="64">
        <f t="shared" si="68"/>
        <v>292.16735926159089</v>
      </c>
      <c r="F82" s="64">
        <f t="shared" si="68"/>
        <v>209.91033967249763</v>
      </c>
      <c r="G82" s="64">
        <f t="shared" si="68"/>
        <v>235.13095416141741</v>
      </c>
      <c r="H82" s="64">
        <f t="shared" si="68"/>
        <v>384.05193619061288</v>
      </c>
      <c r="I82" s="64">
        <f t="shared" si="68"/>
        <v>326.95928965522688</v>
      </c>
      <c r="J82" s="64">
        <f t="shared" si="68"/>
        <v>404.48942578981439</v>
      </c>
      <c r="K82" s="64">
        <f t="shared" si="68"/>
        <v>377.97381639483137</v>
      </c>
      <c r="L82" s="64">
        <f t="shared" si="68"/>
        <v>345.86012875545646</v>
      </c>
      <c r="M82" s="64">
        <f t="shared" si="68"/>
        <v>322.24489523088295</v>
      </c>
      <c r="N82" s="64">
        <f t="shared" si="68"/>
        <v>313.68673585049805</v>
      </c>
      <c r="O82" s="64">
        <f t="shared" si="68"/>
        <v>273.26704794223758</v>
      </c>
      <c r="P82" s="64">
        <f t="shared" si="68"/>
        <v>253.21777651233538</v>
      </c>
      <c r="Q82" s="64">
        <f t="shared" si="68"/>
        <v>352.20162553875065</v>
      </c>
      <c r="R82" s="64">
        <f t="shared" si="68"/>
        <v>355.48624755366274</v>
      </c>
      <c r="S82" s="64">
        <f t="shared" si="68"/>
        <v>346.98289694705966</v>
      </c>
      <c r="T82" s="64">
        <f t="shared" si="68"/>
        <v>317.49378118821562</v>
      </c>
      <c r="U82" s="64">
        <f t="shared" si="68"/>
        <v>316.39433985215481</v>
      </c>
      <c r="V82" s="64">
        <f t="shared" si="68"/>
        <v>290.73822264378794</v>
      </c>
      <c r="W82" s="64">
        <f t="shared" si="68"/>
        <v>342.28058367477445</v>
      </c>
      <c r="X82" s="64">
        <f t="shared" ref="X82:Y82" si="69">SUM(X83:X86)</f>
        <v>339.98636408996867</v>
      </c>
      <c r="Y82" s="64">
        <f t="shared" si="69"/>
        <v>354.28305908272336</v>
      </c>
      <c r="DA82" s="108" t="s">
        <v>233</v>
      </c>
    </row>
    <row r="83" spans="1:105" ht="12" customHeight="1" x14ac:dyDescent="0.25">
      <c r="A83" s="61" t="s">
        <v>32</v>
      </c>
      <c r="B83" s="65">
        <v>283.31195994931431</v>
      </c>
      <c r="C83" s="65">
        <v>524.33789186657248</v>
      </c>
      <c r="D83" s="65">
        <v>344.22522868244346</v>
      </c>
      <c r="E83" s="65">
        <v>226.96893662053341</v>
      </c>
      <c r="F83" s="65">
        <v>139.95405064387987</v>
      </c>
      <c r="G83" s="65">
        <v>166.11977412606251</v>
      </c>
      <c r="H83" s="65">
        <v>300.32246967494143</v>
      </c>
      <c r="I83" s="65">
        <v>230.69943077864338</v>
      </c>
      <c r="J83" s="65">
        <v>302.26700023047908</v>
      </c>
      <c r="K83" s="65">
        <v>273.13812249787776</v>
      </c>
      <c r="L83" s="65">
        <v>224.51982137550814</v>
      </c>
      <c r="M83" s="65">
        <v>196.71044809927878</v>
      </c>
      <c r="N83" s="65">
        <v>173.43410532169509</v>
      </c>
      <c r="O83" s="65">
        <v>146.14982631996997</v>
      </c>
      <c r="P83" s="65">
        <v>137.09398383623648</v>
      </c>
      <c r="Q83" s="65">
        <v>237.75493538265317</v>
      </c>
      <c r="R83" s="65">
        <v>243.50737528874049</v>
      </c>
      <c r="S83" s="65">
        <v>227.66864038500626</v>
      </c>
      <c r="T83" s="65">
        <v>198.37071995860612</v>
      </c>
      <c r="U83" s="65">
        <v>196.96889277787133</v>
      </c>
      <c r="V83" s="65">
        <v>191.47033283181543</v>
      </c>
      <c r="W83" s="65">
        <v>231.94571092714961</v>
      </c>
      <c r="X83" s="65">
        <v>232.11745153557263</v>
      </c>
      <c r="Y83" s="65">
        <v>235.68178050329118</v>
      </c>
      <c r="DA83" s="109" t="s">
        <v>234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DA84" s="109" t="s">
        <v>235</v>
      </c>
    </row>
    <row r="85" spans="1:105" ht="12" customHeight="1" x14ac:dyDescent="0.25">
      <c r="A85" s="61" t="s">
        <v>35</v>
      </c>
      <c r="B85" s="65">
        <v>42.759914734414039</v>
      </c>
      <c r="C85" s="65">
        <v>47.10371897204093</v>
      </c>
      <c r="D85" s="65">
        <v>47.588238635252821</v>
      </c>
      <c r="E85" s="65">
        <v>48.584293914136381</v>
      </c>
      <c r="F85" s="65">
        <v>45.169757646972698</v>
      </c>
      <c r="G85" s="65">
        <v>47.685846162881631</v>
      </c>
      <c r="H85" s="65">
        <v>54.146725957680189</v>
      </c>
      <c r="I85" s="65">
        <v>61.571420582632001</v>
      </c>
      <c r="J85" s="65">
        <v>65.232904068821682</v>
      </c>
      <c r="K85" s="65">
        <v>67.309645206095865</v>
      </c>
      <c r="L85" s="65">
        <v>68.887196710865283</v>
      </c>
      <c r="M85" s="65">
        <v>69.713721677340942</v>
      </c>
      <c r="N85" s="65">
        <v>68.351838045611288</v>
      </c>
      <c r="O85" s="65">
        <v>63.090097068926127</v>
      </c>
      <c r="P85" s="65">
        <v>60.433732738213472</v>
      </c>
      <c r="Q85" s="65">
        <v>60.047312341176763</v>
      </c>
      <c r="R85" s="65">
        <v>57.103992164352725</v>
      </c>
      <c r="S85" s="65">
        <v>58.155795951782181</v>
      </c>
      <c r="T85" s="65">
        <v>54.617097972737213</v>
      </c>
      <c r="U85" s="65">
        <v>55.730931663107953</v>
      </c>
      <c r="V85" s="65">
        <v>46.133136180900266</v>
      </c>
      <c r="W85" s="65">
        <v>48.088586533126062</v>
      </c>
      <c r="X85" s="65">
        <v>42.213378992646255</v>
      </c>
      <c r="Y85" s="65">
        <v>50.480355699735689</v>
      </c>
      <c r="DA85" s="109" t="s">
        <v>236</v>
      </c>
    </row>
    <row r="86" spans="1:105" ht="12" customHeight="1" x14ac:dyDescent="0.25">
      <c r="A86" s="66" t="s">
        <v>34</v>
      </c>
      <c r="B86" s="67">
        <v>9.776231164152783</v>
      </c>
      <c r="C86" s="67">
        <v>19.814084446789842</v>
      </c>
      <c r="D86" s="67">
        <v>12.810900401862568</v>
      </c>
      <c r="E86" s="67">
        <v>16.614128726921106</v>
      </c>
      <c r="F86" s="67">
        <v>24.786531381645069</v>
      </c>
      <c r="G86" s="67">
        <v>21.325333872473273</v>
      </c>
      <c r="H86" s="67">
        <v>29.582740557991286</v>
      </c>
      <c r="I86" s="67">
        <v>34.688438293951471</v>
      </c>
      <c r="J86" s="67">
        <v>36.989521490513681</v>
      </c>
      <c r="K86" s="67">
        <v>37.526048690857763</v>
      </c>
      <c r="L86" s="67">
        <v>52.453110669083017</v>
      </c>
      <c r="M86" s="67">
        <v>55.820725454263275</v>
      </c>
      <c r="N86" s="67">
        <v>71.900792483191651</v>
      </c>
      <c r="O86" s="67">
        <v>64.027124553341451</v>
      </c>
      <c r="P86" s="67">
        <v>55.690059937885408</v>
      </c>
      <c r="Q86" s="67">
        <v>54.399377814920705</v>
      </c>
      <c r="R86" s="67">
        <v>54.874880100569499</v>
      </c>
      <c r="S86" s="67">
        <v>61.15846061027122</v>
      </c>
      <c r="T86" s="67">
        <v>64.505963256872263</v>
      </c>
      <c r="U86" s="67">
        <v>63.694515411175516</v>
      </c>
      <c r="V86" s="67">
        <v>53.134753631072257</v>
      </c>
      <c r="W86" s="67">
        <v>62.246286214498824</v>
      </c>
      <c r="X86" s="67">
        <v>65.65553356174982</v>
      </c>
      <c r="Y86" s="67">
        <v>68.120922879696479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0.84357170701935558</v>
      </c>
      <c r="C91" s="71">
        <f t="shared" ref="C91:W91" si="77">IF(C83=0,0,C83/C$81)</f>
        <v>0.88682087301242984</v>
      </c>
      <c r="D91" s="71">
        <f t="shared" si="77"/>
        <v>0.85072787539336381</v>
      </c>
      <c r="E91" s="71">
        <f t="shared" si="77"/>
        <v>0.77684563119632288</v>
      </c>
      <c r="F91" s="71">
        <f t="shared" si="77"/>
        <v>0.66673252428744745</v>
      </c>
      <c r="G91" s="71">
        <f t="shared" si="77"/>
        <v>0.70649895807432173</v>
      </c>
      <c r="H91" s="71">
        <f t="shared" si="77"/>
        <v>0.78198400105418353</v>
      </c>
      <c r="I91" s="71">
        <f t="shared" si="77"/>
        <v>0.70559068996605689</v>
      </c>
      <c r="J91" s="71">
        <f t="shared" si="77"/>
        <v>0.74728035137201998</v>
      </c>
      <c r="K91" s="71">
        <f t="shared" si="77"/>
        <v>0.72263768189846711</v>
      </c>
      <c r="L91" s="71">
        <f t="shared" si="77"/>
        <v>0.6491636436481435</v>
      </c>
      <c r="M91" s="71">
        <f t="shared" si="77"/>
        <v>0.61043774784497085</v>
      </c>
      <c r="N91" s="71">
        <f t="shared" si="77"/>
        <v>0.55288950886451615</v>
      </c>
      <c r="O91" s="71">
        <f t="shared" si="77"/>
        <v>0.53482418542781163</v>
      </c>
      <c r="P91" s="71">
        <f t="shared" si="77"/>
        <v>0.54140742298776967</v>
      </c>
      <c r="Q91" s="71">
        <f t="shared" si="77"/>
        <v>0.67505348681729582</v>
      </c>
      <c r="R91" s="71">
        <f t="shared" si="77"/>
        <v>0.68499801881078848</v>
      </c>
      <c r="S91" s="71">
        <f t="shared" si="77"/>
        <v>0.65613793183513136</v>
      </c>
      <c r="T91" s="71">
        <f t="shared" si="77"/>
        <v>0.62480190703643623</v>
      </c>
      <c r="U91" s="71">
        <f t="shared" si="77"/>
        <v>0.62254240347634293</v>
      </c>
      <c r="V91" s="71">
        <f t="shared" si="77"/>
        <v>0.65856608426200847</v>
      </c>
      <c r="W91" s="71">
        <f t="shared" si="77"/>
        <v>0.6776478771800214</v>
      </c>
      <c r="X91" s="71">
        <f t="shared" ref="X91:Y91" si="78">IF(X83=0,0,X83/X$81)</f>
        <v>0.68272576800800366</v>
      </c>
      <c r="Y91" s="71">
        <f t="shared" si="78"/>
        <v>0.66523581769192253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0</v>
      </c>
      <c r="C92" s="72">
        <f t="shared" ref="C92:W92" si="80">IF(C84=0,0,C84/C$81)</f>
        <v>0</v>
      </c>
      <c r="D92" s="72">
        <f t="shared" si="80"/>
        <v>0</v>
      </c>
      <c r="E92" s="72">
        <f t="shared" si="80"/>
        <v>0</v>
      </c>
      <c r="F92" s="72">
        <f t="shared" si="80"/>
        <v>0</v>
      </c>
      <c r="G92" s="72">
        <f t="shared" si="80"/>
        <v>0</v>
      </c>
      <c r="H92" s="72">
        <f t="shared" si="80"/>
        <v>0</v>
      </c>
      <c r="I92" s="72">
        <f t="shared" si="80"/>
        <v>0</v>
      </c>
      <c r="J92" s="72">
        <f t="shared" si="80"/>
        <v>0</v>
      </c>
      <c r="K92" s="72">
        <f t="shared" si="80"/>
        <v>0</v>
      </c>
      <c r="L92" s="72">
        <f t="shared" si="80"/>
        <v>0</v>
      </c>
      <c r="M92" s="72">
        <f t="shared" si="80"/>
        <v>0</v>
      </c>
      <c r="N92" s="72">
        <f t="shared" si="80"/>
        <v>0</v>
      </c>
      <c r="O92" s="72">
        <f t="shared" si="80"/>
        <v>0</v>
      </c>
      <c r="P92" s="72">
        <f t="shared" si="80"/>
        <v>0</v>
      </c>
      <c r="Q92" s="72">
        <f t="shared" si="80"/>
        <v>0</v>
      </c>
      <c r="R92" s="72">
        <f t="shared" si="80"/>
        <v>0</v>
      </c>
      <c r="S92" s="72">
        <f t="shared" si="80"/>
        <v>0</v>
      </c>
      <c r="T92" s="72">
        <f t="shared" si="80"/>
        <v>0</v>
      </c>
      <c r="U92" s="72">
        <f t="shared" si="80"/>
        <v>0</v>
      </c>
      <c r="V92" s="72">
        <f t="shared" si="80"/>
        <v>0</v>
      </c>
      <c r="W92" s="72">
        <f t="shared" si="80"/>
        <v>0</v>
      </c>
      <c r="X92" s="72">
        <f t="shared" ref="X92:Y92" si="81">IF(X84=0,0,X84/X$81)</f>
        <v>0</v>
      </c>
      <c r="Y92" s="72">
        <f t="shared" si="81"/>
        <v>0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0.12731920767116578</v>
      </c>
      <c r="C93" s="72">
        <f t="shared" ref="C93:W93" si="83">IF(C85=0,0,C85/C$81)</f>
        <v>7.9667256227111072E-2</v>
      </c>
      <c r="D93" s="72">
        <f t="shared" si="83"/>
        <v>0.11761090639067927</v>
      </c>
      <c r="E93" s="72">
        <f t="shared" si="83"/>
        <v>0.16628925981644865</v>
      </c>
      <c r="F93" s="72">
        <f t="shared" si="83"/>
        <v>0.21518595852613365</v>
      </c>
      <c r="G93" s="72">
        <f t="shared" si="83"/>
        <v>0.20280548060101564</v>
      </c>
      <c r="H93" s="72">
        <f t="shared" si="83"/>
        <v>0.14098803014706338</v>
      </c>
      <c r="I93" s="72">
        <f t="shared" si="83"/>
        <v>0.18831525064651944</v>
      </c>
      <c r="J93" s="72">
        <f t="shared" si="83"/>
        <v>0.16127221111268006</v>
      </c>
      <c r="K93" s="72">
        <f t="shared" si="83"/>
        <v>0.17808017986035368</v>
      </c>
      <c r="L93" s="72">
        <f t="shared" si="83"/>
        <v>0.1991764617643238</v>
      </c>
      <c r="M93" s="72">
        <f t="shared" si="83"/>
        <v>0.21633770684681367</v>
      </c>
      <c r="N93" s="72">
        <f t="shared" si="83"/>
        <v>0.21789840064575611</v>
      </c>
      <c r="O93" s="72">
        <f t="shared" si="83"/>
        <v>0.23087341684264082</v>
      </c>
      <c r="P93" s="72">
        <f t="shared" si="83"/>
        <v>0.23866307322728375</v>
      </c>
      <c r="Q93" s="72">
        <f t="shared" si="83"/>
        <v>0.17049129812880467</v>
      </c>
      <c r="R93" s="72">
        <f t="shared" si="83"/>
        <v>0.16063629059442741</v>
      </c>
      <c r="S93" s="72">
        <f t="shared" si="83"/>
        <v>0.16760421468455031</v>
      </c>
      <c r="T93" s="72">
        <f t="shared" si="83"/>
        <v>0.17202572525462881</v>
      </c>
      <c r="U93" s="72">
        <f t="shared" si="83"/>
        <v>0.17614389590265736</v>
      </c>
      <c r="V93" s="72">
        <f t="shared" si="83"/>
        <v>0.15867585541864759</v>
      </c>
      <c r="W93" s="72">
        <f t="shared" si="83"/>
        <v>0.14049463751884481</v>
      </c>
      <c r="X93" s="72">
        <f t="shared" ref="X93:Y93" si="84">IF(X85=0,0,X85/X$81)</f>
        <v>0.12416197662996734</v>
      </c>
      <c r="Y93" s="72">
        <f t="shared" si="84"/>
        <v>0.14248594282333091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2.9109085309478637E-2</v>
      </c>
      <c r="C94" s="73">
        <f t="shared" ref="C94:W94" si="86">IF(C86=0,0,C86/C$81)</f>
        <v>3.3511870760459139E-2</v>
      </c>
      <c r="D94" s="73">
        <f t="shared" si="86"/>
        <v>3.1661218215956972E-2</v>
      </c>
      <c r="E94" s="73">
        <f t="shared" si="86"/>
        <v>5.6865108987228484E-2</v>
      </c>
      <c r="F94" s="73">
        <f t="shared" si="86"/>
        <v>0.11808151718641896</v>
      </c>
      <c r="G94" s="73">
        <f t="shared" si="86"/>
        <v>9.0695561324662638E-2</v>
      </c>
      <c r="H94" s="73">
        <f t="shared" si="86"/>
        <v>7.7027968798753205E-2</v>
      </c>
      <c r="I94" s="73">
        <f t="shared" si="86"/>
        <v>0.10609405938742358</v>
      </c>
      <c r="J94" s="73">
        <f t="shared" si="86"/>
        <v>9.1447437515300128E-2</v>
      </c>
      <c r="K94" s="73">
        <f t="shared" si="86"/>
        <v>9.9282138241179277E-2</v>
      </c>
      <c r="L94" s="73">
        <f t="shared" si="86"/>
        <v>0.15165989458753271</v>
      </c>
      <c r="M94" s="73">
        <f t="shared" si="86"/>
        <v>0.1732245453082156</v>
      </c>
      <c r="N94" s="73">
        <f t="shared" si="86"/>
        <v>0.22921209048972763</v>
      </c>
      <c r="O94" s="73">
        <f t="shared" si="86"/>
        <v>0.23430239772954742</v>
      </c>
      <c r="P94" s="73">
        <f t="shared" si="86"/>
        <v>0.21992950378494652</v>
      </c>
      <c r="Q94" s="73">
        <f t="shared" si="86"/>
        <v>0.15445521505389948</v>
      </c>
      <c r="R94" s="73">
        <f t="shared" si="86"/>
        <v>0.15436569059478403</v>
      </c>
      <c r="S94" s="73">
        <f t="shared" si="86"/>
        <v>0.17625785348031828</v>
      </c>
      <c r="T94" s="73">
        <f t="shared" si="86"/>
        <v>0.2031723677089349</v>
      </c>
      <c r="U94" s="73">
        <f t="shared" si="86"/>
        <v>0.20131370062099965</v>
      </c>
      <c r="V94" s="73">
        <f t="shared" si="86"/>
        <v>0.182758060319344</v>
      </c>
      <c r="W94" s="73">
        <f t="shared" si="86"/>
        <v>0.18185748530113388</v>
      </c>
      <c r="X94" s="73">
        <f t="shared" ref="X94:Y94" si="87">IF(X86=0,0,X86/X$81)</f>
        <v>0.19311225536202906</v>
      </c>
      <c r="Y94" s="73">
        <f t="shared" si="87"/>
        <v>0.19227823948474651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130168.71298752322</v>
      </c>
      <c r="C99" s="82">
        <f t="shared" ref="C99:W99" si="92">C47*11630*1000/C$8</f>
        <v>147614.83289246348</v>
      </c>
      <c r="D99" s="82">
        <f t="shared" si="92"/>
        <v>136643.45306825746</v>
      </c>
      <c r="E99" s="82">
        <f t="shared" si="92"/>
        <v>133070.71856980753</v>
      </c>
      <c r="F99" s="82">
        <f t="shared" si="92"/>
        <v>117614.59060193245</v>
      </c>
      <c r="G99" s="82">
        <f t="shared" si="92"/>
        <v>132000.63306349784</v>
      </c>
      <c r="H99" s="82">
        <f t="shared" si="92"/>
        <v>144157.04280989911</v>
      </c>
      <c r="I99" s="82">
        <f t="shared" si="92"/>
        <v>130823.53753975354</v>
      </c>
      <c r="J99" s="82">
        <f t="shared" si="92"/>
        <v>134988.52228229545</v>
      </c>
      <c r="K99" s="82">
        <f t="shared" si="92"/>
        <v>131376.33743816413</v>
      </c>
      <c r="L99" s="82">
        <f t="shared" si="92"/>
        <v>136273.78944036202</v>
      </c>
      <c r="M99" s="82">
        <f t="shared" si="92"/>
        <v>140287.05585791921</v>
      </c>
      <c r="N99" s="82">
        <f t="shared" si="92"/>
        <v>134587.73617736477</v>
      </c>
      <c r="O99" s="82">
        <f t="shared" si="92"/>
        <v>124602.93037219791</v>
      </c>
      <c r="P99" s="82">
        <f t="shared" si="92"/>
        <v>117898.08208600273</v>
      </c>
      <c r="Q99" s="82">
        <f t="shared" si="92"/>
        <v>124555.53080942642</v>
      </c>
      <c r="R99" s="82">
        <f t="shared" si="92"/>
        <v>131679.3426483403</v>
      </c>
      <c r="S99" s="82">
        <f t="shared" si="92"/>
        <v>130412.81655516718</v>
      </c>
      <c r="T99" s="82">
        <f t="shared" si="92"/>
        <v>135456.08372223339</v>
      </c>
      <c r="U99" s="82">
        <f t="shared" si="92"/>
        <v>136514.65675305063</v>
      </c>
      <c r="V99" s="82">
        <f t="shared" si="92"/>
        <v>110877.79953013963</v>
      </c>
      <c r="W99" s="82">
        <f t="shared" si="92"/>
        <v>134280.36036524025</v>
      </c>
      <c r="X99" s="82">
        <f t="shared" ref="X99:Y99" si="93">X47*11630*1000/X$8</f>
        <v>135511.43591547682</v>
      </c>
      <c r="Y99" s="82">
        <f t="shared" si="93"/>
        <v>125991.46516510581</v>
      </c>
      <c r="DA99" s="107"/>
    </row>
    <row r="100" spans="1:105" ht="12" customHeight="1" x14ac:dyDescent="0.25">
      <c r="A100" s="77" t="s">
        <v>36</v>
      </c>
      <c r="B100" s="64">
        <f t="shared" si="91"/>
        <v>86590.069667950957</v>
      </c>
      <c r="C100" s="64">
        <f t="shared" ref="C100:W100" si="94">C48*11630*1000/C$8</f>
        <v>103746.17413889011</v>
      </c>
      <c r="D100" s="64">
        <f t="shared" si="94"/>
        <v>92775.398311336539</v>
      </c>
      <c r="E100" s="64">
        <f t="shared" si="94"/>
        <v>89101.085844071116</v>
      </c>
      <c r="F100" s="64">
        <f t="shared" si="94"/>
        <v>73233.161287009207</v>
      </c>
      <c r="G100" s="64">
        <f t="shared" si="94"/>
        <v>86981.176949825734</v>
      </c>
      <c r="H100" s="64">
        <f t="shared" si="94"/>
        <v>98286.076571564729</v>
      </c>
      <c r="I100" s="64">
        <f t="shared" si="94"/>
        <v>84507.194384397546</v>
      </c>
      <c r="J100" s="64">
        <f t="shared" si="94"/>
        <v>88221.712302641332</v>
      </c>
      <c r="K100" s="64">
        <f t="shared" si="94"/>
        <v>83930.462021081548</v>
      </c>
      <c r="L100" s="64">
        <f t="shared" si="94"/>
        <v>88579.570759394235</v>
      </c>
      <c r="M100" s="64">
        <f t="shared" si="94"/>
        <v>92875.971298120334</v>
      </c>
      <c r="N100" s="64">
        <f t="shared" si="94"/>
        <v>87100.88328500546</v>
      </c>
      <c r="O100" s="64">
        <f t="shared" si="94"/>
        <v>77022.628181542328</v>
      </c>
      <c r="P100" s="64">
        <f t="shared" si="94"/>
        <v>69990.201813909021</v>
      </c>
      <c r="Q100" s="64">
        <f t="shared" si="94"/>
        <v>75967.465636606634</v>
      </c>
      <c r="R100" s="64">
        <f t="shared" si="94"/>
        <v>83170.168090382358</v>
      </c>
      <c r="S100" s="64">
        <f t="shared" si="94"/>
        <v>82491.182504304263</v>
      </c>
      <c r="T100" s="64">
        <f t="shared" si="94"/>
        <v>88521.351845379366</v>
      </c>
      <c r="U100" s="64">
        <f t="shared" si="94"/>
        <v>91426.780358118092</v>
      </c>
      <c r="V100" s="64">
        <f t="shared" si="94"/>
        <v>71997.501784202846</v>
      </c>
      <c r="W100" s="64">
        <f t="shared" si="94"/>
        <v>92450.422906507403</v>
      </c>
      <c r="X100" s="64">
        <f t="shared" ref="X100:Y100" si="95">X48*11630*1000/X$8</f>
        <v>94637.224151409799</v>
      </c>
      <c r="Y100" s="64">
        <f t="shared" si="95"/>
        <v>86263.371062014587</v>
      </c>
      <c r="DA100" s="108"/>
    </row>
    <row r="101" spans="1:105" ht="12" customHeight="1" x14ac:dyDescent="0.25">
      <c r="A101" s="61" t="s">
        <v>32</v>
      </c>
      <c r="B101" s="65">
        <f t="shared" si="91"/>
        <v>51673.622079687309</v>
      </c>
      <c r="C101" s="65">
        <f t="shared" ref="C101:W101" si="96">C49*11630*1000/C$8</f>
        <v>68657.59245261531</v>
      </c>
      <c r="D101" s="65">
        <f t="shared" si="96"/>
        <v>58978.916518639213</v>
      </c>
      <c r="E101" s="65">
        <f t="shared" si="96"/>
        <v>55488.30921786854</v>
      </c>
      <c r="F101" s="65">
        <f t="shared" si="96"/>
        <v>40279.518998939151</v>
      </c>
      <c r="G101" s="65">
        <f t="shared" si="96"/>
        <v>54508.348431792852</v>
      </c>
      <c r="H101" s="65">
        <f t="shared" si="96"/>
        <v>65280.374788127425</v>
      </c>
      <c r="I101" s="65">
        <f t="shared" si="96"/>
        <v>49628.39562214227</v>
      </c>
      <c r="J101" s="65">
        <f t="shared" si="96"/>
        <v>54509.81800190168</v>
      </c>
      <c r="K101" s="65">
        <f t="shared" si="96"/>
        <v>49717.796396771329</v>
      </c>
      <c r="L101" s="65">
        <f t="shared" si="96"/>
        <v>52449.896589235002</v>
      </c>
      <c r="M101" s="65">
        <f t="shared" si="96"/>
        <v>57526.187511490229</v>
      </c>
      <c r="N101" s="65">
        <f t="shared" si="96"/>
        <v>48537.968416307311</v>
      </c>
      <c r="O101" s="65">
        <f t="shared" si="96"/>
        <v>41537.064275888966</v>
      </c>
      <c r="P101" s="65">
        <f t="shared" si="96"/>
        <v>35559.509033228824</v>
      </c>
      <c r="Q101" s="65">
        <f t="shared" si="96"/>
        <v>40496.363579119134</v>
      </c>
      <c r="R101" s="65">
        <f t="shared" si="96"/>
        <v>47950.554944779316</v>
      </c>
      <c r="S101" s="65">
        <f t="shared" si="96"/>
        <v>46566.018427253199</v>
      </c>
      <c r="T101" s="65">
        <f t="shared" si="96"/>
        <v>52763.336805544306</v>
      </c>
      <c r="U101" s="65">
        <f t="shared" si="96"/>
        <v>55362.307655886209</v>
      </c>
      <c r="V101" s="65">
        <f t="shared" si="96"/>
        <v>41295.997833819463</v>
      </c>
      <c r="W101" s="65">
        <f t="shared" si="96"/>
        <v>58290.095381084546</v>
      </c>
      <c r="X101" s="65">
        <f t="shared" ref="X101:Y101" si="97">X49*11630*1000/X$8</f>
        <v>59633.531194391951</v>
      </c>
      <c r="Y101" s="65">
        <f t="shared" si="97"/>
        <v>51198.000270291224</v>
      </c>
      <c r="DA101" s="109"/>
    </row>
    <row r="102" spans="1:105" ht="12" customHeight="1" x14ac:dyDescent="0.25">
      <c r="A102" s="61" t="s">
        <v>31</v>
      </c>
      <c r="B102" s="65">
        <f t="shared" si="91"/>
        <v>2439.3960272662298</v>
      </c>
      <c r="C102" s="65">
        <f t="shared" ref="C102:W102" si="98">C50*11630*1000/C$8</f>
        <v>2337.8109218760551</v>
      </c>
      <c r="D102" s="65">
        <f t="shared" si="98"/>
        <v>1757.2087349168646</v>
      </c>
      <c r="E102" s="65">
        <f t="shared" si="98"/>
        <v>2043.68112451671</v>
      </c>
      <c r="F102" s="65">
        <f t="shared" si="98"/>
        <v>1736.3200461595081</v>
      </c>
      <c r="G102" s="65">
        <f t="shared" si="98"/>
        <v>1812.378450289591</v>
      </c>
      <c r="H102" s="65">
        <f t="shared" si="98"/>
        <v>2174.6769638876362</v>
      </c>
      <c r="I102" s="65">
        <f t="shared" si="98"/>
        <v>4167.52620759003</v>
      </c>
      <c r="J102" s="65">
        <f t="shared" si="98"/>
        <v>2702.4674281079997</v>
      </c>
      <c r="K102" s="65">
        <f t="shared" si="98"/>
        <v>2427.7403352852334</v>
      </c>
      <c r="L102" s="65">
        <f t="shared" si="98"/>
        <v>3061.5618542075354</v>
      </c>
      <c r="M102" s="65">
        <f t="shared" si="98"/>
        <v>2538.0421632024313</v>
      </c>
      <c r="N102" s="65">
        <f t="shared" si="98"/>
        <v>5271.357853883841</v>
      </c>
      <c r="O102" s="65">
        <f t="shared" si="98"/>
        <v>2519.2964159582348</v>
      </c>
      <c r="P102" s="65">
        <f t="shared" si="98"/>
        <v>2275.6503275937475</v>
      </c>
      <c r="Q102" s="65">
        <f t="shared" si="98"/>
        <v>3192.8439710831713</v>
      </c>
      <c r="R102" s="65">
        <f t="shared" si="98"/>
        <v>2891.4975368239525</v>
      </c>
      <c r="S102" s="65">
        <f t="shared" si="98"/>
        <v>2953.8696141940954</v>
      </c>
      <c r="T102" s="65">
        <f t="shared" si="98"/>
        <v>2156.5516102084562</v>
      </c>
      <c r="U102" s="65">
        <f t="shared" si="98"/>
        <v>2333.3951250923801</v>
      </c>
      <c r="V102" s="65">
        <f t="shared" si="98"/>
        <v>2219.6004234231773</v>
      </c>
      <c r="W102" s="65">
        <f t="shared" si="98"/>
        <v>3030.1862956985133</v>
      </c>
      <c r="X102" s="65">
        <f t="shared" ref="X102:Y102" si="99">X50*11630*1000/X$8</f>
        <v>2762.1174137099724</v>
      </c>
      <c r="Y102" s="65">
        <f t="shared" si="99"/>
        <v>3379.2836994149006</v>
      </c>
      <c r="DA102" s="109"/>
    </row>
    <row r="103" spans="1:105" ht="12" customHeight="1" x14ac:dyDescent="0.25">
      <c r="A103" s="61" t="s">
        <v>35</v>
      </c>
      <c r="B103" s="65">
        <f t="shared" si="91"/>
        <v>16274.46156501575</v>
      </c>
      <c r="C103" s="65">
        <f t="shared" ref="C103:W103" si="100">C51*11630*1000/C$8</f>
        <v>16129.560027755733</v>
      </c>
      <c r="D103" s="65">
        <f t="shared" si="100"/>
        <v>15935.558012540367</v>
      </c>
      <c r="E103" s="65">
        <f t="shared" si="100"/>
        <v>15614.471907756852</v>
      </c>
      <c r="F103" s="65">
        <f t="shared" si="100"/>
        <v>15121.48595994563</v>
      </c>
      <c r="G103" s="65">
        <f t="shared" si="100"/>
        <v>15114.557114461977</v>
      </c>
      <c r="H103" s="65">
        <f t="shared" si="100"/>
        <v>15335.557117991657</v>
      </c>
      <c r="I103" s="65">
        <f t="shared" si="100"/>
        <v>15385.46123369728</v>
      </c>
      <c r="J103" s="65">
        <f t="shared" si="100"/>
        <v>15368.432042310518</v>
      </c>
      <c r="K103" s="65">
        <f t="shared" si="100"/>
        <v>15848.74242803143</v>
      </c>
      <c r="L103" s="65">
        <f t="shared" si="100"/>
        <v>16383.109852426942</v>
      </c>
      <c r="M103" s="65">
        <f t="shared" si="100"/>
        <v>16272.228955678294</v>
      </c>
      <c r="N103" s="65">
        <f t="shared" si="100"/>
        <v>16035.162595913951</v>
      </c>
      <c r="O103" s="65">
        <f t="shared" si="100"/>
        <v>15952.53867808794</v>
      </c>
      <c r="P103" s="65">
        <f t="shared" si="100"/>
        <v>15614.674822971754</v>
      </c>
      <c r="Q103" s="65">
        <f t="shared" si="100"/>
        <v>15742.836316155735</v>
      </c>
      <c r="R103" s="65">
        <f t="shared" si="100"/>
        <v>15706.960528884245</v>
      </c>
      <c r="S103" s="65">
        <f t="shared" si="100"/>
        <v>15758.373916431674</v>
      </c>
      <c r="T103" s="65">
        <f t="shared" si="100"/>
        <v>15677.683589518774</v>
      </c>
      <c r="U103" s="65">
        <f t="shared" si="100"/>
        <v>15704.843939967595</v>
      </c>
      <c r="V103" s="65">
        <f t="shared" si="100"/>
        <v>13521.743077097233</v>
      </c>
      <c r="W103" s="65">
        <f t="shared" si="100"/>
        <v>14457.391954637758</v>
      </c>
      <c r="X103" s="65">
        <f t="shared" ref="X103:Y103" si="101">X51*11630*1000/X$8</f>
        <v>14743.624043710422</v>
      </c>
      <c r="Y103" s="65">
        <f t="shared" si="101"/>
        <v>14896.557426806723</v>
      </c>
      <c r="DA103" s="109"/>
    </row>
    <row r="104" spans="1:105" ht="12" customHeight="1" x14ac:dyDescent="0.25">
      <c r="A104" s="66" t="s">
        <v>34</v>
      </c>
      <c r="B104" s="67">
        <f t="shared" si="91"/>
        <v>16202.589995981667</v>
      </c>
      <c r="C104" s="67">
        <f t="shared" ref="C104:W104" si="102">C52*11630*1000/C$8</f>
        <v>16621.210736642995</v>
      </c>
      <c r="D104" s="67">
        <f t="shared" si="102"/>
        <v>16103.7150452401</v>
      </c>
      <c r="E104" s="67">
        <f t="shared" si="102"/>
        <v>15954.623593929022</v>
      </c>
      <c r="F104" s="67">
        <f t="shared" si="102"/>
        <v>16095.836281964921</v>
      </c>
      <c r="G104" s="67">
        <f t="shared" si="102"/>
        <v>15545.892953281322</v>
      </c>
      <c r="H104" s="67">
        <f t="shared" si="102"/>
        <v>15495.467701558015</v>
      </c>
      <c r="I104" s="67">
        <f t="shared" si="102"/>
        <v>15325.811320967956</v>
      </c>
      <c r="J104" s="67">
        <f t="shared" si="102"/>
        <v>15640.994830321139</v>
      </c>
      <c r="K104" s="67">
        <f t="shared" si="102"/>
        <v>15936.182860993553</v>
      </c>
      <c r="L104" s="67">
        <f t="shared" si="102"/>
        <v>16685.002463524761</v>
      </c>
      <c r="M104" s="67">
        <f t="shared" si="102"/>
        <v>16539.512667749372</v>
      </c>
      <c r="N104" s="67">
        <f t="shared" si="102"/>
        <v>17256.394418900363</v>
      </c>
      <c r="O104" s="67">
        <f t="shared" si="102"/>
        <v>17013.728811607176</v>
      </c>
      <c r="P104" s="67">
        <f t="shared" si="102"/>
        <v>16540.367630114702</v>
      </c>
      <c r="Q104" s="67">
        <f t="shared" si="102"/>
        <v>16535.421770248598</v>
      </c>
      <c r="R104" s="67">
        <f t="shared" si="102"/>
        <v>16621.155079894837</v>
      </c>
      <c r="S104" s="67">
        <f t="shared" si="102"/>
        <v>17212.920546425299</v>
      </c>
      <c r="T104" s="67">
        <f t="shared" si="102"/>
        <v>17923.779840107836</v>
      </c>
      <c r="U104" s="67">
        <f t="shared" si="102"/>
        <v>18026.233637171892</v>
      </c>
      <c r="V104" s="67">
        <f t="shared" si="102"/>
        <v>14960.160449862964</v>
      </c>
      <c r="W104" s="67">
        <f t="shared" si="102"/>
        <v>16672.749275086593</v>
      </c>
      <c r="X104" s="67">
        <f t="shared" ref="X104:Y104" si="103">X52*11630*1000/X$8</f>
        <v>17497.951499597471</v>
      </c>
      <c r="Y104" s="67">
        <f t="shared" si="103"/>
        <v>16789.529665501741</v>
      </c>
      <c r="DA104" s="110"/>
    </row>
    <row r="105" spans="1:105" ht="12" customHeight="1" x14ac:dyDescent="0.25">
      <c r="A105" s="78" t="s">
        <v>33</v>
      </c>
      <c r="B105" s="68">
        <f t="shared" si="91"/>
        <v>43578.643319572257</v>
      </c>
      <c r="C105" s="68">
        <f t="shared" ref="C105:W105" si="104">C53*11630*1000/C$8</f>
        <v>43868.658753573385</v>
      </c>
      <c r="D105" s="68">
        <f t="shared" si="104"/>
        <v>43868.054756920894</v>
      </c>
      <c r="E105" s="68">
        <f t="shared" si="104"/>
        <v>43969.632725736432</v>
      </c>
      <c r="F105" s="68">
        <f t="shared" si="104"/>
        <v>44381.42931492324</v>
      </c>
      <c r="G105" s="68">
        <f t="shared" si="104"/>
        <v>45019.45611367208</v>
      </c>
      <c r="H105" s="68">
        <f t="shared" si="104"/>
        <v>45870.966238334382</v>
      </c>
      <c r="I105" s="68">
        <f t="shared" si="104"/>
        <v>46316.343155356008</v>
      </c>
      <c r="J105" s="68">
        <f t="shared" si="104"/>
        <v>46766.809979654099</v>
      </c>
      <c r="K105" s="68">
        <f t="shared" si="104"/>
        <v>47445.875417082592</v>
      </c>
      <c r="L105" s="68">
        <f t="shared" si="104"/>
        <v>47694.218680967781</v>
      </c>
      <c r="M105" s="68">
        <f t="shared" si="104"/>
        <v>47411.084559798866</v>
      </c>
      <c r="N105" s="68">
        <f t="shared" si="104"/>
        <v>47486.852892359319</v>
      </c>
      <c r="O105" s="68">
        <f t="shared" si="104"/>
        <v>47580.302190655595</v>
      </c>
      <c r="P105" s="68">
        <f t="shared" si="104"/>
        <v>47907.880272093716</v>
      </c>
      <c r="Q105" s="68">
        <f t="shared" si="104"/>
        <v>48588.065172819799</v>
      </c>
      <c r="R105" s="68">
        <f t="shared" si="104"/>
        <v>48509.174557957951</v>
      </c>
      <c r="S105" s="68">
        <f t="shared" si="104"/>
        <v>47921.634050862922</v>
      </c>
      <c r="T105" s="68">
        <f t="shared" si="104"/>
        <v>46934.731876854035</v>
      </c>
      <c r="U105" s="68">
        <f t="shared" si="104"/>
        <v>45087.876394932544</v>
      </c>
      <c r="V105" s="68">
        <f t="shared" si="104"/>
        <v>38880.297745936783</v>
      </c>
      <c r="W105" s="68">
        <f t="shared" si="104"/>
        <v>41829.937458732828</v>
      </c>
      <c r="X105" s="68">
        <f t="shared" ref="X105:Y105" si="105">X53*11630*1000/X$8</f>
        <v>40874.211764067004</v>
      </c>
      <c r="Y105" s="68">
        <f t="shared" si="105"/>
        <v>39728.094103091229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53437.188076389888</v>
      </c>
      <c r="C107" s="85">
        <f t="shared" ref="C107:W107" si="107">SUM(C108:C111)</f>
        <v>61600.534843183777</v>
      </c>
      <c r="D107" s="85">
        <f t="shared" si="107"/>
        <v>58252.845295907973</v>
      </c>
      <c r="E107" s="85">
        <f t="shared" si="107"/>
        <v>59515.364321635614</v>
      </c>
      <c r="F107" s="85">
        <f t="shared" si="107"/>
        <v>51349.40336276649</v>
      </c>
      <c r="G107" s="85">
        <f t="shared" si="107"/>
        <v>62180.982488608774</v>
      </c>
      <c r="H107" s="85">
        <f t="shared" si="107"/>
        <v>69594.724398010279</v>
      </c>
      <c r="I107" s="85">
        <f t="shared" si="107"/>
        <v>65248.986251283815</v>
      </c>
      <c r="J107" s="85">
        <f t="shared" si="107"/>
        <v>65099.692450692703</v>
      </c>
      <c r="K107" s="85">
        <f t="shared" si="107"/>
        <v>63492.696650527709</v>
      </c>
      <c r="L107" s="85">
        <f t="shared" si="107"/>
        <v>69801.086920549089</v>
      </c>
      <c r="M107" s="85">
        <f t="shared" si="107"/>
        <v>73304.575013114678</v>
      </c>
      <c r="N107" s="85">
        <f t="shared" si="107"/>
        <v>75404.775620110478</v>
      </c>
      <c r="O107" s="85">
        <f t="shared" si="107"/>
        <v>67302.687990509658</v>
      </c>
      <c r="P107" s="85">
        <f t="shared" si="107"/>
        <v>62927.911664147905</v>
      </c>
      <c r="Q107" s="85">
        <f t="shared" si="107"/>
        <v>70444.423998192709</v>
      </c>
      <c r="R107" s="85">
        <f t="shared" si="107"/>
        <v>76341.797078982592</v>
      </c>
      <c r="S107" s="85">
        <f t="shared" si="107"/>
        <v>76195.324611226883</v>
      </c>
      <c r="T107" s="85">
        <f t="shared" si="107"/>
        <v>78692.450947256104</v>
      </c>
      <c r="U107" s="85">
        <f t="shared" si="107"/>
        <v>83155.402011196085</v>
      </c>
      <c r="V107" s="85">
        <f t="shared" si="107"/>
        <v>71201.867907121501</v>
      </c>
      <c r="W107" s="85">
        <f t="shared" si="107"/>
        <v>90479.90489012425</v>
      </c>
      <c r="X107" s="85">
        <f t="shared" ref="X107:Y107" si="108">SUM(X108:X111)</f>
        <v>94086.395873953574</v>
      </c>
      <c r="Y107" s="85">
        <f t="shared" si="108"/>
        <v>93875.893966858363</v>
      </c>
      <c r="DA107" s="117"/>
    </row>
    <row r="108" spans="1:105" ht="12" customHeight="1" x14ac:dyDescent="0.25">
      <c r="A108" s="61" t="s">
        <v>32</v>
      </c>
      <c r="B108" s="65">
        <v>28912.476050985948</v>
      </c>
      <c r="C108" s="65">
        <v>36912.711119886328</v>
      </c>
      <c r="D108" s="65">
        <v>34687.26985024949</v>
      </c>
      <c r="E108" s="65">
        <v>35477.567045157688</v>
      </c>
      <c r="F108" s="65">
        <v>27831.450882700785</v>
      </c>
      <c r="G108" s="65">
        <v>38615.597680421044</v>
      </c>
      <c r="H108" s="65">
        <v>44987.499822069905</v>
      </c>
      <c r="I108" s="65">
        <v>35832.613117624285</v>
      </c>
      <c r="J108" s="65">
        <v>38611.276000793936</v>
      </c>
      <c r="K108" s="65">
        <v>36983.848989726066</v>
      </c>
      <c r="L108" s="65">
        <v>40522.16705064437</v>
      </c>
      <c r="M108" s="65">
        <v>45105.91827800007</v>
      </c>
      <c r="N108" s="65">
        <v>38991.598748987723</v>
      </c>
      <c r="O108" s="65">
        <v>38029.216111725676</v>
      </c>
      <c r="P108" s="65">
        <v>34392.538654008116</v>
      </c>
      <c r="Q108" s="65">
        <v>38439.889355955587</v>
      </c>
      <c r="R108" s="65">
        <v>44630.520537576835</v>
      </c>
      <c r="S108" s="65">
        <v>43268.420885456166</v>
      </c>
      <c r="T108" s="65">
        <v>47530.143822719911</v>
      </c>
      <c r="U108" s="65">
        <v>50771.575894810638</v>
      </c>
      <c r="V108" s="65">
        <v>42434.543567112058</v>
      </c>
      <c r="W108" s="65">
        <v>56235.241066525778</v>
      </c>
      <c r="X108" s="65">
        <v>59615.510672772733</v>
      </c>
      <c r="Y108" s="65">
        <v>56861.532902856772</v>
      </c>
      <c r="DA108" s="109"/>
    </row>
    <row r="109" spans="1:105" ht="12" customHeight="1" x14ac:dyDescent="0.25">
      <c r="A109" s="61" t="s">
        <v>31</v>
      </c>
      <c r="B109" s="65">
        <v>3837.9369135961447</v>
      </c>
      <c r="C109" s="65">
        <v>3883.7544390059452</v>
      </c>
      <c r="D109" s="65">
        <v>3074.1829297276022</v>
      </c>
      <c r="E109" s="65">
        <v>3796.757729295708</v>
      </c>
      <c r="F109" s="65">
        <v>3436.0233443634606</v>
      </c>
      <c r="G109" s="65">
        <v>3774.1204099099527</v>
      </c>
      <c r="H109" s="65">
        <v>4768.8479699769614</v>
      </c>
      <c r="I109" s="65">
        <v>9670.7963470184677</v>
      </c>
      <c r="J109" s="65">
        <v>6586.1294409194925</v>
      </c>
      <c r="K109" s="65">
        <v>6043.3955126896171</v>
      </c>
      <c r="L109" s="65">
        <v>7819.211604914809</v>
      </c>
      <c r="M109" s="65">
        <v>6729.6096845263646</v>
      </c>
      <c r="N109" s="65">
        <v>14503.288885539872</v>
      </c>
      <c r="O109" s="65">
        <v>7214.5449437628231</v>
      </c>
      <c r="P109" s="65">
        <v>6799.5286773908747</v>
      </c>
      <c r="Q109" s="65">
        <v>9943.201463717045</v>
      </c>
      <c r="R109" s="65">
        <v>9389.5816525807131</v>
      </c>
      <c r="S109" s="65">
        <v>9956.4240774309401</v>
      </c>
      <c r="T109" s="65">
        <v>7496.2791659130835</v>
      </c>
      <c r="U109" s="65">
        <v>8321.6203352758166</v>
      </c>
      <c r="V109" s="65">
        <v>8103.8227479955094</v>
      </c>
      <c r="W109" s="65">
        <v>11307.677446161904</v>
      </c>
      <c r="X109" s="65">
        <v>10489.670121155094</v>
      </c>
      <c r="Y109" s="65">
        <v>13021.083061259491</v>
      </c>
      <c r="DA109" s="109"/>
    </row>
    <row r="110" spans="1:105" ht="12" customHeight="1" x14ac:dyDescent="0.25">
      <c r="A110" s="61" t="s">
        <v>35</v>
      </c>
      <c r="B110" s="65">
        <v>9324.2983516429977</v>
      </c>
      <c r="C110" s="65">
        <v>9240.7675019166199</v>
      </c>
      <c r="D110" s="65">
        <v>9174.1566564791556</v>
      </c>
      <c r="E110" s="65">
        <v>9040.2895667805424</v>
      </c>
      <c r="F110" s="65">
        <v>8835.8832788740947</v>
      </c>
      <c r="G110" s="65">
        <v>8860.7493899948386</v>
      </c>
      <c r="H110" s="65">
        <v>8994.956229117568</v>
      </c>
      <c r="I110" s="65">
        <v>9031.9921352140373</v>
      </c>
      <c r="J110" s="65">
        <v>9052.7583032702987</v>
      </c>
      <c r="K110" s="65">
        <v>9367.0675934774954</v>
      </c>
      <c r="L110" s="65">
        <v>9922.0638141548516</v>
      </c>
      <c r="M110" s="65">
        <v>10025.136134181668</v>
      </c>
      <c r="N110" s="65">
        <v>10036.395326786149</v>
      </c>
      <c r="O110" s="65">
        <v>10235.446595015037</v>
      </c>
      <c r="P110" s="65">
        <v>10118.72185176848</v>
      </c>
      <c r="Q110" s="65">
        <v>10369.406393163807</v>
      </c>
      <c r="R110" s="65">
        <v>10501.15711038687</v>
      </c>
      <c r="S110" s="65">
        <v>10737.899513080596</v>
      </c>
      <c r="T110" s="65">
        <v>10926.546240074294</v>
      </c>
      <c r="U110" s="65">
        <v>11150.764134187793</v>
      </c>
      <c r="V110" s="65">
        <v>9855.2482975068524</v>
      </c>
      <c r="W110" s="65">
        <v>10723.603918690596</v>
      </c>
      <c r="X110" s="65">
        <v>11190.554086690188</v>
      </c>
      <c r="Y110" s="65">
        <v>11463.658862979744</v>
      </c>
      <c r="DA110" s="109"/>
    </row>
    <row r="111" spans="1:105" ht="12" customHeight="1" x14ac:dyDescent="0.25">
      <c r="A111" s="74" t="s">
        <v>34</v>
      </c>
      <c r="B111" s="68">
        <v>11362.476760164796</v>
      </c>
      <c r="C111" s="68">
        <v>11563.301782374878</v>
      </c>
      <c r="D111" s="68">
        <v>11317.235859451717</v>
      </c>
      <c r="E111" s="68">
        <v>11200.749980401679</v>
      </c>
      <c r="F111" s="68">
        <v>11246.04585682815</v>
      </c>
      <c r="G111" s="68">
        <v>10930.515008282931</v>
      </c>
      <c r="H111" s="68">
        <v>10843.420376845846</v>
      </c>
      <c r="I111" s="68">
        <v>10713.584651427023</v>
      </c>
      <c r="J111" s="68">
        <v>10849.528705708972</v>
      </c>
      <c r="K111" s="68">
        <v>11098.384554634527</v>
      </c>
      <c r="L111" s="68">
        <v>11537.644450835058</v>
      </c>
      <c r="M111" s="68">
        <v>11443.910916406569</v>
      </c>
      <c r="N111" s="68">
        <v>11873.492658796727</v>
      </c>
      <c r="O111" s="68">
        <v>11823.480340006125</v>
      </c>
      <c r="P111" s="68">
        <v>11617.122480980435</v>
      </c>
      <c r="Q111" s="68">
        <v>11691.926785356271</v>
      </c>
      <c r="R111" s="68">
        <v>11820.537778438173</v>
      </c>
      <c r="S111" s="68">
        <v>12232.580135259173</v>
      </c>
      <c r="T111" s="68">
        <v>12739.481718548825</v>
      </c>
      <c r="U111" s="68">
        <v>12911.441646921847</v>
      </c>
      <c r="V111" s="68">
        <v>10808.253294507087</v>
      </c>
      <c r="W111" s="68">
        <v>12213.382458745975</v>
      </c>
      <c r="X111" s="68">
        <v>12790.660993335567</v>
      </c>
      <c r="Y111" s="68">
        <v>12529.619139762346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5709.2918747748708</v>
      </c>
      <c r="C113" s="82">
        <f t="shared" ref="C113:W113" si="110">C81*1000000/C$8</f>
        <v>9706.3963574282243</v>
      </c>
      <c r="D113" s="82">
        <f t="shared" si="110"/>
        <v>6360.6442915784592</v>
      </c>
      <c r="E113" s="82">
        <f t="shared" si="110"/>
        <v>4381.4042136330845</v>
      </c>
      <c r="F113" s="82">
        <f t="shared" si="110"/>
        <v>3003.5472529511276</v>
      </c>
      <c r="G113" s="82">
        <f t="shared" si="110"/>
        <v>3221.5400589299288</v>
      </c>
      <c r="H113" s="82">
        <f t="shared" si="110"/>
        <v>5038.4369653481781</v>
      </c>
      <c r="I113" s="82">
        <f t="shared" si="110"/>
        <v>4093.6820552473964</v>
      </c>
      <c r="J113" s="82">
        <f t="shared" si="110"/>
        <v>4894.2919603853334</v>
      </c>
      <c r="K113" s="82">
        <f t="shared" si="110"/>
        <v>4521.9049992233031</v>
      </c>
      <c r="L113" s="82">
        <f t="shared" si="110"/>
        <v>4072.9185587363368</v>
      </c>
      <c r="M113" s="82">
        <f t="shared" si="110"/>
        <v>3688.1035216060563</v>
      </c>
      <c r="N113" s="82">
        <f t="shared" si="110"/>
        <v>3539.6078908003319</v>
      </c>
      <c r="O113" s="82">
        <f t="shared" si="110"/>
        <v>3036.7804747703003</v>
      </c>
      <c r="P113" s="82">
        <f t="shared" si="110"/>
        <v>2765.9479737964311</v>
      </c>
      <c r="Q113" s="82">
        <f t="shared" si="110"/>
        <v>3765.7667762470637</v>
      </c>
      <c r="R113" s="82">
        <f t="shared" si="110"/>
        <v>3748.0799321271238</v>
      </c>
      <c r="S113" s="82">
        <f t="shared" si="110"/>
        <v>3607.8944083400911</v>
      </c>
      <c r="T113" s="82">
        <f t="shared" si="110"/>
        <v>3257.1181640546947</v>
      </c>
      <c r="U113" s="82">
        <f t="shared" si="110"/>
        <v>3204.7763362941614</v>
      </c>
      <c r="V113" s="82">
        <f t="shared" si="110"/>
        <v>2911.4285945970637</v>
      </c>
      <c r="W113" s="82">
        <f t="shared" si="110"/>
        <v>3392.3720885104967</v>
      </c>
      <c r="X113" s="82">
        <f t="shared" ref="X113:Y113" si="111">X81*1000000/X$8</f>
        <v>3339.388413610835</v>
      </c>
      <c r="Y113" s="82">
        <f t="shared" si="111"/>
        <v>3452.9385843801865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5709.2918747748708</v>
      </c>
      <c r="C114" s="64">
        <f t="shared" ref="C114:W114" si="113">C82*1000000/C$8</f>
        <v>9706.3963574282243</v>
      </c>
      <c r="D114" s="64">
        <f t="shared" si="113"/>
        <v>6360.6442915784592</v>
      </c>
      <c r="E114" s="64">
        <f t="shared" si="113"/>
        <v>4381.4042136330845</v>
      </c>
      <c r="F114" s="64">
        <f t="shared" si="113"/>
        <v>3003.5472529511276</v>
      </c>
      <c r="G114" s="64">
        <f t="shared" si="113"/>
        <v>3221.5400589299288</v>
      </c>
      <c r="H114" s="64">
        <f t="shared" si="113"/>
        <v>5038.4369653481781</v>
      </c>
      <c r="I114" s="64">
        <f t="shared" si="113"/>
        <v>4093.6820552473964</v>
      </c>
      <c r="J114" s="64">
        <f t="shared" si="113"/>
        <v>4894.2919603853334</v>
      </c>
      <c r="K114" s="64">
        <f t="shared" si="113"/>
        <v>4521.9049992233031</v>
      </c>
      <c r="L114" s="64">
        <f t="shared" si="113"/>
        <v>4072.9185587363368</v>
      </c>
      <c r="M114" s="64">
        <f t="shared" si="113"/>
        <v>3688.1035216060563</v>
      </c>
      <c r="N114" s="64">
        <f t="shared" si="113"/>
        <v>3539.6078908003319</v>
      </c>
      <c r="O114" s="64">
        <f t="shared" si="113"/>
        <v>3036.7804747703003</v>
      </c>
      <c r="P114" s="64">
        <f t="shared" si="113"/>
        <v>2765.9479737964311</v>
      </c>
      <c r="Q114" s="64">
        <f t="shared" si="113"/>
        <v>3765.7667762470637</v>
      </c>
      <c r="R114" s="64">
        <f t="shared" si="113"/>
        <v>3748.0799321271238</v>
      </c>
      <c r="S114" s="64">
        <f t="shared" si="113"/>
        <v>3607.8944083400911</v>
      </c>
      <c r="T114" s="64">
        <f t="shared" si="113"/>
        <v>3257.1181640546947</v>
      </c>
      <c r="U114" s="64">
        <f t="shared" si="113"/>
        <v>3204.7763362941614</v>
      </c>
      <c r="V114" s="64">
        <f t="shared" si="113"/>
        <v>2911.4285945970637</v>
      </c>
      <c r="W114" s="64">
        <f t="shared" si="113"/>
        <v>3392.3720885104967</v>
      </c>
      <c r="X114" s="64">
        <f t="shared" ref="X114:Y114" si="114">X82*1000000/X$8</f>
        <v>3339.388413610835</v>
      </c>
      <c r="Y114" s="64">
        <f t="shared" si="114"/>
        <v>3452.9385843801865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4816.1970926755748</v>
      </c>
      <c r="C115" s="65">
        <f t="shared" ref="C115:W115" si="116">C83*1000000/C$8</f>
        <v>8607.8348914991675</v>
      </c>
      <c r="D115" s="65">
        <f t="shared" si="116"/>
        <v>5411.1774043074702</v>
      </c>
      <c r="E115" s="65">
        <f t="shared" si="116"/>
        <v>3403.6747218660221</v>
      </c>
      <c r="F115" s="65">
        <f t="shared" si="116"/>
        <v>2002.5626417767335</v>
      </c>
      <c r="G115" s="65">
        <f t="shared" si="116"/>
        <v>2276.0146950286839</v>
      </c>
      <c r="H115" s="65">
        <f t="shared" si="116"/>
        <v>3939.9770972222668</v>
      </c>
      <c r="I115" s="65">
        <f t="shared" si="116"/>
        <v>2888.4639458636761</v>
      </c>
      <c r="J115" s="65">
        <f t="shared" si="116"/>
        <v>3657.4082158740034</v>
      </c>
      <c r="K115" s="65">
        <f t="shared" si="116"/>
        <v>3267.6989464038174</v>
      </c>
      <c r="L115" s="65">
        <f t="shared" si="116"/>
        <v>2643.9906518714251</v>
      </c>
      <c r="M115" s="65">
        <f t="shared" si="116"/>
        <v>2251.357607548307</v>
      </c>
      <c r="N115" s="65">
        <f t="shared" si="116"/>
        <v>1957.0120683175614</v>
      </c>
      <c r="O115" s="65">
        <f t="shared" si="116"/>
        <v>1624.1436437421094</v>
      </c>
      <c r="P115" s="65">
        <f t="shared" si="116"/>
        <v>1497.5047646113687</v>
      </c>
      <c r="Q115" s="65">
        <f t="shared" si="116"/>
        <v>2542.0939928463076</v>
      </c>
      <c r="R115" s="65">
        <f t="shared" si="116"/>
        <v>2567.4273278515548</v>
      </c>
      <c r="S115" s="65">
        <f t="shared" si="116"/>
        <v>2367.2763753678028</v>
      </c>
      <c r="T115" s="65">
        <f t="shared" si="116"/>
        <v>2035.0536403443891</v>
      </c>
      <c r="U115" s="65">
        <f t="shared" si="116"/>
        <v>1995.1091630006761</v>
      </c>
      <c r="V115" s="65">
        <f t="shared" si="116"/>
        <v>1917.3681291522307</v>
      </c>
      <c r="W115" s="65">
        <f t="shared" si="116"/>
        <v>2298.8337443838936</v>
      </c>
      <c r="X115" s="65">
        <f t="shared" ref="X115:Y115" si="117">X83*1000000/X$8</f>
        <v>2279.8865193594861</v>
      </c>
      <c r="Y115" s="65">
        <f t="shared" si="117"/>
        <v>2297.0184226201427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0</v>
      </c>
      <c r="C116" s="65">
        <f t="shared" ref="C116:W116" si="119">C84*1000000/C$8</f>
        <v>0</v>
      </c>
      <c r="D116" s="65">
        <f t="shared" si="119"/>
        <v>0</v>
      </c>
      <c r="E116" s="65">
        <f t="shared" si="119"/>
        <v>0</v>
      </c>
      <c r="F116" s="65">
        <f t="shared" si="119"/>
        <v>0</v>
      </c>
      <c r="G116" s="65">
        <f t="shared" si="119"/>
        <v>0</v>
      </c>
      <c r="H116" s="65">
        <f t="shared" si="119"/>
        <v>0</v>
      </c>
      <c r="I116" s="65">
        <f t="shared" si="119"/>
        <v>0</v>
      </c>
      <c r="J116" s="65">
        <f t="shared" si="119"/>
        <v>0</v>
      </c>
      <c r="K116" s="65">
        <f t="shared" si="119"/>
        <v>0</v>
      </c>
      <c r="L116" s="65">
        <f t="shared" si="119"/>
        <v>0</v>
      </c>
      <c r="M116" s="65">
        <f t="shared" si="119"/>
        <v>0</v>
      </c>
      <c r="N116" s="65">
        <f t="shared" si="119"/>
        <v>0</v>
      </c>
      <c r="O116" s="65">
        <f t="shared" si="119"/>
        <v>0</v>
      </c>
      <c r="P116" s="65">
        <f t="shared" si="119"/>
        <v>0</v>
      </c>
      <c r="Q116" s="65">
        <f t="shared" si="119"/>
        <v>0</v>
      </c>
      <c r="R116" s="65">
        <f t="shared" si="119"/>
        <v>0</v>
      </c>
      <c r="S116" s="65">
        <f t="shared" si="119"/>
        <v>0</v>
      </c>
      <c r="T116" s="65">
        <f t="shared" si="119"/>
        <v>0</v>
      </c>
      <c r="U116" s="65">
        <f t="shared" si="119"/>
        <v>0</v>
      </c>
      <c r="V116" s="65">
        <f t="shared" si="119"/>
        <v>0</v>
      </c>
      <c r="W116" s="65">
        <f t="shared" si="119"/>
        <v>0</v>
      </c>
      <c r="X116" s="65">
        <f t="shared" ref="X116:Y116" si="120">X84*1000000/X$8</f>
        <v>0</v>
      </c>
      <c r="Y116" s="65">
        <f t="shared" si="120"/>
        <v>0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726.90251785976113</v>
      </c>
      <c r="C117" s="65">
        <f t="shared" ref="C117:W117" si="122">C85*1000000/C$8</f>
        <v>773.28196564913196</v>
      </c>
      <c r="D117" s="65">
        <f t="shared" si="122"/>
        <v>748.08114036124255</v>
      </c>
      <c r="E117" s="65">
        <f t="shared" si="122"/>
        <v>728.5804636417148</v>
      </c>
      <c r="F117" s="65">
        <f t="shared" si="122"/>
        <v>646.32119460482397</v>
      </c>
      <c r="G117" s="65">
        <f t="shared" si="122"/>
        <v>653.34597992670854</v>
      </c>
      <c r="H117" s="65">
        <f t="shared" si="122"/>
        <v>710.35930276458748</v>
      </c>
      <c r="I117" s="65">
        <f t="shared" si="122"/>
        <v>770.90276230107224</v>
      </c>
      <c r="J117" s="65">
        <f t="shared" si="122"/>
        <v>789.31328628235622</v>
      </c>
      <c r="K117" s="65">
        <f t="shared" si="122"/>
        <v>805.26165557311822</v>
      </c>
      <c r="L117" s="65">
        <f t="shared" si="122"/>
        <v>811.22950758335298</v>
      </c>
      <c r="M117" s="65">
        <f t="shared" si="122"/>
        <v>797.87585847791217</v>
      </c>
      <c r="N117" s="65">
        <f t="shared" si="122"/>
        <v>771.27489831849039</v>
      </c>
      <c r="O117" s="65">
        <f t="shared" si="122"/>
        <v>701.11188441123625</v>
      </c>
      <c r="P117" s="65">
        <f t="shared" si="122"/>
        <v>660.1296438130347</v>
      </c>
      <c r="Q117" s="65">
        <f t="shared" si="122"/>
        <v>642.03046613268577</v>
      </c>
      <c r="R117" s="65">
        <f t="shared" si="122"/>
        <v>602.07765714831442</v>
      </c>
      <c r="S117" s="65">
        <f t="shared" si="122"/>
        <v>604.69830897462123</v>
      </c>
      <c r="T117" s="65">
        <f t="shared" si="122"/>
        <v>560.30811441153389</v>
      </c>
      <c r="U117" s="65">
        <f t="shared" si="122"/>
        <v>564.50178937149849</v>
      </c>
      <c r="V117" s="65">
        <f t="shared" si="122"/>
        <v>461.97342273800007</v>
      </c>
      <c r="W117" s="65">
        <f t="shared" si="122"/>
        <v>476.61008690432868</v>
      </c>
      <c r="X117" s="65">
        <f t="shared" ref="X117:Y117" si="123">X85*1000000/X$8</f>
        <v>414.62506616913214</v>
      </c>
      <c r="Y117" s="65">
        <f t="shared" si="123"/>
        <v>491.99520970646836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166.19226423953495</v>
      </c>
      <c r="C118" s="67">
        <f t="shared" ref="C118:W118" si="125">C86*1000000/C$8</f>
        <v>325.27950027992597</v>
      </c>
      <c r="D118" s="67">
        <f t="shared" si="125"/>
        <v>201.38574690974664</v>
      </c>
      <c r="E118" s="67">
        <f t="shared" si="125"/>
        <v>249.14902812534746</v>
      </c>
      <c r="F118" s="67">
        <f t="shared" si="125"/>
        <v>354.66341656956996</v>
      </c>
      <c r="G118" s="67">
        <f t="shared" si="125"/>
        <v>292.17938397453668</v>
      </c>
      <c r="H118" s="67">
        <f t="shared" si="125"/>
        <v>388.10056536132424</v>
      </c>
      <c r="I118" s="67">
        <f t="shared" si="125"/>
        <v>434.31534708264758</v>
      </c>
      <c r="J118" s="67">
        <f t="shared" si="125"/>
        <v>447.57045822897351</v>
      </c>
      <c r="K118" s="67">
        <f t="shared" si="125"/>
        <v>448.94439724636766</v>
      </c>
      <c r="L118" s="67">
        <f t="shared" si="125"/>
        <v>617.69839928155852</v>
      </c>
      <c r="M118" s="67">
        <f t="shared" si="125"/>
        <v>638.87005557983787</v>
      </c>
      <c r="N118" s="67">
        <f t="shared" si="125"/>
        <v>811.32092416427963</v>
      </c>
      <c r="O118" s="67">
        <f t="shared" si="125"/>
        <v>711.52494661695482</v>
      </c>
      <c r="P118" s="67">
        <f t="shared" si="125"/>
        <v>608.31356537202737</v>
      </c>
      <c r="Q118" s="67">
        <f t="shared" si="125"/>
        <v>581.64231726806986</v>
      </c>
      <c r="R118" s="67">
        <f t="shared" si="125"/>
        <v>578.57494712725475</v>
      </c>
      <c r="S118" s="67">
        <f t="shared" si="125"/>
        <v>635.91972399766746</v>
      </c>
      <c r="T118" s="67">
        <f t="shared" si="125"/>
        <v>661.75640929877136</v>
      </c>
      <c r="U118" s="67">
        <f t="shared" si="125"/>
        <v>645.16538392198697</v>
      </c>
      <c r="V118" s="67">
        <f t="shared" si="125"/>
        <v>532.08704270683313</v>
      </c>
      <c r="W118" s="67">
        <f t="shared" si="125"/>
        <v>616.92825722227451</v>
      </c>
      <c r="X118" s="67">
        <f t="shared" ref="X118:Y118" si="126">X86*1000000/X$8</f>
        <v>644.87682808221678</v>
      </c>
      <c r="Y118" s="67">
        <f t="shared" si="126"/>
        <v>663.924952053575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0.61712836450307496</v>
      </c>
      <c r="C121" s="86">
        <f t="shared" ref="C121:W121" si="131">IF(C107=0,"",C107/C100)</f>
        <v>0.59376199030449173</v>
      </c>
      <c r="D121" s="86">
        <f t="shared" si="131"/>
        <v>0.62789108272456606</v>
      </c>
      <c r="E121" s="86">
        <f t="shared" si="131"/>
        <v>0.66795329998322162</v>
      </c>
      <c r="F121" s="86">
        <f t="shared" si="131"/>
        <v>0.70117693214856935</v>
      </c>
      <c r="G121" s="86">
        <f t="shared" si="131"/>
        <v>0.7148786055686196</v>
      </c>
      <c r="H121" s="86">
        <f t="shared" si="131"/>
        <v>0.7080832486719163</v>
      </c>
      <c r="I121" s="86">
        <f t="shared" si="131"/>
        <v>0.77211161400632955</v>
      </c>
      <c r="J121" s="86">
        <f t="shared" si="131"/>
        <v>0.73791009890366455</v>
      </c>
      <c r="K121" s="86">
        <f t="shared" si="131"/>
        <v>0.75649168515931309</v>
      </c>
      <c r="L121" s="86">
        <f t="shared" si="131"/>
        <v>0.78800434820515752</v>
      </c>
      <c r="M121" s="86">
        <f t="shared" si="131"/>
        <v>0.78927384541493617</v>
      </c>
      <c r="N121" s="86">
        <f t="shared" si="131"/>
        <v>0.86571769167226709</v>
      </c>
      <c r="O121" s="86">
        <f t="shared" si="131"/>
        <v>0.87380409601029485</v>
      </c>
      <c r="P121" s="86">
        <f t="shared" si="131"/>
        <v>0.89909601677477036</v>
      </c>
      <c r="Q121" s="86">
        <f t="shared" si="131"/>
        <v>0.92729727664164008</v>
      </c>
      <c r="R121" s="86">
        <f t="shared" si="131"/>
        <v>0.91789879510668704</v>
      </c>
      <c r="S121" s="86">
        <f t="shared" si="131"/>
        <v>0.92367841383836546</v>
      </c>
      <c r="T121" s="86">
        <f t="shared" si="131"/>
        <v>0.88896576144373118</v>
      </c>
      <c r="U121" s="86">
        <f t="shared" si="131"/>
        <v>0.9095300270388712</v>
      </c>
      <c r="V121" s="86">
        <f t="shared" si="131"/>
        <v>0.98894914604862139</v>
      </c>
      <c r="W121" s="86">
        <f t="shared" si="131"/>
        <v>0.97868567871911316</v>
      </c>
      <c r="X121" s="86">
        <f t="shared" ref="X121:Y121" si="132">IF(X107=0,"",X107/X100)</f>
        <v>0.99417958121241012</v>
      </c>
      <c r="Y121" s="86">
        <f t="shared" si="132"/>
        <v>1.0882474544076319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0.55952098744692647</v>
      </c>
      <c r="C122" s="75">
        <f t="shared" ref="C122:W122" si="134">IF(C108=0,"",C108/C101)</f>
        <v>0.53763480193923174</v>
      </c>
      <c r="D122" s="75">
        <f t="shared" si="134"/>
        <v>0.5881299945428331</v>
      </c>
      <c r="E122" s="75">
        <f t="shared" si="134"/>
        <v>0.63937012219743539</v>
      </c>
      <c r="F122" s="75">
        <f t="shared" si="134"/>
        <v>0.69095787572423062</v>
      </c>
      <c r="G122" s="75">
        <f t="shared" si="134"/>
        <v>0.70843455711635339</v>
      </c>
      <c r="H122" s="75">
        <f t="shared" si="134"/>
        <v>0.68914279319137439</v>
      </c>
      <c r="I122" s="75">
        <f t="shared" si="134"/>
        <v>0.72201836606696912</v>
      </c>
      <c r="J122" s="75">
        <f t="shared" si="134"/>
        <v>0.70833617531885551</v>
      </c>
      <c r="K122" s="75">
        <f t="shared" si="134"/>
        <v>0.74387546653471137</v>
      </c>
      <c r="L122" s="75">
        <f t="shared" si="134"/>
        <v>0.77258812096421325</v>
      </c>
      <c r="M122" s="75">
        <f t="shared" si="134"/>
        <v>0.78409364898361555</v>
      </c>
      <c r="N122" s="75">
        <f t="shared" si="134"/>
        <v>0.80332160618176407</v>
      </c>
      <c r="O122" s="75">
        <f t="shared" si="134"/>
        <v>0.91554896270800024</v>
      </c>
      <c r="P122" s="75">
        <f t="shared" si="134"/>
        <v>0.96718260710151471</v>
      </c>
      <c r="Q122" s="75">
        <f t="shared" si="134"/>
        <v>0.94921829909133093</v>
      </c>
      <c r="R122" s="75">
        <f t="shared" si="134"/>
        <v>0.93076129335675284</v>
      </c>
      <c r="S122" s="75">
        <f t="shared" si="134"/>
        <v>0.92918446426875345</v>
      </c>
      <c r="T122" s="75">
        <f t="shared" si="134"/>
        <v>0.90081762641148011</v>
      </c>
      <c r="U122" s="75">
        <f t="shared" si="134"/>
        <v>0.91707838861035129</v>
      </c>
      <c r="V122" s="75">
        <f t="shared" si="134"/>
        <v>1.0275703649993941</v>
      </c>
      <c r="W122" s="75">
        <f t="shared" si="134"/>
        <v>0.9647477963258646</v>
      </c>
      <c r="X122" s="75">
        <f t="shared" ref="X122:Y122" si="135">IF(X108=0,"",X108/X101)</f>
        <v>0.99969781226671828</v>
      </c>
      <c r="Y122" s="75">
        <f t="shared" si="135"/>
        <v>1.1106201922470775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1.5733144068030744</v>
      </c>
      <c r="C123" s="76">
        <f t="shared" ref="C123:W123" si="137">IF(C109=0,"",C109/C102)</f>
        <v>1.6612782508045156</v>
      </c>
      <c r="D123" s="76">
        <f t="shared" si="137"/>
        <v>1.7494694105723558</v>
      </c>
      <c r="E123" s="76">
        <f t="shared" si="137"/>
        <v>1.8578033939583241</v>
      </c>
      <c r="F123" s="76">
        <f t="shared" si="137"/>
        <v>1.978911291131755</v>
      </c>
      <c r="G123" s="76">
        <f t="shared" si="137"/>
        <v>2.0824129801956675</v>
      </c>
      <c r="H123" s="76">
        <f t="shared" si="137"/>
        <v>2.1928994738840504</v>
      </c>
      <c r="I123" s="76">
        <f t="shared" si="137"/>
        <v>2.3205124251902025</v>
      </c>
      <c r="J123" s="76">
        <f t="shared" si="137"/>
        <v>2.4370800448575429</v>
      </c>
      <c r="K123" s="76">
        <f t="shared" si="137"/>
        <v>2.4893088543505963</v>
      </c>
      <c r="L123" s="76">
        <f t="shared" si="137"/>
        <v>2.553994326186416</v>
      </c>
      <c r="M123" s="76">
        <f t="shared" si="137"/>
        <v>2.6514964101443961</v>
      </c>
      <c r="N123" s="76">
        <f t="shared" si="137"/>
        <v>2.7513383244990872</v>
      </c>
      <c r="O123" s="76">
        <f t="shared" si="137"/>
        <v>2.8637142092780348</v>
      </c>
      <c r="P123" s="76">
        <f t="shared" si="137"/>
        <v>2.9879496840714697</v>
      </c>
      <c r="Q123" s="76">
        <f t="shared" si="137"/>
        <v>3.1142146480599293</v>
      </c>
      <c r="R123" s="76">
        <f t="shared" si="137"/>
        <v>3.2473075051948053</v>
      </c>
      <c r="S123" s="76">
        <f t="shared" si="137"/>
        <v>3.3706376305805064</v>
      </c>
      <c r="T123" s="76">
        <f t="shared" si="137"/>
        <v>3.4760490453499879</v>
      </c>
      <c r="U123" s="76">
        <f t="shared" si="137"/>
        <v>3.5663142713330047</v>
      </c>
      <c r="V123" s="76">
        <f t="shared" si="137"/>
        <v>3.6510277536789228</v>
      </c>
      <c r="W123" s="76">
        <f t="shared" si="137"/>
        <v>3.7316773104721861</v>
      </c>
      <c r="X123" s="76">
        <f t="shared" ref="X123:Y123" si="138">IF(X109=0,"",X109/X102)</f>
        <v>3.7976916075648508</v>
      </c>
      <c r="Y123" s="76">
        <f t="shared" si="138"/>
        <v>3.8532080226096439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0.57294051261805745</v>
      </c>
      <c r="C124" s="76">
        <f t="shared" ref="C124:W124" si="140">IF(C110=0,"",C110/C103)</f>
        <v>0.5729088385557396</v>
      </c>
      <c r="D124" s="76">
        <f t="shared" si="140"/>
        <v>0.57570350842183393</v>
      </c>
      <c r="E124" s="76">
        <f t="shared" si="140"/>
        <v>0.57896864012990212</v>
      </c>
      <c r="F124" s="76">
        <f t="shared" si="140"/>
        <v>0.58432638844349816</v>
      </c>
      <c r="G124" s="76">
        <f t="shared" si="140"/>
        <v>0.58623943281253388</v>
      </c>
      <c r="H124" s="76">
        <f t="shared" si="140"/>
        <v>0.58654251423084569</v>
      </c>
      <c r="I124" s="76">
        <f t="shared" si="140"/>
        <v>0.5870472128214228</v>
      </c>
      <c r="J124" s="76">
        <f t="shared" si="140"/>
        <v>0.58904892043295853</v>
      </c>
      <c r="K124" s="76">
        <f t="shared" si="140"/>
        <v>0.59102907603003918</v>
      </c>
      <c r="L124" s="76">
        <f t="shared" si="140"/>
        <v>0.60562761914735186</v>
      </c>
      <c r="M124" s="76">
        <f t="shared" si="140"/>
        <v>0.61608868468405709</v>
      </c>
      <c r="N124" s="76">
        <f t="shared" si="140"/>
        <v>0.6258991928989609</v>
      </c>
      <c r="O124" s="76">
        <f t="shared" si="140"/>
        <v>0.64161866656836408</v>
      </c>
      <c r="P124" s="76">
        <f t="shared" si="140"/>
        <v>0.64802642171466651</v>
      </c>
      <c r="Q124" s="76">
        <f t="shared" si="140"/>
        <v>0.65867459871398359</v>
      </c>
      <c r="R124" s="76">
        <f t="shared" si="140"/>
        <v>0.66856710380571815</v>
      </c>
      <c r="S124" s="76">
        <f t="shared" si="140"/>
        <v>0.68140910794634113</v>
      </c>
      <c r="T124" s="76">
        <f t="shared" si="140"/>
        <v>0.6969490216896056</v>
      </c>
      <c r="U124" s="76">
        <f t="shared" si="140"/>
        <v>0.71002069022857173</v>
      </c>
      <c r="V124" s="76">
        <f t="shared" si="140"/>
        <v>0.72884451666585859</v>
      </c>
      <c r="W124" s="76">
        <f t="shared" si="140"/>
        <v>0.74173847899659329</v>
      </c>
      <c r="X124" s="76">
        <f t="shared" ref="X124:Y124" si="141">IF(X110=0,"",X110/X103)</f>
        <v>0.75900972878266237</v>
      </c>
      <c r="Y124" s="76">
        <f t="shared" si="141"/>
        <v>0.7695508790742891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0.70127533702838585</v>
      </c>
      <c r="C125" s="56">
        <f t="shared" ref="C125:W125" si="143">IF(C111=0,"",C111/C104)</f>
        <v>0.69569551614447134</v>
      </c>
      <c r="D125" s="56">
        <f t="shared" si="143"/>
        <v>0.70277174103355988</v>
      </c>
      <c r="E125" s="56">
        <f t="shared" si="143"/>
        <v>0.70203787099457082</v>
      </c>
      <c r="F125" s="56">
        <f t="shared" si="143"/>
        <v>0.6986928581914772</v>
      </c>
      <c r="G125" s="56">
        <f t="shared" si="143"/>
        <v>0.70311271543753895</v>
      </c>
      <c r="H125" s="56">
        <f t="shared" si="143"/>
        <v>0.69978012833749959</v>
      </c>
      <c r="I125" s="56">
        <f t="shared" si="143"/>
        <v>0.69905497510394565</v>
      </c>
      <c r="J125" s="56">
        <f t="shared" si="143"/>
        <v>0.69365975907596478</v>
      </c>
      <c r="K125" s="56">
        <f t="shared" si="143"/>
        <v>0.69642678246367651</v>
      </c>
      <c r="L125" s="56">
        <f t="shared" si="143"/>
        <v>0.69149791712992614</v>
      </c>
      <c r="M125" s="56">
        <f t="shared" si="143"/>
        <v>0.69191342854503879</v>
      </c>
      <c r="N125" s="56">
        <f t="shared" si="143"/>
        <v>0.68806335614304692</v>
      </c>
      <c r="O125" s="56">
        <f t="shared" si="143"/>
        <v>0.6949376277785656</v>
      </c>
      <c r="P125" s="56">
        <f t="shared" si="143"/>
        <v>0.70234971439385563</v>
      </c>
      <c r="Q125" s="56">
        <f t="shared" si="143"/>
        <v>0.70708367453880139</v>
      </c>
      <c r="R125" s="56">
        <f t="shared" si="143"/>
        <v>0.71117426686767682</v>
      </c>
      <c r="S125" s="56">
        <f t="shared" si="143"/>
        <v>0.71066267355771762</v>
      </c>
      <c r="T125" s="56">
        <f t="shared" si="143"/>
        <v>0.71075865873122546</v>
      </c>
      <c r="U125" s="56">
        <f t="shared" si="143"/>
        <v>0.7162584212986769</v>
      </c>
      <c r="V125" s="56">
        <f t="shared" si="143"/>
        <v>0.72246907583174291</v>
      </c>
      <c r="W125" s="56">
        <f t="shared" si="143"/>
        <v>0.73253560389083117</v>
      </c>
      <c r="X125" s="56">
        <f t="shared" ref="X125:Y125" si="144">IF(X111=0,"",X111/X104)</f>
        <v>0.73098048040822416</v>
      </c>
      <c r="Y125" s="56">
        <f t="shared" si="144"/>
        <v>0.74627576765938597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144.63190331947024</v>
      </c>
      <c r="C129" s="82">
        <f t="shared" ref="C129:W129" si="146">IF(C99=0,0,C99/C$26)</f>
        <v>164.01648099162611</v>
      </c>
      <c r="D129" s="82">
        <f t="shared" si="146"/>
        <v>151.82605896473049</v>
      </c>
      <c r="E129" s="82">
        <f t="shared" si="146"/>
        <v>147.85635396645284</v>
      </c>
      <c r="F129" s="82">
        <f t="shared" si="146"/>
        <v>130.68287844659162</v>
      </c>
      <c r="G129" s="82">
        <f t="shared" si="146"/>
        <v>146.66737007055318</v>
      </c>
      <c r="H129" s="82">
        <f t="shared" si="146"/>
        <v>160.17449201099899</v>
      </c>
      <c r="I129" s="82">
        <f t="shared" si="146"/>
        <v>145.35948615528173</v>
      </c>
      <c r="J129" s="82">
        <f t="shared" si="146"/>
        <v>149.98724698032828</v>
      </c>
      <c r="K129" s="82">
        <f t="shared" si="146"/>
        <v>145.97370826462682</v>
      </c>
      <c r="L129" s="82">
        <f t="shared" si="146"/>
        <v>151.41532160040225</v>
      </c>
      <c r="M129" s="82">
        <f t="shared" si="146"/>
        <v>155.87450650879916</v>
      </c>
      <c r="N129" s="82">
        <f t="shared" si="146"/>
        <v>149.54192908596085</v>
      </c>
      <c r="O129" s="82">
        <f t="shared" si="146"/>
        <v>138.44770041355321</v>
      </c>
      <c r="P129" s="82">
        <f t="shared" si="146"/>
        <v>130.99786898444745</v>
      </c>
      <c r="Q129" s="82">
        <f t="shared" si="146"/>
        <v>138.39503423269602</v>
      </c>
      <c r="R129" s="82">
        <f t="shared" si="146"/>
        <v>146.31038072037811</v>
      </c>
      <c r="S129" s="82">
        <f t="shared" si="146"/>
        <v>144.9031295057413</v>
      </c>
      <c r="T129" s="82">
        <f t="shared" si="146"/>
        <v>150.50675969137041</v>
      </c>
      <c r="U129" s="82">
        <f t="shared" si="146"/>
        <v>151.68295194783406</v>
      </c>
      <c r="V129" s="82">
        <f t="shared" si="146"/>
        <v>123.19755503348847</v>
      </c>
      <c r="W129" s="82">
        <f t="shared" si="146"/>
        <v>149.20040040582251</v>
      </c>
      <c r="X129" s="82">
        <f t="shared" ref="X129:Y129" si="147">IF(X99=0,0,X99/X$26)</f>
        <v>150.56826212830757</v>
      </c>
      <c r="Y129" s="82">
        <f t="shared" si="147"/>
        <v>139.99051685011756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96.211188519945495</v>
      </c>
      <c r="C130" s="64">
        <f t="shared" ref="C130:W130" si="149">IF(C100=0,0,C100/C$26)</f>
        <v>115.27352682098903</v>
      </c>
      <c r="D130" s="64">
        <f t="shared" si="149"/>
        <v>103.08377590148504</v>
      </c>
      <c r="E130" s="64">
        <f t="shared" si="149"/>
        <v>99.001206493412369</v>
      </c>
      <c r="F130" s="64">
        <f t="shared" si="149"/>
        <v>81.370179207788013</v>
      </c>
      <c r="G130" s="64">
        <f t="shared" si="149"/>
        <v>96.645752166473045</v>
      </c>
      <c r="H130" s="64">
        <f t="shared" si="149"/>
        <v>109.20675174618302</v>
      </c>
      <c r="I130" s="64">
        <f t="shared" si="149"/>
        <v>93.896882649330621</v>
      </c>
      <c r="J130" s="64">
        <f t="shared" si="149"/>
        <v>98.024124780712597</v>
      </c>
      <c r="K130" s="64">
        <f t="shared" si="149"/>
        <v>93.256068912312827</v>
      </c>
      <c r="L130" s="64">
        <f t="shared" si="149"/>
        <v>98.421745288215831</v>
      </c>
      <c r="M130" s="64">
        <f t="shared" si="149"/>
        <v>103.19552366457818</v>
      </c>
      <c r="N130" s="64">
        <f t="shared" si="149"/>
        <v>96.778759205561613</v>
      </c>
      <c r="O130" s="64">
        <f t="shared" si="149"/>
        <v>85.580697979491461</v>
      </c>
      <c r="P130" s="64">
        <f t="shared" si="149"/>
        <v>77.766890904343342</v>
      </c>
      <c r="Q130" s="64">
        <f t="shared" si="149"/>
        <v>84.408295151785154</v>
      </c>
      <c r="R130" s="64">
        <f t="shared" si="149"/>
        <v>92.411297878202618</v>
      </c>
      <c r="S130" s="64">
        <f t="shared" si="149"/>
        <v>91.65686944922696</v>
      </c>
      <c r="T130" s="64">
        <f t="shared" si="149"/>
        <v>98.357057605977062</v>
      </c>
      <c r="U130" s="64">
        <f t="shared" si="149"/>
        <v>101.58531150902012</v>
      </c>
      <c r="V130" s="64">
        <f t="shared" si="149"/>
        <v>79.997224204669834</v>
      </c>
      <c r="W130" s="64">
        <f t="shared" si="149"/>
        <v>102.72269211834156</v>
      </c>
      <c r="X130" s="64">
        <f t="shared" ref="X130:Y130" si="150">IF(X100=0,0,X100/X$26)</f>
        <v>105.15247127934423</v>
      </c>
      <c r="Y130" s="64">
        <f t="shared" si="150"/>
        <v>95.848190068905097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57.415135644097006</v>
      </c>
      <c r="C131" s="65">
        <f t="shared" ref="C131:W131" si="152">IF(C101=0,0,C101/C$26)</f>
        <v>76.286213836239241</v>
      </c>
      <c r="D131" s="65">
        <f t="shared" si="152"/>
        <v>65.532129465154682</v>
      </c>
      <c r="E131" s="65">
        <f t="shared" si="152"/>
        <v>61.653676908742831</v>
      </c>
      <c r="F131" s="65">
        <f t="shared" si="152"/>
        <v>44.755021109932393</v>
      </c>
      <c r="G131" s="65">
        <f t="shared" si="152"/>
        <v>60.564831590880956</v>
      </c>
      <c r="H131" s="65">
        <f t="shared" si="152"/>
        <v>72.53374976458602</v>
      </c>
      <c r="I131" s="65">
        <f t="shared" si="152"/>
        <v>55.14266180238031</v>
      </c>
      <c r="J131" s="65">
        <f t="shared" si="152"/>
        <v>60.566464446557426</v>
      </c>
      <c r="K131" s="65">
        <f t="shared" si="152"/>
        <v>55.241995996412591</v>
      </c>
      <c r="L131" s="65">
        <f t="shared" si="152"/>
        <v>58.277662876927785</v>
      </c>
      <c r="M131" s="65">
        <f t="shared" si="152"/>
        <v>63.917986123878045</v>
      </c>
      <c r="N131" s="65">
        <f t="shared" si="152"/>
        <v>53.931076018119228</v>
      </c>
      <c r="O131" s="65">
        <f t="shared" si="152"/>
        <v>46.152293639876625</v>
      </c>
      <c r="P131" s="65">
        <f t="shared" si="152"/>
        <v>39.510565592476468</v>
      </c>
      <c r="Q131" s="65">
        <f t="shared" si="152"/>
        <v>44.99595953235459</v>
      </c>
      <c r="R131" s="65">
        <f t="shared" si="152"/>
        <v>53.278394383088127</v>
      </c>
      <c r="S131" s="65">
        <f t="shared" si="152"/>
        <v>51.740020474725775</v>
      </c>
      <c r="T131" s="65">
        <f t="shared" si="152"/>
        <v>58.625929783938112</v>
      </c>
      <c r="U131" s="65">
        <f t="shared" si="152"/>
        <v>61.513675173206906</v>
      </c>
      <c r="V131" s="65">
        <f t="shared" si="152"/>
        <v>45.88444203757718</v>
      </c>
      <c r="W131" s="65">
        <f t="shared" si="152"/>
        <v>64.766772645649496</v>
      </c>
      <c r="X131" s="65">
        <f t="shared" ref="X131:Y131" si="153">IF(X101=0,0,X101/X$26)</f>
        <v>66.259479104879944</v>
      </c>
      <c r="Y131" s="65">
        <f t="shared" si="153"/>
        <v>56.886666966990248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2.7104400302958105</v>
      </c>
      <c r="C132" s="65">
        <f t="shared" ref="C132:W132" si="155">IF(C102=0,0,C102/C$26)</f>
        <v>2.5975676909733947</v>
      </c>
      <c r="D132" s="65">
        <f t="shared" si="155"/>
        <v>1.9524541499076273</v>
      </c>
      <c r="E132" s="65">
        <f t="shared" si="155"/>
        <v>2.2707568050185669</v>
      </c>
      <c r="F132" s="65">
        <f t="shared" si="155"/>
        <v>1.9292444957327868</v>
      </c>
      <c r="G132" s="65">
        <f t="shared" si="155"/>
        <v>2.0137538336551013</v>
      </c>
      <c r="H132" s="65">
        <f t="shared" si="155"/>
        <v>2.4163077376529287</v>
      </c>
      <c r="I132" s="65">
        <f t="shared" si="155"/>
        <v>4.6305846751000344</v>
      </c>
      <c r="J132" s="65">
        <f t="shared" si="155"/>
        <v>3.0027415867866663</v>
      </c>
      <c r="K132" s="65">
        <f t="shared" si="155"/>
        <v>2.697489261428037</v>
      </c>
      <c r="L132" s="65">
        <f t="shared" si="155"/>
        <v>3.4017353935639285</v>
      </c>
      <c r="M132" s="65">
        <f t="shared" si="155"/>
        <v>2.8200468480027023</v>
      </c>
      <c r="N132" s="65">
        <f t="shared" si="155"/>
        <v>5.8570642820931562</v>
      </c>
      <c r="O132" s="65">
        <f t="shared" si="155"/>
        <v>2.7992182399535936</v>
      </c>
      <c r="P132" s="65">
        <f t="shared" si="155"/>
        <v>2.5285003639930523</v>
      </c>
      <c r="Q132" s="65">
        <f t="shared" si="155"/>
        <v>3.5476044123146346</v>
      </c>
      <c r="R132" s="65">
        <f t="shared" si="155"/>
        <v>3.2127750409155027</v>
      </c>
      <c r="S132" s="65">
        <f t="shared" si="155"/>
        <v>3.2820773491045503</v>
      </c>
      <c r="T132" s="65">
        <f t="shared" si="155"/>
        <v>2.3961684557871732</v>
      </c>
      <c r="U132" s="65">
        <f t="shared" si="155"/>
        <v>2.5926612501026449</v>
      </c>
      <c r="V132" s="65">
        <f t="shared" si="155"/>
        <v>2.4662226926924191</v>
      </c>
      <c r="W132" s="65">
        <f t="shared" si="155"/>
        <v>3.366873661887237</v>
      </c>
      <c r="X132" s="65">
        <f t="shared" ref="X132:Y132" si="156">IF(X102=0,0,X102/X$26)</f>
        <v>3.0690193485666359</v>
      </c>
      <c r="Y132" s="65">
        <f t="shared" si="156"/>
        <v>3.7547596660165561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18.082735072239721</v>
      </c>
      <c r="C133" s="65">
        <f t="shared" ref="C133:W133" si="158">IF(C103=0,0,C103/C$26)</f>
        <v>17.92173336417304</v>
      </c>
      <c r="D133" s="65">
        <f t="shared" si="158"/>
        <v>17.706175569489297</v>
      </c>
      <c r="E133" s="65">
        <f t="shared" si="158"/>
        <v>17.349413230840948</v>
      </c>
      <c r="F133" s="65">
        <f t="shared" si="158"/>
        <v>16.801651066606254</v>
      </c>
      <c r="G133" s="65">
        <f t="shared" si="158"/>
        <v>16.7939523494022</v>
      </c>
      <c r="H133" s="65">
        <f t="shared" si="158"/>
        <v>17.039507908879617</v>
      </c>
      <c r="I133" s="65">
        <f t="shared" si="158"/>
        <v>17.094956926330315</v>
      </c>
      <c r="J133" s="65">
        <f t="shared" si="158"/>
        <v>17.076035602567242</v>
      </c>
      <c r="K133" s="65">
        <f t="shared" si="158"/>
        <v>17.609713808923811</v>
      </c>
      <c r="L133" s="65">
        <f t="shared" si="158"/>
        <v>18.203455391585493</v>
      </c>
      <c r="M133" s="65">
        <f t="shared" si="158"/>
        <v>18.080254395198111</v>
      </c>
      <c r="N133" s="65">
        <f t="shared" si="158"/>
        <v>17.816847328793276</v>
      </c>
      <c r="O133" s="65">
        <f t="shared" si="158"/>
        <v>17.725042975653263</v>
      </c>
      <c r="P133" s="65">
        <f t="shared" si="158"/>
        <v>17.349638692190837</v>
      </c>
      <c r="Q133" s="65">
        <f t="shared" si="158"/>
        <v>17.49204035128415</v>
      </c>
      <c r="R133" s="65">
        <f t="shared" si="158"/>
        <v>17.452178365426938</v>
      </c>
      <c r="S133" s="65">
        <f t="shared" si="158"/>
        <v>17.50930435159075</v>
      </c>
      <c r="T133" s="65">
        <f t="shared" si="158"/>
        <v>17.419648432798635</v>
      </c>
      <c r="U133" s="65">
        <f t="shared" si="158"/>
        <v>17.449826599963998</v>
      </c>
      <c r="V133" s="65">
        <f t="shared" si="158"/>
        <v>15.024158974552481</v>
      </c>
      <c r="W133" s="65">
        <f t="shared" si="158"/>
        <v>16.063768838486396</v>
      </c>
      <c r="X133" s="65">
        <f t="shared" ref="X133:Y133" si="159">IF(X103=0,0,X103/X$26)</f>
        <v>16.381804493011579</v>
      </c>
      <c r="Y133" s="65">
        <f t="shared" si="159"/>
        <v>16.551730474229693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18.00287777331296</v>
      </c>
      <c r="C134" s="67">
        <f t="shared" ref="C134:W134" si="161">IF(C104=0,0,C104/C$26)</f>
        <v>18.468011929603332</v>
      </c>
      <c r="D134" s="67">
        <f t="shared" si="161"/>
        <v>17.893016716933445</v>
      </c>
      <c r="E134" s="67">
        <f t="shared" si="161"/>
        <v>17.727359548810025</v>
      </c>
      <c r="F134" s="67">
        <f t="shared" si="161"/>
        <v>17.88426253551658</v>
      </c>
      <c r="G134" s="67">
        <f t="shared" si="161"/>
        <v>17.273214392534804</v>
      </c>
      <c r="H134" s="67">
        <f t="shared" si="161"/>
        <v>17.217186335064458</v>
      </c>
      <c r="I134" s="67">
        <f t="shared" si="161"/>
        <v>17.028679245519953</v>
      </c>
      <c r="J134" s="67">
        <f t="shared" si="161"/>
        <v>17.378883144801264</v>
      </c>
      <c r="K134" s="67">
        <f t="shared" si="161"/>
        <v>17.706869845548393</v>
      </c>
      <c r="L134" s="67">
        <f t="shared" si="161"/>
        <v>18.538891626138625</v>
      </c>
      <c r="M134" s="67">
        <f t="shared" si="161"/>
        <v>18.377236297499305</v>
      </c>
      <c r="N134" s="67">
        <f t="shared" si="161"/>
        <v>19.173771576555957</v>
      </c>
      <c r="O134" s="67">
        <f t="shared" si="161"/>
        <v>18.90414312400797</v>
      </c>
      <c r="P134" s="67">
        <f t="shared" si="161"/>
        <v>18.378186255683001</v>
      </c>
      <c r="Q134" s="67">
        <f t="shared" si="161"/>
        <v>18.372690855831777</v>
      </c>
      <c r="R134" s="67">
        <f t="shared" si="161"/>
        <v>18.467950088772042</v>
      </c>
      <c r="S134" s="67">
        <f t="shared" si="161"/>
        <v>19.125467273805889</v>
      </c>
      <c r="T134" s="67">
        <f t="shared" si="161"/>
        <v>19.915310933453149</v>
      </c>
      <c r="U134" s="67">
        <f t="shared" si="161"/>
        <v>20.02914848574655</v>
      </c>
      <c r="V134" s="67">
        <f t="shared" si="161"/>
        <v>16.622400499847739</v>
      </c>
      <c r="W134" s="67">
        <f t="shared" si="161"/>
        <v>18.525276972318437</v>
      </c>
      <c r="X134" s="67">
        <f t="shared" ref="X134:Y134" si="162">IF(X104=0,0,X104/X$26)</f>
        <v>19.44216833288608</v>
      </c>
      <c r="Y134" s="67">
        <f t="shared" si="162"/>
        <v>18.655032961668603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48.420714799524724</v>
      </c>
      <c r="C135" s="68">
        <f t="shared" ref="C135:W135" si="164">IF(C105=0,0,C105/C$26)</f>
        <v>48.742954170637098</v>
      </c>
      <c r="D135" s="68">
        <f t="shared" si="164"/>
        <v>48.742283063245438</v>
      </c>
      <c r="E135" s="68">
        <f t="shared" si="164"/>
        <v>48.855147473040489</v>
      </c>
      <c r="F135" s="68">
        <f t="shared" si="164"/>
        <v>49.312699238803603</v>
      </c>
      <c r="G135" s="68">
        <f t="shared" si="164"/>
        <v>50.021617904080095</v>
      </c>
      <c r="H135" s="68">
        <f t="shared" si="164"/>
        <v>50.967740264815973</v>
      </c>
      <c r="I135" s="68">
        <f t="shared" si="164"/>
        <v>51.46260350595113</v>
      </c>
      <c r="J135" s="68">
        <f t="shared" si="164"/>
        <v>51.963122199615668</v>
      </c>
      <c r="K135" s="68">
        <f t="shared" si="164"/>
        <v>52.717639352313995</v>
      </c>
      <c r="L135" s="68">
        <f t="shared" si="164"/>
        <v>52.993576312186427</v>
      </c>
      <c r="M135" s="68">
        <f t="shared" si="164"/>
        <v>52.678982844220975</v>
      </c>
      <c r="N135" s="68">
        <f t="shared" si="164"/>
        <v>52.763169880399239</v>
      </c>
      <c r="O135" s="68">
        <f t="shared" si="164"/>
        <v>52.867002434061767</v>
      </c>
      <c r="P135" s="68">
        <f t="shared" si="164"/>
        <v>53.230978080104123</v>
      </c>
      <c r="Q135" s="68">
        <f t="shared" si="164"/>
        <v>53.986739080910887</v>
      </c>
      <c r="R135" s="68">
        <f t="shared" si="164"/>
        <v>53.899082842175503</v>
      </c>
      <c r="S135" s="68">
        <f t="shared" si="164"/>
        <v>53.246260056514359</v>
      </c>
      <c r="T135" s="68">
        <f t="shared" si="164"/>
        <v>52.149702085393365</v>
      </c>
      <c r="U135" s="68">
        <f t="shared" si="164"/>
        <v>50.097640438813947</v>
      </c>
      <c r="V135" s="68">
        <f t="shared" si="164"/>
        <v>43.20033082881865</v>
      </c>
      <c r="W135" s="68">
        <f t="shared" si="164"/>
        <v>46.477708287480922</v>
      </c>
      <c r="X135" s="68">
        <f t="shared" ref="X135:Y135" si="165">IF(X105=0,0,X105/X$26)</f>
        <v>45.41579084896334</v>
      </c>
      <c r="Y135" s="68">
        <f t="shared" si="165"/>
        <v>44.142326781212475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59.374653418210983</v>
      </c>
      <c r="C137" s="85">
        <f t="shared" ref="C137:W137" si="167">IF(C107=0,0,C107/C$26)</f>
        <v>68.445038714648646</v>
      </c>
      <c r="D137" s="85">
        <f t="shared" si="167"/>
        <v>64.725383662119967</v>
      </c>
      <c r="E137" s="85">
        <f t="shared" si="167"/>
        <v>66.128182579595133</v>
      </c>
      <c r="F137" s="85">
        <f t="shared" si="167"/>
        <v>57.054892625296098</v>
      </c>
      <c r="G137" s="85">
        <f t="shared" si="167"/>
        <v>69.089980542898644</v>
      </c>
      <c r="H137" s="85">
        <f t="shared" si="167"/>
        <v>77.327471553344751</v>
      </c>
      <c r="I137" s="85">
        <f t="shared" si="167"/>
        <v>72.498873612537579</v>
      </c>
      <c r="J137" s="85">
        <f t="shared" si="167"/>
        <v>72.332991611880786</v>
      </c>
      <c r="K137" s="85">
        <f t="shared" si="167"/>
        <v>70.54744072280856</v>
      </c>
      <c r="L137" s="85">
        <f t="shared" si="167"/>
        <v>77.556763245054555</v>
      </c>
      <c r="M137" s="85">
        <f t="shared" si="167"/>
        <v>81.449527792349656</v>
      </c>
      <c r="N137" s="85">
        <f t="shared" si="167"/>
        <v>83.783084022344966</v>
      </c>
      <c r="O137" s="85">
        <f t="shared" si="167"/>
        <v>74.780764433899606</v>
      </c>
      <c r="P137" s="85">
        <f t="shared" si="167"/>
        <v>69.919901849053218</v>
      </c>
      <c r="Q137" s="85">
        <f t="shared" si="167"/>
        <v>78.271582220214128</v>
      </c>
      <c r="R137" s="85">
        <f t="shared" si="167"/>
        <v>84.82421897664733</v>
      </c>
      <c r="S137" s="85">
        <f t="shared" si="167"/>
        <v>84.661471790252094</v>
      </c>
      <c r="T137" s="85">
        <f t="shared" si="167"/>
        <v>87.43605660806233</v>
      </c>
      <c r="U137" s="85">
        <f t="shared" si="167"/>
        <v>92.394891123551218</v>
      </c>
      <c r="V137" s="85">
        <f t="shared" si="167"/>
        <v>79.113186563468332</v>
      </c>
      <c r="W137" s="85">
        <f t="shared" si="167"/>
        <v>100.53322765569361</v>
      </c>
      <c r="X137" s="85">
        <f t="shared" ref="X137:Y137" si="168">IF(X107=0,0,X107/X$26)</f>
        <v>104.54043985994842</v>
      </c>
      <c r="Y137" s="85">
        <f t="shared" si="168"/>
        <v>104.30654885206485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32.124973389984383</v>
      </c>
      <c r="C138" s="65">
        <f t="shared" ref="C138:W138" si="170">IF(C108=0,0,C108/C$26)</f>
        <v>41.014123466540369</v>
      </c>
      <c r="D138" s="65">
        <f t="shared" si="170"/>
        <v>38.541410944721655</v>
      </c>
      <c r="E138" s="65">
        <f t="shared" si="170"/>
        <v>39.419518939064105</v>
      </c>
      <c r="F138" s="65">
        <f t="shared" si="170"/>
        <v>30.923834314111982</v>
      </c>
      <c r="G138" s="65">
        <f t="shared" si="170"/>
        <v>42.906219644912277</v>
      </c>
      <c r="H138" s="65">
        <f t="shared" si="170"/>
        <v>49.986110913410997</v>
      </c>
      <c r="I138" s="65">
        <f t="shared" si="170"/>
        <v>39.814014575138103</v>
      </c>
      <c r="J138" s="65">
        <f t="shared" si="170"/>
        <v>42.901417778659926</v>
      </c>
      <c r="K138" s="65">
        <f t="shared" si="170"/>
        <v>41.093165544140071</v>
      </c>
      <c r="L138" s="65">
        <f t="shared" si="170"/>
        <v>45.024630056271526</v>
      </c>
      <c r="M138" s="65">
        <f t="shared" si="170"/>
        <v>50.11768697555565</v>
      </c>
      <c r="N138" s="65">
        <f t="shared" si="170"/>
        <v>43.323998609986354</v>
      </c>
      <c r="O138" s="65">
        <f t="shared" si="170"/>
        <v>42.254684568584082</v>
      </c>
      <c r="P138" s="65">
        <f t="shared" si="170"/>
        <v>38.213931837786788</v>
      </c>
      <c r="Q138" s="65">
        <f t="shared" si="170"/>
        <v>42.710988173283987</v>
      </c>
      <c r="R138" s="65">
        <f t="shared" si="170"/>
        <v>49.589467263974264</v>
      </c>
      <c r="S138" s="65">
        <f t="shared" si="170"/>
        <v>48.076023206062409</v>
      </c>
      <c r="T138" s="65">
        <f t="shared" si="170"/>
        <v>52.811270914133225</v>
      </c>
      <c r="U138" s="65">
        <f t="shared" si="170"/>
        <v>56.412862105345162</v>
      </c>
      <c r="V138" s="65">
        <f t="shared" si="170"/>
        <v>47.149492852346732</v>
      </c>
      <c r="W138" s="65">
        <f t="shared" si="170"/>
        <v>62.48360118502864</v>
      </c>
      <c r="X138" s="65">
        <f t="shared" ref="X138:Y138" si="171">IF(X108=0,0,X108/X$26)</f>
        <v>66.239456303080814</v>
      </c>
      <c r="Y138" s="65">
        <f t="shared" si="171"/>
        <v>63.179481003174189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4.2643743484401604</v>
      </c>
      <c r="C139" s="65">
        <f t="shared" ref="C139:W139" si="173">IF(C109=0,0,C109/C$26)</f>
        <v>4.3152827100066062</v>
      </c>
      <c r="D139" s="65">
        <f t="shared" si="173"/>
        <v>3.4157588108084469</v>
      </c>
      <c r="E139" s="65">
        <f t="shared" si="173"/>
        <v>4.2186196992174541</v>
      </c>
      <c r="F139" s="65">
        <f t="shared" si="173"/>
        <v>3.8178037159594007</v>
      </c>
      <c r="G139" s="65">
        <f t="shared" si="173"/>
        <v>4.1934671221221702</v>
      </c>
      <c r="H139" s="65">
        <f t="shared" si="173"/>
        <v>5.2987199666410678</v>
      </c>
      <c r="I139" s="65">
        <f t="shared" si="173"/>
        <v>10.745329274464966</v>
      </c>
      <c r="J139" s="65">
        <f t="shared" si="173"/>
        <v>7.3179216010216583</v>
      </c>
      <c r="K139" s="65">
        <f t="shared" si="173"/>
        <v>6.714883902988463</v>
      </c>
      <c r="L139" s="65">
        <f t="shared" si="173"/>
        <v>8.6880128943497894</v>
      </c>
      <c r="M139" s="65">
        <f t="shared" si="173"/>
        <v>7.4773440939181848</v>
      </c>
      <c r="N139" s="65">
        <f t="shared" si="173"/>
        <v>16.114765428377634</v>
      </c>
      <c r="O139" s="65">
        <f t="shared" si="173"/>
        <v>8.0161610486253583</v>
      </c>
      <c r="P139" s="65">
        <f t="shared" si="173"/>
        <v>7.5550318637676375</v>
      </c>
      <c r="Q139" s="65">
        <f t="shared" si="173"/>
        <v>11.048001626352272</v>
      </c>
      <c r="R139" s="65">
        <f t="shared" si="173"/>
        <v>10.432868502867459</v>
      </c>
      <c r="S139" s="65">
        <f t="shared" si="173"/>
        <v>11.062693419367712</v>
      </c>
      <c r="T139" s="65">
        <f t="shared" si="173"/>
        <v>8.329199073236758</v>
      </c>
      <c r="U139" s="65">
        <f t="shared" si="173"/>
        <v>9.2462448169731299</v>
      </c>
      <c r="V139" s="65">
        <f t="shared" si="173"/>
        <v>9.0042474977727878</v>
      </c>
      <c r="W139" s="65">
        <f t="shared" si="173"/>
        <v>12.564086051291005</v>
      </c>
      <c r="X139" s="65">
        <f t="shared" ref="X139:Y139" si="174">IF(X109=0,0,X109/X$26)</f>
        <v>11.65518902350566</v>
      </c>
      <c r="Y139" s="65">
        <f t="shared" si="174"/>
        <v>14.467870068066102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10.360331501825552</v>
      </c>
      <c r="C140" s="65">
        <f t="shared" ref="C140:W140" si="176">IF(C110=0,0,C110/C$26)</f>
        <v>10.267519446574024</v>
      </c>
      <c r="D140" s="65">
        <f t="shared" si="176"/>
        <v>10.19350739608795</v>
      </c>
      <c r="E140" s="65">
        <f t="shared" si="176"/>
        <v>10.044766185311715</v>
      </c>
      <c r="F140" s="65">
        <f t="shared" si="176"/>
        <v>9.8176480876378829</v>
      </c>
      <c r="G140" s="65">
        <f t="shared" si="176"/>
        <v>9.8452770999942665</v>
      </c>
      <c r="H140" s="65">
        <f t="shared" si="176"/>
        <v>9.9943958101306301</v>
      </c>
      <c r="I140" s="65">
        <f t="shared" si="176"/>
        <v>10.035546816904487</v>
      </c>
      <c r="J140" s="65">
        <f t="shared" si="176"/>
        <v>10.058620336966998</v>
      </c>
      <c r="K140" s="65">
        <f t="shared" si="176"/>
        <v>10.407852881641661</v>
      </c>
      <c r="L140" s="65">
        <f t="shared" si="176"/>
        <v>11.024515349060948</v>
      </c>
      <c r="M140" s="65">
        <f t="shared" si="176"/>
        <v>11.139040149090745</v>
      </c>
      <c r="N140" s="65">
        <f t="shared" si="176"/>
        <v>11.151550363095719</v>
      </c>
      <c r="O140" s="65">
        <f t="shared" si="176"/>
        <v>11.372718438905595</v>
      </c>
      <c r="P140" s="65">
        <f t="shared" si="176"/>
        <v>11.243024279742754</v>
      </c>
      <c r="Q140" s="65">
        <f t="shared" si="176"/>
        <v>11.521562659070897</v>
      </c>
      <c r="R140" s="65">
        <f t="shared" si="176"/>
        <v>11.667952344874299</v>
      </c>
      <c r="S140" s="65">
        <f t="shared" si="176"/>
        <v>11.930999458978441</v>
      </c>
      <c r="T140" s="65">
        <f t="shared" si="176"/>
        <v>12.140606933415881</v>
      </c>
      <c r="U140" s="65">
        <f t="shared" si="176"/>
        <v>12.389737926875327</v>
      </c>
      <c r="V140" s="65">
        <f t="shared" si="176"/>
        <v>10.950275886118725</v>
      </c>
      <c r="W140" s="65">
        <f t="shared" si="176"/>
        <v>11.915115465211773</v>
      </c>
      <c r="X140" s="65">
        <f t="shared" ref="X140:Y140" si="177">IF(X110=0,0,X110/X$26)</f>
        <v>12.43394898521132</v>
      </c>
      <c r="Y140" s="65">
        <f t="shared" si="177"/>
        <v>12.73739873664416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12.624974177960883</v>
      </c>
      <c r="C141" s="68">
        <f t="shared" ref="C141:W141" si="179">IF(C111=0,0,C111/C$26)</f>
        <v>12.848113091527644</v>
      </c>
      <c r="D141" s="68">
        <f t="shared" si="179"/>
        <v>12.574706510501908</v>
      </c>
      <c r="E141" s="68">
        <f t="shared" si="179"/>
        <v>12.445277756001866</v>
      </c>
      <c r="F141" s="68">
        <f t="shared" si="179"/>
        <v>12.495606507586833</v>
      </c>
      <c r="G141" s="68">
        <f t="shared" si="179"/>
        <v>12.145016675869925</v>
      </c>
      <c r="H141" s="68">
        <f t="shared" si="179"/>
        <v>12.048244863162051</v>
      </c>
      <c r="I141" s="68">
        <f t="shared" si="179"/>
        <v>11.903982946030027</v>
      </c>
      <c r="J141" s="68">
        <f t="shared" si="179"/>
        <v>12.05503189523219</v>
      </c>
      <c r="K141" s="68">
        <f t="shared" si="179"/>
        <v>12.331538394038363</v>
      </c>
      <c r="L141" s="68">
        <f t="shared" si="179"/>
        <v>12.819604945372289</v>
      </c>
      <c r="M141" s="68">
        <f t="shared" si="179"/>
        <v>12.71545657378508</v>
      </c>
      <c r="N141" s="68">
        <f t="shared" si="179"/>
        <v>13.192769620885251</v>
      </c>
      <c r="O141" s="68">
        <f t="shared" si="179"/>
        <v>13.13720037778458</v>
      </c>
      <c r="P141" s="68">
        <f t="shared" si="179"/>
        <v>12.907913867756038</v>
      </c>
      <c r="Q141" s="68">
        <f t="shared" si="179"/>
        <v>12.991029761506967</v>
      </c>
      <c r="R141" s="68">
        <f t="shared" si="179"/>
        <v>13.133930864931303</v>
      </c>
      <c r="S141" s="68">
        <f t="shared" si="179"/>
        <v>13.591755705843527</v>
      </c>
      <c r="T141" s="68">
        <f t="shared" si="179"/>
        <v>14.154979687276469</v>
      </c>
      <c r="U141" s="68">
        <f t="shared" si="179"/>
        <v>14.34604627435761</v>
      </c>
      <c r="V141" s="68">
        <f t="shared" si="179"/>
        <v>12.009170327230096</v>
      </c>
      <c r="W141" s="68">
        <f t="shared" si="179"/>
        <v>13.570424954162194</v>
      </c>
      <c r="X141" s="68">
        <f t="shared" ref="X141:Y141" si="180">IF(X111=0,0,X111/X$26)</f>
        <v>14.211845548150629</v>
      </c>
      <c r="Y141" s="68">
        <f t="shared" si="180"/>
        <v>13.921799044180384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6.3436576386387449</v>
      </c>
      <c r="C143" s="82">
        <f t="shared" ref="C143:W143" si="182">IF(C113=0,0,C113/C$26)</f>
        <v>10.784884841586917</v>
      </c>
      <c r="D143" s="82">
        <f t="shared" si="182"/>
        <v>7.0673825461982878</v>
      </c>
      <c r="E143" s="82">
        <f t="shared" si="182"/>
        <v>4.8682269040367609</v>
      </c>
      <c r="F143" s="82">
        <f t="shared" si="182"/>
        <v>3.3372747255012527</v>
      </c>
      <c r="G143" s="82">
        <f t="shared" si="182"/>
        <v>3.579488954366588</v>
      </c>
      <c r="H143" s="82">
        <f t="shared" si="182"/>
        <v>5.598263294831308</v>
      </c>
      <c r="I143" s="82">
        <f t="shared" si="182"/>
        <v>4.5485356169415523</v>
      </c>
      <c r="J143" s="82">
        <f t="shared" si="182"/>
        <v>5.4381021782059262</v>
      </c>
      <c r="K143" s="82">
        <f t="shared" si="182"/>
        <v>5.0243388880258921</v>
      </c>
      <c r="L143" s="82">
        <f t="shared" si="182"/>
        <v>4.5254650652625967</v>
      </c>
      <c r="M143" s="82">
        <f t="shared" si="182"/>
        <v>4.097892801784508</v>
      </c>
      <c r="N143" s="82">
        <f t="shared" si="182"/>
        <v>3.9328976564448128</v>
      </c>
      <c r="O143" s="82">
        <f t="shared" si="182"/>
        <v>3.3742005275225555</v>
      </c>
      <c r="P143" s="82">
        <f t="shared" si="182"/>
        <v>3.0732755264404785</v>
      </c>
      <c r="Q143" s="82">
        <f t="shared" si="182"/>
        <v>4.1841853069411821</v>
      </c>
      <c r="R143" s="82">
        <f t="shared" si="182"/>
        <v>4.1645332579190262</v>
      </c>
      <c r="S143" s="82">
        <f t="shared" si="182"/>
        <v>4.0087715648223234</v>
      </c>
      <c r="T143" s="82">
        <f t="shared" si="182"/>
        <v>3.6190201822829935</v>
      </c>
      <c r="U143" s="82">
        <f t="shared" si="182"/>
        <v>3.5608625958824018</v>
      </c>
      <c r="V143" s="82">
        <f t="shared" si="182"/>
        <v>3.2349206606634042</v>
      </c>
      <c r="W143" s="82">
        <f t="shared" si="182"/>
        <v>3.7693023205672187</v>
      </c>
      <c r="X143" s="82">
        <f t="shared" ref="X143:Y143" si="183">IF(X113=0,0,X113/X$26)</f>
        <v>3.7104315706787054</v>
      </c>
      <c r="Y143" s="82">
        <f t="shared" si="183"/>
        <v>3.836598427089096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6.3436576386387449</v>
      </c>
      <c r="C144" s="64">
        <f t="shared" ref="C144:W144" si="185">IF(C114=0,0,C114/C$26)</f>
        <v>10.784884841586917</v>
      </c>
      <c r="D144" s="64">
        <f t="shared" si="185"/>
        <v>7.0673825461982878</v>
      </c>
      <c r="E144" s="64">
        <f t="shared" si="185"/>
        <v>4.8682269040367609</v>
      </c>
      <c r="F144" s="64">
        <f t="shared" si="185"/>
        <v>3.3372747255012527</v>
      </c>
      <c r="G144" s="64">
        <f t="shared" si="185"/>
        <v>3.579488954366588</v>
      </c>
      <c r="H144" s="64">
        <f t="shared" si="185"/>
        <v>5.598263294831308</v>
      </c>
      <c r="I144" s="64">
        <f t="shared" si="185"/>
        <v>4.5485356169415523</v>
      </c>
      <c r="J144" s="64">
        <f t="shared" si="185"/>
        <v>5.4381021782059262</v>
      </c>
      <c r="K144" s="64">
        <f t="shared" si="185"/>
        <v>5.0243388880258921</v>
      </c>
      <c r="L144" s="64">
        <f t="shared" si="185"/>
        <v>4.5254650652625967</v>
      </c>
      <c r="M144" s="64">
        <f t="shared" si="185"/>
        <v>4.097892801784508</v>
      </c>
      <c r="N144" s="64">
        <f t="shared" si="185"/>
        <v>3.9328976564448128</v>
      </c>
      <c r="O144" s="64">
        <f t="shared" si="185"/>
        <v>3.3742005275225555</v>
      </c>
      <c r="P144" s="64">
        <f t="shared" si="185"/>
        <v>3.0732755264404785</v>
      </c>
      <c r="Q144" s="64">
        <f t="shared" si="185"/>
        <v>4.1841853069411821</v>
      </c>
      <c r="R144" s="64">
        <f t="shared" si="185"/>
        <v>4.1645332579190262</v>
      </c>
      <c r="S144" s="64">
        <f t="shared" si="185"/>
        <v>4.0087715648223234</v>
      </c>
      <c r="T144" s="64">
        <f t="shared" si="185"/>
        <v>3.6190201822829935</v>
      </c>
      <c r="U144" s="64">
        <f t="shared" si="185"/>
        <v>3.5608625958824018</v>
      </c>
      <c r="V144" s="64">
        <f t="shared" si="185"/>
        <v>3.2349206606634042</v>
      </c>
      <c r="W144" s="64">
        <f t="shared" si="185"/>
        <v>3.7693023205672187</v>
      </c>
      <c r="X144" s="64">
        <f t="shared" ref="X144:Y144" si="186">IF(X114=0,0,X114/X$26)</f>
        <v>3.7104315706787054</v>
      </c>
      <c r="Y144" s="64">
        <f t="shared" si="186"/>
        <v>3.836598427089096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5.3513301029728604</v>
      </c>
      <c r="C145" s="65">
        <f t="shared" ref="C145:W145" si="188">IF(C115=0,0,C115/C$26)</f>
        <v>9.5642609905546312</v>
      </c>
      <c r="D145" s="65">
        <f t="shared" si="188"/>
        <v>6.0124193381194111</v>
      </c>
      <c r="E145" s="65">
        <f t="shared" si="188"/>
        <v>3.7818608020733584</v>
      </c>
      <c r="F145" s="65">
        <f t="shared" si="188"/>
        <v>2.2250696019741483</v>
      </c>
      <c r="G145" s="65">
        <f t="shared" si="188"/>
        <v>2.5289052166985382</v>
      </c>
      <c r="H145" s="65">
        <f t="shared" si="188"/>
        <v>4.3777523302469623</v>
      </c>
      <c r="I145" s="65">
        <f t="shared" si="188"/>
        <v>3.209404384292974</v>
      </c>
      <c r="J145" s="65">
        <f t="shared" si="188"/>
        <v>4.0637869065266701</v>
      </c>
      <c r="K145" s="65">
        <f t="shared" si="188"/>
        <v>3.6307766071153527</v>
      </c>
      <c r="L145" s="65">
        <f t="shared" si="188"/>
        <v>2.9377673909682507</v>
      </c>
      <c r="M145" s="65">
        <f t="shared" si="188"/>
        <v>2.5015084528314526</v>
      </c>
      <c r="N145" s="65">
        <f t="shared" si="188"/>
        <v>2.1744578536861789</v>
      </c>
      <c r="O145" s="65">
        <f t="shared" si="188"/>
        <v>1.8046040486023436</v>
      </c>
      <c r="P145" s="65">
        <f t="shared" si="188"/>
        <v>1.6638941829015206</v>
      </c>
      <c r="Q145" s="65">
        <f t="shared" si="188"/>
        <v>2.8245488809403416</v>
      </c>
      <c r="R145" s="65">
        <f t="shared" si="188"/>
        <v>2.8526970309461719</v>
      </c>
      <c r="S145" s="65">
        <f t="shared" si="188"/>
        <v>2.6303070837420033</v>
      </c>
      <c r="T145" s="65">
        <f t="shared" si="188"/>
        <v>2.2611707114937656</v>
      </c>
      <c r="U145" s="65">
        <f t="shared" si="188"/>
        <v>2.2167879588896402</v>
      </c>
      <c r="V145" s="65">
        <f t="shared" si="188"/>
        <v>2.1304090323913676</v>
      </c>
      <c r="W145" s="65">
        <f t="shared" si="188"/>
        <v>2.5542597159821039</v>
      </c>
      <c r="X145" s="65">
        <f t="shared" ref="X145:Y145" si="189">IF(X115=0,0,X115/X$26)</f>
        <v>2.5332072437327624</v>
      </c>
      <c r="Y145" s="65">
        <f t="shared" si="189"/>
        <v>2.5522426918001586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0</v>
      </c>
      <c r="C146" s="65">
        <f t="shared" ref="C146:W146" si="191">IF(C116=0,0,C116/C$26)</f>
        <v>0</v>
      </c>
      <c r="D146" s="65">
        <f t="shared" si="191"/>
        <v>0</v>
      </c>
      <c r="E146" s="65">
        <f t="shared" si="191"/>
        <v>0</v>
      </c>
      <c r="F146" s="65">
        <f t="shared" si="191"/>
        <v>0</v>
      </c>
      <c r="G146" s="65">
        <f t="shared" si="191"/>
        <v>0</v>
      </c>
      <c r="H146" s="65">
        <f t="shared" si="191"/>
        <v>0</v>
      </c>
      <c r="I146" s="65">
        <f t="shared" si="191"/>
        <v>0</v>
      </c>
      <c r="J146" s="65">
        <f t="shared" si="191"/>
        <v>0</v>
      </c>
      <c r="K146" s="65">
        <f t="shared" si="191"/>
        <v>0</v>
      </c>
      <c r="L146" s="65">
        <f t="shared" si="191"/>
        <v>0</v>
      </c>
      <c r="M146" s="65">
        <f t="shared" si="191"/>
        <v>0</v>
      </c>
      <c r="N146" s="65">
        <f t="shared" si="191"/>
        <v>0</v>
      </c>
      <c r="O146" s="65">
        <f t="shared" si="191"/>
        <v>0</v>
      </c>
      <c r="P146" s="65">
        <f t="shared" si="191"/>
        <v>0</v>
      </c>
      <c r="Q146" s="65">
        <f t="shared" si="191"/>
        <v>0</v>
      </c>
      <c r="R146" s="65">
        <f t="shared" si="191"/>
        <v>0</v>
      </c>
      <c r="S146" s="65">
        <f t="shared" si="191"/>
        <v>0</v>
      </c>
      <c r="T146" s="65">
        <f t="shared" si="191"/>
        <v>0</v>
      </c>
      <c r="U146" s="65">
        <f t="shared" si="191"/>
        <v>0</v>
      </c>
      <c r="V146" s="65">
        <f t="shared" si="191"/>
        <v>0</v>
      </c>
      <c r="W146" s="65">
        <f t="shared" si="191"/>
        <v>0</v>
      </c>
      <c r="X146" s="65">
        <f t="shared" ref="X146:Y146" si="192">IF(X116=0,0,X116/X$26)</f>
        <v>0</v>
      </c>
      <c r="Y146" s="65">
        <f t="shared" si="192"/>
        <v>0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0.80766946428862341</v>
      </c>
      <c r="C147" s="65">
        <f t="shared" ref="C147:W147" si="194">IF(C117=0,0,C117/C$26)</f>
        <v>0.85920218405459114</v>
      </c>
      <c r="D147" s="65">
        <f t="shared" si="194"/>
        <v>0.83120126706804731</v>
      </c>
      <c r="E147" s="65">
        <f t="shared" si="194"/>
        <v>0.80953384849079435</v>
      </c>
      <c r="F147" s="65">
        <f t="shared" si="194"/>
        <v>0.71813466067202658</v>
      </c>
      <c r="G147" s="65">
        <f t="shared" si="194"/>
        <v>0.72593997769634289</v>
      </c>
      <c r="H147" s="65">
        <f t="shared" si="194"/>
        <v>0.78928811418287492</v>
      </c>
      <c r="I147" s="65">
        <f t="shared" si="194"/>
        <v>0.85655862477896927</v>
      </c>
      <c r="J147" s="65">
        <f t="shared" si="194"/>
        <v>0.87701476253595134</v>
      </c>
      <c r="K147" s="65">
        <f t="shared" si="194"/>
        <v>0.89473517285902027</v>
      </c>
      <c r="L147" s="65">
        <f t="shared" si="194"/>
        <v>0.90136611953705903</v>
      </c>
      <c r="M147" s="65">
        <f t="shared" si="194"/>
        <v>0.88652873164212487</v>
      </c>
      <c r="N147" s="65">
        <f t="shared" si="194"/>
        <v>0.85697210924276701</v>
      </c>
      <c r="O147" s="65">
        <f t="shared" si="194"/>
        <v>0.77901320490137349</v>
      </c>
      <c r="P147" s="65">
        <f t="shared" si="194"/>
        <v>0.73347738201448287</v>
      </c>
      <c r="Q147" s="65">
        <f t="shared" si="194"/>
        <v>0.71336718459187309</v>
      </c>
      <c r="R147" s="65">
        <f t="shared" si="194"/>
        <v>0.66897517460923828</v>
      </c>
      <c r="S147" s="65">
        <f t="shared" si="194"/>
        <v>0.6718870099718014</v>
      </c>
      <c r="T147" s="65">
        <f t="shared" si="194"/>
        <v>0.62256457156837086</v>
      </c>
      <c r="U147" s="65">
        <f t="shared" si="194"/>
        <v>0.62722421041277621</v>
      </c>
      <c r="V147" s="65">
        <f t="shared" si="194"/>
        <v>0.51330380304222234</v>
      </c>
      <c r="W147" s="65">
        <f t="shared" si="194"/>
        <v>0.52956676322703189</v>
      </c>
      <c r="X147" s="65">
        <f t="shared" ref="X147:Y147" si="195">IF(X117=0,0,X117/X$26)</f>
        <v>0.46069451796570238</v>
      </c>
      <c r="Y147" s="65">
        <f t="shared" si="195"/>
        <v>0.54666134411829814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0.18465807137726103</v>
      </c>
      <c r="C148" s="67">
        <f t="shared" ref="C148:W148" si="197">IF(C118=0,0,C118/C$26)</f>
        <v>0.36142166697769557</v>
      </c>
      <c r="D148" s="67">
        <f t="shared" si="197"/>
        <v>0.22376194101082961</v>
      </c>
      <c r="E148" s="67">
        <f t="shared" si="197"/>
        <v>0.27683225347260831</v>
      </c>
      <c r="F148" s="67">
        <f t="shared" si="197"/>
        <v>0.39407046285507774</v>
      </c>
      <c r="G148" s="67">
        <f t="shared" si="197"/>
        <v>0.32464375997170747</v>
      </c>
      <c r="H148" s="67">
        <f t="shared" si="197"/>
        <v>0.43122285040147135</v>
      </c>
      <c r="I148" s="67">
        <f t="shared" si="197"/>
        <v>0.48257260786960848</v>
      </c>
      <c r="J148" s="67">
        <f t="shared" si="197"/>
        <v>0.49730050914330387</v>
      </c>
      <c r="K148" s="67">
        <f t="shared" si="197"/>
        <v>0.49882710805151964</v>
      </c>
      <c r="L148" s="67">
        <f t="shared" si="197"/>
        <v>0.68633155475728735</v>
      </c>
      <c r="M148" s="67">
        <f t="shared" si="197"/>
        <v>0.70985561731093116</v>
      </c>
      <c r="N148" s="67">
        <f t="shared" si="197"/>
        <v>0.9014676935158662</v>
      </c>
      <c r="O148" s="67">
        <f t="shared" si="197"/>
        <v>0.79058327401883854</v>
      </c>
      <c r="P148" s="67">
        <f t="shared" si="197"/>
        <v>0.67590396152447474</v>
      </c>
      <c r="Q148" s="67">
        <f t="shared" si="197"/>
        <v>0.64626924140896647</v>
      </c>
      <c r="R148" s="67">
        <f t="shared" si="197"/>
        <v>0.64286105236361635</v>
      </c>
      <c r="S148" s="67">
        <f t="shared" si="197"/>
        <v>0.70657747110851943</v>
      </c>
      <c r="T148" s="67">
        <f t="shared" si="197"/>
        <v>0.73528489922085694</v>
      </c>
      <c r="U148" s="67">
        <f t="shared" si="197"/>
        <v>0.71685042657998566</v>
      </c>
      <c r="V148" s="67">
        <f t="shared" si="197"/>
        <v>0.59120782522981463</v>
      </c>
      <c r="W148" s="67">
        <f t="shared" si="197"/>
        <v>0.68547584135808282</v>
      </c>
      <c r="X148" s="67">
        <f t="shared" ref="X148:Y148" si="198">IF(X118=0,0,X118/X$26)</f>
        <v>0.71652980898024088</v>
      </c>
      <c r="Y148" s="67">
        <f t="shared" si="198"/>
        <v>0.73769439117063884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4758.921324292578</v>
      </c>
      <c r="C153" s="82">
        <f t="shared" ref="C153:W153" si="203">IF(C99=0,0,C99/C$23)</f>
        <v>5567.100676708953</v>
      </c>
      <c r="D153" s="82">
        <f t="shared" si="203"/>
        <v>5372.3785213661467</v>
      </c>
      <c r="E153" s="82">
        <f t="shared" si="203"/>
        <v>5161.6027594871912</v>
      </c>
      <c r="F153" s="82">
        <f t="shared" si="203"/>
        <v>4592.1110850400555</v>
      </c>
      <c r="G153" s="82">
        <f t="shared" si="203"/>
        <v>5195.5666166938108</v>
      </c>
      <c r="H153" s="82">
        <f t="shared" si="203"/>
        <v>5734.1162657203968</v>
      </c>
      <c r="I153" s="82">
        <f t="shared" si="203"/>
        <v>5281.2944476736848</v>
      </c>
      <c r="J153" s="82">
        <f t="shared" si="203"/>
        <v>5608.8086779551613</v>
      </c>
      <c r="K153" s="82">
        <f t="shared" si="203"/>
        <v>5415.1016522238551</v>
      </c>
      <c r="L153" s="82">
        <f t="shared" si="203"/>
        <v>5776.4801107036874</v>
      </c>
      <c r="M153" s="82">
        <f t="shared" si="203"/>
        <v>6185.8884532702687</v>
      </c>
      <c r="N153" s="82">
        <f t="shared" si="203"/>
        <v>6089.1460841701846</v>
      </c>
      <c r="O153" s="82">
        <f t="shared" si="203"/>
        <v>5716.6630451886977</v>
      </c>
      <c r="P153" s="82">
        <f t="shared" si="203"/>
        <v>5498.4597397408697</v>
      </c>
      <c r="Q153" s="82">
        <f t="shared" si="203"/>
        <v>5897.8873432487017</v>
      </c>
      <c r="R153" s="82">
        <f t="shared" si="203"/>
        <v>6185.4546929210819</v>
      </c>
      <c r="S153" s="82">
        <f t="shared" si="203"/>
        <v>6164.3754305375005</v>
      </c>
      <c r="T153" s="82">
        <f t="shared" si="203"/>
        <v>6412.3076195320727</v>
      </c>
      <c r="U153" s="82">
        <f t="shared" si="203"/>
        <v>6508.2109240401223</v>
      </c>
      <c r="V153" s="82">
        <f t="shared" si="203"/>
        <v>5454.6381151978685</v>
      </c>
      <c r="W153" s="82">
        <f t="shared" si="203"/>
        <v>6566.9647711402204</v>
      </c>
      <c r="X153" s="82">
        <f t="shared" ref="X153:Y153" si="204">IF(X99=0,0,X99/X$23)</f>
        <v>6508.7585217064679</v>
      </c>
      <c r="Y153" s="82">
        <f t="shared" si="204"/>
        <v>5969.7825102818924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3165.701800049982</v>
      </c>
      <c r="C154" s="64">
        <f t="shared" ref="C154:W154" si="206">IF(C100=0,0,C100/C$23)</f>
        <v>3912.6514926540817</v>
      </c>
      <c r="D154" s="64">
        <f t="shared" si="206"/>
        <v>3647.6285252395933</v>
      </c>
      <c r="E154" s="64">
        <f t="shared" si="206"/>
        <v>3456.0902316372585</v>
      </c>
      <c r="F154" s="64">
        <f t="shared" si="206"/>
        <v>2859.295007681435</v>
      </c>
      <c r="G154" s="64">
        <f t="shared" si="206"/>
        <v>3423.5934234032115</v>
      </c>
      <c r="H154" s="64">
        <f t="shared" si="206"/>
        <v>3909.5127048773579</v>
      </c>
      <c r="I154" s="64">
        <f t="shared" si="206"/>
        <v>3411.5220004288562</v>
      </c>
      <c r="J154" s="64">
        <f t="shared" si="206"/>
        <v>3665.6353975957018</v>
      </c>
      <c r="K154" s="64">
        <f t="shared" si="206"/>
        <v>3459.4660836559651</v>
      </c>
      <c r="L154" s="64">
        <f t="shared" si="206"/>
        <v>3754.7802171468802</v>
      </c>
      <c r="M154" s="64">
        <f t="shared" si="206"/>
        <v>4095.3200915497846</v>
      </c>
      <c r="N154" s="64">
        <f t="shared" si="206"/>
        <v>3940.7008204946233</v>
      </c>
      <c r="O154" s="64">
        <f t="shared" si="206"/>
        <v>3533.7243743264121</v>
      </c>
      <c r="P154" s="64">
        <f t="shared" si="206"/>
        <v>3264.1608755720927</v>
      </c>
      <c r="Q154" s="64">
        <f t="shared" si="206"/>
        <v>3597.1710863835401</v>
      </c>
      <c r="R154" s="64">
        <f t="shared" si="206"/>
        <v>3906.8034224590269</v>
      </c>
      <c r="S154" s="64">
        <f t="shared" si="206"/>
        <v>3899.2073946229807</v>
      </c>
      <c r="T154" s="64">
        <f t="shared" si="206"/>
        <v>4190.4809539110938</v>
      </c>
      <c r="U154" s="64">
        <f t="shared" si="206"/>
        <v>4358.6878129349607</v>
      </c>
      <c r="V154" s="64">
        <f t="shared" si="206"/>
        <v>3541.9201958854464</v>
      </c>
      <c r="W154" s="64">
        <f t="shared" si="206"/>
        <v>4521.2767425757329</v>
      </c>
      <c r="X154" s="64">
        <f t="shared" ref="X154:Y154" si="207">IF(X100=0,0,X100/X$23)</f>
        <v>4545.5266192466297</v>
      </c>
      <c r="Y154" s="64">
        <f t="shared" si="207"/>
        <v>4087.3686417498479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1889.1690358959795</v>
      </c>
      <c r="C155" s="65">
        <f t="shared" ref="C155:W155" si="209">IF(C101=0,0,C101/C$23)</f>
        <v>2589.3314507398445</v>
      </c>
      <c r="D155" s="65">
        <f t="shared" si="209"/>
        <v>2318.8601956648804</v>
      </c>
      <c r="E155" s="65">
        <f t="shared" si="209"/>
        <v>2152.3037754393863</v>
      </c>
      <c r="F155" s="65">
        <f t="shared" si="209"/>
        <v>1572.6622415507597</v>
      </c>
      <c r="G155" s="65">
        <f t="shared" si="209"/>
        <v>2145.4575547914642</v>
      </c>
      <c r="H155" s="65">
        <f t="shared" si="209"/>
        <v>2596.6491238208214</v>
      </c>
      <c r="I155" s="65">
        <f t="shared" si="209"/>
        <v>2003.4786948528099</v>
      </c>
      <c r="J155" s="65">
        <f t="shared" si="209"/>
        <v>2264.8973044052768</v>
      </c>
      <c r="K155" s="65">
        <f t="shared" si="209"/>
        <v>2049.28015701309</v>
      </c>
      <c r="L155" s="65">
        <f t="shared" si="209"/>
        <v>2223.2872931795409</v>
      </c>
      <c r="M155" s="65">
        <f t="shared" si="209"/>
        <v>2536.5888314627423</v>
      </c>
      <c r="N155" s="65">
        <f t="shared" si="209"/>
        <v>2196.0008297207746</v>
      </c>
      <c r="O155" s="65">
        <f t="shared" si="209"/>
        <v>1905.6807062427158</v>
      </c>
      <c r="P155" s="65">
        <f t="shared" si="209"/>
        <v>1658.4029640239039</v>
      </c>
      <c r="Q155" s="65">
        <f t="shared" si="209"/>
        <v>1917.5623005157527</v>
      </c>
      <c r="R155" s="65">
        <f t="shared" si="209"/>
        <v>2252.410888042155</v>
      </c>
      <c r="S155" s="65">
        <f t="shared" si="209"/>
        <v>2201.0905635911035</v>
      </c>
      <c r="T155" s="65">
        <f t="shared" si="209"/>
        <v>2497.7449320321334</v>
      </c>
      <c r="U155" s="65">
        <f t="shared" si="209"/>
        <v>2639.347188323477</v>
      </c>
      <c r="V155" s="65">
        <f t="shared" si="209"/>
        <v>2031.5583890014868</v>
      </c>
      <c r="W155" s="65">
        <f t="shared" si="209"/>
        <v>2850.6700595143329</v>
      </c>
      <c r="X155" s="65">
        <f t="shared" ref="X155:Y155" si="210">IF(X101=0,0,X101/X$23)</f>
        <v>2864.2619843763123</v>
      </c>
      <c r="Y155" s="65">
        <f t="shared" si="210"/>
        <v>2425.8859611995485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89.183441290262905</v>
      </c>
      <c r="C156" s="65">
        <f t="shared" ref="C156:W156" si="212">IF(C102=0,0,C102/C$23)</f>
        <v>88.167486357383837</v>
      </c>
      <c r="D156" s="65">
        <f t="shared" si="212"/>
        <v>69.087762736123096</v>
      </c>
      <c r="E156" s="65">
        <f t="shared" si="212"/>
        <v>79.271159314313095</v>
      </c>
      <c r="F156" s="65">
        <f t="shared" si="212"/>
        <v>67.792392851430236</v>
      </c>
      <c r="G156" s="65">
        <f t="shared" si="212"/>
        <v>71.335513736591025</v>
      </c>
      <c r="H156" s="65">
        <f t="shared" si="212"/>
        <v>86.501847625714831</v>
      </c>
      <c r="I156" s="65">
        <f t="shared" si="212"/>
        <v>168.24138403986825</v>
      </c>
      <c r="J156" s="65">
        <f t="shared" si="212"/>
        <v>112.28823389121082</v>
      </c>
      <c r="K156" s="65">
        <f t="shared" si="212"/>
        <v>100.0671883318509</v>
      </c>
      <c r="L156" s="65">
        <f t="shared" si="212"/>
        <v>129.77588156274544</v>
      </c>
      <c r="M156" s="65">
        <f t="shared" si="212"/>
        <v>111.91371588243895</v>
      </c>
      <c r="N156" s="65">
        <f t="shared" si="212"/>
        <v>238.49177455467785</v>
      </c>
      <c r="O156" s="65">
        <f t="shared" si="212"/>
        <v>115.58290545788175</v>
      </c>
      <c r="P156" s="65">
        <f t="shared" si="212"/>
        <v>106.13040930449434</v>
      </c>
      <c r="Q156" s="65">
        <f t="shared" si="212"/>
        <v>151.18585199425138</v>
      </c>
      <c r="R156" s="65">
        <f t="shared" si="212"/>
        <v>135.82409092427903</v>
      </c>
      <c r="S156" s="65">
        <f t="shared" si="212"/>
        <v>139.62401668586543</v>
      </c>
      <c r="T156" s="65">
        <f t="shared" si="212"/>
        <v>102.08823363305369</v>
      </c>
      <c r="U156" s="65">
        <f t="shared" si="212"/>
        <v>111.24247025503976</v>
      </c>
      <c r="V156" s="65">
        <f t="shared" si="212"/>
        <v>109.19333826445883</v>
      </c>
      <c r="W156" s="65">
        <f t="shared" si="212"/>
        <v>148.19089403482937</v>
      </c>
      <c r="X156" s="65">
        <f t="shared" ref="X156:Y156" si="213">IF(X102=0,0,X102/X$23)</f>
        <v>132.66743971078637</v>
      </c>
      <c r="Y156" s="65">
        <f t="shared" si="213"/>
        <v>160.11869295758439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594.98846078747772</v>
      </c>
      <c r="C157" s="65">
        <f t="shared" ref="C157:W157" si="215">IF(C103=0,0,C103/C$23)</f>
        <v>608.30529551831455</v>
      </c>
      <c r="D157" s="65">
        <f t="shared" si="215"/>
        <v>626.53458815762224</v>
      </c>
      <c r="E157" s="65">
        <f t="shared" si="215"/>
        <v>605.66067541548068</v>
      </c>
      <c r="F157" s="65">
        <f t="shared" si="215"/>
        <v>590.39905630384419</v>
      </c>
      <c r="G157" s="65">
        <f t="shared" si="215"/>
        <v>594.91145267640491</v>
      </c>
      <c r="H157" s="65">
        <f t="shared" si="215"/>
        <v>610.00049529402327</v>
      </c>
      <c r="I157" s="65">
        <f t="shared" si="215"/>
        <v>621.10498245572251</v>
      </c>
      <c r="J157" s="65">
        <f t="shared" si="215"/>
        <v>638.5624018108158</v>
      </c>
      <c r="K157" s="65">
        <f t="shared" si="215"/>
        <v>653.25729869808595</v>
      </c>
      <c r="L157" s="65">
        <f t="shared" si="215"/>
        <v>694.46009098788613</v>
      </c>
      <c r="M157" s="65">
        <f t="shared" si="215"/>
        <v>717.51590045375042</v>
      </c>
      <c r="N157" s="65">
        <f t="shared" si="215"/>
        <v>725.47804356607492</v>
      </c>
      <c r="O157" s="65">
        <f t="shared" si="215"/>
        <v>731.88718809069576</v>
      </c>
      <c r="P157" s="65">
        <f t="shared" si="215"/>
        <v>728.22779933456422</v>
      </c>
      <c r="Q157" s="65">
        <f t="shared" si="215"/>
        <v>745.44642419735919</v>
      </c>
      <c r="R157" s="65">
        <f t="shared" si="215"/>
        <v>737.81271048999872</v>
      </c>
      <c r="S157" s="65">
        <f t="shared" si="215"/>
        <v>744.86952710343519</v>
      </c>
      <c r="T157" s="65">
        <f t="shared" si="215"/>
        <v>742.16031628251937</v>
      </c>
      <c r="U157" s="65">
        <f t="shared" si="215"/>
        <v>748.71401592677978</v>
      </c>
      <c r="V157" s="65">
        <f t="shared" si="215"/>
        <v>665.20273205997853</v>
      </c>
      <c r="W157" s="65">
        <f t="shared" si="215"/>
        <v>707.03700370205911</v>
      </c>
      <c r="X157" s="65">
        <f t="shared" ref="X157:Y157" si="216">IF(X103=0,0,X103/X$23)</f>
        <v>708.15195770777484</v>
      </c>
      <c r="Y157" s="65">
        <f t="shared" si="216"/>
        <v>705.83517600516132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592.3608620762617</v>
      </c>
      <c r="C158" s="67">
        <f t="shared" ref="C158:W158" si="218">IF(C104=0,0,C104/C$23)</f>
        <v>626.84726003853768</v>
      </c>
      <c r="D158" s="67">
        <f t="shared" si="218"/>
        <v>633.14597868096803</v>
      </c>
      <c r="E158" s="67">
        <f t="shared" si="218"/>
        <v>618.85462146807879</v>
      </c>
      <c r="F158" s="67">
        <f t="shared" si="218"/>
        <v>628.44131697540081</v>
      </c>
      <c r="G158" s="67">
        <f t="shared" si="218"/>
        <v>611.88890219875202</v>
      </c>
      <c r="H158" s="67">
        <f t="shared" si="218"/>
        <v>616.36123813679842</v>
      </c>
      <c r="I158" s="67">
        <f t="shared" si="218"/>
        <v>618.69693908045542</v>
      </c>
      <c r="J158" s="67">
        <f t="shared" si="218"/>
        <v>649.88745748839858</v>
      </c>
      <c r="K158" s="67">
        <f t="shared" si="218"/>
        <v>656.86143961293851</v>
      </c>
      <c r="L158" s="67">
        <f t="shared" si="218"/>
        <v>707.25695141670792</v>
      </c>
      <c r="M158" s="67">
        <f t="shared" si="218"/>
        <v>729.30164375085269</v>
      </c>
      <c r="N158" s="67">
        <f t="shared" si="218"/>
        <v>780.73017265309625</v>
      </c>
      <c r="O158" s="67">
        <f t="shared" si="218"/>
        <v>780.57357453511804</v>
      </c>
      <c r="P158" s="67">
        <f t="shared" si="218"/>
        <v>771.3997029091305</v>
      </c>
      <c r="Q158" s="67">
        <f t="shared" si="218"/>
        <v>782.97650967617722</v>
      </c>
      <c r="R158" s="67">
        <f t="shared" si="218"/>
        <v>780.7557330025935</v>
      </c>
      <c r="S158" s="67">
        <f t="shared" si="218"/>
        <v>813.62328724257668</v>
      </c>
      <c r="T158" s="67">
        <f t="shared" si="218"/>
        <v>848.48747196338786</v>
      </c>
      <c r="U158" s="67">
        <f t="shared" si="218"/>
        <v>859.38413842966327</v>
      </c>
      <c r="V158" s="67">
        <f t="shared" si="218"/>
        <v>735.96573655952193</v>
      </c>
      <c r="W158" s="67">
        <f t="shared" si="218"/>
        <v>815.37878532451168</v>
      </c>
      <c r="X158" s="67">
        <f t="shared" ref="X158:Y158" si="219">IF(X104=0,0,X104/X$23)</f>
        <v>840.44523745175729</v>
      </c>
      <c r="Y158" s="67">
        <f t="shared" si="219"/>
        <v>795.52881158755361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1593.2195242425953</v>
      </c>
      <c r="C159" s="68">
        <f t="shared" ref="C159:W159" si="221">IF(C105=0,0,C105/C$23)</f>
        <v>1654.4491840548724</v>
      </c>
      <c r="D159" s="68">
        <f t="shared" si="221"/>
        <v>1724.7499961265528</v>
      </c>
      <c r="E159" s="68">
        <f t="shared" si="221"/>
        <v>1705.5125278499329</v>
      </c>
      <c r="F159" s="68">
        <f t="shared" si="221"/>
        <v>1732.8160773586208</v>
      </c>
      <c r="G159" s="68">
        <f t="shared" si="221"/>
        <v>1771.9731932905979</v>
      </c>
      <c r="H159" s="68">
        <f t="shared" si="221"/>
        <v>1824.6035608430391</v>
      </c>
      <c r="I159" s="68">
        <f t="shared" si="221"/>
        <v>1869.7724472448292</v>
      </c>
      <c r="J159" s="68">
        <f t="shared" si="221"/>
        <v>1943.1732803594589</v>
      </c>
      <c r="K159" s="68">
        <f t="shared" si="221"/>
        <v>1955.6355685678905</v>
      </c>
      <c r="L159" s="68">
        <f t="shared" si="221"/>
        <v>2021.6998935568072</v>
      </c>
      <c r="M159" s="68">
        <f t="shared" si="221"/>
        <v>2090.5683617204836</v>
      </c>
      <c r="N159" s="68">
        <f t="shared" si="221"/>
        <v>2148.4452636755614</v>
      </c>
      <c r="O159" s="68">
        <f t="shared" si="221"/>
        <v>2182.938670862286</v>
      </c>
      <c r="P159" s="68">
        <f t="shared" si="221"/>
        <v>2234.2988641687771</v>
      </c>
      <c r="Q159" s="68">
        <f t="shared" si="221"/>
        <v>2300.7162568651624</v>
      </c>
      <c r="R159" s="68">
        <f t="shared" si="221"/>
        <v>2278.6512704620554</v>
      </c>
      <c r="S159" s="68">
        <f t="shared" si="221"/>
        <v>2265.1680359145203</v>
      </c>
      <c r="T159" s="68">
        <f t="shared" si="221"/>
        <v>2221.8266656209789</v>
      </c>
      <c r="U159" s="68">
        <f t="shared" si="221"/>
        <v>2149.5231111051626</v>
      </c>
      <c r="V159" s="68">
        <f t="shared" si="221"/>
        <v>1912.7179193124225</v>
      </c>
      <c r="W159" s="68">
        <f t="shared" si="221"/>
        <v>2045.6880285644866</v>
      </c>
      <c r="X159" s="68">
        <f t="shared" ref="X159:Y159" si="222">IF(X105=0,0,X105/X$23)</f>
        <v>1963.2319024598373</v>
      </c>
      <c r="Y159" s="68">
        <f t="shared" si="222"/>
        <v>1882.4138685320449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1953.6443743692855</v>
      </c>
      <c r="C161" s="85">
        <f t="shared" ref="C161:W161" si="224">IF(C107=0,0,C107/C$23)</f>
        <v>2323.1837376461276</v>
      </c>
      <c r="D161" s="85">
        <f t="shared" si="224"/>
        <v>2290.3134240897002</v>
      </c>
      <c r="E161" s="85">
        <f t="shared" si="224"/>
        <v>2308.5068752618836</v>
      </c>
      <c r="F161" s="85">
        <f t="shared" si="224"/>
        <v>2004.8717015937884</v>
      </c>
      <c r="G161" s="85">
        <f t="shared" si="224"/>
        <v>2447.4536925563843</v>
      </c>
      <c r="H161" s="85">
        <f t="shared" si="224"/>
        <v>2768.2604567936905</v>
      </c>
      <c r="I161" s="85">
        <f t="shared" si="224"/>
        <v>2634.0757579692263</v>
      </c>
      <c r="J161" s="85">
        <f t="shared" si="224"/>
        <v>2704.9093787846182</v>
      </c>
      <c r="K161" s="85">
        <f t="shared" si="224"/>
        <v>2617.0573273763903</v>
      </c>
      <c r="L161" s="85">
        <f t="shared" si="224"/>
        <v>2958.7831376664471</v>
      </c>
      <c r="M161" s="85">
        <f t="shared" si="224"/>
        <v>3232.3290368625471</v>
      </c>
      <c r="N161" s="85">
        <f t="shared" si="224"/>
        <v>3411.5344178896144</v>
      </c>
      <c r="O161" s="85">
        <f t="shared" si="224"/>
        <v>3087.7828324578354</v>
      </c>
      <c r="P161" s="85">
        <f t="shared" si="224"/>
        <v>2934.7940413389151</v>
      </c>
      <c r="Q161" s="85">
        <f t="shared" si="224"/>
        <v>3335.6469520175069</v>
      </c>
      <c r="R161" s="85">
        <f t="shared" si="224"/>
        <v>3586.0501541938215</v>
      </c>
      <c r="S161" s="85">
        <f t="shared" si="224"/>
        <v>3601.6137014921801</v>
      </c>
      <c r="T161" s="85">
        <f t="shared" si="224"/>
        <v>3725.1940920090283</v>
      </c>
      <c r="U161" s="85">
        <f t="shared" si="224"/>
        <v>3964.3574443527332</v>
      </c>
      <c r="V161" s="85">
        <f t="shared" si="224"/>
        <v>3502.7789530932782</v>
      </c>
      <c r="W161" s="85">
        <f t="shared" si="224"/>
        <v>4424.9087974846725</v>
      </c>
      <c r="X161" s="85">
        <f t="shared" ref="X161:Y161" si="225">IF(X107=0,0,X107/X$23)</f>
        <v>4519.0697507124769</v>
      </c>
      <c r="Y161" s="85">
        <f t="shared" si="225"/>
        <v>4448.068519609853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1057.0297244186766</v>
      </c>
      <c r="C162" s="65">
        <f t="shared" ref="C162:W162" si="227">IF(C108=0,0,C108/C$23)</f>
        <v>1392.1147016735401</v>
      </c>
      <c r="D162" s="65">
        <f t="shared" si="227"/>
        <v>1363.7912342219788</v>
      </c>
      <c r="E162" s="65">
        <f t="shared" si="227"/>
        <v>1376.1187279086819</v>
      </c>
      <c r="F162" s="65">
        <f t="shared" si="227"/>
        <v>1086.6433616536199</v>
      </c>
      <c r="G162" s="65">
        <f t="shared" si="227"/>
        <v>1519.9162726406253</v>
      </c>
      <c r="H162" s="65">
        <f t="shared" si="227"/>
        <v>1789.4620301278158</v>
      </c>
      <c r="I162" s="65">
        <f t="shared" si="227"/>
        <v>1446.5484137076096</v>
      </c>
      <c r="J162" s="65">
        <f t="shared" si="227"/>
        <v>1604.3086940924195</v>
      </c>
      <c r="K162" s="65">
        <f t="shared" si="227"/>
        <v>1524.4092328584388</v>
      </c>
      <c r="L162" s="65">
        <f t="shared" si="227"/>
        <v>1717.6853522011934</v>
      </c>
      <c r="M162" s="65">
        <f t="shared" si="227"/>
        <v>1988.9231928327069</v>
      </c>
      <c r="N162" s="65">
        <f t="shared" si="227"/>
        <v>1764.0949137077791</v>
      </c>
      <c r="O162" s="65">
        <f t="shared" si="227"/>
        <v>1744.7439938531679</v>
      </c>
      <c r="P162" s="65">
        <f t="shared" si="227"/>
        <v>1603.978502369519</v>
      </c>
      <c r="Q162" s="65">
        <f t="shared" si="227"/>
        <v>1820.1852252972224</v>
      </c>
      <c r="R162" s="65">
        <f t="shared" si="227"/>
        <v>2096.4568713249482</v>
      </c>
      <c r="S162" s="65">
        <f t="shared" si="227"/>
        <v>2045.2191561374082</v>
      </c>
      <c r="T162" s="65">
        <f t="shared" si="227"/>
        <v>2250.0126610544899</v>
      </c>
      <c r="U162" s="65">
        <f t="shared" si="227"/>
        <v>2420.4882664509555</v>
      </c>
      <c r="V162" s="65">
        <f t="shared" si="227"/>
        <v>2087.569195303839</v>
      </c>
      <c r="W162" s="65">
        <f t="shared" si="227"/>
        <v>2750.1776579685743</v>
      </c>
      <c r="X162" s="65">
        <f t="shared" ref="X162:Y162" si="228">IF(X108=0,0,X108/X$23)</f>
        <v>2863.3964395397284</v>
      </c>
      <c r="Y162" s="65">
        <f t="shared" si="228"/>
        <v>2694.2379325969296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140.31359303024678</v>
      </c>
      <c r="C163" s="65">
        <f t="shared" ref="C163:W163" si="230">IF(C109=0,0,C109/C$23)</f>
        <v>146.4707275136256</v>
      </c>
      <c r="D163" s="65">
        <f t="shared" si="230"/>
        <v>120.86692755172805</v>
      </c>
      <c r="E163" s="65">
        <f t="shared" si="230"/>
        <v>147.27022881714188</v>
      </c>
      <c r="F163" s="65">
        <f t="shared" si="230"/>
        <v>134.15513166653497</v>
      </c>
      <c r="G163" s="65">
        <f t="shared" si="230"/>
        <v>148.54999975400349</v>
      </c>
      <c r="H163" s="65">
        <f t="shared" si="230"/>
        <v>189.68985614842833</v>
      </c>
      <c r="I163" s="65">
        <f t="shared" si="230"/>
        <v>390.40622209571086</v>
      </c>
      <c r="J163" s="65">
        <f t="shared" si="230"/>
        <v>273.65541408856637</v>
      </c>
      <c r="K163" s="65">
        <f t="shared" si="230"/>
        <v>249.09813794444514</v>
      </c>
      <c r="L163" s="65">
        <f t="shared" si="230"/>
        <v>331.44686518709216</v>
      </c>
      <c r="M163" s="65">
        <f t="shared" si="230"/>
        <v>296.73881590820679</v>
      </c>
      <c r="N163" s="65">
        <f t="shared" si="230"/>
        <v>656.17155941008139</v>
      </c>
      <c r="O163" s="65">
        <f t="shared" si="230"/>
        <v>330.99640870937566</v>
      </c>
      <c r="P163" s="65">
        <f t="shared" si="230"/>
        <v>317.11232295173966</v>
      </c>
      <c r="Q163" s="65">
        <f t="shared" si="230"/>
        <v>470.8251948599181</v>
      </c>
      <c r="R163" s="65">
        <f t="shared" si="230"/>
        <v>441.06258984467286</v>
      </c>
      <c r="S163" s="65">
        <f t="shared" si="230"/>
        <v>470.62196477417848</v>
      </c>
      <c r="T163" s="65">
        <f t="shared" si="230"/>
        <v>354.8637070616428</v>
      </c>
      <c r="U163" s="65">
        <f t="shared" si="230"/>
        <v>396.72560924888558</v>
      </c>
      <c r="V163" s="65">
        <f t="shared" si="230"/>
        <v>398.66790852038991</v>
      </c>
      <c r="W163" s="65">
        <f t="shared" si="230"/>
        <v>553.00059688836075</v>
      </c>
      <c r="X163" s="65">
        <f t="shared" ref="X163:Y163" si="231">IF(X109=0,0,X109/X$23)</f>
        <v>503.83002238676926</v>
      </c>
      <c r="Y163" s="65">
        <f t="shared" si="231"/>
        <v>616.97063227393448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340.89299372540648</v>
      </c>
      <c r="C164" s="65">
        <f t="shared" ref="C164:W164" si="233">IF(C110=0,0,C110/C$23)</f>
        <v>348.50348034270354</v>
      </c>
      <c r="D164" s="65">
        <f t="shared" si="233"/>
        <v>360.69816054997193</v>
      </c>
      <c r="E164" s="65">
        <f t="shared" si="233"/>
        <v>350.65853762545891</v>
      </c>
      <c r="F164" s="65">
        <f t="shared" si="233"/>
        <v>344.98574831047483</v>
      </c>
      <c r="G164" s="65">
        <f t="shared" si="233"/>
        <v>348.76055259069619</v>
      </c>
      <c r="H164" s="65">
        <f t="shared" si="233"/>
        <v>357.79122419181755</v>
      </c>
      <c r="I164" s="65">
        <f t="shared" si="233"/>
        <v>364.61794882013055</v>
      </c>
      <c r="J164" s="65">
        <f t="shared" si="233"/>
        <v>376.14449341573811</v>
      </c>
      <c r="K164" s="65">
        <f t="shared" si="233"/>
        <v>386.09405765940903</v>
      </c>
      <c r="L164" s="65">
        <f t="shared" si="233"/>
        <v>420.58421149784687</v>
      </c>
      <c r="M164" s="65">
        <f t="shared" si="233"/>
        <v>442.05342735044792</v>
      </c>
      <c r="N164" s="65">
        <f t="shared" si="233"/>
        <v>454.0761219339235</v>
      </c>
      <c r="O164" s="65">
        <f t="shared" si="233"/>
        <v>469.59248170122169</v>
      </c>
      <c r="P164" s="65">
        <f t="shared" si="233"/>
        <v>471.9108549959239</v>
      </c>
      <c r="Q164" s="65">
        <f t="shared" si="233"/>
        <v>491.00662432096954</v>
      </c>
      <c r="R164" s="65">
        <f t="shared" si="233"/>
        <v>493.27730700334524</v>
      </c>
      <c r="S164" s="65">
        <f t="shared" si="233"/>
        <v>507.5608799999647</v>
      </c>
      <c r="T164" s="65">
        <f t="shared" si="233"/>
        <v>517.24790636995021</v>
      </c>
      <c r="U164" s="65">
        <f t="shared" si="233"/>
        <v>531.60244237213806</v>
      </c>
      <c r="V164" s="65">
        <f t="shared" si="233"/>
        <v>484.8293637330637</v>
      </c>
      <c r="W164" s="65">
        <f t="shared" si="233"/>
        <v>524.43655172027411</v>
      </c>
      <c r="X164" s="65">
        <f t="shared" ref="X164:Y164" si="234">IF(X110=0,0,X110/X$23)</f>
        <v>537.49422535668964</v>
      </c>
      <c r="Y164" s="65">
        <f t="shared" si="234"/>
        <v>543.17608017632745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415.40806319495562</v>
      </c>
      <c r="C165" s="68">
        <f t="shared" ref="C165:W165" si="236">IF(C111=0,0,C111/C$23)</f>
        <v>436.0948281162581</v>
      </c>
      <c r="D165" s="68">
        <f t="shared" si="236"/>
        <v>444.95710176602103</v>
      </c>
      <c r="E165" s="68">
        <f t="shared" si="236"/>
        <v>434.45938091060106</v>
      </c>
      <c r="F165" s="68">
        <f t="shared" si="236"/>
        <v>439.08745996315889</v>
      </c>
      <c r="G165" s="68">
        <f t="shared" si="236"/>
        <v>430.22686757105924</v>
      </c>
      <c r="H165" s="68">
        <f t="shared" si="236"/>
        <v>431.31734632562888</v>
      </c>
      <c r="I165" s="68">
        <f t="shared" si="236"/>
        <v>432.50317334577517</v>
      </c>
      <c r="J165" s="68">
        <f t="shared" si="236"/>
        <v>450.80077718789386</v>
      </c>
      <c r="K165" s="68">
        <f t="shared" si="236"/>
        <v>457.4558989140973</v>
      </c>
      <c r="L165" s="68">
        <f t="shared" si="236"/>
        <v>489.06670878031485</v>
      </c>
      <c r="M165" s="68">
        <f t="shared" si="236"/>
        <v>504.61360077118496</v>
      </c>
      <c r="N165" s="68">
        <f t="shared" si="236"/>
        <v>537.19182283782993</v>
      </c>
      <c r="O165" s="68">
        <f t="shared" si="236"/>
        <v>542.44994819407032</v>
      </c>
      <c r="P165" s="68">
        <f t="shared" si="236"/>
        <v>541.79236102173286</v>
      </c>
      <c r="Q165" s="68">
        <f t="shared" si="236"/>
        <v>553.62990753939675</v>
      </c>
      <c r="R165" s="68">
        <f t="shared" si="236"/>
        <v>555.25338602085503</v>
      </c>
      <c r="S165" s="68">
        <f t="shared" si="236"/>
        <v>578.21170058062842</v>
      </c>
      <c r="T165" s="68">
        <f t="shared" si="236"/>
        <v>603.06981752294587</v>
      </c>
      <c r="U165" s="68">
        <f t="shared" si="236"/>
        <v>615.54112628075427</v>
      </c>
      <c r="V165" s="68">
        <f t="shared" si="236"/>
        <v>531.71248553598571</v>
      </c>
      <c r="W165" s="68">
        <f t="shared" si="236"/>
        <v>597.29399090746358</v>
      </c>
      <c r="X165" s="68">
        <f t="shared" ref="X165:Y165" si="237">IF(X111=0,0,X111/X$23)</f>
        <v>614.34906342928969</v>
      </c>
      <c r="Y165" s="68">
        <f t="shared" si="237"/>
        <v>593.68387456266066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208.72965727241044</v>
      </c>
      <c r="C167" s="82">
        <f t="shared" ref="C167:W167" si="239">IF(C113=0,0,C113/C$23)</f>
        <v>366.06406464050428</v>
      </c>
      <c r="D167" s="82">
        <f t="shared" si="239"/>
        <v>250.07995631562738</v>
      </c>
      <c r="E167" s="82">
        <f t="shared" si="239"/>
        <v>169.94774149095545</v>
      </c>
      <c r="F167" s="82">
        <f t="shared" si="239"/>
        <v>117.26965646124405</v>
      </c>
      <c r="G167" s="82">
        <f t="shared" si="239"/>
        <v>126.80034630187419</v>
      </c>
      <c r="H167" s="82">
        <f t="shared" si="239"/>
        <v>200.4132631584892</v>
      </c>
      <c r="I167" s="82">
        <f t="shared" si="239"/>
        <v>165.26032482763119</v>
      </c>
      <c r="J167" s="82">
        <f t="shared" si="239"/>
        <v>203.35912087731492</v>
      </c>
      <c r="K167" s="82">
        <f t="shared" si="239"/>
        <v>186.3849739609212</v>
      </c>
      <c r="L167" s="82">
        <f t="shared" si="239"/>
        <v>172.64606160638573</v>
      </c>
      <c r="M167" s="82">
        <f t="shared" si="239"/>
        <v>162.62510357245091</v>
      </c>
      <c r="N167" s="82">
        <f t="shared" si="239"/>
        <v>160.14229929063615</v>
      </c>
      <c r="O167" s="82">
        <f t="shared" si="239"/>
        <v>139.32457819903308</v>
      </c>
      <c r="P167" s="82">
        <f t="shared" si="239"/>
        <v>128.9966156111297</v>
      </c>
      <c r="Q167" s="82">
        <f t="shared" si="239"/>
        <v>178.31458838416475</v>
      </c>
      <c r="R167" s="82">
        <f t="shared" si="239"/>
        <v>176.06086223814586</v>
      </c>
      <c r="S167" s="82">
        <f t="shared" si="239"/>
        <v>170.53857308063857</v>
      </c>
      <c r="T167" s="82">
        <f t="shared" si="239"/>
        <v>154.18756431724682</v>
      </c>
      <c r="U167" s="82">
        <f t="shared" si="239"/>
        <v>152.78476946768467</v>
      </c>
      <c r="V167" s="82">
        <f t="shared" si="239"/>
        <v>143.22785489126949</v>
      </c>
      <c r="W167" s="82">
        <f t="shared" si="239"/>
        <v>165.90354639541593</v>
      </c>
      <c r="X167" s="82">
        <f t="shared" ref="X167:Y167" si="240">IF(X113=0,0,X113/X$23)</f>
        <v>160.39438035277266</v>
      </c>
      <c r="Y167" s="82">
        <f t="shared" si="240"/>
        <v>163.6086408162459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208.72965727241044</v>
      </c>
      <c r="C168" s="64">
        <f t="shared" ref="C168:W168" si="242">IF(C114=0,0,C114/C$23)</f>
        <v>366.06406464050428</v>
      </c>
      <c r="D168" s="64">
        <f t="shared" si="242"/>
        <v>250.07995631562738</v>
      </c>
      <c r="E168" s="64">
        <f t="shared" si="242"/>
        <v>169.94774149095545</v>
      </c>
      <c r="F168" s="64">
        <f t="shared" si="242"/>
        <v>117.26965646124405</v>
      </c>
      <c r="G168" s="64">
        <f t="shared" si="242"/>
        <v>126.80034630187419</v>
      </c>
      <c r="H168" s="64">
        <f t="shared" si="242"/>
        <v>200.4132631584892</v>
      </c>
      <c r="I168" s="64">
        <f t="shared" si="242"/>
        <v>165.26032482763119</v>
      </c>
      <c r="J168" s="64">
        <f t="shared" si="242"/>
        <v>203.35912087731492</v>
      </c>
      <c r="K168" s="64">
        <f t="shared" si="242"/>
        <v>186.3849739609212</v>
      </c>
      <c r="L168" s="64">
        <f t="shared" si="242"/>
        <v>172.64606160638573</v>
      </c>
      <c r="M168" s="64">
        <f t="shared" si="242"/>
        <v>162.62510357245091</v>
      </c>
      <c r="N168" s="64">
        <f t="shared" si="242"/>
        <v>160.14229929063615</v>
      </c>
      <c r="O168" s="64">
        <f t="shared" si="242"/>
        <v>139.32457819903308</v>
      </c>
      <c r="P168" s="64">
        <f t="shared" si="242"/>
        <v>128.9966156111297</v>
      </c>
      <c r="Q168" s="64">
        <f t="shared" si="242"/>
        <v>178.31458838416475</v>
      </c>
      <c r="R168" s="64">
        <f t="shared" si="242"/>
        <v>176.06086223814586</v>
      </c>
      <c r="S168" s="64">
        <f t="shared" si="242"/>
        <v>170.53857308063857</v>
      </c>
      <c r="T168" s="64">
        <f t="shared" si="242"/>
        <v>154.18756431724682</v>
      </c>
      <c r="U168" s="64">
        <f t="shared" si="242"/>
        <v>152.78476946768467</v>
      </c>
      <c r="V168" s="64">
        <f t="shared" si="242"/>
        <v>143.22785489126949</v>
      </c>
      <c r="W168" s="64">
        <f t="shared" si="242"/>
        <v>165.90354639541593</v>
      </c>
      <c r="X168" s="64">
        <f t="shared" ref="X168:Y168" si="243">IF(X114=0,0,X114/X$23)</f>
        <v>160.39438035277266</v>
      </c>
      <c r="Y168" s="64">
        <f t="shared" si="243"/>
        <v>163.6086408162459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176.0784332908523</v>
      </c>
      <c r="C169" s="65">
        <f t="shared" ref="C169:W169" si="245">IF(C115=0,0,C115/C$23)</f>
        <v>324.63325338297057</v>
      </c>
      <c r="D169" s="65">
        <f t="shared" si="245"/>
        <v>212.74998991485893</v>
      </c>
      <c r="E169" s="65">
        <f t="shared" si="245"/>
        <v>132.02316050893077</v>
      </c>
      <c r="F169" s="65">
        <f t="shared" si="245"/>
        <v>78.187494074727013</v>
      </c>
      <c r="G169" s="65">
        <f t="shared" si="245"/>
        <v>89.584312545737291</v>
      </c>
      <c r="H169" s="65">
        <f t="shared" si="245"/>
        <v>156.71996538900038</v>
      </c>
      <c r="I169" s="65">
        <f t="shared" si="245"/>
        <v>116.60614661914298</v>
      </c>
      <c r="J169" s="65">
        <f t="shared" si="245"/>
        <v>151.96627530390492</v>
      </c>
      <c r="K169" s="65">
        <f t="shared" si="245"/>
        <v>134.68880552382626</v>
      </c>
      <c r="L169" s="65">
        <f t="shared" si="245"/>
        <v>112.0755464139032</v>
      </c>
      <c r="M169" s="65">
        <f t="shared" si="245"/>
        <v>99.272501967822066</v>
      </c>
      <c r="N169" s="65">
        <f t="shared" si="245"/>
        <v>88.54099720323417</v>
      </c>
      <c r="O169" s="65">
        <f t="shared" si="245"/>
        <v>74.514154045371328</v>
      </c>
      <c r="P169" s="65">
        <f t="shared" si="245"/>
        <v>69.83972523216562</v>
      </c>
      <c r="Q169" s="65">
        <f t="shared" si="245"/>
        <v>120.37188463912128</v>
      </c>
      <c r="R169" s="65">
        <f t="shared" si="245"/>
        <v>120.6013418232491</v>
      </c>
      <c r="S169" s="65">
        <f t="shared" si="245"/>
        <v>111.89682663924462</v>
      </c>
      <c r="T169" s="65">
        <f t="shared" si="245"/>
        <v>96.336684226718987</v>
      </c>
      <c r="U169" s="65">
        <f t="shared" si="245"/>
        <v>95.114997598991408</v>
      </c>
      <c r="V169" s="65">
        <f t="shared" si="245"/>
        <v>94.325007552990513</v>
      </c>
      <c r="W169" s="65">
        <f t="shared" si="245"/>
        <v>112.42418603149079</v>
      </c>
      <c r="X169" s="65">
        <f t="shared" ref="X169:Y169" si="246">IF(X115=0,0,X115/X$23)</f>
        <v>109.50537651051455</v>
      </c>
      <c r="Y169" s="65">
        <f t="shared" si="246"/>
        <v>108.83832795485939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0</v>
      </c>
      <c r="C170" s="65">
        <f t="shared" ref="C170:W170" si="248">IF(C116=0,0,C116/C$23)</f>
        <v>0</v>
      </c>
      <c r="D170" s="65">
        <f t="shared" si="248"/>
        <v>0</v>
      </c>
      <c r="E170" s="65">
        <f t="shared" si="248"/>
        <v>0</v>
      </c>
      <c r="F170" s="65">
        <f t="shared" si="248"/>
        <v>0</v>
      </c>
      <c r="G170" s="65">
        <f t="shared" si="248"/>
        <v>0</v>
      </c>
      <c r="H170" s="65">
        <f t="shared" si="248"/>
        <v>0</v>
      </c>
      <c r="I170" s="65">
        <f t="shared" si="248"/>
        <v>0</v>
      </c>
      <c r="J170" s="65">
        <f t="shared" si="248"/>
        <v>0</v>
      </c>
      <c r="K170" s="65">
        <f t="shared" si="248"/>
        <v>0</v>
      </c>
      <c r="L170" s="65">
        <f t="shared" si="248"/>
        <v>0</v>
      </c>
      <c r="M170" s="65">
        <f t="shared" si="248"/>
        <v>0</v>
      </c>
      <c r="N170" s="65">
        <f t="shared" si="248"/>
        <v>0</v>
      </c>
      <c r="O170" s="65">
        <f t="shared" si="248"/>
        <v>0</v>
      </c>
      <c r="P170" s="65">
        <f t="shared" si="248"/>
        <v>0</v>
      </c>
      <c r="Q170" s="65">
        <f t="shared" si="248"/>
        <v>0</v>
      </c>
      <c r="R170" s="65">
        <f t="shared" si="248"/>
        <v>0</v>
      </c>
      <c r="S170" s="65">
        <f t="shared" si="248"/>
        <v>0</v>
      </c>
      <c r="T170" s="65">
        <f t="shared" si="248"/>
        <v>0</v>
      </c>
      <c r="U170" s="65">
        <f t="shared" si="248"/>
        <v>0</v>
      </c>
      <c r="V170" s="65">
        <f t="shared" si="248"/>
        <v>0</v>
      </c>
      <c r="W170" s="65">
        <f t="shared" si="248"/>
        <v>0</v>
      </c>
      <c r="X170" s="65">
        <f t="shared" ref="X170:Y170" si="249">IF(X116=0,0,X116/X$23)</f>
        <v>0</v>
      </c>
      <c r="Y170" s="65">
        <f t="shared" si="249"/>
        <v>0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26.57529458139728</v>
      </c>
      <c r="C171" s="65">
        <f t="shared" ref="C171:W171" si="251">IF(C117=0,0,C117/C$23)</f>
        <v>29.163319633252804</v>
      </c>
      <c r="D171" s="65">
        <f t="shared" si="251"/>
        <v>29.412130332422411</v>
      </c>
      <c r="E171" s="65">
        <f t="shared" si="251"/>
        <v>28.260484140008135</v>
      </c>
      <c r="F171" s="65">
        <f t="shared" si="251"/>
        <v>25.234783431643201</v>
      </c>
      <c r="G171" s="65">
        <f t="shared" si="251"/>
        <v>25.715805172126814</v>
      </c>
      <c r="H171" s="65">
        <f t="shared" si="251"/>
        <v>28.255871188060421</v>
      </c>
      <c r="I171" s="65">
        <f t="shared" si="251"/>
        <v>31.121039491840587</v>
      </c>
      <c r="J171" s="65">
        <f t="shared" si="251"/>
        <v>32.796175073815355</v>
      </c>
      <c r="K171" s="65">
        <f t="shared" si="251"/>
        <v>33.191469686228182</v>
      </c>
      <c r="L171" s="65">
        <f t="shared" si="251"/>
        <v>34.387031688305385</v>
      </c>
      <c r="M171" s="65">
        <f t="shared" si="251"/>
        <v>35.181941982589599</v>
      </c>
      <c r="N171" s="65">
        <f t="shared" si="251"/>
        <v>34.894750891163618</v>
      </c>
      <c r="O171" s="65">
        <f t="shared" si="251"/>
        <v>32.166341418970475</v>
      </c>
      <c r="P171" s="65">
        <f t="shared" si="251"/>
        <v>30.786728717670819</v>
      </c>
      <c r="Q171" s="65">
        <f t="shared" si="251"/>
        <v>30.401085648919722</v>
      </c>
      <c r="R171" s="65">
        <f t="shared" si="251"/>
        <v>28.281763828792251</v>
      </c>
      <c r="S171" s="65">
        <f t="shared" si="251"/>
        <v>28.582983614604217</v>
      </c>
      <c r="T171" s="65">
        <f t="shared" si="251"/>
        <v>26.524227576919113</v>
      </c>
      <c r="U171" s="65">
        <f t="shared" si="251"/>
        <v>26.912104528627356</v>
      </c>
      <c r="V171" s="65">
        <f t="shared" si="251"/>
        <v>22.726802394650118</v>
      </c>
      <c r="W171" s="65">
        <f t="shared" si="251"/>
        <v>23.308558613914808</v>
      </c>
      <c r="X171" s="65">
        <f t="shared" ref="X171:Y171" si="252">IF(X117=0,0,X117/X$23)</f>
        <v>19.91488330493905</v>
      </c>
      <c r="Y171" s="65">
        <f t="shared" si="252"/>
        <v>23.311931440746495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6.0759294001608337</v>
      </c>
      <c r="C172" s="67">
        <f t="shared" ref="C172:W172" si="254">IF(C118=0,0,C118/C$23)</f>
        <v>12.267491624280938</v>
      </c>
      <c r="D172" s="67">
        <f t="shared" si="254"/>
        <v>7.917836068346066</v>
      </c>
      <c r="E172" s="67">
        <f t="shared" si="254"/>
        <v>9.6640968420165123</v>
      </c>
      <c r="F172" s="67">
        <f t="shared" si="254"/>
        <v>13.847378954873834</v>
      </c>
      <c r="G172" s="67">
        <f t="shared" si="254"/>
        <v>11.50022858401009</v>
      </c>
      <c r="H172" s="67">
        <f t="shared" si="254"/>
        <v>15.43742658142842</v>
      </c>
      <c r="I172" s="67">
        <f t="shared" si="254"/>
        <v>17.53313871664762</v>
      </c>
      <c r="J172" s="67">
        <f t="shared" si="254"/>
        <v>18.596670499594619</v>
      </c>
      <c r="K172" s="67">
        <f t="shared" si="254"/>
        <v>18.50469875086678</v>
      </c>
      <c r="L172" s="67">
        <f t="shared" si="254"/>
        <v>26.18348350417714</v>
      </c>
      <c r="M172" s="67">
        <f t="shared" si="254"/>
        <v>28.170659622039281</v>
      </c>
      <c r="N172" s="67">
        <f t="shared" si="254"/>
        <v>36.706551196238337</v>
      </c>
      <c r="O172" s="67">
        <f t="shared" si="254"/>
        <v>32.644082734691288</v>
      </c>
      <c r="P172" s="67">
        <f t="shared" si="254"/>
        <v>28.370161661293242</v>
      </c>
      <c r="Q172" s="67">
        <f t="shared" si="254"/>
        <v>27.541618096123727</v>
      </c>
      <c r="R172" s="67">
        <f t="shared" si="254"/>
        <v>27.177756586104522</v>
      </c>
      <c r="S172" s="67">
        <f t="shared" si="254"/>
        <v>30.058762826789749</v>
      </c>
      <c r="T172" s="67">
        <f t="shared" si="254"/>
        <v>31.326652513608725</v>
      </c>
      <c r="U172" s="67">
        <f t="shared" si="254"/>
        <v>30.757667340065925</v>
      </c>
      <c r="V172" s="67">
        <f t="shared" si="254"/>
        <v>26.176044943628881</v>
      </c>
      <c r="W172" s="67">
        <f t="shared" si="254"/>
        <v>30.170801750010334</v>
      </c>
      <c r="X172" s="67">
        <f t="shared" ref="X172:Y172" si="255">IF(X118=0,0,X118/X$23)</f>
        <v>30.974120537319052</v>
      </c>
      <c r="Y172" s="67">
        <f t="shared" si="255"/>
        <v>31.458381420639999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58824.826828655401</v>
      </c>
      <c r="C3" s="124">
        <f t="shared" si="0"/>
        <v>60914.027566257399</v>
      </c>
      <c r="D3" s="124">
        <f t="shared" si="0"/>
        <v>63613.739296077991</v>
      </c>
      <c r="E3" s="124">
        <f t="shared" si="0"/>
        <v>66683.498033002543</v>
      </c>
      <c r="F3" s="124">
        <f t="shared" si="0"/>
        <v>69887.477037776174</v>
      </c>
      <c r="G3" s="124">
        <f t="shared" si="0"/>
        <v>72987.127231166189</v>
      </c>
      <c r="H3" s="124">
        <f t="shared" si="0"/>
        <v>76224.420158856388</v>
      </c>
      <c r="I3" s="124">
        <f t="shared" si="0"/>
        <v>79869.243688850052</v>
      </c>
      <c r="J3" s="124">
        <f t="shared" si="0"/>
        <v>82645.136224764268</v>
      </c>
      <c r="K3" s="124">
        <f t="shared" si="0"/>
        <v>83587.297048423934</v>
      </c>
      <c r="L3" s="124">
        <f t="shared" si="0"/>
        <v>84917.025412549119</v>
      </c>
      <c r="M3" s="124">
        <f t="shared" si="0"/>
        <v>87374.145910783729</v>
      </c>
      <c r="N3" s="124">
        <f t="shared" si="0"/>
        <v>88621.888505161856</v>
      </c>
      <c r="O3" s="124">
        <f t="shared" si="0"/>
        <v>89985.776124600263</v>
      </c>
      <c r="P3" s="124">
        <f t="shared" si="0"/>
        <v>91548.27889433461</v>
      </c>
      <c r="Q3" s="124">
        <f t="shared" si="0"/>
        <v>93527.200824091444</v>
      </c>
      <c r="R3" s="124">
        <f t="shared" si="0"/>
        <v>94844.89498384732</v>
      </c>
      <c r="S3" s="124">
        <f t="shared" si="0"/>
        <v>96173.240587353619</v>
      </c>
      <c r="T3" s="124">
        <f t="shared" si="0"/>
        <v>97476.899884091545</v>
      </c>
      <c r="U3" s="124">
        <f t="shared" si="0"/>
        <v>98725.872463854015</v>
      </c>
      <c r="V3" s="124">
        <f t="shared" si="0"/>
        <v>99861.017777777743</v>
      </c>
      <c r="W3" s="124">
        <f t="shared" si="0"/>
        <v>100897.12294062092</v>
      </c>
      <c r="X3" s="124">
        <f t="shared" si="0"/>
        <v>101810.96715321772</v>
      </c>
      <c r="Y3" s="124">
        <f t="shared" si="0"/>
        <v>102603.34796725564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58824.826828655401</v>
      </c>
      <c r="C4" s="139">
        <f t="shared" si="1"/>
        <v>60914.027566257399</v>
      </c>
      <c r="D4" s="139">
        <f t="shared" si="1"/>
        <v>63613.739296077991</v>
      </c>
      <c r="E4" s="139">
        <f t="shared" si="1"/>
        <v>66683.498033002543</v>
      </c>
      <c r="F4" s="139">
        <f t="shared" si="1"/>
        <v>69887.477037776174</v>
      </c>
      <c r="G4" s="139">
        <f t="shared" si="1"/>
        <v>72987.127231166189</v>
      </c>
      <c r="H4" s="139">
        <f t="shared" si="1"/>
        <v>76224.420158856388</v>
      </c>
      <c r="I4" s="139">
        <f t="shared" si="1"/>
        <v>79869.243688850052</v>
      </c>
      <c r="J4" s="139">
        <f t="shared" si="1"/>
        <v>82645.136224764268</v>
      </c>
      <c r="K4" s="139">
        <f t="shared" si="1"/>
        <v>83587.297048423934</v>
      </c>
      <c r="L4" s="139">
        <f t="shared" si="1"/>
        <v>84917.025412549119</v>
      </c>
      <c r="M4" s="139">
        <f t="shared" si="1"/>
        <v>87374.145910783729</v>
      </c>
      <c r="N4" s="139">
        <f t="shared" si="1"/>
        <v>88621.888505161856</v>
      </c>
      <c r="O4" s="139">
        <f t="shared" si="1"/>
        <v>89985.776124600263</v>
      </c>
      <c r="P4" s="139">
        <f t="shared" si="1"/>
        <v>91548.27889433461</v>
      </c>
      <c r="Q4" s="139">
        <f t="shared" si="1"/>
        <v>93527.200824091444</v>
      </c>
      <c r="R4" s="139">
        <f t="shared" ref="R4:W4" si="2">SUM(R5:R14)</f>
        <v>94844.89498384732</v>
      </c>
      <c r="S4" s="139">
        <f t="shared" si="2"/>
        <v>96173.240587353619</v>
      </c>
      <c r="T4" s="139">
        <f t="shared" si="2"/>
        <v>97476.899884091545</v>
      </c>
      <c r="U4" s="139">
        <f t="shared" si="2"/>
        <v>98725.872463854015</v>
      </c>
      <c r="V4" s="139">
        <f t="shared" si="2"/>
        <v>99861.017777777743</v>
      </c>
      <c r="W4" s="139">
        <f t="shared" si="2"/>
        <v>100897.12294062092</v>
      </c>
      <c r="X4" s="139">
        <f t="shared" ref="X4:Y4" si="3">SUM(X5:X14)</f>
        <v>101810.96715321772</v>
      </c>
      <c r="Y4" s="139">
        <f t="shared" si="3"/>
        <v>102603.34796725564</v>
      </c>
      <c r="DA4" s="169" t="s">
        <v>246</v>
      </c>
    </row>
    <row r="5" spans="1:105" ht="12" customHeight="1" x14ac:dyDescent="0.25">
      <c r="A5" s="131" t="s">
        <v>29</v>
      </c>
      <c r="B5" s="140">
        <v>515.98835012271866</v>
      </c>
      <c r="C5" s="140">
        <v>586.47721142102796</v>
      </c>
      <c r="D5" s="140">
        <v>807.24081743756346</v>
      </c>
      <c r="E5" s="140">
        <v>944.09293750553798</v>
      </c>
      <c r="F5" s="140">
        <v>970.49046412684322</v>
      </c>
      <c r="G5" s="140">
        <v>901.38250369125376</v>
      </c>
      <c r="H5" s="140">
        <v>810.21487595434803</v>
      </c>
      <c r="I5" s="140">
        <v>763.82943601168313</v>
      </c>
      <c r="J5" s="140">
        <v>755.5719858650433</v>
      </c>
      <c r="K5" s="140">
        <v>734.77498731996536</v>
      </c>
      <c r="L5" s="140">
        <v>704.0487013391969</v>
      </c>
      <c r="M5" s="140">
        <v>706.97447730899694</v>
      </c>
      <c r="N5" s="140">
        <v>703.71777382447965</v>
      </c>
      <c r="O5" s="140">
        <v>706.96492582208657</v>
      </c>
      <c r="P5" s="140">
        <v>685.44281492604364</v>
      </c>
      <c r="Q5" s="140">
        <v>692.64961264277724</v>
      </c>
      <c r="R5" s="140">
        <v>677.94135039449623</v>
      </c>
      <c r="S5" s="140">
        <v>623.38938139371521</v>
      </c>
      <c r="T5" s="140">
        <v>542.79806205029092</v>
      </c>
      <c r="U5" s="140">
        <v>509.4401621065179</v>
      </c>
      <c r="V5" s="140">
        <v>462.04589328851262</v>
      </c>
      <c r="W5" s="140">
        <v>364.55066807047535</v>
      </c>
      <c r="X5" s="140">
        <v>239.90575061128206</v>
      </c>
      <c r="Y5" s="140">
        <v>228.73197847331664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16525.794774968817</v>
      </c>
      <c r="C7" s="140">
        <v>15535.885491918318</v>
      </c>
      <c r="D7" s="140">
        <v>12330.569061825214</v>
      </c>
      <c r="E7" s="140">
        <v>8585.5647347809718</v>
      </c>
      <c r="F7" s="140">
        <v>6252.2363456482299</v>
      </c>
      <c r="G7" s="140">
        <v>5637.4451060791189</v>
      </c>
      <c r="H7" s="140">
        <v>5726.7624095267065</v>
      </c>
      <c r="I7" s="140">
        <v>5703.4785836113888</v>
      </c>
      <c r="J7" s="140">
        <v>5665.521936271045</v>
      </c>
      <c r="K7" s="140">
        <v>5362.7829058308735</v>
      </c>
      <c r="L7" s="140">
        <v>4468.8693420818972</v>
      </c>
      <c r="M7" s="140">
        <v>3173.4637099812462</v>
      </c>
      <c r="N7" s="140">
        <v>2339.7217349131179</v>
      </c>
      <c r="O7" s="140">
        <v>2216.2288116974014</v>
      </c>
      <c r="P7" s="140">
        <v>2611.064353737921</v>
      </c>
      <c r="Q7" s="140">
        <v>3744.3785426358495</v>
      </c>
      <c r="R7" s="140">
        <v>3865.8741015306218</v>
      </c>
      <c r="S7" s="140">
        <v>3548.229332935307</v>
      </c>
      <c r="T7" s="140">
        <v>2757.7854113962971</v>
      </c>
      <c r="U7" s="140">
        <v>2473.8298331929464</v>
      </c>
      <c r="V7" s="140">
        <v>2358.2334113124052</v>
      </c>
      <c r="W7" s="140">
        <v>2416.2058487310683</v>
      </c>
      <c r="X7" s="140">
        <v>2642.1925195210747</v>
      </c>
      <c r="Y7" s="140">
        <v>3343.0429401632405</v>
      </c>
      <c r="DA7" s="170" t="s">
        <v>249</v>
      </c>
    </row>
    <row r="8" spans="1:105" ht="12" customHeight="1" x14ac:dyDescent="0.25">
      <c r="A8" s="131" t="s">
        <v>73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250</v>
      </c>
    </row>
    <row r="9" spans="1:105" ht="12" customHeight="1" x14ac:dyDescent="0.25">
      <c r="A9" s="131" t="s">
        <v>78</v>
      </c>
      <c r="B9" s="140">
        <v>1240.3667000391777</v>
      </c>
      <c r="C9" s="140">
        <v>1436.8471710811993</v>
      </c>
      <c r="D9" s="140">
        <v>1865.8547852787879</v>
      </c>
      <c r="E9" s="140">
        <v>2396.9950788431538</v>
      </c>
      <c r="F9" s="140">
        <v>3039.2283613111867</v>
      </c>
      <c r="G9" s="140">
        <v>3828.6368456697364</v>
      </c>
      <c r="H9" s="140">
        <v>4878.0742017417542</v>
      </c>
      <c r="I9" s="140">
        <v>5467.954143808558</v>
      </c>
      <c r="J9" s="140">
        <v>5601.4801961669946</v>
      </c>
      <c r="K9" s="140">
        <v>5772.1522455618042</v>
      </c>
      <c r="L9" s="140">
        <v>6002.7088817162057</v>
      </c>
      <c r="M9" s="140">
        <v>6030.2939109078425</v>
      </c>
      <c r="N9" s="140">
        <v>6461.5426065815727</v>
      </c>
      <c r="O9" s="140">
        <v>6834.6827759033731</v>
      </c>
      <c r="P9" s="140">
        <v>7632.3216320867332</v>
      </c>
      <c r="Q9" s="140">
        <v>8222.7740194990238</v>
      </c>
      <c r="R9" s="140">
        <v>8496.4200604404868</v>
      </c>
      <c r="S9" s="140">
        <v>8557.8118154078111</v>
      </c>
      <c r="T9" s="140">
        <v>8541.4548388332296</v>
      </c>
      <c r="U9" s="140">
        <v>8626.2790621064232</v>
      </c>
      <c r="V9" s="140">
        <v>8907.8559272783932</v>
      </c>
      <c r="W9" s="140">
        <v>8931.1302767157867</v>
      </c>
      <c r="X9" s="140">
        <v>8527.034531208983</v>
      </c>
      <c r="Y9" s="140">
        <v>7950.125133609461</v>
      </c>
      <c r="DA9" s="170" t="s">
        <v>251</v>
      </c>
    </row>
    <row r="10" spans="1:105" ht="12" customHeight="1" x14ac:dyDescent="0.25">
      <c r="A10" s="131" t="s">
        <v>128</v>
      </c>
      <c r="B10" s="140">
        <v>1390.1285892092142</v>
      </c>
      <c r="C10" s="140">
        <v>1199.8439588440619</v>
      </c>
      <c r="D10" s="140">
        <v>1315.6662950857758</v>
      </c>
      <c r="E10" s="140">
        <v>1528.2142165467255</v>
      </c>
      <c r="F10" s="140">
        <v>1663.2804475586388</v>
      </c>
      <c r="G10" s="140">
        <v>1841.6014364276014</v>
      </c>
      <c r="H10" s="140">
        <v>2005.9625621225207</v>
      </c>
      <c r="I10" s="140">
        <v>2052.049612054831</v>
      </c>
      <c r="J10" s="140">
        <v>1892.8552378711754</v>
      </c>
      <c r="K10" s="140">
        <v>1466.3846444380904</v>
      </c>
      <c r="L10" s="140">
        <v>1616.4170050152902</v>
      </c>
      <c r="M10" s="140">
        <v>2256.2695978100269</v>
      </c>
      <c r="N10" s="140">
        <v>2876.9689619803698</v>
      </c>
      <c r="O10" s="140">
        <v>3039.1221135209694</v>
      </c>
      <c r="P10" s="140">
        <v>2920.1922876896124</v>
      </c>
      <c r="Q10" s="140">
        <v>2880.7678600312306</v>
      </c>
      <c r="R10" s="140">
        <v>3446.5125135836115</v>
      </c>
      <c r="S10" s="140">
        <v>5991.2514446305231</v>
      </c>
      <c r="T10" s="140">
        <v>8435.3700151833618</v>
      </c>
      <c r="U10" s="140">
        <v>9805.0423790096538</v>
      </c>
      <c r="V10" s="140">
        <v>10104.937663785831</v>
      </c>
      <c r="W10" s="140">
        <v>10181.49090187617</v>
      </c>
      <c r="X10" s="140">
        <v>9973.7040284816867</v>
      </c>
      <c r="Y10" s="140">
        <v>9176.7182572204292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5373.2403293787602</v>
      </c>
      <c r="H11" s="140">
        <v>6797.3125780588571</v>
      </c>
      <c r="I11" s="140">
        <v>7976.3517205639027</v>
      </c>
      <c r="J11" s="140">
        <v>7966.4718038641813</v>
      </c>
      <c r="K11" s="140">
        <v>7942.4820732890776</v>
      </c>
      <c r="L11" s="140">
        <v>7640.4778420127122</v>
      </c>
      <c r="M11" s="140">
        <v>7611.1766717708597</v>
      </c>
      <c r="N11" s="140">
        <v>7914.2042840882323</v>
      </c>
      <c r="O11" s="140">
        <v>8260.2885052146521</v>
      </c>
      <c r="P11" s="140">
        <v>8307.9397789680352</v>
      </c>
      <c r="Q11" s="140">
        <v>8181.8712414353204</v>
      </c>
      <c r="R11" s="140">
        <v>7719.5196395203793</v>
      </c>
      <c r="S11" s="140">
        <v>7396.092947382177</v>
      </c>
      <c r="T11" s="140">
        <v>7199.8016243142929</v>
      </c>
      <c r="U11" s="140">
        <v>7102.7203072541497</v>
      </c>
      <c r="V11" s="140">
        <v>6900.3511580349486</v>
      </c>
      <c r="W11" s="140">
        <v>6729.2333348837728</v>
      </c>
      <c r="X11" s="140">
        <v>6476.8556697280919</v>
      </c>
      <c r="Y11" s="140">
        <v>6384.4806721815075</v>
      </c>
      <c r="DA11" s="170" t="s">
        <v>253</v>
      </c>
    </row>
    <row r="12" spans="1:105" ht="12" customHeight="1" x14ac:dyDescent="0.25">
      <c r="A12" s="131" t="s">
        <v>162</v>
      </c>
      <c r="B12" s="140">
        <v>19320.053846514285</v>
      </c>
      <c r="C12" s="140">
        <v>21596.978319104637</v>
      </c>
      <c r="D12" s="140">
        <v>22906.449774310498</v>
      </c>
      <c r="E12" s="140">
        <v>25868.335271467746</v>
      </c>
      <c r="F12" s="140">
        <v>27437.696779756676</v>
      </c>
      <c r="G12" s="140">
        <v>24681.126154190788</v>
      </c>
      <c r="H12" s="140">
        <v>23855.916342228255</v>
      </c>
      <c r="I12" s="140">
        <v>22613.572479865903</v>
      </c>
      <c r="J12" s="140">
        <v>20489.573334903736</v>
      </c>
      <c r="K12" s="140">
        <v>19737.78505386315</v>
      </c>
      <c r="L12" s="140">
        <v>18906.644742885481</v>
      </c>
      <c r="M12" s="140">
        <v>19385.315503440888</v>
      </c>
      <c r="N12" s="140">
        <v>18985.067199772009</v>
      </c>
      <c r="O12" s="140">
        <v>17809.724014916734</v>
      </c>
      <c r="P12" s="140">
        <v>17434.377411961901</v>
      </c>
      <c r="Q12" s="140">
        <v>17683.707556276262</v>
      </c>
      <c r="R12" s="140">
        <v>18185.593105736865</v>
      </c>
      <c r="S12" s="140">
        <v>17139.367753319755</v>
      </c>
      <c r="T12" s="140">
        <v>16484.987459147742</v>
      </c>
      <c r="U12" s="140">
        <v>15151.312009526035</v>
      </c>
      <c r="V12" s="140">
        <v>15217.424726125333</v>
      </c>
      <c r="W12" s="140">
        <v>14711.033972440397</v>
      </c>
      <c r="X12" s="140">
        <v>14957.229052279454</v>
      </c>
      <c r="Y12" s="140">
        <v>13484.080569748741</v>
      </c>
      <c r="DA12" s="170" t="s">
        <v>254</v>
      </c>
    </row>
    <row r="13" spans="1:105" ht="12" customHeight="1" x14ac:dyDescent="0.25">
      <c r="A13" s="131" t="s">
        <v>77</v>
      </c>
      <c r="B13" s="140">
        <v>2348.0061936498223</v>
      </c>
      <c r="C13" s="140">
        <v>3085.4727562623893</v>
      </c>
      <c r="D13" s="140">
        <v>6195.189335386367</v>
      </c>
      <c r="E13" s="140">
        <v>9204.847949141651</v>
      </c>
      <c r="F13" s="140">
        <v>12259.879074328775</v>
      </c>
      <c r="G13" s="140">
        <v>13957.261750683794</v>
      </c>
      <c r="H13" s="140">
        <v>15803.440092346562</v>
      </c>
      <c r="I13" s="140">
        <v>18258.356289583106</v>
      </c>
      <c r="J13" s="140">
        <v>20974.997255935596</v>
      </c>
      <c r="K13" s="140">
        <v>22201.40869231043</v>
      </c>
      <c r="L13" s="140">
        <v>23417.354825075832</v>
      </c>
      <c r="M13" s="140">
        <v>26399.175040423772</v>
      </c>
      <c r="N13" s="140">
        <v>30316.668881518941</v>
      </c>
      <c r="O13" s="140">
        <v>35545.833568605944</v>
      </c>
      <c r="P13" s="140">
        <v>38860.425255781003</v>
      </c>
      <c r="Q13" s="140">
        <v>40400.7000035202</v>
      </c>
      <c r="R13" s="140">
        <v>40936.114104772896</v>
      </c>
      <c r="S13" s="140">
        <v>41467.570878170365</v>
      </c>
      <c r="T13" s="140">
        <v>42372.160010188236</v>
      </c>
      <c r="U13" s="140">
        <v>44007.886467585959</v>
      </c>
      <c r="V13" s="140">
        <v>44432.438341623681</v>
      </c>
      <c r="W13" s="140">
        <v>45319.641818516648</v>
      </c>
      <c r="X13" s="140">
        <v>46960.823215983437</v>
      </c>
      <c r="Y13" s="140">
        <v>50731.02136879076</v>
      </c>
      <c r="DA13" s="170" t="s">
        <v>255</v>
      </c>
    </row>
    <row r="14" spans="1:105" ht="12" customHeight="1" x14ac:dyDescent="0.25">
      <c r="A14" s="60" t="s">
        <v>76</v>
      </c>
      <c r="B14" s="141">
        <v>17484.488374151369</v>
      </c>
      <c r="C14" s="141">
        <v>17472.522657625759</v>
      </c>
      <c r="D14" s="141">
        <v>18192.769226753786</v>
      </c>
      <c r="E14" s="141">
        <v>18155.447844716753</v>
      </c>
      <c r="F14" s="141">
        <v>18264.665565045823</v>
      </c>
      <c r="G14" s="141">
        <v>16766.433105045136</v>
      </c>
      <c r="H14" s="141">
        <v>16346.737096877394</v>
      </c>
      <c r="I14" s="141">
        <v>17033.65142335069</v>
      </c>
      <c r="J14" s="141">
        <v>19298.664473886496</v>
      </c>
      <c r="K14" s="141">
        <v>20369.526445810545</v>
      </c>
      <c r="L14" s="141">
        <v>22160.504072422511</v>
      </c>
      <c r="M14" s="141">
        <v>21811.47699914009</v>
      </c>
      <c r="N14" s="141">
        <v>19023.997062483129</v>
      </c>
      <c r="O14" s="141">
        <v>15572.931408919101</v>
      </c>
      <c r="P14" s="141">
        <v>13096.515359183357</v>
      </c>
      <c r="Q14" s="141">
        <v>11720.351988050781</v>
      </c>
      <c r="R14" s="141">
        <v>11516.920107867965</v>
      </c>
      <c r="S14" s="141">
        <v>11449.527034113973</v>
      </c>
      <c r="T14" s="141">
        <v>11142.542462978112</v>
      </c>
      <c r="U14" s="141">
        <v>11049.36224307233</v>
      </c>
      <c r="V14" s="141">
        <v>11477.730656328644</v>
      </c>
      <c r="W14" s="141">
        <v>12243.836119386595</v>
      </c>
      <c r="X14" s="141">
        <v>12033.222385403715</v>
      </c>
      <c r="Y14" s="141">
        <v>11305.147047068178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38992.332260854208</v>
      </c>
      <c r="C15" s="143">
        <f t="shared" si="4"/>
        <v>40356.032152369247</v>
      </c>
      <c r="D15" s="143">
        <f t="shared" si="4"/>
        <v>39225.780733937834</v>
      </c>
      <c r="E15" s="143">
        <f t="shared" si="4"/>
        <v>39323.202239144135</v>
      </c>
      <c r="F15" s="143">
        <f t="shared" si="4"/>
        <v>39362.932398401572</v>
      </c>
      <c r="G15" s="143">
        <f t="shared" si="4"/>
        <v>42263.43237543726</v>
      </c>
      <c r="H15" s="143">
        <f t="shared" si="4"/>
        <v>44074.24296963244</v>
      </c>
      <c r="I15" s="143">
        <f t="shared" si="4"/>
        <v>44577.235975916265</v>
      </c>
      <c r="J15" s="143">
        <f t="shared" si="4"/>
        <v>42371.474494942173</v>
      </c>
      <c r="K15" s="143">
        <f t="shared" si="4"/>
        <v>41016.361910302963</v>
      </c>
      <c r="L15" s="143">
        <f t="shared" si="4"/>
        <v>39339.166515050783</v>
      </c>
      <c r="M15" s="143">
        <f t="shared" si="4"/>
        <v>39163.493871219864</v>
      </c>
      <c r="N15" s="143">
        <f t="shared" si="4"/>
        <v>39281.222561159782</v>
      </c>
      <c r="O15" s="143">
        <f t="shared" si="4"/>
        <v>38867.011147075216</v>
      </c>
      <c r="P15" s="143">
        <f t="shared" si="4"/>
        <v>39591.338279370248</v>
      </c>
      <c r="Q15" s="143">
        <f t="shared" si="4"/>
        <v>41406.148832520463</v>
      </c>
      <c r="R15" s="143">
        <f t="shared" ref="R15:W15" si="5">SUM(R5:R12)</f>
        <v>42391.860771206455</v>
      </c>
      <c r="S15" s="143">
        <f t="shared" si="5"/>
        <v>43256.142675069292</v>
      </c>
      <c r="T15" s="143">
        <f t="shared" si="5"/>
        <v>43962.197410925211</v>
      </c>
      <c r="U15" s="143">
        <f t="shared" si="5"/>
        <v>43668.623753195723</v>
      </c>
      <c r="V15" s="143">
        <f t="shared" si="5"/>
        <v>43950.848779825421</v>
      </c>
      <c r="W15" s="143">
        <f t="shared" si="5"/>
        <v>43333.645002717669</v>
      </c>
      <c r="X15" s="143">
        <f t="shared" ref="X15:Y15" si="6">SUM(X5:X12)</f>
        <v>42816.921551830572</v>
      </c>
      <c r="Y15" s="143">
        <f t="shared" si="6"/>
        <v>40567.179551396694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7708.7445586513131</v>
      </c>
      <c r="C16" s="139">
        <f t="shared" si="7"/>
        <v>8747.8596215442958</v>
      </c>
      <c r="D16" s="139">
        <f t="shared" si="7"/>
        <v>9754.0659751195672</v>
      </c>
      <c r="E16" s="139">
        <f t="shared" si="7"/>
        <v>11371.645230075843</v>
      </c>
      <c r="F16" s="139">
        <f t="shared" si="7"/>
        <v>13706.301640603839</v>
      </c>
      <c r="G16" s="139">
        <f t="shared" si="7"/>
        <v>15525.512106846236</v>
      </c>
      <c r="H16" s="139">
        <f t="shared" si="7"/>
        <v>17672.063902357193</v>
      </c>
      <c r="I16" s="139">
        <f t="shared" si="7"/>
        <v>20904.594213429587</v>
      </c>
      <c r="J16" s="139">
        <f t="shared" si="7"/>
        <v>23114.461146024889</v>
      </c>
      <c r="K16" s="139">
        <f t="shared" si="7"/>
        <v>24734.60634333362</v>
      </c>
      <c r="L16" s="139">
        <f t="shared" si="7"/>
        <v>25960.230914877382</v>
      </c>
      <c r="M16" s="139">
        <f t="shared" si="7"/>
        <v>27717.753560339741</v>
      </c>
      <c r="N16" s="139">
        <f t="shared" si="7"/>
        <v>28940.401214169615</v>
      </c>
      <c r="O16" s="139">
        <f t="shared" si="7"/>
        <v>29982.168206420472</v>
      </c>
      <c r="P16" s="139">
        <f t="shared" si="7"/>
        <v>30999.712488826546</v>
      </c>
      <c r="Q16" s="139">
        <f t="shared" si="7"/>
        <v>32150.733710071996</v>
      </c>
      <c r="R16" s="139">
        <f t="shared" ref="R16:W16" si="8">SUM(R17:R18)</f>
        <v>33156.533801383688</v>
      </c>
      <c r="S16" s="139">
        <f t="shared" si="8"/>
        <v>33501.640517151493</v>
      </c>
      <c r="T16" s="139">
        <f t="shared" si="8"/>
        <v>33964.737604754911</v>
      </c>
      <c r="U16" s="139">
        <f t="shared" si="8"/>
        <v>34446.998694515634</v>
      </c>
      <c r="V16" s="139">
        <f t="shared" si="8"/>
        <v>34642.304688839475</v>
      </c>
      <c r="W16" s="139">
        <f t="shared" si="8"/>
        <v>34731.178776996057</v>
      </c>
      <c r="X16" s="139">
        <f t="shared" ref="X16:Y16" si="9">SUM(X17:X18)</f>
        <v>35012.282693207468</v>
      </c>
      <c r="Y16" s="139">
        <f t="shared" si="9"/>
        <v>35548.24517077738</v>
      </c>
      <c r="DA16" s="169" t="s">
        <v>257</v>
      </c>
    </row>
    <row r="17" spans="1:105" ht="12.95" customHeight="1" x14ac:dyDescent="0.25">
      <c r="A17" s="131" t="s">
        <v>73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258</v>
      </c>
    </row>
    <row r="18" spans="1:105" ht="12" customHeight="1" x14ac:dyDescent="0.25">
      <c r="A18" s="131" t="s">
        <v>72</v>
      </c>
      <c r="B18" s="140">
        <v>7708.7445586513131</v>
      </c>
      <c r="C18" s="140">
        <v>8747.8596215442958</v>
      </c>
      <c r="D18" s="140">
        <v>9754.0659751195672</v>
      </c>
      <c r="E18" s="140">
        <v>11371.645230075843</v>
      </c>
      <c r="F18" s="140">
        <v>13706.301640603839</v>
      </c>
      <c r="G18" s="140">
        <v>15525.512106846236</v>
      </c>
      <c r="H18" s="140">
        <v>17672.063902357193</v>
      </c>
      <c r="I18" s="140">
        <v>20904.594213429587</v>
      </c>
      <c r="J18" s="140">
        <v>23114.461146024889</v>
      </c>
      <c r="K18" s="140">
        <v>24734.60634333362</v>
      </c>
      <c r="L18" s="140">
        <v>25960.230914877382</v>
      </c>
      <c r="M18" s="140">
        <v>27717.753560339741</v>
      </c>
      <c r="N18" s="140">
        <v>28940.401214169615</v>
      </c>
      <c r="O18" s="140">
        <v>29982.168206420472</v>
      </c>
      <c r="P18" s="140">
        <v>30999.712488826546</v>
      </c>
      <c r="Q18" s="140">
        <v>32150.733710071996</v>
      </c>
      <c r="R18" s="140">
        <v>33156.533801383688</v>
      </c>
      <c r="S18" s="140">
        <v>33501.640517151493</v>
      </c>
      <c r="T18" s="140">
        <v>33964.737604754911</v>
      </c>
      <c r="U18" s="140">
        <v>34446.998694515634</v>
      </c>
      <c r="V18" s="140">
        <v>34642.304688839475</v>
      </c>
      <c r="W18" s="140">
        <v>34731.178776996057</v>
      </c>
      <c r="X18" s="140">
        <v>35012.282693207468</v>
      </c>
      <c r="Y18" s="140">
        <v>35548.24517077738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58824.826828655401</v>
      </c>
      <c r="C19" s="139">
        <f t="shared" si="10"/>
        <v>60914.027566257399</v>
      </c>
      <c r="D19" s="139">
        <f t="shared" si="10"/>
        <v>63613.739296077998</v>
      </c>
      <c r="E19" s="139">
        <f t="shared" si="10"/>
        <v>66683.498033002543</v>
      </c>
      <c r="F19" s="139">
        <f t="shared" si="10"/>
        <v>69887.477037776174</v>
      </c>
      <c r="G19" s="139">
        <f t="shared" si="10"/>
        <v>72987.127231166203</v>
      </c>
      <c r="H19" s="139">
        <f t="shared" si="10"/>
        <v>76224.420158856374</v>
      </c>
      <c r="I19" s="139">
        <f t="shared" si="10"/>
        <v>79869.243688850082</v>
      </c>
      <c r="J19" s="139">
        <f t="shared" si="10"/>
        <v>82645.136224764254</v>
      </c>
      <c r="K19" s="139">
        <f t="shared" si="10"/>
        <v>83587.297048423905</v>
      </c>
      <c r="L19" s="139">
        <f t="shared" si="10"/>
        <v>84917.025412549119</v>
      </c>
      <c r="M19" s="139">
        <f t="shared" si="10"/>
        <v>87374.145910783758</v>
      </c>
      <c r="N19" s="139">
        <f t="shared" si="10"/>
        <v>88621.888505161827</v>
      </c>
      <c r="O19" s="139">
        <f t="shared" si="10"/>
        <v>89985.776124600263</v>
      </c>
      <c r="P19" s="139">
        <f t="shared" si="10"/>
        <v>91548.27889433461</v>
      </c>
      <c r="Q19" s="139">
        <f t="shared" si="10"/>
        <v>93527.200824091473</v>
      </c>
      <c r="R19" s="139">
        <f t="shared" ref="R19:W19" si="11">SUM(R20:R26)</f>
        <v>94844.894983847364</v>
      </c>
      <c r="S19" s="139">
        <f t="shared" si="11"/>
        <v>96173.240587353677</v>
      </c>
      <c r="T19" s="139">
        <f t="shared" si="11"/>
        <v>97476.899884091559</v>
      </c>
      <c r="U19" s="139">
        <f t="shared" si="11"/>
        <v>98725.872463854059</v>
      </c>
      <c r="V19" s="139">
        <f t="shared" si="11"/>
        <v>99861.017777777772</v>
      </c>
      <c r="W19" s="139">
        <f t="shared" si="11"/>
        <v>100897.12294062093</v>
      </c>
      <c r="X19" s="139">
        <f t="shared" ref="X19:Y19" si="12">SUM(X20:X26)</f>
        <v>101810.96715321773</v>
      </c>
      <c r="Y19" s="139">
        <f t="shared" si="12"/>
        <v>102603.3479672556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262</v>
      </c>
    </row>
    <row r="22" spans="1:105" ht="12" customHeight="1" x14ac:dyDescent="0.25">
      <c r="A22" s="131" t="s">
        <v>161</v>
      </c>
      <c r="B22" s="140">
        <v>6772.0667368775576</v>
      </c>
      <c r="C22" s="140">
        <v>6631.6820831724008</v>
      </c>
      <c r="D22" s="140">
        <v>6318.3655421255098</v>
      </c>
      <c r="E22" s="140">
        <v>5808.8949445107355</v>
      </c>
      <c r="F22" s="140">
        <v>5059.9107643170228</v>
      </c>
      <c r="G22" s="140">
        <v>4552.5375762270778</v>
      </c>
      <c r="H22" s="140">
        <v>4280.9887479781082</v>
      </c>
      <c r="I22" s="140">
        <v>4194.3372995097698</v>
      </c>
      <c r="J22" s="140">
        <v>4100.8430251396339</v>
      </c>
      <c r="K22" s="140">
        <v>3938.6274888954295</v>
      </c>
      <c r="L22" s="140">
        <v>3719.6394608319579</v>
      </c>
      <c r="M22" s="140">
        <v>3465.7873362224136</v>
      </c>
      <c r="N22" s="140">
        <v>3053.8295810822356</v>
      </c>
      <c r="O22" s="140">
        <v>2521.8025824987021</v>
      </c>
      <c r="P22" s="140">
        <v>2097.093935251431</v>
      </c>
      <c r="Q22" s="140">
        <v>1855.0165895847849</v>
      </c>
      <c r="R22" s="140">
        <v>1612.3172801620613</v>
      </c>
      <c r="S22" s="140">
        <v>1343.2215466659363</v>
      </c>
      <c r="T22" s="140">
        <v>1051.4050352984998</v>
      </c>
      <c r="U22" s="140">
        <v>958.65285948255587</v>
      </c>
      <c r="V22" s="140">
        <v>946.11090531729008</v>
      </c>
      <c r="W22" s="140">
        <v>1072.1482396746951</v>
      </c>
      <c r="X22" s="140">
        <v>1294.9249538771373</v>
      </c>
      <c r="Y22" s="140">
        <v>1677.5170511025087</v>
      </c>
      <c r="DA22" s="170" t="s">
        <v>263</v>
      </c>
    </row>
    <row r="23" spans="1:105" ht="12" customHeight="1" x14ac:dyDescent="0.25">
      <c r="A23" s="131" t="s">
        <v>149</v>
      </c>
      <c r="B23" s="140">
        <v>1828.5622471367369</v>
      </c>
      <c r="C23" s="140">
        <v>2206.2056808199577</v>
      </c>
      <c r="D23" s="140">
        <v>3064.5375645455647</v>
      </c>
      <c r="E23" s="140">
        <v>4148.1301746463951</v>
      </c>
      <c r="F23" s="140">
        <v>5454.3320747068901</v>
      </c>
      <c r="G23" s="140">
        <v>6994.3890328428715</v>
      </c>
      <c r="H23" s="140">
        <v>8714.5880724740091</v>
      </c>
      <c r="I23" s="140">
        <v>10406.625672227114</v>
      </c>
      <c r="J23" s="140">
        <v>11641.154830514171</v>
      </c>
      <c r="K23" s="140">
        <v>12396.979210468009</v>
      </c>
      <c r="L23" s="140">
        <v>12814.787363133717</v>
      </c>
      <c r="M23" s="140">
        <v>13083.425974930937</v>
      </c>
      <c r="N23" s="140">
        <v>13298.567627138247</v>
      </c>
      <c r="O23" s="140">
        <v>13479.274383857553</v>
      </c>
      <c r="P23" s="140">
        <v>13717.478380521205</v>
      </c>
      <c r="Q23" s="140">
        <v>13899.218692392124</v>
      </c>
      <c r="R23" s="140">
        <v>14084.791069069175</v>
      </c>
      <c r="S23" s="140">
        <v>14274.845419772711</v>
      </c>
      <c r="T23" s="140">
        <v>14449.363148823415</v>
      </c>
      <c r="U23" s="140">
        <v>14454.00824366179</v>
      </c>
      <c r="V23" s="140">
        <v>14062.010673134648</v>
      </c>
      <c r="W23" s="140">
        <v>13537.519425817367</v>
      </c>
      <c r="X23" s="140">
        <v>13064.622362353513</v>
      </c>
      <c r="Y23" s="140">
        <v>12666.453201488655</v>
      </c>
      <c r="DA23" s="170" t="s">
        <v>264</v>
      </c>
    </row>
    <row r="24" spans="1:105" ht="12" customHeight="1" x14ac:dyDescent="0.25">
      <c r="A24" s="131" t="s">
        <v>128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265</v>
      </c>
    </row>
    <row r="25" spans="1:105" ht="12" customHeight="1" x14ac:dyDescent="0.25">
      <c r="A25" s="131" t="s">
        <v>162</v>
      </c>
      <c r="B25" s="140">
        <v>21130.370025685574</v>
      </c>
      <c r="C25" s="140">
        <v>21468.981842398898</v>
      </c>
      <c r="D25" s="140">
        <v>22311.383883368562</v>
      </c>
      <c r="E25" s="140">
        <v>23222.870365368199</v>
      </c>
      <c r="F25" s="140">
        <v>24028.746772063332</v>
      </c>
      <c r="G25" s="140">
        <v>24422.327893563972</v>
      </c>
      <c r="H25" s="140">
        <v>24454.112785628364</v>
      </c>
      <c r="I25" s="140">
        <v>24303.568833221456</v>
      </c>
      <c r="J25" s="140">
        <v>23988.718556285203</v>
      </c>
      <c r="K25" s="140">
        <v>23426.586632086342</v>
      </c>
      <c r="L25" s="140">
        <v>22857.052414167723</v>
      </c>
      <c r="M25" s="140">
        <v>22631.93966674984</v>
      </c>
      <c r="N25" s="140">
        <v>22672.183072055017</v>
      </c>
      <c r="O25" s="140">
        <v>22889.156471968246</v>
      </c>
      <c r="P25" s="140">
        <v>23282.286879647239</v>
      </c>
      <c r="Q25" s="140">
        <v>23661.052731289499</v>
      </c>
      <c r="R25" s="140">
        <v>24102.682517155059</v>
      </c>
      <c r="S25" s="140">
        <v>24462.088912169227</v>
      </c>
      <c r="T25" s="140">
        <v>24865.433154317081</v>
      </c>
      <c r="U25" s="140">
        <v>25188.563790066339</v>
      </c>
      <c r="V25" s="140">
        <v>26170.180595582049</v>
      </c>
      <c r="W25" s="140">
        <v>26879.548254453475</v>
      </c>
      <c r="X25" s="140">
        <v>27918.776492907433</v>
      </c>
      <c r="Y25" s="140">
        <v>28531.875601991189</v>
      </c>
      <c r="DA25" s="170" t="s">
        <v>266</v>
      </c>
    </row>
    <row r="26" spans="1:105" ht="12" customHeight="1" x14ac:dyDescent="0.25">
      <c r="A26" s="131" t="s">
        <v>24</v>
      </c>
      <c r="B26" s="141">
        <v>29093.827818955535</v>
      </c>
      <c r="C26" s="141">
        <v>30607.157959866145</v>
      </c>
      <c r="D26" s="141">
        <v>31919.452306038362</v>
      </c>
      <c r="E26" s="141">
        <v>33503.602548477218</v>
      </c>
      <c r="F26" s="141">
        <v>35344.487426688938</v>
      </c>
      <c r="G26" s="141">
        <v>37017.872728532282</v>
      </c>
      <c r="H26" s="141">
        <v>38774.730552775894</v>
      </c>
      <c r="I26" s="141">
        <v>40964.711883891745</v>
      </c>
      <c r="J26" s="141">
        <v>42914.419812825254</v>
      </c>
      <c r="K26" s="141">
        <v>43825.103716974118</v>
      </c>
      <c r="L26" s="141">
        <v>45525.546174415729</v>
      </c>
      <c r="M26" s="141">
        <v>48192.992932880567</v>
      </c>
      <c r="N26" s="141">
        <v>49597.308224886336</v>
      </c>
      <c r="O26" s="141">
        <v>51095.542686275759</v>
      </c>
      <c r="P26" s="141">
        <v>52451.419698914731</v>
      </c>
      <c r="Q26" s="141">
        <v>54111.912810825059</v>
      </c>
      <c r="R26" s="141">
        <v>55045.104117461073</v>
      </c>
      <c r="S26" s="141">
        <v>56093.08470874581</v>
      </c>
      <c r="T26" s="141">
        <v>57110.698545652565</v>
      </c>
      <c r="U26" s="141">
        <v>58124.647570643363</v>
      </c>
      <c r="V26" s="141">
        <v>58682.715603743789</v>
      </c>
      <c r="W26" s="141">
        <v>59407.907020675404</v>
      </c>
      <c r="X26" s="141">
        <v>59532.643344079646</v>
      </c>
      <c r="Y26" s="141">
        <v>59727.502112673254</v>
      </c>
      <c r="DA26" s="171" t="s">
        <v>267</v>
      </c>
    </row>
    <row r="27" spans="1:105" ht="12" customHeight="1" x14ac:dyDescent="0.25">
      <c r="A27" s="144" t="s">
        <v>26</v>
      </c>
      <c r="B27" s="150">
        <v>0</v>
      </c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6766.8971375495876</v>
      </c>
      <c r="M27" s="150">
        <v>10253.58244469535</v>
      </c>
      <c r="N27" s="150">
        <v>12076.933590587254</v>
      </c>
      <c r="O27" s="150">
        <v>17241.428758014252</v>
      </c>
      <c r="P27" s="150">
        <v>18045.276718005713</v>
      </c>
      <c r="Q27" s="150">
        <v>20185.657212354577</v>
      </c>
      <c r="R27" s="150">
        <v>21739.251014279707</v>
      </c>
      <c r="S27" s="150">
        <v>23382.836009780953</v>
      </c>
      <c r="T27" s="150">
        <v>23870.434778998097</v>
      </c>
      <c r="U27" s="150">
        <v>24461.897859722874</v>
      </c>
      <c r="V27" s="150">
        <v>29494.266653409853</v>
      </c>
      <c r="W27" s="150">
        <v>28987.017295225192</v>
      </c>
      <c r="X27" s="150">
        <v>30489.005432068167</v>
      </c>
      <c r="Y27" s="150">
        <v>30729.825224624008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58824.826828655401</v>
      </c>
      <c r="C29" s="139">
        <f t="shared" si="13"/>
        <v>60914.027566257399</v>
      </c>
      <c r="D29" s="139">
        <f t="shared" si="13"/>
        <v>63613.739296078005</v>
      </c>
      <c r="E29" s="139">
        <f t="shared" si="13"/>
        <v>66683.498033002557</v>
      </c>
      <c r="F29" s="139">
        <f t="shared" si="13"/>
        <v>69887.477037776189</v>
      </c>
      <c r="G29" s="139">
        <f t="shared" si="13"/>
        <v>72987.127231166203</v>
      </c>
      <c r="H29" s="139">
        <f t="shared" si="13"/>
        <v>76224.420158856388</v>
      </c>
      <c r="I29" s="139">
        <f t="shared" si="13"/>
        <v>79869.243688850052</v>
      </c>
      <c r="J29" s="139">
        <f t="shared" si="13"/>
        <v>82645.136224764283</v>
      </c>
      <c r="K29" s="139">
        <f t="shared" si="13"/>
        <v>83587.297048423919</v>
      </c>
      <c r="L29" s="139">
        <f t="shared" si="13"/>
        <v>84917.025412549177</v>
      </c>
      <c r="M29" s="139">
        <f t="shared" si="13"/>
        <v>87374.145910783744</v>
      </c>
      <c r="N29" s="139">
        <f t="shared" si="13"/>
        <v>88621.888505161871</v>
      </c>
      <c r="O29" s="139">
        <f t="shared" si="13"/>
        <v>89985.776124600263</v>
      </c>
      <c r="P29" s="139">
        <f t="shared" si="13"/>
        <v>91548.27889433458</v>
      </c>
      <c r="Q29" s="139">
        <f t="shared" si="13"/>
        <v>93527.200824091429</v>
      </c>
      <c r="R29" s="139">
        <f t="shared" ref="R29:W29" si="14">SUM(R30:R33)</f>
        <v>94844.89498384732</v>
      </c>
      <c r="S29" s="139">
        <f t="shared" si="14"/>
        <v>96173.240587353619</v>
      </c>
      <c r="T29" s="139">
        <f t="shared" si="14"/>
        <v>97476.899884091574</v>
      </c>
      <c r="U29" s="139">
        <f t="shared" si="14"/>
        <v>98725.872463854001</v>
      </c>
      <c r="V29" s="139">
        <f t="shared" si="14"/>
        <v>99861.017777777728</v>
      </c>
      <c r="W29" s="139">
        <f t="shared" si="14"/>
        <v>100897.12294062087</v>
      </c>
      <c r="X29" s="139">
        <f t="shared" ref="X29:Y29" si="15">SUM(X30:X33)</f>
        <v>101810.96715321761</v>
      </c>
      <c r="Y29" s="139">
        <f t="shared" si="15"/>
        <v>102603.3479672556</v>
      </c>
      <c r="DA29" s="169" t="s">
        <v>269</v>
      </c>
    </row>
    <row r="30" spans="1:105" ht="12" customHeight="1" x14ac:dyDescent="0.25">
      <c r="A30" s="131" t="s">
        <v>52</v>
      </c>
      <c r="B30" s="140">
        <v>1226.7825962091886</v>
      </c>
      <c r="C30" s="140">
        <v>1230.9662992596243</v>
      </c>
      <c r="D30" s="140">
        <v>1064.0333147746489</v>
      </c>
      <c r="E30" s="140">
        <v>897.95302547259439</v>
      </c>
      <c r="F30" s="140">
        <v>742.86795416258099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2601.6261754436341</v>
      </c>
      <c r="M30" s="140">
        <v>3354.2514288678967</v>
      </c>
      <c r="N30" s="140">
        <v>3891.6359481993304</v>
      </c>
      <c r="O30" s="140">
        <v>3971.46730628561</v>
      </c>
      <c r="P30" s="140">
        <v>3964.803749288395</v>
      </c>
      <c r="Q30" s="140">
        <v>3934.0588723372666</v>
      </c>
      <c r="R30" s="140">
        <v>4026.5994370256381</v>
      </c>
      <c r="S30" s="140">
        <v>4335.1692597563815</v>
      </c>
      <c r="T30" s="140">
        <v>4877.3166792051179</v>
      </c>
      <c r="U30" s="140">
        <v>5192.0685782163418</v>
      </c>
      <c r="V30" s="140">
        <v>5444.5807389288339</v>
      </c>
      <c r="W30" s="140">
        <v>5872.1815246230444</v>
      </c>
      <c r="X30" s="140">
        <v>6500.4906506448215</v>
      </c>
      <c r="Y30" s="140">
        <v>7101.1383633258292</v>
      </c>
      <c r="DA30" s="170" t="s">
        <v>270</v>
      </c>
    </row>
    <row r="31" spans="1:105" ht="12" customHeight="1" x14ac:dyDescent="0.25">
      <c r="A31" s="131" t="s">
        <v>149</v>
      </c>
      <c r="B31" s="140">
        <v>1682.8075873818407</v>
      </c>
      <c r="C31" s="140">
        <v>1906.1433109938466</v>
      </c>
      <c r="D31" s="140">
        <v>2566.2400745828836</v>
      </c>
      <c r="E31" s="140">
        <v>3383.1478733755316</v>
      </c>
      <c r="F31" s="140">
        <v>4459.3613128965335</v>
      </c>
      <c r="G31" s="140">
        <v>5705.7408986187093</v>
      </c>
      <c r="H31" s="140">
        <v>7177.4977438107544</v>
      </c>
      <c r="I31" s="140">
        <v>8345.2713939514397</v>
      </c>
      <c r="J31" s="140">
        <v>9004.2913195891233</v>
      </c>
      <c r="K31" s="140">
        <v>9212.2803534518571</v>
      </c>
      <c r="L31" s="140">
        <v>9223.8271113115643</v>
      </c>
      <c r="M31" s="140">
        <v>9282.3903720490453</v>
      </c>
      <c r="N31" s="140">
        <v>9352.2927332469026</v>
      </c>
      <c r="O31" s="140">
        <v>9520.1191298105878</v>
      </c>
      <c r="P31" s="140">
        <v>9645.9460066301799</v>
      </c>
      <c r="Q31" s="140">
        <v>9620.389711153608</v>
      </c>
      <c r="R31" s="140">
        <v>9384.9843958029596</v>
      </c>
      <c r="S31" s="140">
        <v>9012.1626867547275</v>
      </c>
      <c r="T31" s="140">
        <v>8621.2263009856542</v>
      </c>
      <c r="U31" s="140">
        <v>8325.6509337585012</v>
      </c>
      <c r="V31" s="140">
        <v>8201.6909637946173</v>
      </c>
      <c r="W31" s="140">
        <v>8069.077691115599</v>
      </c>
      <c r="X31" s="140">
        <v>7792.855106642889</v>
      </c>
      <c r="Y31" s="140">
        <v>7592.9815666771729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1902.825348061263</v>
      </c>
      <c r="K32" s="140">
        <v>2357.1403028740619</v>
      </c>
      <c r="L32" s="140">
        <v>2451.4380605254178</v>
      </c>
      <c r="M32" s="140">
        <v>2227.0749676850305</v>
      </c>
      <c r="N32" s="140">
        <v>1978.984515082205</v>
      </c>
      <c r="O32" s="140">
        <v>1811.0621994264293</v>
      </c>
      <c r="P32" s="140">
        <v>1728.5895393618957</v>
      </c>
      <c r="Q32" s="140">
        <v>1948.1013708039377</v>
      </c>
      <c r="R32" s="140">
        <v>2702.9303202886567</v>
      </c>
      <c r="S32" s="140">
        <v>4279.1068606217395</v>
      </c>
      <c r="T32" s="140">
        <v>6143.0398349924662</v>
      </c>
      <c r="U32" s="140">
        <v>7549.7576558279461</v>
      </c>
      <c r="V32" s="140">
        <v>8430.2848418191279</v>
      </c>
      <c r="W32" s="140">
        <v>9157.4470312967806</v>
      </c>
      <c r="X32" s="140">
        <v>9616.4850468001168</v>
      </c>
      <c r="Y32" s="140">
        <v>9799.2193461171901</v>
      </c>
      <c r="DA32" s="170" t="s">
        <v>272</v>
      </c>
    </row>
    <row r="33" spans="1:105" ht="12" customHeight="1" x14ac:dyDescent="0.25">
      <c r="A33" s="62" t="s">
        <v>24</v>
      </c>
      <c r="B33" s="152">
        <v>55915.236645064375</v>
      </c>
      <c r="C33" s="152">
        <v>57776.917956003927</v>
      </c>
      <c r="D33" s="152">
        <v>59983.46590672047</v>
      </c>
      <c r="E33" s="152">
        <v>62402.397134154431</v>
      </c>
      <c r="F33" s="152">
        <v>64685.247770717069</v>
      </c>
      <c r="G33" s="152">
        <v>67281.386332547496</v>
      </c>
      <c r="H33" s="152">
        <v>69046.922415045628</v>
      </c>
      <c r="I33" s="152">
        <v>71523.972294898616</v>
      </c>
      <c r="J33" s="152">
        <v>71738.01955711389</v>
      </c>
      <c r="K33" s="152">
        <v>72017.876392097998</v>
      </c>
      <c r="L33" s="152">
        <v>70640.134065268561</v>
      </c>
      <c r="M33" s="152">
        <v>72510.429142181776</v>
      </c>
      <c r="N33" s="152">
        <v>73398.975308633439</v>
      </c>
      <c r="O33" s="152">
        <v>74683.12748907764</v>
      </c>
      <c r="P33" s="152">
        <v>76208.939599054109</v>
      </c>
      <c r="Q33" s="152">
        <v>78024.65086979662</v>
      </c>
      <c r="R33" s="152">
        <v>78730.380830730064</v>
      </c>
      <c r="S33" s="152">
        <v>78546.801780220776</v>
      </c>
      <c r="T33" s="152">
        <v>77835.317068908334</v>
      </c>
      <c r="U33" s="152">
        <v>77658.395296051211</v>
      </c>
      <c r="V33" s="152">
        <v>77784.461233235153</v>
      </c>
      <c r="W33" s="152">
        <v>77798.416693585445</v>
      </c>
      <c r="X33" s="152">
        <v>77901.136349129796</v>
      </c>
      <c r="Y33" s="152">
        <v>78110.008691135416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437.97470793623563</v>
      </c>
      <c r="C3" s="125">
        <f t="shared" si="0"/>
        <v>543.38755901892455</v>
      </c>
      <c r="D3" s="125">
        <f t="shared" si="0"/>
        <v>507.46259684154404</v>
      </c>
      <c r="E3" s="125">
        <f t="shared" si="0"/>
        <v>510.88324012222768</v>
      </c>
      <c r="F3" s="125">
        <f t="shared" si="0"/>
        <v>440.07574186153181</v>
      </c>
      <c r="G3" s="125">
        <f t="shared" si="0"/>
        <v>545.87327848267512</v>
      </c>
      <c r="H3" s="125">
        <f t="shared" si="0"/>
        <v>644.17877870649022</v>
      </c>
      <c r="I3" s="125">
        <f t="shared" si="0"/>
        <v>580.35474649599917</v>
      </c>
      <c r="J3" s="125">
        <f t="shared" si="0"/>
        <v>626.92136124107958</v>
      </c>
      <c r="K3" s="125">
        <f t="shared" si="0"/>
        <v>603.22617887941578</v>
      </c>
      <c r="L3" s="125">
        <f t="shared" si="0"/>
        <v>646.76815659571571</v>
      </c>
      <c r="M3" s="125">
        <f t="shared" si="0"/>
        <v>697.76084847873858</v>
      </c>
      <c r="N3" s="125">
        <f t="shared" si="0"/>
        <v>663.71838066937823</v>
      </c>
      <c r="O3" s="125">
        <f t="shared" si="0"/>
        <v>595.95365228483183</v>
      </c>
      <c r="P3" s="125">
        <f t="shared" si="0"/>
        <v>550.9443263568794</v>
      </c>
      <c r="Q3" s="125">
        <f t="shared" si="0"/>
        <v>610.92213367946488</v>
      </c>
      <c r="R3" s="125">
        <f t="shared" ref="R3:W3" si="1">SUM(R4,R16,R19,R29)</f>
        <v>678.2687754360486</v>
      </c>
      <c r="S3" s="125">
        <f t="shared" si="1"/>
        <v>682.15342573703822</v>
      </c>
      <c r="T3" s="125">
        <f t="shared" si="1"/>
        <v>741.94212824045485</v>
      </c>
      <c r="U3" s="125">
        <f t="shared" si="1"/>
        <v>776.11252428343596</v>
      </c>
      <c r="V3" s="125">
        <f t="shared" si="1"/>
        <v>618.20669007978222</v>
      </c>
      <c r="W3" s="125">
        <f t="shared" si="1"/>
        <v>802.06205381859604</v>
      </c>
      <c r="X3" s="125">
        <f t="shared" ref="X3:Y3" si="2">SUM(X4,X16,X19,X29)</f>
        <v>828.47010486250133</v>
      </c>
      <c r="Y3" s="125">
        <f t="shared" si="2"/>
        <v>761.04133086022125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261.36645489655973</v>
      </c>
      <c r="C4" s="130">
        <f t="shared" si="3"/>
        <v>359.6053722520615</v>
      </c>
      <c r="D4" s="130">
        <f t="shared" si="3"/>
        <v>322.60270158055573</v>
      </c>
      <c r="E4" s="130">
        <f t="shared" si="3"/>
        <v>318.1560239539445</v>
      </c>
      <c r="F4" s="130">
        <f t="shared" si="3"/>
        <v>242.04935160198013</v>
      </c>
      <c r="G4" s="130">
        <f t="shared" si="3"/>
        <v>342.0814928763545</v>
      </c>
      <c r="H4" s="130">
        <f t="shared" si="3"/>
        <v>427.85543559568708</v>
      </c>
      <c r="I4" s="130">
        <f t="shared" si="3"/>
        <v>340.82394014028733</v>
      </c>
      <c r="J4" s="130">
        <f t="shared" si="3"/>
        <v>387.35781034860463</v>
      </c>
      <c r="K4" s="130">
        <f t="shared" si="3"/>
        <v>357.3324347386058</v>
      </c>
      <c r="L4" s="130">
        <f t="shared" si="3"/>
        <v>382.96553753685657</v>
      </c>
      <c r="M4" s="130">
        <f t="shared" si="3"/>
        <v>432.18413596905009</v>
      </c>
      <c r="N4" s="130">
        <f t="shared" si="3"/>
        <v>369.86469692665975</v>
      </c>
      <c r="O4" s="130">
        <f t="shared" si="3"/>
        <v>321.38821726597382</v>
      </c>
      <c r="P4" s="130">
        <f t="shared" si="3"/>
        <v>279.91503442129346</v>
      </c>
      <c r="Q4" s="130">
        <f t="shared" si="3"/>
        <v>325.66737137658635</v>
      </c>
      <c r="R4" s="130">
        <f t="shared" ref="R4:W4" si="4">SUM(R5:R15)</f>
        <v>391.0460316556144</v>
      </c>
      <c r="S4" s="130">
        <f t="shared" si="4"/>
        <v>385.07350760097734</v>
      </c>
      <c r="T4" s="130">
        <f t="shared" si="4"/>
        <v>442.23615643548118</v>
      </c>
      <c r="U4" s="130">
        <f t="shared" si="4"/>
        <v>469.9649290575814</v>
      </c>
      <c r="V4" s="130">
        <f t="shared" si="4"/>
        <v>354.58816627980383</v>
      </c>
      <c r="W4" s="130">
        <f t="shared" si="4"/>
        <v>505.70102492569271</v>
      </c>
      <c r="X4" s="130">
        <f t="shared" ref="X4:Y4" si="5">SUM(X5:X15)</f>
        <v>522.04191622206577</v>
      </c>
      <c r="Y4" s="130">
        <f t="shared" si="5"/>
        <v>451.68411323820624</v>
      </c>
      <c r="DA4" s="155" t="s">
        <v>214</v>
      </c>
    </row>
    <row r="5" spans="1:105" ht="12" customHeight="1" x14ac:dyDescent="0.25">
      <c r="A5" s="131" t="s">
        <v>29</v>
      </c>
      <c r="B5" s="132">
        <v>2.8149613069647463</v>
      </c>
      <c r="C5" s="132">
        <v>3.1125537403267414</v>
      </c>
      <c r="D5" s="132">
        <v>5.0740326741186585</v>
      </c>
      <c r="E5" s="132">
        <v>6.4040412725709359</v>
      </c>
      <c r="F5" s="132">
        <v>4.5505588993981085</v>
      </c>
      <c r="G5" s="132">
        <v>6.0177128116938938</v>
      </c>
      <c r="H5" s="132">
        <v>6.1772141014617361</v>
      </c>
      <c r="I5" s="132">
        <v>2.91298366294067</v>
      </c>
      <c r="J5" s="132">
        <v>5.5129836629406732</v>
      </c>
      <c r="K5" s="132">
        <v>4.5808254514187459</v>
      </c>
      <c r="L5" s="132">
        <v>4.2755803955288059</v>
      </c>
      <c r="M5" s="132">
        <v>4.7995700773860737</v>
      </c>
      <c r="N5" s="132">
        <v>3.6009458297506427</v>
      </c>
      <c r="O5" s="132">
        <v>4.7784178847807386</v>
      </c>
      <c r="P5" s="132">
        <v>2.1204643164230448</v>
      </c>
      <c r="Q5" s="132">
        <v>5.5542562338779033</v>
      </c>
      <c r="R5" s="132">
        <v>5.9650902837489301</v>
      </c>
      <c r="S5" s="132">
        <v>3.9016337059329365</v>
      </c>
      <c r="T5" s="132">
        <v>2.5331040412725714</v>
      </c>
      <c r="U5" s="132">
        <v>3.833276010318142</v>
      </c>
      <c r="V5" s="132">
        <v>3.2777300085984504</v>
      </c>
      <c r="W5" s="132">
        <v>2.5315563198624282</v>
      </c>
      <c r="X5" s="132">
        <v>1.536629406706792</v>
      </c>
      <c r="Y5" s="132">
        <v>1.914445399828032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81.837930962239142</v>
      </c>
      <c r="C7" s="132">
        <v>156.38774088328225</v>
      </c>
      <c r="D7" s="132">
        <v>95.138403718048195</v>
      </c>
      <c r="E7" s="132">
        <v>52.163476773471046</v>
      </c>
      <c r="F7" s="132">
        <v>26.978884405413389</v>
      </c>
      <c r="G7" s="132">
        <v>26.631813690522748</v>
      </c>
      <c r="H7" s="132">
        <v>57.39935985533166</v>
      </c>
      <c r="I7" s="132">
        <v>40.356455352891452</v>
      </c>
      <c r="J7" s="132">
        <v>53.428449875165057</v>
      </c>
      <c r="K7" s="132">
        <v>58.058106610668808</v>
      </c>
      <c r="L7" s="132">
        <v>33.356076549165067</v>
      </c>
      <c r="M7" s="132">
        <v>22.307000088105951</v>
      </c>
      <c r="N7" s="132">
        <v>17.805858179674988</v>
      </c>
      <c r="O7" s="132">
        <v>10.809044821986403</v>
      </c>
      <c r="P7" s="132">
        <v>7.7782625092149393</v>
      </c>
      <c r="Q7" s="132">
        <v>29.824232072338514</v>
      </c>
      <c r="R7" s="132">
        <v>29.351851535999529</v>
      </c>
      <c r="S7" s="132">
        <v>24.58030223540289</v>
      </c>
      <c r="T7" s="132">
        <v>14.685761640206261</v>
      </c>
      <c r="U7" s="132">
        <v>18.431672945744214</v>
      </c>
      <c r="V7" s="132">
        <v>16.402440462163113</v>
      </c>
      <c r="W7" s="132">
        <v>16.858509855606457</v>
      </c>
      <c r="X7" s="132">
        <v>20.780667976114557</v>
      </c>
      <c r="Y7" s="132">
        <v>31.22563210723094</v>
      </c>
      <c r="DA7" s="156" t="s">
        <v>277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278</v>
      </c>
    </row>
    <row r="9" spans="1:105" ht="12" customHeight="1" x14ac:dyDescent="0.25">
      <c r="A9" s="131" t="s">
        <v>78</v>
      </c>
      <c r="B9" s="132">
        <v>6.438247884152835</v>
      </c>
      <c r="C9" s="132">
        <v>10.389207586045424</v>
      </c>
      <c r="D9" s="132">
        <v>11.121634033019996</v>
      </c>
      <c r="E9" s="132">
        <v>15.736745835870398</v>
      </c>
      <c r="F9" s="132">
        <v>15.271767882339761</v>
      </c>
      <c r="G9" s="132">
        <v>24.233118342735111</v>
      </c>
      <c r="H9" s="132">
        <v>38.7836604967314</v>
      </c>
      <c r="I9" s="132">
        <v>38.994245756104213</v>
      </c>
      <c r="J9" s="132">
        <v>47.404995452085359</v>
      </c>
      <c r="K9" s="132">
        <v>30.792139788272003</v>
      </c>
      <c r="L9" s="132">
        <v>44.119155399286186</v>
      </c>
      <c r="M9" s="132">
        <v>46.130430086845863</v>
      </c>
      <c r="N9" s="132">
        <v>43.420917747366993</v>
      </c>
      <c r="O9" s="132">
        <v>39.482608218045478</v>
      </c>
      <c r="P9" s="132">
        <v>44.550722903061825</v>
      </c>
      <c r="Q9" s="132">
        <v>53.324254341285851</v>
      </c>
      <c r="R9" s="132">
        <v>57.860625530952952</v>
      </c>
      <c r="S9" s="132">
        <v>58.453784519741717</v>
      </c>
      <c r="T9" s="132">
        <v>62.913077241993449</v>
      </c>
      <c r="U9" s="132">
        <v>54.376186820697505</v>
      </c>
      <c r="V9" s="132">
        <v>57.01578934843679</v>
      </c>
      <c r="W9" s="132">
        <v>74.333035500599379</v>
      </c>
      <c r="X9" s="132">
        <v>70.964205246140352</v>
      </c>
      <c r="Y9" s="132">
        <v>58.249432715396125</v>
      </c>
      <c r="DA9" s="156" t="s">
        <v>279</v>
      </c>
    </row>
    <row r="10" spans="1:105" ht="12" customHeight="1" x14ac:dyDescent="0.25">
      <c r="A10" s="131" t="s">
        <v>128</v>
      </c>
      <c r="B10" s="132">
        <v>9.6971625107480648</v>
      </c>
      <c r="C10" s="132">
        <v>8.7895098882201186</v>
      </c>
      <c r="D10" s="132">
        <v>7.9774720550300948</v>
      </c>
      <c r="E10" s="132">
        <v>12.945485812553738</v>
      </c>
      <c r="F10" s="132">
        <v>8.9567497850386886</v>
      </c>
      <c r="G10" s="132">
        <v>13.542562338779021</v>
      </c>
      <c r="H10" s="132">
        <v>18.200085984522794</v>
      </c>
      <c r="I10" s="132">
        <v>14.92785898538262</v>
      </c>
      <c r="J10" s="132">
        <v>16.217626827171117</v>
      </c>
      <c r="K10" s="132">
        <v>10.074544282029226</v>
      </c>
      <c r="L10" s="132">
        <v>5.7370937231298198</v>
      </c>
      <c r="M10" s="132">
        <v>6.3532244196044836</v>
      </c>
      <c r="N10" s="132">
        <v>45.629122957867622</v>
      </c>
      <c r="O10" s="132">
        <v>24.090008598452304</v>
      </c>
      <c r="P10" s="132">
        <v>2.6751074806534785</v>
      </c>
      <c r="Q10" s="132">
        <v>11.154127257093695</v>
      </c>
      <c r="R10" s="132">
        <v>5.2546001719690381</v>
      </c>
      <c r="S10" s="132">
        <v>51.067817038834932</v>
      </c>
      <c r="T10" s="132">
        <v>84.482510429898781</v>
      </c>
      <c r="U10" s="132">
        <v>96.634512014704669</v>
      </c>
      <c r="V10" s="132">
        <v>70.934574625448178</v>
      </c>
      <c r="W10" s="132">
        <v>102.16130748322932</v>
      </c>
      <c r="X10" s="132">
        <v>127.35074568918476</v>
      </c>
      <c r="Y10" s="132">
        <v>78.966043814198642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32.674118658641447</v>
      </c>
      <c r="H11" s="132">
        <v>32.67411865864144</v>
      </c>
      <c r="I11" s="132">
        <v>32.674118658641447</v>
      </c>
      <c r="J11" s="132">
        <v>32.67411865864144</v>
      </c>
      <c r="K11" s="132">
        <v>32.674118658641454</v>
      </c>
      <c r="L11" s="132">
        <v>32.674118658641433</v>
      </c>
      <c r="M11" s="132">
        <v>32.960705073086849</v>
      </c>
      <c r="N11" s="132">
        <v>33.438435081685299</v>
      </c>
      <c r="O11" s="132">
        <v>33.438435081685306</v>
      </c>
      <c r="P11" s="132">
        <v>33.438435081685292</v>
      </c>
      <c r="Q11" s="132">
        <v>33.438435081685277</v>
      </c>
      <c r="R11" s="132">
        <v>34.632674118658642</v>
      </c>
      <c r="S11" s="132">
        <v>34.632674118658663</v>
      </c>
      <c r="T11" s="132">
        <v>34.632674118658606</v>
      </c>
      <c r="U11" s="132">
        <v>35.110318142734329</v>
      </c>
      <c r="V11" s="132">
        <v>35.707480653482364</v>
      </c>
      <c r="W11" s="132">
        <v>36.104213241616506</v>
      </c>
      <c r="X11" s="132">
        <v>36.593121238177154</v>
      </c>
      <c r="Y11" s="132">
        <v>37.114359415305245</v>
      </c>
      <c r="DA11" s="156" t="s">
        <v>281</v>
      </c>
    </row>
    <row r="12" spans="1:105" ht="12" customHeight="1" x14ac:dyDescent="0.25">
      <c r="A12" s="131" t="s">
        <v>162</v>
      </c>
      <c r="B12" s="132">
        <v>74.329314559252126</v>
      </c>
      <c r="C12" s="132">
        <v>103.02121629149792</v>
      </c>
      <c r="D12" s="132">
        <v>95.603514260338812</v>
      </c>
      <c r="E12" s="132">
        <v>110.11729134410224</v>
      </c>
      <c r="F12" s="132">
        <v>96.585248706436118</v>
      </c>
      <c r="G12" s="132">
        <v>138.54666646953621</v>
      </c>
      <c r="H12" s="132">
        <v>134.54635108158422</v>
      </c>
      <c r="I12" s="132">
        <v>96.742157420027539</v>
      </c>
      <c r="J12" s="132">
        <v>83.380429024983684</v>
      </c>
      <c r="K12" s="132">
        <v>88.254864931669687</v>
      </c>
      <c r="L12" s="132">
        <v>87.584955016393067</v>
      </c>
      <c r="M12" s="132">
        <v>121.10058792593894</v>
      </c>
      <c r="N12" s="132">
        <v>82.355643508493444</v>
      </c>
      <c r="O12" s="132">
        <v>75.357643627139183</v>
      </c>
      <c r="P12" s="132">
        <v>74.112497899148224</v>
      </c>
      <c r="Q12" s="132">
        <v>84.054511570502399</v>
      </c>
      <c r="R12" s="132">
        <v>117.51743057386444</v>
      </c>
      <c r="S12" s="132">
        <v>81.479815068731583</v>
      </c>
      <c r="T12" s="132">
        <v>102.72366887856549</v>
      </c>
      <c r="U12" s="132">
        <v>89.636314676362659</v>
      </c>
      <c r="V12" s="132">
        <v>69.705468467907167</v>
      </c>
      <c r="W12" s="132">
        <v>93.300283481434633</v>
      </c>
      <c r="X12" s="132">
        <v>87.550576480627697</v>
      </c>
      <c r="Y12" s="132">
        <v>88.42559221736245</v>
      </c>
      <c r="DA12" s="156" t="s">
        <v>282</v>
      </c>
    </row>
    <row r="13" spans="1:105" ht="12" customHeight="1" x14ac:dyDescent="0.25">
      <c r="A13" s="131" t="s">
        <v>77</v>
      </c>
      <c r="B13" s="132">
        <v>4.5997529601911689</v>
      </c>
      <c r="C13" s="132">
        <v>4.9239436455568288</v>
      </c>
      <c r="D13" s="132">
        <v>11.326473273217115</v>
      </c>
      <c r="E13" s="132">
        <v>18.194904085873613</v>
      </c>
      <c r="F13" s="132">
        <v>21.647972594166021</v>
      </c>
      <c r="G13" s="132">
        <v>26.969046422296554</v>
      </c>
      <c r="H13" s="132">
        <v>34.428174055719026</v>
      </c>
      <c r="I13" s="132">
        <v>35.311383212140342</v>
      </c>
      <c r="J13" s="132">
        <v>36.88862950784327</v>
      </c>
      <c r="K13" s="132">
        <v>41.481997814597889</v>
      </c>
      <c r="L13" s="132">
        <v>46.452857711730694</v>
      </c>
      <c r="M13" s="132">
        <v>48.291694149058877</v>
      </c>
      <c r="N13" s="132">
        <v>48.717288868607326</v>
      </c>
      <c r="O13" s="132">
        <v>60.325053319229774</v>
      </c>
      <c r="P13" s="132">
        <v>56.679985120938269</v>
      </c>
      <c r="Q13" s="132">
        <v>61.752236321712317</v>
      </c>
      <c r="R13" s="132">
        <v>63.384732194011725</v>
      </c>
      <c r="S13" s="132">
        <v>63.832217848780658</v>
      </c>
      <c r="T13" s="132">
        <v>62.55042081519116</v>
      </c>
      <c r="U13" s="132">
        <v>66.566362864035767</v>
      </c>
      <c r="V13" s="132">
        <v>66.784416349398299</v>
      </c>
      <c r="W13" s="132">
        <v>74.718467960067301</v>
      </c>
      <c r="X13" s="132">
        <v>83.647370947566188</v>
      </c>
      <c r="Y13" s="132">
        <v>87.325139714070801</v>
      </c>
      <c r="DA13" s="156" t="s">
        <v>283</v>
      </c>
    </row>
    <row r="14" spans="1:105" ht="12" customHeight="1" x14ac:dyDescent="0.25">
      <c r="A14" s="60" t="s">
        <v>76</v>
      </c>
      <c r="B14" s="65">
        <v>80.639736569838576</v>
      </c>
      <c r="C14" s="65">
        <v>71.26025066377548</v>
      </c>
      <c r="D14" s="65">
        <v>95.153362857521813</v>
      </c>
      <c r="E14" s="65">
        <v>101.61468890667349</v>
      </c>
      <c r="F14" s="65">
        <v>67.349486761834441</v>
      </c>
      <c r="G14" s="65">
        <v>72.408707983776736</v>
      </c>
      <c r="H14" s="65">
        <v>104.22590779607927</v>
      </c>
      <c r="I14" s="65">
        <v>77.759990496392703</v>
      </c>
      <c r="J14" s="65">
        <v>110.56283987234666</v>
      </c>
      <c r="K14" s="65">
        <v>90.275976228814088</v>
      </c>
      <c r="L14" s="65">
        <v>127.70888567431804</v>
      </c>
      <c r="M14" s="65">
        <v>149.14400496246341</v>
      </c>
      <c r="N14" s="65">
        <v>93.817964747697943</v>
      </c>
      <c r="O14" s="65">
        <v>72.203049075122436</v>
      </c>
      <c r="P14" s="65">
        <v>57.73099420657838</v>
      </c>
      <c r="Q14" s="65">
        <v>45.373936088590895</v>
      </c>
      <c r="R14" s="65">
        <v>75.76484839180084</v>
      </c>
      <c r="S14" s="65">
        <v>65.777933388316441</v>
      </c>
      <c r="T14" s="65">
        <v>76.226041966894471</v>
      </c>
      <c r="U14" s="65">
        <v>103.91255911167086</v>
      </c>
      <c r="V14" s="65">
        <v>33.435719573752401</v>
      </c>
      <c r="W14" s="65">
        <v>103.99351759149924</v>
      </c>
      <c r="X14" s="65">
        <v>91.854043226448482</v>
      </c>
      <c r="Y14" s="65">
        <v>66.889916769514087</v>
      </c>
      <c r="DA14" s="109" t="s">
        <v>284</v>
      </c>
    </row>
    <row r="15" spans="1:105" ht="12" customHeight="1" x14ac:dyDescent="0.25">
      <c r="A15" s="133" t="s">
        <v>80</v>
      </c>
      <c r="B15" s="134">
        <v>1.0093481431731048</v>
      </c>
      <c r="C15" s="134">
        <v>1.7209495533567227</v>
      </c>
      <c r="D15" s="134">
        <v>1.207808709261033</v>
      </c>
      <c r="E15" s="134">
        <v>0.97938992282905413</v>
      </c>
      <c r="F15" s="134">
        <v>0.70868256735360302</v>
      </c>
      <c r="G15" s="134">
        <v>1.0577461583728343</v>
      </c>
      <c r="H15" s="134">
        <v>1.4205635656155149</v>
      </c>
      <c r="I15" s="134">
        <v>1.144746595766331</v>
      </c>
      <c r="J15" s="134">
        <v>1.2877374674273454</v>
      </c>
      <c r="K15" s="134">
        <v>1.139860972493894</v>
      </c>
      <c r="L15" s="134">
        <v>1.0568144086634574</v>
      </c>
      <c r="M15" s="134">
        <v>1.0969191865596977</v>
      </c>
      <c r="N15" s="134">
        <v>1.0785200055154771</v>
      </c>
      <c r="O15" s="134">
        <v>0.90395663953224836</v>
      </c>
      <c r="P15" s="134">
        <v>0.82856490359001811</v>
      </c>
      <c r="Q15" s="134">
        <v>1.1913824094994996</v>
      </c>
      <c r="R15" s="134">
        <v>1.3141788546082664</v>
      </c>
      <c r="S15" s="134">
        <v>1.3473296765774601</v>
      </c>
      <c r="T15" s="134">
        <v>1.4888973028004346</v>
      </c>
      <c r="U15" s="134">
        <v>1.4637264713132994</v>
      </c>
      <c r="V15" s="134">
        <v>1.3245467906170389</v>
      </c>
      <c r="W15" s="134">
        <v>1.7001334917774049</v>
      </c>
      <c r="X15" s="134">
        <v>1.7645560110998357</v>
      </c>
      <c r="Y15" s="134">
        <v>1.5735510852998562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12.338525268310052</v>
      </c>
      <c r="C16" s="130">
        <f t="shared" si="6"/>
        <v>12.244667148740811</v>
      </c>
      <c r="D16" s="130">
        <f t="shared" si="6"/>
        <v>9.6115750947370984</v>
      </c>
      <c r="E16" s="130">
        <f t="shared" si="6"/>
        <v>11.71795410548534</v>
      </c>
      <c r="F16" s="130">
        <f t="shared" si="6"/>
        <v>10.433966238710498</v>
      </c>
      <c r="G16" s="130">
        <f t="shared" si="6"/>
        <v>11.374058172167688</v>
      </c>
      <c r="H16" s="130">
        <f t="shared" si="6"/>
        <v>14.25309463500923</v>
      </c>
      <c r="I16" s="130">
        <f t="shared" si="6"/>
        <v>28.620564596188931</v>
      </c>
      <c r="J16" s="130">
        <f t="shared" si="6"/>
        <v>19.204281060960788</v>
      </c>
      <c r="K16" s="130">
        <f t="shared" si="6"/>
        <v>17.448688956313593</v>
      </c>
      <c r="L16" s="130">
        <f t="shared" si="6"/>
        <v>22.354146670320915</v>
      </c>
      <c r="M16" s="130">
        <f t="shared" si="6"/>
        <v>19.067864685758423</v>
      </c>
      <c r="N16" s="130">
        <f t="shared" si="6"/>
        <v>40.168330868246173</v>
      </c>
      <c r="O16" s="130">
        <f t="shared" si="6"/>
        <v>19.492763824413199</v>
      </c>
      <c r="P16" s="130">
        <f t="shared" si="6"/>
        <v>17.913316496692719</v>
      </c>
      <c r="Q16" s="130">
        <f t="shared" si="6"/>
        <v>25.676505527384819</v>
      </c>
      <c r="R16" s="130">
        <f t="shared" ref="R16:W16" si="7">SUM(R17:R18)</f>
        <v>23.580720569743853</v>
      </c>
      <c r="S16" s="130">
        <f t="shared" si="7"/>
        <v>24.426759507271054</v>
      </c>
      <c r="T16" s="130">
        <f t="shared" si="7"/>
        <v>18.075147498122629</v>
      </c>
      <c r="U16" s="130">
        <f t="shared" si="7"/>
        <v>19.807950948207143</v>
      </c>
      <c r="V16" s="130">
        <f t="shared" si="7"/>
        <v>19.058603382891228</v>
      </c>
      <c r="W16" s="130">
        <f t="shared" si="7"/>
        <v>26.288656853832975</v>
      </c>
      <c r="X16" s="130">
        <f t="shared" ref="X16:Y16" si="8">SUM(X17:X18)</f>
        <v>24.180038287236187</v>
      </c>
      <c r="Y16" s="130">
        <f t="shared" si="8"/>
        <v>29.813054281267579</v>
      </c>
      <c r="DA16" s="155" t="s">
        <v>215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286</v>
      </c>
    </row>
    <row r="18" spans="1:105" ht="12" customHeight="1" x14ac:dyDescent="0.25">
      <c r="A18" s="131" t="s">
        <v>72</v>
      </c>
      <c r="B18" s="132">
        <v>12.338525268310052</v>
      </c>
      <c r="C18" s="132">
        <v>12.244667148740811</v>
      </c>
      <c r="D18" s="132">
        <v>9.6115750947370984</v>
      </c>
      <c r="E18" s="132">
        <v>11.71795410548534</v>
      </c>
      <c r="F18" s="132">
        <v>10.433966238710498</v>
      </c>
      <c r="G18" s="132">
        <v>11.374058172167688</v>
      </c>
      <c r="H18" s="132">
        <v>14.25309463500923</v>
      </c>
      <c r="I18" s="132">
        <v>28.620564596188931</v>
      </c>
      <c r="J18" s="132">
        <v>19.204281060960788</v>
      </c>
      <c r="K18" s="132">
        <v>17.448688956313593</v>
      </c>
      <c r="L18" s="132">
        <v>22.354146670320915</v>
      </c>
      <c r="M18" s="132">
        <v>19.067864685758423</v>
      </c>
      <c r="N18" s="132">
        <v>40.168330868246173</v>
      </c>
      <c r="O18" s="132">
        <v>19.492763824413199</v>
      </c>
      <c r="P18" s="132">
        <v>17.913316496692719</v>
      </c>
      <c r="Q18" s="132">
        <v>25.676505527384819</v>
      </c>
      <c r="R18" s="132">
        <v>23.580720569743853</v>
      </c>
      <c r="S18" s="132">
        <v>24.426759507271054</v>
      </c>
      <c r="T18" s="132">
        <v>18.075147498122629</v>
      </c>
      <c r="U18" s="132">
        <v>19.807950948207143</v>
      </c>
      <c r="V18" s="132">
        <v>19.058603382891228</v>
      </c>
      <c r="W18" s="132">
        <v>26.288656853832975</v>
      </c>
      <c r="X18" s="132">
        <v>24.180038287236187</v>
      </c>
      <c r="Y18" s="132">
        <v>29.813054281267579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82.316627970048131</v>
      </c>
      <c r="C19" s="130">
        <f t="shared" si="9"/>
        <v>84.481209300285144</v>
      </c>
      <c r="D19" s="130">
        <f t="shared" si="9"/>
        <v>87.164267665285436</v>
      </c>
      <c r="E19" s="130">
        <f t="shared" si="9"/>
        <v>89.529458877667906</v>
      </c>
      <c r="F19" s="130">
        <f t="shared" si="9"/>
        <v>90.868658882438083</v>
      </c>
      <c r="G19" s="130">
        <f t="shared" si="9"/>
        <v>94.855382902490504</v>
      </c>
      <c r="H19" s="130">
        <f t="shared" si="9"/>
        <v>100.51108762957324</v>
      </c>
      <c r="I19" s="130">
        <f t="shared" si="9"/>
        <v>105.65994432841993</v>
      </c>
      <c r="J19" s="130">
        <f t="shared" si="9"/>
        <v>109.21119171949999</v>
      </c>
      <c r="K19" s="130">
        <f t="shared" si="9"/>
        <v>113.90830104693228</v>
      </c>
      <c r="L19" s="130">
        <f t="shared" si="9"/>
        <v>119.62209421110256</v>
      </c>
      <c r="M19" s="130">
        <f t="shared" si="9"/>
        <v>122.25039613646737</v>
      </c>
      <c r="N19" s="130">
        <f t="shared" si="9"/>
        <v>122.1897155406043</v>
      </c>
      <c r="O19" s="130">
        <f t="shared" si="9"/>
        <v>123.43091780786311</v>
      </c>
      <c r="P19" s="130">
        <f t="shared" si="9"/>
        <v>122.91458345122639</v>
      </c>
      <c r="Q19" s="130">
        <f t="shared" si="9"/>
        <v>126.60218518331021</v>
      </c>
      <c r="R19" s="130">
        <f t="shared" ref="R19:W19" si="10">SUM(R20:R27)</f>
        <v>128.09329508834577</v>
      </c>
      <c r="S19" s="130">
        <f t="shared" si="10"/>
        <v>130.31245794758914</v>
      </c>
      <c r="T19" s="130">
        <f t="shared" si="10"/>
        <v>131.40257899140042</v>
      </c>
      <c r="U19" s="130">
        <f t="shared" si="10"/>
        <v>133.31680308529423</v>
      </c>
      <c r="V19" s="130">
        <f t="shared" si="10"/>
        <v>116.10447341432076</v>
      </c>
      <c r="W19" s="130">
        <f t="shared" si="10"/>
        <v>125.42641904108592</v>
      </c>
      <c r="X19" s="130">
        <f t="shared" ref="X19:Y19" si="11">SUM(X20:X27)</f>
        <v>129.06815333048954</v>
      </c>
      <c r="Y19" s="130">
        <f t="shared" si="11"/>
        <v>131.42189726370219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289</v>
      </c>
    </row>
    <row r="22" spans="1:105" ht="12" customHeight="1" x14ac:dyDescent="0.25">
      <c r="A22" s="131" t="s">
        <v>161</v>
      </c>
      <c r="B22" s="132">
        <v>11.469549691243227</v>
      </c>
      <c r="C22" s="132">
        <v>12.2661714125045</v>
      </c>
      <c r="D22" s="132">
        <v>11.76899095091138</v>
      </c>
      <c r="E22" s="132">
        <v>10.643401988351799</v>
      </c>
      <c r="F22" s="132">
        <v>8.1601525679314051</v>
      </c>
      <c r="G22" s="132">
        <v>7.4801381581444888</v>
      </c>
      <c r="H22" s="132">
        <v>7.2922996459580878</v>
      </c>
      <c r="I22" s="132">
        <v>7.3148258164980327</v>
      </c>
      <c r="J22" s="132">
        <v>7.2670789296500864</v>
      </c>
      <c r="K22" s="132">
        <v>7.0082734409218945</v>
      </c>
      <c r="L22" s="132">
        <v>6.672126374308724</v>
      </c>
      <c r="M22" s="132">
        <v>6.6291993959869213</v>
      </c>
      <c r="N22" s="132">
        <v>5.8374780198091063</v>
      </c>
      <c r="O22" s="132">
        <v>4.191213131581951</v>
      </c>
      <c r="P22" s="132">
        <v>3.2802929508022558</v>
      </c>
      <c r="Q22" s="132">
        <v>3.4278745484697257</v>
      </c>
      <c r="R22" s="132">
        <v>3.1097133823151655</v>
      </c>
      <c r="S22" s="132">
        <v>2.5552093725076723</v>
      </c>
      <c r="T22" s="132">
        <v>1.4773509995185981</v>
      </c>
      <c r="U22" s="132">
        <v>1.8243889631121848</v>
      </c>
      <c r="V22" s="132">
        <v>1.579760741620206</v>
      </c>
      <c r="W22" s="132">
        <v>1.5470791383746341</v>
      </c>
      <c r="X22" s="132">
        <v>1.9428917831287698</v>
      </c>
      <c r="Y22" s="132">
        <v>2.958546740576486</v>
      </c>
      <c r="DA22" s="156" t="s">
        <v>290</v>
      </c>
    </row>
    <row r="23" spans="1:105" ht="12" customHeight="1" x14ac:dyDescent="0.25">
      <c r="A23" s="131" t="s">
        <v>149</v>
      </c>
      <c r="B23" s="132">
        <v>2.9228594189828914</v>
      </c>
      <c r="C23" s="132">
        <v>3.7989123779506473</v>
      </c>
      <c r="D23" s="132">
        <v>4.6218386612048974</v>
      </c>
      <c r="E23" s="132">
        <v>6.4917146465348372</v>
      </c>
      <c r="F23" s="132">
        <v>8.2812955944505227</v>
      </c>
      <c r="G23" s="132">
        <v>10.260272109051801</v>
      </c>
      <c r="H23" s="132">
        <v>13.131196229794368</v>
      </c>
      <c r="I23" s="132">
        <v>16.422869143012779</v>
      </c>
      <c r="J23" s="132">
        <v>18.059775752911488</v>
      </c>
      <c r="K23" s="132">
        <v>19.375562107162875</v>
      </c>
      <c r="L23" s="132">
        <v>20.724529140340664</v>
      </c>
      <c r="M23" s="132">
        <v>21.157679711436479</v>
      </c>
      <c r="N23" s="132">
        <v>21.243934669079156</v>
      </c>
      <c r="O23" s="132">
        <v>21.355719472337341</v>
      </c>
      <c r="P23" s="132">
        <v>21.521435230082329</v>
      </c>
      <c r="Q23" s="132">
        <v>21.808083507426151</v>
      </c>
      <c r="R23" s="132">
        <v>21.737721386983086</v>
      </c>
      <c r="S23" s="132">
        <v>21.930792478940411</v>
      </c>
      <c r="T23" s="132">
        <v>22.157995807851503</v>
      </c>
      <c r="U23" s="132">
        <v>21.931692484101706</v>
      </c>
      <c r="V23" s="132">
        <v>18.382317956895122</v>
      </c>
      <c r="W23" s="132">
        <v>18.972303711230012</v>
      </c>
      <c r="X23" s="132">
        <v>15.927208430147031</v>
      </c>
      <c r="Y23" s="132">
        <v>18.269442854648197</v>
      </c>
      <c r="DA23" s="156" t="s">
        <v>291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292</v>
      </c>
    </row>
    <row r="25" spans="1:105" ht="12" customHeight="1" x14ac:dyDescent="0.25">
      <c r="A25" s="131" t="s">
        <v>162</v>
      </c>
      <c r="B25" s="132">
        <v>25.054434365941347</v>
      </c>
      <c r="C25" s="132">
        <v>25.215155161640475</v>
      </c>
      <c r="D25" s="132">
        <v>25.754095369927654</v>
      </c>
      <c r="E25" s="132">
        <v>26.598099885476426</v>
      </c>
      <c r="F25" s="132">
        <v>27.232464105257741</v>
      </c>
      <c r="G25" s="132">
        <v>27.522895009397573</v>
      </c>
      <c r="H25" s="132">
        <v>27.462849262353856</v>
      </c>
      <c r="I25" s="132">
        <v>27.386045503446287</v>
      </c>
      <c r="J25" s="132">
        <v>27.420172866675809</v>
      </c>
      <c r="K25" s="132">
        <v>27.203260605733661</v>
      </c>
      <c r="L25" s="132">
        <v>27.132757795300819</v>
      </c>
      <c r="M25" s="132">
        <v>27.294338987216637</v>
      </c>
      <c r="N25" s="132">
        <v>27.155190541377586</v>
      </c>
      <c r="O25" s="132">
        <v>27.36995740467507</v>
      </c>
      <c r="P25" s="132">
        <v>27.779161602141578</v>
      </c>
      <c r="Q25" s="132">
        <v>28.465780776875071</v>
      </c>
      <c r="R25" s="132">
        <v>29.229516975576626</v>
      </c>
      <c r="S25" s="132">
        <v>30.222506513383731</v>
      </c>
      <c r="T25" s="132">
        <v>30.817001800712244</v>
      </c>
      <c r="U25" s="132">
        <v>30.956548608246056</v>
      </c>
      <c r="V25" s="132">
        <v>28.789802383339637</v>
      </c>
      <c r="W25" s="132">
        <v>30.504789605409755</v>
      </c>
      <c r="X25" s="132">
        <v>36.550971240782474</v>
      </c>
      <c r="Y25" s="132">
        <v>34.438896174726949</v>
      </c>
      <c r="DA25" s="156" t="s">
        <v>293</v>
      </c>
    </row>
    <row r="26" spans="1:105" ht="12" customHeight="1" x14ac:dyDescent="0.25">
      <c r="A26" s="131" t="s">
        <v>24</v>
      </c>
      <c r="B26" s="65">
        <v>42.869784493880665</v>
      </c>
      <c r="C26" s="65">
        <v>43.200970348189514</v>
      </c>
      <c r="D26" s="65">
        <v>45.019342683241504</v>
      </c>
      <c r="E26" s="65">
        <v>45.796242357304841</v>
      </c>
      <c r="F26" s="65">
        <v>47.194746614798419</v>
      </c>
      <c r="G26" s="65">
        <v>49.59207762589665</v>
      </c>
      <c r="H26" s="65">
        <v>52.624742491466939</v>
      </c>
      <c r="I26" s="65">
        <v>54.536203865462817</v>
      </c>
      <c r="J26" s="65">
        <v>56.464164170262606</v>
      </c>
      <c r="K26" s="65">
        <v>60.321204893113851</v>
      </c>
      <c r="L26" s="65">
        <v>61.318906180602042</v>
      </c>
      <c r="M26" s="65">
        <v>61.293597646298522</v>
      </c>
      <c r="N26" s="65">
        <v>60.787764073021158</v>
      </c>
      <c r="O26" s="65">
        <v>60.410846371925672</v>
      </c>
      <c r="P26" s="65">
        <v>60.087176041373077</v>
      </c>
      <c r="Q26" s="65">
        <v>60.767084355698337</v>
      </c>
      <c r="R26" s="65">
        <v>61.285818837881905</v>
      </c>
      <c r="S26" s="65">
        <v>62.101370047073765</v>
      </c>
      <c r="T26" s="65">
        <v>62.489009403094499</v>
      </c>
      <c r="U26" s="65">
        <v>63.478463657521317</v>
      </c>
      <c r="V26" s="65">
        <v>51.457837388355763</v>
      </c>
      <c r="W26" s="65">
        <v>57.479804625624411</v>
      </c>
      <c r="X26" s="65">
        <v>56.072705264221476</v>
      </c>
      <c r="Y26" s="65">
        <v>56.476249670878687</v>
      </c>
      <c r="DA26" s="109" t="s">
        <v>294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3.7737747205503012</v>
      </c>
      <c r="M27" s="145">
        <v>5.8755803955288073</v>
      </c>
      <c r="N27" s="145">
        <v>7.165348237317283</v>
      </c>
      <c r="O27" s="145">
        <v>10.103181427343078</v>
      </c>
      <c r="P27" s="145">
        <v>10.246517626827158</v>
      </c>
      <c r="Q27" s="145">
        <v>12.133361994840925</v>
      </c>
      <c r="R27" s="145">
        <v>12.730524505588994</v>
      </c>
      <c r="S27" s="145">
        <v>13.502579535683569</v>
      </c>
      <c r="T27" s="145">
        <v>14.461220980223572</v>
      </c>
      <c r="U27" s="145">
        <v>15.125709372312958</v>
      </c>
      <c r="V27" s="145">
        <v>15.894754944110037</v>
      </c>
      <c r="W27" s="145">
        <v>16.922441960447117</v>
      </c>
      <c r="X27" s="145">
        <v>18.574376612209797</v>
      </c>
      <c r="Y27" s="145">
        <v>19.278761822871871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81.953099801317791</v>
      </c>
      <c r="C29" s="130">
        <f t="shared" si="12"/>
        <v>87.056310317837045</v>
      </c>
      <c r="D29" s="130">
        <f t="shared" si="12"/>
        <v>88.084052500965839</v>
      </c>
      <c r="E29" s="130">
        <f t="shared" si="12"/>
        <v>91.47980318513001</v>
      </c>
      <c r="F29" s="130">
        <f t="shared" si="12"/>
        <v>96.723765138403095</v>
      </c>
      <c r="G29" s="130">
        <f t="shared" si="12"/>
        <v>97.562344531662433</v>
      </c>
      <c r="H29" s="130">
        <f t="shared" si="12"/>
        <v>101.55916084622071</v>
      </c>
      <c r="I29" s="130">
        <f t="shared" si="12"/>
        <v>105.25029743110291</v>
      </c>
      <c r="J29" s="130">
        <f t="shared" si="12"/>
        <v>111.14807811201413</v>
      </c>
      <c r="K29" s="130">
        <f t="shared" si="12"/>
        <v>114.53675413756406</v>
      </c>
      <c r="L29" s="130">
        <f t="shared" si="12"/>
        <v>121.82637817743567</v>
      </c>
      <c r="M29" s="130">
        <f t="shared" si="12"/>
        <v>124.25845168746258</v>
      </c>
      <c r="N29" s="130">
        <f t="shared" si="12"/>
        <v>131.49563733386802</v>
      </c>
      <c r="O29" s="130">
        <f t="shared" si="12"/>
        <v>131.64175338658166</v>
      </c>
      <c r="P29" s="130">
        <f t="shared" si="12"/>
        <v>130.20139198766682</v>
      </c>
      <c r="Q29" s="130">
        <f t="shared" si="12"/>
        <v>132.97607159218356</v>
      </c>
      <c r="R29" s="130">
        <f t="shared" ref="R29:W29" si="13">SUM(R30:R33)</f>
        <v>135.5487281223445</v>
      </c>
      <c r="S29" s="130">
        <f t="shared" si="13"/>
        <v>142.34070068120067</v>
      </c>
      <c r="T29" s="130">
        <f t="shared" si="13"/>
        <v>150.22824531545058</v>
      </c>
      <c r="U29" s="130">
        <f t="shared" si="13"/>
        <v>153.02284119235321</v>
      </c>
      <c r="V29" s="130">
        <f t="shared" si="13"/>
        <v>128.45544700276639</v>
      </c>
      <c r="W29" s="130">
        <f t="shared" si="13"/>
        <v>144.64595299798452</v>
      </c>
      <c r="X29" s="130">
        <f t="shared" ref="X29:Y29" si="14">SUM(X30:X33)</f>
        <v>153.17999702270987</v>
      </c>
      <c r="Y29" s="130">
        <f t="shared" si="14"/>
        <v>148.12226607704525</v>
      </c>
      <c r="DA29" s="155" t="s">
        <v>217</v>
      </c>
    </row>
    <row r="30" spans="1:105" ht="12" customHeight="1" x14ac:dyDescent="0.25">
      <c r="A30" s="131" t="s">
        <v>52</v>
      </c>
      <c r="B30" s="132">
        <v>1.129750644883921</v>
      </c>
      <c r="C30" s="132">
        <v>4.519002579535683</v>
      </c>
      <c r="D30" s="132">
        <v>1.129750644883921</v>
      </c>
      <c r="E30" s="132">
        <v>1.129750644883921</v>
      </c>
      <c r="F30" s="132">
        <v>2.4959587274290631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5.4934651762682725</v>
      </c>
      <c r="M30" s="132">
        <v>6.592175408426483</v>
      </c>
      <c r="N30" s="132">
        <v>12.085640584694746</v>
      </c>
      <c r="O30" s="132">
        <v>8.7895098882201186</v>
      </c>
      <c r="P30" s="132">
        <v>5.4934651762682734</v>
      </c>
      <c r="Q30" s="132">
        <v>5.4934651762682707</v>
      </c>
      <c r="R30" s="132">
        <v>6.5921754084264848</v>
      </c>
      <c r="S30" s="132">
        <v>8.4093723129836615</v>
      </c>
      <c r="T30" s="132">
        <v>10.146431642304378</v>
      </c>
      <c r="U30" s="132">
        <v>10.426569217540839</v>
      </c>
      <c r="V30" s="132">
        <v>8.6236457437661205</v>
      </c>
      <c r="W30" s="132">
        <v>10.368357695614799</v>
      </c>
      <c r="X30" s="132">
        <v>12.258125537403281</v>
      </c>
      <c r="Y30" s="132">
        <v>13.707308684436793</v>
      </c>
      <c r="DA30" s="156" t="s">
        <v>296</v>
      </c>
    </row>
    <row r="31" spans="1:105" ht="12" customHeight="1" x14ac:dyDescent="0.25">
      <c r="A31" s="131" t="s">
        <v>149</v>
      </c>
      <c r="B31" s="132">
        <v>2.8915152248092433</v>
      </c>
      <c r="C31" s="132">
        <v>3.3529806378955884</v>
      </c>
      <c r="D31" s="132">
        <v>4.1835264459298731</v>
      </c>
      <c r="E31" s="132">
        <v>5.8027518993660498</v>
      </c>
      <c r="F31" s="132">
        <v>7.7454747863223581</v>
      </c>
      <c r="G31" s="132">
        <v>9.0792664699671803</v>
      </c>
      <c r="H31" s="132">
        <v>12.594859524549051</v>
      </c>
      <c r="I31" s="132">
        <v>14.76861167010054</v>
      </c>
      <c r="J31" s="132">
        <v>15.748298442466611</v>
      </c>
      <c r="K31" s="132">
        <v>16.011403865528127</v>
      </c>
      <c r="L31" s="132">
        <v>16.36964306140495</v>
      </c>
      <c r="M31" s="132">
        <v>16.615845489765803</v>
      </c>
      <c r="N31" s="132">
        <v>17.02310975036384</v>
      </c>
      <c r="O31" s="132">
        <v>17.4371667206232</v>
      </c>
      <c r="P31" s="132">
        <v>17.646930430914278</v>
      </c>
      <c r="Q31" s="132">
        <v>17.701196115174554</v>
      </c>
      <c r="R31" s="132">
        <v>17.231919634084559</v>
      </c>
      <c r="S31" s="132">
        <v>17.055405804413311</v>
      </c>
      <c r="T31" s="132">
        <v>16.704851283775074</v>
      </c>
      <c r="U31" s="132">
        <v>15.837864461322953</v>
      </c>
      <c r="V31" s="132">
        <v>13.53525468950898</v>
      </c>
      <c r="W31" s="132">
        <v>15.278409713364148</v>
      </c>
      <c r="X31" s="132">
        <v>14.648655111330797</v>
      </c>
      <c r="Y31" s="132">
        <v>14.095225891692477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4.6813413585554597</v>
      </c>
      <c r="K32" s="132">
        <v>4.614535683576956</v>
      </c>
      <c r="L32" s="132">
        <v>4.4138091143594131</v>
      </c>
      <c r="M32" s="132">
        <v>4.0127257093723143</v>
      </c>
      <c r="N32" s="132">
        <v>3.477583834909717</v>
      </c>
      <c r="O32" s="132">
        <v>3.2100773860705067</v>
      </c>
      <c r="P32" s="132">
        <v>3.0094153052450556</v>
      </c>
      <c r="Q32" s="132">
        <v>3.0094153052450556</v>
      </c>
      <c r="R32" s="132">
        <v>3.34385210662081</v>
      </c>
      <c r="S32" s="132">
        <v>7.5717358416466123</v>
      </c>
      <c r="T32" s="132">
        <v>12.868994299249973</v>
      </c>
      <c r="U32" s="132">
        <v>15.91269348830482</v>
      </c>
      <c r="V32" s="132">
        <v>14.574453749444329</v>
      </c>
      <c r="W32" s="132">
        <v>14.952020117802375</v>
      </c>
      <c r="X32" s="132">
        <v>22.833519143145431</v>
      </c>
      <c r="Y32" s="132">
        <v>16.687438558974197</v>
      </c>
      <c r="DA32" s="156" t="s">
        <v>298</v>
      </c>
    </row>
    <row r="33" spans="1:105" ht="12" customHeight="1" x14ac:dyDescent="0.25">
      <c r="A33" s="62" t="s">
        <v>24</v>
      </c>
      <c r="B33" s="68">
        <v>77.931833931624624</v>
      </c>
      <c r="C33" s="68">
        <v>79.184327100405767</v>
      </c>
      <c r="D33" s="68">
        <v>82.770775410152041</v>
      </c>
      <c r="E33" s="68">
        <v>84.547300640880039</v>
      </c>
      <c r="F33" s="68">
        <v>86.482331624651678</v>
      </c>
      <c r="G33" s="68">
        <v>88.483078061695252</v>
      </c>
      <c r="H33" s="68">
        <v>88.964301321671655</v>
      </c>
      <c r="I33" s="68">
        <v>90.481685761002367</v>
      </c>
      <c r="J33" s="68">
        <v>90.718438310992056</v>
      </c>
      <c r="K33" s="68">
        <v>93.910814588458976</v>
      </c>
      <c r="L33" s="68">
        <v>95.549460825403031</v>
      </c>
      <c r="M33" s="68">
        <v>97.037705079897975</v>
      </c>
      <c r="N33" s="68">
        <v>98.909303163899708</v>
      </c>
      <c r="O33" s="68">
        <v>102.20499939166784</v>
      </c>
      <c r="P33" s="68">
        <v>104.05158107523921</v>
      </c>
      <c r="Q33" s="68">
        <v>106.77199499549569</v>
      </c>
      <c r="R33" s="68">
        <v>108.38078097321264</v>
      </c>
      <c r="S33" s="68">
        <v>109.30418672215708</v>
      </c>
      <c r="T33" s="68">
        <v>110.50796809012114</v>
      </c>
      <c r="U33" s="68">
        <v>110.84571402518461</v>
      </c>
      <c r="V33" s="68">
        <v>91.722092820046953</v>
      </c>
      <c r="W33" s="68">
        <v>104.0471654712032</v>
      </c>
      <c r="X33" s="68">
        <v>103.43969723083036</v>
      </c>
      <c r="Y33" s="68">
        <v>103.63229294194177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270.28661520240098</v>
      </c>
      <c r="C3" s="125">
        <f t="shared" si="0"/>
        <v>322.64287854977601</v>
      </c>
      <c r="D3" s="125">
        <f t="shared" si="0"/>
        <v>318.63123937305704</v>
      </c>
      <c r="E3" s="125">
        <f t="shared" si="0"/>
        <v>341.24614614576251</v>
      </c>
      <c r="F3" s="125">
        <f t="shared" si="0"/>
        <v>308.57095859147461</v>
      </c>
      <c r="G3" s="125">
        <f t="shared" si="0"/>
        <v>390.23312813886548</v>
      </c>
      <c r="H3" s="125">
        <f t="shared" si="0"/>
        <v>456.13220235199907</v>
      </c>
      <c r="I3" s="125">
        <f t="shared" si="0"/>
        <v>448.09864001326002</v>
      </c>
      <c r="J3" s="125">
        <f t="shared" si="0"/>
        <v>462.61160367822498</v>
      </c>
      <c r="K3" s="125">
        <f t="shared" si="0"/>
        <v>456.33558859270255</v>
      </c>
      <c r="L3" s="125">
        <f t="shared" si="0"/>
        <v>509.6561196780583</v>
      </c>
      <c r="M3" s="125">
        <f t="shared" si="0"/>
        <v>550.72438805880233</v>
      </c>
      <c r="N3" s="125">
        <f t="shared" si="0"/>
        <v>574.59274443354911</v>
      </c>
      <c r="O3" s="125">
        <f t="shared" si="0"/>
        <v>520.74674239878107</v>
      </c>
      <c r="P3" s="125">
        <f t="shared" si="0"/>
        <v>495.3518492921292</v>
      </c>
      <c r="Q3" s="125">
        <f t="shared" si="0"/>
        <v>566.50643080106761</v>
      </c>
      <c r="R3" s="125">
        <f t="shared" ref="R3:W3" si="1">SUM(R4,R16,R19,R29)</f>
        <v>622.58209173123703</v>
      </c>
      <c r="S3" s="125">
        <f t="shared" si="1"/>
        <v>630.09039427919436</v>
      </c>
      <c r="T3" s="125">
        <f t="shared" si="1"/>
        <v>659.56114897845839</v>
      </c>
      <c r="U3" s="125">
        <f t="shared" si="1"/>
        <v>705.89764519672019</v>
      </c>
      <c r="V3" s="125">
        <f t="shared" si="1"/>
        <v>611.37497823594526</v>
      </c>
      <c r="W3" s="125">
        <f t="shared" si="1"/>
        <v>784.96664551629874</v>
      </c>
      <c r="X3" s="125">
        <f t="shared" ref="X3:Y3" si="2">SUM(X4,X16,X19,X29)</f>
        <v>823.64806189920262</v>
      </c>
      <c r="Y3" s="125">
        <f t="shared" si="2"/>
        <v>828.20129100763199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146.24001692922567</v>
      </c>
      <c r="C4" s="130">
        <f t="shared" si="3"/>
        <v>193.33636308702077</v>
      </c>
      <c r="D4" s="130">
        <f t="shared" si="3"/>
        <v>189.73232512007547</v>
      </c>
      <c r="E4" s="130">
        <f t="shared" si="3"/>
        <v>203.4194559132836</v>
      </c>
      <c r="F4" s="130">
        <f t="shared" si="3"/>
        <v>167.2459058033316</v>
      </c>
      <c r="G4" s="130">
        <f t="shared" si="3"/>
        <v>242.34235090356123</v>
      </c>
      <c r="H4" s="130">
        <f t="shared" si="3"/>
        <v>294.85348996852389</v>
      </c>
      <c r="I4" s="130">
        <f t="shared" si="3"/>
        <v>246.08114437659665</v>
      </c>
      <c r="J4" s="130">
        <f t="shared" si="3"/>
        <v>274.37954986221723</v>
      </c>
      <c r="K4" s="130">
        <f t="shared" si="3"/>
        <v>265.81083159916477</v>
      </c>
      <c r="L4" s="130">
        <f t="shared" si="3"/>
        <v>295.87462503964991</v>
      </c>
      <c r="M4" s="130">
        <f t="shared" si="3"/>
        <v>338.87283620480343</v>
      </c>
      <c r="N4" s="130">
        <f t="shared" si="3"/>
        <v>297.12030240505572</v>
      </c>
      <c r="O4" s="130">
        <f t="shared" si="3"/>
        <v>294.24664894443572</v>
      </c>
      <c r="P4" s="130">
        <f t="shared" si="3"/>
        <v>270.7289527584968</v>
      </c>
      <c r="Q4" s="130">
        <f t="shared" si="3"/>
        <v>309.12942832762798</v>
      </c>
      <c r="R4" s="130">
        <f t="shared" ref="R4:W4" si="4">SUM(R5:R15)</f>
        <v>363.97051018580527</v>
      </c>
      <c r="S4" s="130">
        <f t="shared" si="4"/>
        <v>357.8043208643038</v>
      </c>
      <c r="T4" s="130">
        <f t="shared" si="4"/>
        <v>398.37412475354614</v>
      </c>
      <c r="U4" s="130">
        <f t="shared" si="4"/>
        <v>430.99467984350474</v>
      </c>
      <c r="V4" s="130">
        <f t="shared" si="4"/>
        <v>364.36429144860375</v>
      </c>
      <c r="W4" s="130">
        <f t="shared" si="4"/>
        <v>487.87394939679325</v>
      </c>
      <c r="X4" s="130">
        <f t="shared" ref="X4:Y4" si="5">SUM(X5:X15)</f>
        <v>521.88416155872449</v>
      </c>
      <c r="Y4" s="130">
        <f t="shared" si="5"/>
        <v>501.64949667956739</v>
      </c>
      <c r="DA4" s="155" t="s">
        <v>302</v>
      </c>
    </row>
    <row r="5" spans="1:105" ht="12" customHeight="1" x14ac:dyDescent="0.25">
      <c r="A5" s="131" t="s">
        <v>29</v>
      </c>
      <c r="B5" s="132">
        <v>1.3196925863310038</v>
      </c>
      <c r="C5" s="132">
        <v>1.49479782922544</v>
      </c>
      <c r="D5" s="132">
        <v>2.53575059181704</v>
      </c>
      <c r="E5" s="132">
        <v>3.2669007288316725</v>
      </c>
      <c r="F5" s="132">
        <v>2.34399355906364</v>
      </c>
      <c r="G5" s="132">
        <v>3.1127344000165209</v>
      </c>
      <c r="H5" s="132">
        <v>3.2072766957420598</v>
      </c>
      <c r="I5" s="132">
        <v>1.5169216092717592</v>
      </c>
      <c r="J5" s="132">
        <v>2.8953792170613437</v>
      </c>
      <c r="K5" s="132">
        <v>2.4294630039691683</v>
      </c>
      <c r="L5" s="132">
        <v>2.2901677831557228</v>
      </c>
      <c r="M5" s="132">
        <v>2.6189069264964493</v>
      </c>
      <c r="N5" s="132">
        <v>2.0074887451950785</v>
      </c>
      <c r="O5" s="132">
        <v>2.7239848921702987</v>
      </c>
      <c r="P5" s="132">
        <v>1.2188533220833984</v>
      </c>
      <c r="Q5" s="132">
        <v>3.2403898783427882</v>
      </c>
      <c r="R5" s="132">
        <v>3.5404416627679716</v>
      </c>
      <c r="S5" s="132">
        <v>2.3618863734509778</v>
      </c>
      <c r="T5" s="132">
        <v>1.5623382450993317</v>
      </c>
      <c r="U5" s="132">
        <v>2.3974939245758415</v>
      </c>
      <c r="V5" s="132">
        <v>2.0581142485915427</v>
      </c>
      <c r="W5" s="132">
        <v>1.5908519306172961</v>
      </c>
      <c r="X5" s="132">
        <v>0.9658270922378307</v>
      </c>
      <c r="Y5" s="132">
        <v>1.203660350940934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32.438201476819074</v>
      </c>
      <c r="C7" s="132">
        <v>62.111864047938731</v>
      </c>
      <c r="D7" s="132">
        <v>37.792568625681696</v>
      </c>
      <c r="E7" s="132">
        <v>20.721303896983251</v>
      </c>
      <c r="F7" s="132">
        <v>10.717032244493042</v>
      </c>
      <c r="G7" s="132">
        <v>10.579162642966603</v>
      </c>
      <c r="H7" s="132">
        <v>22.852265850174835</v>
      </c>
      <c r="I7" s="132">
        <v>16.067007576664061</v>
      </c>
      <c r="J7" s="132">
        <v>21.271325775448403</v>
      </c>
      <c r="K7" s="132">
        <v>23.315689804647267</v>
      </c>
      <c r="L7" s="132">
        <v>13.666454783047435</v>
      </c>
      <c r="M7" s="132">
        <v>9.2667387742963925</v>
      </c>
      <c r="N7" s="132">
        <v>7.9347738319423353</v>
      </c>
      <c r="O7" s="132">
        <v>5.6194542191850783</v>
      </c>
      <c r="P7" s="132">
        <v>4.120771679691777</v>
      </c>
      <c r="Q7" s="132">
        <v>16.546205133177104</v>
      </c>
      <c r="R7" s="132">
        <v>16.451986598817861</v>
      </c>
      <c r="S7" s="132">
        <v>13.852129076218306</v>
      </c>
      <c r="T7" s="132">
        <v>8.2789509344824417</v>
      </c>
      <c r="U7" s="132">
        <v>10.390670889038118</v>
      </c>
      <c r="V7" s="132">
        <v>9.2519450403543342</v>
      </c>
      <c r="W7" s="132">
        <v>9.5503686915387522</v>
      </c>
      <c r="X7" s="132">
        <v>11.932700551032266</v>
      </c>
      <c r="Y7" s="132">
        <v>18.443179523512033</v>
      </c>
      <c r="DA7" s="156" t="s">
        <v>305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306</v>
      </c>
    </row>
    <row r="9" spans="1:105" ht="12" customHeight="1" x14ac:dyDescent="0.25">
      <c r="A9" s="131" t="s">
        <v>78</v>
      </c>
      <c r="B9" s="132">
        <v>2.7583736041666627</v>
      </c>
      <c r="C9" s="132">
        <v>4.5360116799221037</v>
      </c>
      <c r="D9" s="132">
        <v>4.975116455126865</v>
      </c>
      <c r="E9" s="132">
        <v>7.1781318872992124</v>
      </c>
      <c r="F9" s="132">
        <v>7.0774444656986333</v>
      </c>
      <c r="G9" s="132">
        <v>11.384388448893949</v>
      </c>
      <c r="H9" s="132">
        <v>18.449576126285461</v>
      </c>
      <c r="I9" s="132">
        <v>18.687100261575289</v>
      </c>
      <c r="J9" s="132">
        <v>22.814975320667688</v>
      </c>
      <c r="K9" s="132">
        <v>14.896412174539416</v>
      </c>
      <c r="L9" s="132">
        <v>21.481152385238996</v>
      </c>
      <c r="M9" s="132">
        <v>22.58888916369801</v>
      </c>
      <c r="N9" s="132">
        <v>21.559616906573353</v>
      </c>
      <c r="O9" s="132">
        <v>19.925125441852888</v>
      </c>
      <c r="P9" s="132">
        <v>23.050088957909427</v>
      </c>
      <c r="Q9" s="132">
        <v>28.254935816197943</v>
      </c>
      <c r="R9" s="132">
        <v>31.301346661369653</v>
      </c>
      <c r="S9" s="132">
        <v>32.292386800715178</v>
      </c>
      <c r="T9" s="132">
        <v>35.54028466335641</v>
      </c>
      <c r="U9" s="132">
        <v>31.49861595150626</v>
      </c>
      <c r="V9" s="132">
        <v>33.955920989924955</v>
      </c>
      <c r="W9" s="132">
        <v>45.296590143882675</v>
      </c>
      <c r="X9" s="132">
        <v>43.947171932224613</v>
      </c>
      <c r="Y9" s="132">
        <v>36.435238195941885</v>
      </c>
      <c r="DA9" s="156" t="s">
        <v>307</v>
      </c>
    </row>
    <row r="10" spans="1:105" ht="12" customHeight="1" x14ac:dyDescent="0.25">
      <c r="A10" s="131" t="s">
        <v>128</v>
      </c>
      <c r="B10" s="132">
        <v>3.7879165921036737</v>
      </c>
      <c r="C10" s="132">
        <v>3.4333682977000985</v>
      </c>
      <c r="D10" s="132">
        <v>3.1767006769944639</v>
      </c>
      <c r="E10" s="132">
        <v>5.3418307653578747</v>
      </c>
      <c r="F10" s="132">
        <v>3.7816373853343048</v>
      </c>
      <c r="G10" s="132">
        <v>5.8457744198684969</v>
      </c>
      <c r="H10" s="132">
        <v>7.9994522097799994</v>
      </c>
      <c r="I10" s="132">
        <v>6.6427475331610815</v>
      </c>
      <c r="J10" s="132">
        <v>7.2718617171031044</v>
      </c>
      <c r="K10" s="132">
        <v>4.5546507609324385</v>
      </c>
      <c r="L10" s="132">
        <v>2.6174156217709976</v>
      </c>
      <c r="M10" s="132">
        <v>2.964488328188426</v>
      </c>
      <c r="N10" s="132">
        <v>21.572996221863587</v>
      </c>
      <c r="O10" s="132">
        <v>11.470053744417504</v>
      </c>
      <c r="P10" s="132">
        <v>1.2737697175505385</v>
      </c>
      <c r="Q10" s="132">
        <v>5.3115664500682573</v>
      </c>
      <c r="R10" s="132">
        <v>2.5038068669538305</v>
      </c>
      <c r="S10" s="132">
        <v>24.366177433721123</v>
      </c>
      <c r="T10" s="132">
        <v>40.339725748819546</v>
      </c>
      <c r="U10" s="132">
        <v>46.161160034496426</v>
      </c>
      <c r="V10" s="132">
        <v>33.891245186172995</v>
      </c>
      <c r="W10" s="132">
        <v>48.818325694713145</v>
      </c>
      <c r="X10" s="132">
        <v>60.865834216356681</v>
      </c>
      <c r="Y10" s="132">
        <v>37.743238917078948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26.118488199731022</v>
      </c>
      <c r="H11" s="132">
        <v>26.149337488048943</v>
      </c>
      <c r="I11" s="132">
        <v>26.188388463217279</v>
      </c>
      <c r="J11" s="132">
        <v>26.189399304366681</v>
      </c>
      <c r="K11" s="132">
        <v>26.191887231276599</v>
      </c>
      <c r="L11" s="132">
        <v>26.192362989327787</v>
      </c>
      <c r="M11" s="132">
        <v>26.422097583652622</v>
      </c>
      <c r="N11" s="132">
        <v>26.860457441105307</v>
      </c>
      <c r="O11" s="132">
        <v>26.943921743634696</v>
      </c>
      <c r="P11" s="132">
        <v>27.007165878582825</v>
      </c>
      <c r="Q11" s="132">
        <v>27.06977686057466</v>
      </c>
      <c r="R11" s="132">
        <v>28.08111666721889</v>
      </c>
      <c r="S11" s="132">
        <v>28.186310761129651</v>
      </c>
      <c r="T11" s="132">
        <v>28.364405949309596</v>
      </c>
      <c r="U11" s="132">
        <v>29.016781447622904</v>
      </c>
      <c r="V11" s="132">
        <v>29.845092428722879</v>
      </c>
      <c r="W11" s="132">
        <v>30.638603118166163</v>
      </c>
      <c r="X11" s="132">
        <v>31.209185444732771</v>
      </c>
      <c r="Y11" s="132">
        <v>31.753753615477425</v>
      </c>
      <c r="DA11" s="156" t="s">
        <v>309</v>
      </c>
    </row>
    <row r="12" spans="1:105" ht="12" customHeight="1" x14ac:dyDescent="0.25">
      <c r="A12" s="131" t="s">
        <v>162</v>
      </c>
      <c r="B12" s="132">
        <v>50.442691833051235</v>
      </c>
      <c r="C12" s="132">
        <v>70.318500770268898</v>
      </c>
      <c r="D12" s="132">
        <v>65.524655608081318</v>
      </c>
      <c r="E12" s="132">
        <v>75.902572253895443</v>
      </c>
      <c r="F12" s="132">
        <v>66.836070510694384</v>
      </c>
      <c r="G12" s="132">
        <v>95.980506419435869</v>
      </c>
      <c r="H12" s="132">
        <v>93.303961301502468</v>
      </c>
      <c r="I12" s="132">
        <v>67.210454076881462</v>
      </c>
      <c r="J12" s="132">
        <v>58.024697865834433</v>
      </c>
      <c r="K12" s="132">
        <v>61.592398111926329</v>
      </c>
      <c r="L12" s="132">
        <v>61.377637398115766</v>
      </c>
      <c r="M12" s="132">
        <v>85.49315558183568</v>
      </c>
      <c r="N12" s="132">
        <v>58.56563803633037</v>
      </c>
      <c r="O12" s="132">
        <v>53.931895519185176</v>
      </c>
      <c r="P12" s="132">
        <v>53.22548915802966</v>
      </c>
      <c r="Q12" s="132">
        <v>60.774025398668449</v>
      </c>
      <c r="R12" s="132">
        <v>85.768486859270681</v>
      </c>
      <c r="S12" s="132">
        <v>59.949440527274987</v>
      </c>
      <c r="T12" s="132">
        <v>76.199200180142398</v>
      </c>
      <c r="U12" s="132">
        <v>66.874871920392394</v>
      </c>
      <c r="V12" s="132">
        <v>52.329939492209135</v>
      </c>
      <c r="W12" s="132">
        <v>70.153085784001107</v>
      </c>
      <c r="X12" s="132">
        <v>66.157449155408244</v>
      </c>
      <c r="Y12" s="132">
        <v>66.948580371754474</v>
      </c>
      <c r="DA12" s="156" t="s">
        <v>310</v>
      </c>
    </row>
    <row r="13" spans="1:105" ht="12" customHeight="1" x14ac:dyDescent="0.25">
      <c r="A13" s="131" t="s">
        <v>77</v>
      </c>
      <c r="B13" s="132">
        <v>6.1026753682033705</v>
      </c>
      <c r="C13" s="132">
        <v>6.7745286524665467</v>
      </c>
      <c r="D13" s="132">
        <v>16.756754504411138</v>
      </c>
      <c r="E13" s="132">
        <v>28.018943289570203</v>
      </c>
      <c r="F13" s="132">
        <v>34.425272680150528</v>
      </c>
      <c r="G13" s="132">
        <v>43.718831460989577</v>
      </c>
      <c r="H13" s="132">
        <v>56.999111287017385</v>
      </c>
      <c r="I13" s="132">
        <v>60.014736608529006</v>
      </c>
      <c r="J13" s="132">
        <v>64.463865965280917</v>
      </c>
      <c r="K13" s="132">
        <v>73.769186120702798</v>
      </c>
      <c r="L13" s="132">
        <v>84.243055476133051</v>
      </c>
      <c r="M13" s="132">
        <v>90.750851500735607</v>
      </c>
      <c r="N13" s="132">
        <v>95.682035214265085</v>
      </c>
      <c r="O13" s="132">
        <v>124.81344540865368</v>
      </c>
      <c r="P13" s="132">
        <v>121.68428434707756</v>
      </c>
      <c r="Q13" s="132">
        <v>136.6104478436383</v>
      </c>
      <c r="R13" s="132">
        <v>144.56942694895582</v>
      </c>
      <c r="S13" s="132">
        <v>151.2412462236731</v>
      </c>
      <c r="T13" s="132">
        <v>154.94637954262015</v>
      </c>
      <c r="U13" s="132">
        <v>172.10385211597031</v>
      </c>
      <c r="V13" s="132">
        <v>178.38286862798824</v>
      </c>
      <c r="W13" s="132">
        <v>205.60582823521776</v>
      </c>
      <c r="X13" s="132">
        <v>237.50661428376554</v>
      </c>
      <c r="Y13" s="132">
        <v>256.84758167451798</v>
      </c>
      <c r="DA13" s="156" t="s">
        <v>311</v>
      </c>
    </row>
    <row r="14" spans="1:105" ht="12" customHeight="1" x14ac:dyDescent="0.25">
      <c r="A14" s="60" t="s">
        <v>76</v>
      </c>
      <c r="B14" s="65">
        <v>48.381117325377573</v>
      </c>
      <c r="C14" s="65">
        <v>42.946342256142231</v>
      </c>
      <c r="D14" s="65">
        <v>57.762969948701901</v>
      </c>
      <c r="E14" s="65">
        <v>62.010383168516888</v>
      </c>
      <c r="F14" s="65">
        <v>41.355772390543464</v>
      </c>
      <c r="G14" s="65">
        <v>44.544718753286375</v>
      </c>
      <c r="H14" s="65">
        <v>64.47194544435726</v>
      </c>
      <c r="I14" s="65">
        <v>48.60904165153039</v>
      </c>
      <c r="J14" s="65">
        <v>70.16030722902731</v>
      </c>
      <c r="K14" s="65">
        <v>57.92128341867685</v>
      </c>
      <c r="L14" s="65">
        <v>82.949564194196725</v>
      </c>
      <c r="M14" s="65">
        <v>97.670789159340558</v>
      </c>
      <c r="N14" s="65">
        <v>61.85877600226511</v>
      </c>
      <c r="O14" s="65">
        <v>47.91481133580421</v>
      </c>
      <c r="P14" s="65">
        <v>38.319964793981605</v>
      </c>
      <c r="Q14" s="65">
        <v>30.130698537461015</v>
      </c>
      <c r="R14" s="65">
        <v>50.439719065842333</v>
      </c>
      <c r="S14" s="65">
        <v>44.207413991542978</v>
      </c>
      <c r="T14" s="65">
        <v>51.653942186915835</v>
      </c>
      <c r="U14" s="65">
        <v>71.087507088589206</v>
      </c>
      <c r="V14" s="65">
        <v>23.324618644022618</v>
      </c>
      <c r="W14" s="65">
        <v>74.520162306878959</v>
      </c>
      <c r="X14" s="65">
        <v>67.534822871866737</v>
      </c>
      <c r="Y14" s="65">
        <v>50.700712945043861</v>
      </c>
      <c r="DA14" s="109" t="s">
        <v>312</v>
      </c>
    </row>
    <row r="15" spans="1:105" ht="12" customHeight="1" x14ac:dyDescent="0.25">
      <c r="A15" s="133" t="s">
        <v>80</v>
      </c>
      <c r="B15" s="134">
        <v>1.0093481431731048</v>
      </c>
      <c r="C15" s="134">
        <v>1.7209495533567227</v>
      </c>
      <c r="D15" s="134">
        <v>1.207808709261033</v>
      </c>
      <c r="E15" s="134">
        <v>0.97938992282905413</v>
      </c>
      <c r="F15" s="134">
        <v>0.70868256735360302</v>
      </c>
      <c r="G15" s="134">
        <v>1.0577461583728343</v>
      </c>
      <c r="H15" s="134">
        <v>1.4205635656155149</v>
      </c>
      <c r="I15" s="134">
        <v>1.144746595766331</v>
      </c>
      <c r="J15" s="134">
        <v>1.2877374674273454</v>
      </c>
      <c r="K15" s="134">
        <v>1.139860972493894</v>
      </c>
      <c r="L15" s="134">
        <v>1.0568144086634574</v>
      </c>
      <c r="M15" s="134">
        <v>1.0969191865596977</v>
      </c>
      <c r="N15" s="134">
        <v>1.0785200055154771</v>
      </c>
      <c r="O15" s="134">
        <v>0.90395663953224836</v>
      </c>
      <c r="P15" s="134">
        <v>0.82856490359001811</v>
      </c>
      <c r="Q15" s="134">
        <v>1.1913824094994996</v>
      </c>
      <c r="R15" s="134">
        <v>1.3141788546082664</v>
      </c>
      <c r="S15" s="134">
        <v>1.3473296765774601</v>
      </c>
      <c r="T15" s="134">
        <v>1.4888973028004346</v>
      </c>
      <c r="U15" s="134">
        <v>1.4637264713132994</v>
      </c>
      <c r="V15" s="134">
        <v>1.3245467906170389</v>
      </c>
      <c r="W15" s="134">
        <v>1.7001334917774049</v>
      </c>
      <c r="X15" s="134">
        <v>1.7645560110998357</v>
      </c>
      <c r="Y15" s="134">
        <v>1.5735510852998562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19.412379563335975</v>
      </c>
      <c r="C16" s="130">
        <f t="shared" si="6"/>
        <v>20.341799222543653</v>
      </c>
      <c r="D16" s="130">
        <f t="shared" si="6"/>
        <v>16.815156615661646</v>
      </c>
      <c r="E16" s="130">
        <f t="shared" si="6"/>
        <v>21.769654907418531</v>
      </c>
      <c r="F16" s="130">
        <f t="shared" si="6"/>
        <v>20.647893601071733</v>
      </c>
      <c r="G16" s="130">
        <f t="shared" si="6"/>
        <v>23.685486375222602</v>
      </c>
      <c r="H16" s="130">
        <f t="shared" si="6"/>
        <v>31.255603726331323</v>
      </c>
      <c r="I16" s="130">
        <f t="shared" si="6"/>
        <v>66.414375761415215</v>
      </c>
      <c r="J16" s="130">
        <f t="shared" si="6"/>
        <v>46.802370149503183</v>
      </c>
      <c r="K16" s="130">
        <f t="shared" si="6"/>
        <v>43.435175915760901</v>
      </c>
      <c r="L16" s="130">
        <f t="shared" si="6"/>
        <v>57.092363762738593</v>
      </c>
      <c r="M16" s="130">
        <f t="shared" si="6"/>
        <v>50.558374763407535</v>
      </c>
      <c r="N16" s="130">
        <f t="shared" si="6"/>
        <v>110.51666814896539</v>
      </c>
      <c r="O16" s="130">
        <f t="shared" si="6"/>
        <v>55.821704742072932</v>
      </c>
      <c r="P16" s="130">
        <f t="shared" si="6"/>
        <v>53.524088366965245</v>
      </c>
      <c r="Q16" s="130">
        <f t="shared" si="6"/>
        <v>79.962149624373524</v>
      </c>
      <c r="R16" s="130">
        <f t="shared" ref="R16:W16" si="7">SUM(R17:R18)</f>
        <v>76.573850884030733</v>
      </c>
      <c r="S16" s="130">
        <f t="shared" si="7"/>
        <v>82.333754788347917</v>
      </c>
      <c r="T16" s="130">
        <f t="shared" si="7"/>
        <v>62.830099205409375</v>
      </c>
      <c r="U16" s="130">
        <f t="shared" si="7"/>
        <v>70.641378152455232</v>
      </c>
      <c r="V16" s="130">
        <f t="shared" si="7"/>
        <v>69.583489897294868</v>
      </c>
      <c r="W16" s="130">
        <f t="shared" si="7"/>
        <v>98.100784304237678</v>
      </c>
      <c r="X16" s="130">
        <f t="shared" ref="X16:Y16" si="8">SUM(X17:X18)</f>
        <v>91.828328474033597</v>
      </c>
      <c r="Y16" s="130">
        <f t="shared" si="8"/>
        <v>114.87589993507702</v>
      </c>
      <c r="DA16" s="155" t="s">
        <v>314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315</v>
      </c>
    </row>
    <row r="18" spans="1:105" ht="12" customHeight="1" x14ac:dyDescent="0.25">
      <c r="A18" s="131" t="s">
        <v>72</v>
      </c>
      <c r="B18" s="132">
        <v>19.412379563335975</v>
      </c>
      <c r="C18" s="132">
        <v>20.341799222543653</v>
      </c>
      <c r="D18" s="132">
        <v>16.815156615661646</v>
      </c>
      <c r="E18" s="132">
        <v>21.769654907418531</v>
      </c>
      <c r="F18" s="132">
        <v>20.647893601071733</v>
      </c>
      <c r="G18" s="132">
        <v>23.685486375222602</v>
      </c>
      <c r="H18" s="132">
        <v>31.255603726331323</v>
      </c>
      <c r="I18" s="132">
        <v>66.414375761415215</v>
      </c>
      <c r="J18" s="132">
        <v>46.802370149503183</v>
      </c>
      <c r="K18" s="132">
        <v>43.435175915760901</v>
      </c>
      <c r="L18" s="132">
        <v>57.092363762738593</v>
      </c>
      <c r="M18" s="132">
        <v>50.558374763407535</v>
      </c>
      <c r="N18" s="132">
        <v>110.51666814896539</v>
      </c>
      <c r="O18" s="132">
        <v>55.821704742072932</v>
      </c>
      <c r="P18" s="132">
        <v>53.524088366965245</v>
      </c>
      <c r="Q18" s="132">
        <v>79.962149624373524</v>
      </c>
      <c r="R18" s="132">
        <v>76.573850884030733</v>
      </c>
      <c r="S18" s="132">
        <v>82.333754788347917</v>
      </c>
      <c r="T18" s="132">
        <v>62.830099205409375</v>
      </c>
      <c r="U18" s="132">
        <v>70.641378152455232</v>
      </c>
      <c r="V18" s="132">
        <v>69.583489897294868</v>
      </c>
      <c r="W18" s="132">
        <v>98.100784304237678</v>
      </c>
      <c r="X18" s="132">
        <v>91.828328474033597</v>
      </c>
      <c r="Y18" s="132">
        <v>114.87589993507702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47.162531026149296</v>
      </c>
      <c r="C19" s="130">
        <f t="shared" si="9"/>
        <v>48.400031500010712</v>
      </c>
      <c r="D19" s="130">
        <f t="shared" si="9"/>
        <v>50.180774703924641</v>
      </c>
      <c r="E19" s="130">
        <f t="shared" si="9"/>
        <v>51.834749057969375</v>
      </c>
      <c r="F19" s="130">
        <f t="shared" si="9"/>
        <v>53.09695526747926</v>
      </c>
      <c r="G19" s="130">
        <f t="shared" si="9"/>
        <v>55.607965871971757</v>
      </c>
      <c r="H19" s="130">
        <f t="shared" si="9"/>
        <v>58.954026046326739</v>
      </c>
      <c r="I19" s="130">
        <f t="shared" si="9"/>
        <v>62.027375824865636</v>
      </c>
      <c r="J19" s="130">
        <f t="shared" si="9"/>
        <v>64.330734581568322</v>
      </c>
      <c r="K19" s="130">
        <f t="shared" si="9"/>
        <v>67.323117919919909</v>
      </c>
      <c r="L19" s="130">
        <f t="shared" si="9"/>
        <v>72.446444114490276</v>
      </c>
      <c r="M19" s="130">
        <f t="shared" si="9"/>
        <v>75.317085757821104</v>
      </c>
      <c r="N19" s="130">
        <f t="shared" si="9"/>
        <v>76.478444337417841</v>
      </c>
      <c r="O19" s="130">
        <f t="shared" si="9"/>
        <v>79.195580897190425</v>
      </c>
      <c r="P19" s="130">
        <f t="shared" si="9"/>
        <v>79.651897690446972</v>
      </c>
      <c r="Q19" s="130">
        <f t="shared" si="9"/>
        <v>83.389643521930282</v>
      </c>
      <c r="R19" s="130">
        <f t="shared" ref="R19:W19" si="10">SUM(R20:R27)</f>
        <v>85.638963314146608</v>
      </c>
      <c r="S19" s="130">
        <f t="shared" si="10"/>
        <v>88.796095724361834</v>
      </c>
      <c r="T19" s="130">
        <f t="shared" si="10"/>
        <v>91.580898875547675</v>
      </c>
      <c r="U19" s="130">
        <f t="shared" si="10"/>
        <v>94.657688545687193</v>
      </c>
      <c r="V19" s="130">
        <f t="shared" si="10"/>
        <v>84.622108808404661</v>
      </c>
      <c r="W19" s="130">
        <f t="shared" si="10"/>
        <v>93.033601285524455</v>
      </c>
      <c r="X19" s="130">
        <f t="shared" ref="X19:Y19" si="11">SUM(X20:X27)</f>
        <v>97.96398405385392</v>
      </c>
      <c r="Y19" s="130">
        <f t="shared" si="11"/>
        <v>101.13583656889287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319</v>
      </c>
    </row>
    <row r="22" spans="1:105" ht="12" customHeight="1" x14ac:dyDescent="0.25">
      <c r="A22" s="131" t="s">
        <v>161</v>
      </c>
      <c r="B22" s="132">
        <v>5.0515823430857987</v>
      </c>
      <c r="C22" s="132">
        <v>5.4147375368382828</v>
      </c>
      <c r="D22" s="132">
        <v>5.2035715184555116</v>
      </c>
      <c r="E22" s="132">
        <v>4.7082819197687211</v>
      </c>
      <c r="F22" s="132">
        <v>3.6113117953029401</v>
      </c>
      <c r="G22" s="132">
        <v>3.3115059771115667</v>
      </c>
      <c r="H22" s="132">
        <v>3.23481267288112</v>
      </c>
      <c r="I22" s="132">
        <v>3.270364691658711</v>
      </c>
      <c r="J22" s="132">
        <v>3.2784449931910653</v>
      </c>
      <c r="K22" s="132">
        <v>3.1928452375141618</v>
      </c>
      <c r="L22" s="132">
        <v>3.0658994452735762</v>
      </c>
      <c r="M22" s="132">
        <v>3.0900989975091924</v>
      </c>
      <c r="N22" s="132">
        <v>2.7685144707907274</v>
      </c>
      <c r="O22" s="132">
        <v>2.0175416680576812</v>
      </c>
      <c r="P22" s="132">
        <v>1.5819988445711786</v>
      </c>
      <c r="Q22" s="132">
        <v>1.654839855456709</v>
      </c>
      <c r="R22" s="132">
        <v>1.5047851401928658</v>
      </c>
      <c r="S22" s="132">
        <v>1.241243735753724</v>
      </c>
      <c r="T22" s="132">
        <v>0.71924126096192786</v>
      </c>
      <c r="U22" s="132">
        <v>0.88857933762517638</v>
      </c>
      <c r="V22" s="132">
        <v>0.76949915126256929</v>
      </c>
      <c r="W22" s="132">
        <v>0.79670238330181442</v>
      </c>
      <c r="X22" s="132">
        <v>1.0867529454469045</v>
      </c>
      <c r="Y22" s="132">
        <v>1.8225468573143901</v>
      </c>
      <c r="DA22" s="156" t="s">
        <v>320</v>
      </c>
    </row>
    <row r="23" spans="1:105" ht="12" customHeight="1" x14ac:dyDescent="0.25">
      <c r="A23" s="131" t="s">
        <v>149</v>
      </c>
      <c r="B23" s="132">
        <v>1.3162502036802339</v>
      </c>
      <c r="C23" s="132">
        <v>1.7498062249220647</v>
      </c>
      <c r="D23" s="132">
        <v>2.1918916467538936</v>
      </c>
      <c r="E23" s="132">
        <v>3.148791414879001</v>
      </c>
      <c r="F23" s="132">
        <v>4.0897431567770974</v>
      </c>
      <c r="G23" s="132">
        <v>5.1446748578388988</v>
      </c>
      <c r="H23" s="132">
        <v>6.6715192386352635</v>
      </c>
      <c r="I23" s="132">
        <v>8.4379234906617988</v>
      </c>
      <c r="J23" s="132">
        <v>9.3594493688238973</v>
      </c>
      <c r="K23" s="132">
        <v>10.111011278257546</v>
      </c>
      <c r="L23" s="132">
        <v>10.859973280267443</v>
      </c>
      <c r="M23" s="132">
        <v>11.158361250808387</v>
      </c>
      <c r="N23" s="132">
        <v>11.299982224556198</v>
      </c>
      <c r="O23" s="132">
        <v>11.464819482995805</v>
      </c>
      <c r="P23" s="132">
        <v>11.710002933480954</v>
      </c>
      <c r="Q23" s="132">
        <v>12.061982131583434</v>
      </c>
      <c r="R23" s="132">
        <v>12.287163963810082</v>
      </c>
      <c r="S23" s="132">
        <v>12.740095386637922</v>
      </c>
      <c r="T23" s="132">
        <v>13.287707457962251</v>
      </c>
      <c r="U23" s="132">
        <v>13.570218374787608</v>
      </c>
      <c r="V23" s="132">
        <v>11.663445387926654</v>
      </c>
      <c r="W23" s="132">
        <v>12.37447123522934</v>
      </c>
      <c r="X23" s="132">
        <v>10.657800058196608</v>
      </c>
      <c r="Y23" s="132">
        <v>12.505942205343853</v>
      </c>
      <c r="DA23" s="156" t="s">
        <v>321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322</v>
      </c>
    </row>
    <row r="25" spans="1:105" ht="12" customHeight="1" x14ac:dyDescent="0.25">
      <c r="A25" s="131" t="s">
        <v>162</v>
      </c>
      <c r="B25" s="132">
        <v>16.836668288685946</v>
      </c>
      <c r="C25" s="132">
        <v>16.996552410882554</v>
      </c>
      <c r="D25" s="132">
        <v>17.428347591757017</v>
      </c>
      <c r="E25" s="132">
        <v>18.073530776990403</v>
      </c>
      <c r="F25" s="132">
        <v>18.579472657930051</v>
      </c>
      <c r="G25" s="132">
        <v>18.84671490216185</v>
      </c>
      <c r="H25" s="132">
        <v>18.870921399368971</v>
      </c>
      <c r="I25" s="132">
        <v>18.884973056689248</v>
      </c>
      <c r="J25" s="132">
        <v>18.978837896448717</v>
      </c>
      <c r="K25" s="132">
        <v>18.901782095407746</v>
      </c>
      <c r="L25" s="132">
        <v>18.919106589144189</v>
      </c>
      <c r="M25" s="132">
        <v>19.137983597070736</v>
      </c>
      <c r="N25" s="132">
        <v>19.178363101876602</v>
      </c>
      <c r="O25" s="132">
        <v>19.466150430395711</v>
      </c>
      <c r="P25" s="132">
        <v>19.833198527492787</v>
      </c>
      <c r="Q25" s="132">
        <v>20.423925143046226</v>
      </c>
      <c r="R25" s="132">
        <v>21.111849527270071</v>
      </c>
      <c r="S25" s="132">
        <v>22.008568408353707</v>
      </c>
      <c r="T25" s="132">
        <v>22.640126373082211</v>
      </c>
      <c r="U25" s="132">
        <v>22.933299116993975</v>
      </c>
      <c r="V25" s="132">
        <v>21.491491556978922</v>
      </c>
      <c r="W25" s="132">
        <v>22.953192490083197</v>
      </c>
      <c r="X25" s="132">
        <v>27.705165945810563</v>
      </c>
      <c r="Y25" s="132">
        <v>26.276411260455568</v>
      </c>
      <c r="DA25" s="156" t="s">
        <v>323</v>
      </c>
    </row>
    <row r="26" spans="1:105" ht="12" customHeight="1" x14ac:dyDescent="0.25">
      <c r="A26" s="131" t="s">
        <v>24</v>
      </c>
      <c r="B26" s="65">
        <v>23.958030190697315</v>
      </c>
      <c r="C26" s="65">
        <v>24.238935327367813</v>
      </c>
      <c r="D26" s="65">
        <v>25.356963946958217</v>
      </c>
      <c r="E26" s="65">
        <v>25.904144946331247</v>
      </c>
      <c r="F26" s="65">
        <v>26.81642765746917</v>
      </c>
      <c r="G26" s="65">
        <v>28.305070134859445</v>
      </c>
      <c r="H26" s="65">
        <v>30.176772735441382</v>
      </c>
      <c r="I26" s="65">
        <v>31.43411458585588</v>
      </c>
      <c r="J26" s="65">
        <v>32.714002323104644</v>
      </c>
      <c r="K26" s="65">
        <v>35.117479308740457</v>
      </c>
      <c r="L26" s="65">
        <v>35.827690079254758</v>
      </c>
      <c r="M26" s="65">
        <v>36.055061516903983</v>
      </c>
      <c r="N26" s="65">
        <v>36.066236302877016</v>
      </c>
      <c r="O26" s="65">
        <v>36.143887888398154</v>
      </c>
      <c r="P26" s="65">
        <v>36.280179758074901</v>
      </c>
      <c r="Q26" s="65">
        <v>37.115534397002996</v>
      </c>
      <c r="R26" s="65">
        <v>38.0046401772846</v>
      </c>
      <c r="S26" s="65">
        <v>39.303608657932919</v>
      </c>
      <c r="T26" s="65">
        <v>40.472602803317713</v>
      </c>
      <c r="U26" s="65">
        <v>42.139882343967479</v>
      </c>
      <c r="V26" s="65">
        <v>34.802917768126477</v>
      </c>
      <c r="W26" s="65">
        <v>39.986793216462985</v>
      </c>
      <c r="X26" s="65">
        <v>39.939888492190043</v>
      </c>
      <c r="Y26" s="65">
        <v>41.252174422907189</v>
      </c>
      <c r="DA26" s="109" t="s">
        <v>324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3.7737747205503012</v>
      </c>
      <c r="M27" s="145">
        <v>5.8755803955288073</v>
      </c>
      <c r="N27" s="145">
        <v>7.165348237317283</v>
      </c>
      <c r="O27" s="145">
        <v>10.103181427343078</v>
      </c>
      <c r="P27" s="145">
        <v>10.246517626827158</v>
      </c>
      <c r="Q27" s="145">
        <v>12.133361994840925</v>
      </c>
      <c r="R27" s="145">
        <v>12.730524505588994</v>
      </c>
      <c r="S27" s="145">
        <v>13.502579535683569</v>
      </c>
      <c r="T27" s="145">
        <v>14.461220980223572</v>
      </c>
      <c r="U27" s="145">
        <v>15.125709372312958</v>
      </c>
      <c r="V27" s="145">
        <v>15.894754944110037</v>
      </c>
      <c r="W27" s="145">
        <v>16.922441960447117</v>
      </c>
      <c r="X27" s="145">
        <v>18.574376612209797</v>
      </c>
      <c r="Y27" s="145">
        <v>19.278761822871871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57.471687683690078</v>
      </c>
      <c r="C29" s="130">
        <f t="shared" si="12"/>
        <v>60.564684740200903</v>
      </c>
      <c r="D29" s="130">
        <f t="shared" si="12"/>
        <v>61.902982933395251</v>
      </c>
      <c r="E29" s="130">
        <f t="shared" si="12"/>
        <v>64.22228626709105</v>
      </c>
      <c r="F29" s="130">
        <f t="shared" si="12"/>
        <v>67.580203919592023</v>
      </c>
      <c r="G29" s="130">
        <f t="shared" si="12"/>
        <v>68.597324988109904</v>
      </c>
      <c r="H29" s="130">
        <f t="shared" si="12"/>
        <v>71.069082610817091</v>
      </c>
      <c r="I29" s="130">
        <f t="shared" si="12"/>
        <v>73.575744050382497</v>
      </c>
      <c r="J29" s="130">
        <f t="shared" si="12"/>
        <v>77.098949084936237</v>
      </c>
      <c r="K29" s="130">
        <f t="shared" si="12"/>
        <v>79.766463157856947</v>
      </c>
      <c r="L29" s="130">
        <f t="shared" si="12"/>
        <v>84.242686761179499</v>
      </c>
      <c r="M29" s="130">
        <f t="shared" si="12"/>
        <v>85.976091332770295</v>
      </c>
      <c r="N29" s="130">
        <f t="shared" si="12"/>
        <v>90.477329542110198</v>
      </c>
      <c r="O29" s="130">
        <f t="shared" si="12"/>
        <v>91.482807815082012</v>
      </c>
      <c r="P29" s="130">
        <f t="shared" si="12"/>
        <v>91.446910476220197</v>
      </c>
      <c r="Q29" s="130">
        <f t="shared" si="12"/>
        <v>94.025209327135812</v>
      </c>
      <c r="R29" s="130">
        <f t="shared" ref="R29:W29" si="13">SUM(R30:R33)</f>
        <v>96.398767347254392</v>
      </c>
      <c r="S29" s="130">
        <f t="shared" si="13"/>
        <v>101.15622290218084</v>
      </c>
      <c r="T29" s="130">
        <f t="shared" si="13"/>
        <v>106.77602614395518</v>
      </c>
      <c r="U29" s="130">
        <f t="shared" si="13"/>
        <v>109.60389865507304</v>
      </c>
      <c r="V29" s="130">
        <f t="shared" si="13"/>
        <v>92.80508808164204</v>
      </c>
      <c r="W29" s="130">
        <f t="shared" si="13"/>
        <v>105.95831052974333</v>
      </c>
      <c r="X29" s="130">
        <f t="shared" ref="X29:Y29" si="14">SUM(X30:X33)</f>
        <v>111.97158781259066</v>
      </c>
      <c r="Y29" s="130">
        <f t="shared" si="14"/>
        <v>110.54005782409475</v>
      </c>
      <c r="DA29" s="155" t="s">
        <v>326</v>
      </c>
    </row>
    <row r="30" spans="1:105" ht="12" customHeight="1" x14ac:dyDescent="0.25">
      <c r="A30" s="131" t="s">
        <v>52</v>
      </c>
      <c r="B30" s="132">
        <v>0.60581324433663586</v>
      </c>
      <c r="C30" s="132">
        <v>2.4261996743517629</v>
      </c>
      <c r="D30" s="132">
        <v>0.60663494988402478</v>
      </c>
      <c r="E30" s="132">
        <v>0.6067141314614507</v>
      </c>
      <c r="F30" s="132">
        <v>1.3405684820080421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3.0155433365793454</v>
      </c>
      <c r="M30" s="132">
        <v>3.6194807662010828</v>
      </c>
      <c r="N30" s="132">
        <v>6.636966011430026</v>
      </c>
      <c r="O30" s="132">
        <v>4.8270727757443028</v>
      </c>
      <c r="P30" s="132">
        <v>3.0170543974192601</v>
      </c>
      <c r="Q30" s="132">
        <v>3.0174717088262071</v>
      </c>
      <c r="R30" s="132">
        <v>3.6248687667612858</v>
      </c>
      <c r="S30" s="132">
        <v>4.6415152832408308</v>
      </c>
      <c r="T30" s="132">
        <v>5.6425216190344072</v>
      </c>
      <c r="U30" s="132">
        <v>5.8435663880657787</v>
      </c>
      <c r="V30" s="132">
        <v>4.8784094828494062</v>
      </c>
      <c r="W30" s="132">
        <v>5.936078032013544</v>
      </c>
      <c r="X30" s="132">
        <v>7.1103562504778353</v>
      </c>
      <c r="Y30" s="132">
        <v>7.9930313104799158</v>
      </c>
      <c r="DA30" s="156" t="s">
        <v>327</v>
      </c>
    </row>
    <row r="31" spans="1:105" ht="12" customHeight="1" x14ac:dyDescent="0.25">
      <c r="A31" s="131" t="s">
        <v>149</v>
      </c>
      <c r="B31" s="132">
        <v>1.5697106981460947</v>
      </c>
      <c r="C31" s="132">
        <v>1.8245611815802891</v>
      </c>
      <c r="D31" s="132">
        <v>2.2845964177005289</v>
      </c>
      <c r="E31" s="132">
        <v>3.1774876722027146</v>
      </c>
      <c r="F31" s="132">
        <v>4.2509735819244678</v>
      </c>
      <c r="G31" s="132">
        <v>4.992203254624819</v>
      </c>
      <c r="H31" s="132">
        <v>6.9364186749019705</v>
      </c>
      <c r="I31" s="132">
        <v>8.1434960121788507</v>
      </c>
      <c r="J31" s="132">
        <v>8.6917873446837302</v>
      </c>
      <c r="K31" s="132">
        <v>8.8438798503380731</v>
      </c>
      <c r="L31" s="132">
        <v>9.0475951923546702</v>
      </c>
      <c r="M31" s="132">
        <v>9.1891748781050211</v>
      </c>
      <c r="N31" s="132">
        <v>9.4221727020080586</v>
      </c>
      <c r="O31" s="132">
        <v>9.6621764830738321</v>
      </c>
      <c r="P31" s="132">
        <v>9.7909289795987746</v>
      </c>
      <c r="Q31" s="132">
        <v>9.8369740573217417</v>
      </c>
      <c r="R31" s="132">
        <v>9.6002580794664549</v>
      </c>
      <c r="S31" s="132">
        <v>9.5354811741891563</v>
      </c>
      <c r="T31" s="132">
        <v>9.3818184692767996</v>
      </c>
      <c r="U31" s="132">
        <v>8.9405064175849986</v>
      </c>
      <c r="V31" s="132">
        <v>7.6855164815336421</v>
      </c>
      <c r="W31" s="132">
        <v>8.7256060632494226</v>
      </c>
      <c r="X31" s="132">
        <v>8.4120782561885825</v>
      </c>
      <c r="Y31" s="132">
        <v>8.1502839813498156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2.6050539129616697</v>
      </c>
      <c r="K32" s="132">
        <v>2.5681252282263416</v>
      </c>
      <c r="L32" s="132">
        <v>2.4565077780667899</v>
      </c>
      <c r="M32" s="132">
        <v>2.2332865122832164</v>
      </c>
      <c r="N32" s="132">
        <v>1.93545276610817</v>
      </c>
      <c r="O32" s="132">
        <v>1.7865717840998492</v>
      </c>
      <c r="P32" s="132">
        <v>1.674893102054007</v>
      </c>
      <c r="Q32" s="132">
        <v>1.6755264979460349</v>
      </c>
      <c r="R32" s="132">
        <v>1.8652241361988746</v>
      </c>
      <c r="S32" s="132">
        <v>4.2422268053889329</v>
      </c>
      <c r="T32" s="132">
        <v>7.2428926237398876</v>
      </c>
      <c r="U32" s="132">
        <v>8.9890120616843472</v>
      </c>
      <c r="V32" s="132">
        <v>8.2586573592301367</v>
      </c>
      <c r="W32" s="132">
        <v>8.4847945226257089</v>
      </c>
      <c r="X32" s="132">
        <v>12.968530655458453</v>
      </c>
      <c r="Y32" s="132">
        <v>9.4839018218073843</v>
      </c>
      <c r="DA32" s="156" t="s">
        <v>329</v>
      </c>
    </row>
    <row r="33" spans="1:105" ht="12" customHeight="1" x14ac:dyDescent="0.25">
      <c r="A33" s="62" t="s">
        <v>24</v>
      </c>
      <c r="B33" s="68">
        <v>55.296163741207344</v>
      </c>
      <c r="C33" s="68">
        <v>56.313923884268853</v>
      </c>
      <c r="D33" s="68">
        <v>59.011751565810698</v>
      </c>
      <c r="E33" s="68">
        <v>60.43808446342689</v>
      </c>
      <c r="F33" s="68">
        <v>61.988661855659515</v>
      </c>
      <c r="G33" s="68">
        <v>63.605121733485092</v>
      </c>
      <c r="H33" s="68">
        <v>64.132663935915119</v>
      </c>
      <c r="I33" s="68">
        <v>65.432248038203653</v>
      </c>
      <c r="J33" s="68">
        <v>65.80210782729084</v>
      </c>
      <c r="K33" s="68">
        <v>68.354458079292527</v>
      </c>
      <c r="L33" s="68">
        <v>69.723040454178687</v>
      </c>
      <c r="M33" s="68">
        <v>70.934149176180981</v>
      </c>
      <c r="N33" s="68">
        <v>72.482738062563939</v>
      </c>
      <c r="O33" s="68">
        <v>75.206986772164029</v>
      </c>
      <c r="P33" s="68">
        <v>76.96403399714815</v>
      </c>
      <c r="Q33" s="68">
        <v>79.495237063041827</v>
      </c>
      <c r="R33" s="68">
        <v>81.308416364827778</v>
      </c>
      <c r="S33" s="68">
        <v>82.736999639361926</v>
      </c>
      <c r="T33" s="68">
        <v>84.508793431904081</v>
      </c>
      <c r="U33" s="68">
        <v>85.83081378773791</v>
      </c>
      <c r="V33" s="68">
        <v>71.982504758028853</v>
      </c>
      <c r="W33" s="68">
        <v>82.811831911854654</v>
      </c>
      <c r="X33" s="68">
        <v>83.48062265046579</v>
      </c>
      <c r="Y33" s="68">
        <v>84.91284071045763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0.61712836450307484</v>
      </c>
      <c r="C3" s="126">
        <f>IF(SER_hh_tes!C3=0,"",SER_hh_tes!C3/SER_hh_fec!C3)</f>
        <v>0.59376199030449162</v>
      </c>
      <c r="D3" s="126">
        <f>IF(SER_hh_tes!D3=0,"",SER_hh_tes!D3/SER_hh_fec!D3)</f>
        <v>0.62789108272456606</v>
      </c>
      <c r="E3" s="126">
        <f>IF(SER_hh_tes!E3=0,"",SER_hh_tes!E3/SER_hh_fec!E3)</f>
        <v>0.6679532999832215</v>
      </c>
      <c r="F3" s="126">
        <f>IF(SER_hh_tes!F3=0,"",SER_hh_tes!F3/SER_hh_fec!F3)</f>
        <v>0.70117693214856935</v>
      </c>
      <c r="G3" s="126">
        <f>IF(SER_hh_tes!G3=0,"",SER_hh_tes!G3/SER_hh_fec!G3)</f>
        <v>0.71487860556861949</v>
      </c>
      <c r="H3" s="126">
        <f>IF(SER_hh_tes!H3=0,"",SER_hh_tes!H3/SER_hh_fec!H3)</f>
        <v>0.7080832486719163</v>
      </c>
      <c r="I3" s="126">
        <f>IF(SER_hh_tes!I3=0,"",SER_hh_tes!I3/SER_hh_fec!I3)</f>
        <v>0.77211161400632933</v>
      </c>
      <c r="J3" s="126">
        <f>IF(SER_hh_tes!J3=0,"",SER_hh_tes!J3/SER_hh_fec!J3)</f>
        <v>0.73791009890366444</v>
      </c>
      <c r="K3" s="126">
        <f>IF(SER_hh_tes!K3=0,"",SER_hh_tes!K3/SER_hh_fec!K3)</f>
        <v>0.7564916851593132</v>
      </c>
      <c r="L3" s="126">
        <f>IF(SER_hh_tes!L3=0,"",SER_hh_tes!L3/SER_hh_fec!L3)</f>
        <v>0.78800434820515763</v>
      </c>
      <c r="M3" s="126">
        <f>IF(SER_hh_tes!M3=0,"",SER_hh_tes!M3/SER_hh_fec!M3)</f>
        <v>0.78927384541493573</v>
      </c>
      <c r="N3" s="126">
        <f>IF(SER_hh_tes!N3=0,"",SER_hh_tes!N3/SER_hh_fec!N3)</f>
        <v>0.86571769167226698</v>
      </c>
      <c r="O3" s="126">
        <f>IF(SER_hh_tes!O3=0,"",SER_hh_tes!O3/SER_hh_fec!O3)</f>
        <v>0.87380409601029485</v>
      </c>
      <c r="P3" s="126">
        <f>IF(SER_hh_tes!P3=0,"",SER_hh_tes!P3/SER_hh_fec!P3)</f>
        <v>0.89909601677477002</v>
      </c>
      <c r="Q3" s="126">
        <f>IF(SER_hh_tes!Q3=0,"",SER_hh_tes!Q3/SER_hh_fec!Q3)</f>
        <v>0.92729727664163986</v>
      </c>
      <c r="R3" s="126">
        <f>IF(SER_hh_tes!R3=0,"",SER_hh_tes!R3/SER_hh_fec!R3)</f>
        <v>0.91789879510668693</v>
      </c>
      <c r="S3" s="126">
        <f>IF(SER_hh_tes!S3=0,"",SER_hh_tes!S3/SER_hh_fec!S3)</f>
        <v>0.92367841383836502</v>
      </c>
      <c r="T3" s="126">
        <f>IF(SER_hh_tes!T3=0,"",SER_hh_tes!T3/SER_hh_fec!T3)</f>
        <v>0.88896576144373118</v>
      </c>
      <c r="U3" s="126">
        <f>IF(SER_hh_tes!U3=0,"",SER_hh_tes!U3/SER_hh_fec!U3)</f>
        <v>0.90953002703887131</v>
      </c>
      <c r="V3" s="126">
        <f>IF(SER_hh_tes!V3=0,"",SER_hh_tes!V3/SER_hh_fec!V3)</f>
        <v>0.98894914604862127</v>
      </c>
      <c r="W3" s="126">
        <f>IF(SER_hh_tes!W3=0,"",SER_hh_tes!W3/SER_hh_fec!W3)</f>
        <v>0.97868567871911338</v>
      </c>
      <c r="X3" s="126">
        <f>IF(SER_hh_tes!X3=0,"",SER_hh_tes!X3/SER_hh_fec!X3)</f>
        <v>0.99417958121240957</v>
      </c>
      <c r="Y3" s="126">
        <f>IF(SER_hh_tes!Y3=0,"",SER_hh_tes!Y3/SER_hh_fec!Y3)</f>
        <v>1.0882474544076317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0.55952098744692647</v>
      </c>
      <c r="C4" s="135">
        <f>IF(SER_hh_tes!C4=0,"",SER_hh_tes!C4/SER_hh_fec!C4)</f>
        <v>0.53763480193923174</v>
      </c>
      <c r="D4" s="135">
        <f>IF(SER_hh_tes!D4=0,"",SER_hh_tes!D4/SER_hh_fec!D4)</f>
        <v>0.5881299945428331</v>
      </c>
      <c r="E4" s="135">
        <f>IF(SER_hh_tes!E4=0,"",SER_hh_tes!E4/SER_hh_fec!E4)</f>
        <v>0.63937012219743516</v>
      </c>
      <c r="F4" s="135">
        <f>IF(SER_hh_tes!F4=0,"",SER_hh_tes!F4/SER_hh_fec!F4)</f>
        <v>0.69095787572423062</v>
      </c>
      <c r="G4" s="135">
        <f>IF(SER_hh_tes!G4=0,"",SER_hh_tes!G4/SER_hh_fec!G4)</f>
        <v>0.7084345571163535</v>
      </c>
      <c r="H4" s="135">
        <f>IF(SER_hh_tes!H4=0,"",SER_hh_tes!H4/SER_hh_fec!H4)</f>
        <v>0.68914279319137417</v>
      </c>
      <c r="I4" s="135">
        <f>IF(SER_hh_tes!I4=0,"",SER_hh_tes!I4/SER_hh_fec!I4)</f>
        <v>0.72201836606696879</v>
      </c>
      <c r="J4" s="135">
        <f>IF(SER_hh_tes!J4=0,"",SER_hh_tes!J4/SER_hh_fec!J4)</f>
        <v>0.70833617531885562</v>
      </c>
      <c r="K4" s="135">
        <f>IF(SER_hh_tes!K4=0,"",SER_hh_tes!K4/SER_hh_fec!K4)</f>
        <v>0.74387546653471159</v>
      </c>
      <c r="L4" s="135">
        <f>IF(SER_hh_tes!L4=0,"",SER_hh_tes!L4/SER_hh_fec!L4)</f>
        <v>0.77258812096421325</v>
      </c>
      <c r="M4" s="135">
        <f>IF(SER_hh_tes!M4=0,"",SER_hh_tes!M4/SER_hh_fec!M4)</f>
        <v>0.78409364898361533</v>
      </c>
      <c r="N4" s="135">
        <f>IF(SER_hh_tes!N4=0,"",SER_hh_tes!N4/SER_hh_fec!N4)</f>
        <v>0.80332160618176418</v>
      </c>
      <c r="O4" s="135">
        <f>IF(SER_hh_tes!O4=0,"",SER_hh_tes!O4/SER_hh_fec!O4)</f>
        <v>0.91554896270800012</v>
      </c>
      <c r="P4" s="135">
        <f>IF(SER_hh_tes!P4=0,"",SER_hh_tes!P4/SER_hh_fec!P4)</f>
        <v>0.9671826071015146</v>
      </c>
      <c r="Q4" s="135">
        <f>IF(SER_hh_tes!Q4=0,"",SER_hh_tes!Q4/SER_hh_fec!Q4)</f>
        <v>0.9492182990913306</v>
      </c>
      <c r="R4" s="135">
        <f>IF(SER_hh_tes!R4=0,"",SER_hh_tes!R4/SER_hh_fec!R4)</f>
        <v>0.93076129335675262</v>
      </c>
      <c r="S4" s="135">
        <f>IF(SER_hh_tes!S4=0,"",SER_hh_tes!S4/SER_hh_fec!S4)</f>
        <v>0.92918446426875323</v>
      </c>
      <c r="T4" s="135">
        <f>IF(SER_hh_tes!T4=0,"",SER_hh_tes!T4/SER_hh_fec!T4)</f>
        <v>0.90081762641148011</v>
      </c>
      <c r="U4" s="135">
        <f>IF(SER_hh_tes!U4=0,"",SER_hh_tes!U4/SER_hh_fec!U4)</f>
        <v>0.91707838861035118</v>
      </c>
      <c r="V4" s="135">
        <f>IF(SER_hh_tes!V4=0,"",SER_hh_tes!V4/SER_hh_fec!V4)</f>
        <v>1.0275703649993937</v>
      </c>
      <c r="W4" s="135">
        <f>IF(SER_hh_tes!W4=0,"",SER_hh_tes!W4/SER_hh_fec!W4)</f>
        <v>0.96474779632586471</v>
      </c>
      <c r="X4" s="135">
        <f>IF(SER_hh_tes!X4=0,"",SER_hh_tes!X4/SER_hh_fec!X4)</f>
        <v>0.99969781226671817</v>
      </c>
      <c r="Y4" s="135">
        <f>IF(SER_hh_tes!Y4=0,"",SER_hh_tes!Y4/SER_hh_fec!Y4)</f>
        <v>1.1106201922470775</v>
      </c>
      <c r="DA4" s="162" t="s">
        <v>240</v>
      </c>
    </row>
    <row r="5" spans="1:105" ht="12" customHeight="1" x14ac:dyDescent="0.25">
      <c r="A5" s="131" t="s">
        <v>29</v>
      </c>
      <c r="B5" s="136">
        <f>IF(SER_hh_tes!B5=0,"",SER_hh_tes!B5/SER_hh_fec!B5)</f>
        <v>0.46881375707219669</v>
      </c>
      <c r="C5" s="136">
        <f>IF(SER_hh_tes!C5=0,"",SER_hh_tes!C5/SER_hh_fec!C5)</f>
        <v>0.48024803872736449</v>
      </c>
      <c r="D5" s="136">
        <f>IF(SER_hh_tes!D5=0,"",SER_hh_tes!D5/SER_hh_fec!D5)</f>
        <v>0.49975054452275297</v>
      </c>
      <c r="E5" s="136">
        <f>IF(SER_hh_tes!E5=0,"",SER_hh_tes!E5/SER_hh_fec!E5)</f>
        <v>0.5101311171781624</v>
      </c>
      <c r="F5" s="136">
        <f>IF(SER_hh_tes!F5=0,"",SER_hh_tes!F5/SER_hh_fec!F5)</f>
        <v>0.51510014723107411</v>
      </c>
      <c r="G5" s="136">
        <f>IF(SER_hh_tes!G5=0,"",SER_hh_tes!G5/SER_hh_fec!G5)</f>
        <v>0.51726203915343272</v>
      </c>
      <c r="H5" s="136">
        <f>IF(SER_hh_tes!H5=0,"",SER_hh_tes!H5/SER_hh_fec!H5)</f>
        <v>0.51921086804860961</v>
      </c>
      <c r="I5" s="136">
        <f>IF(SER_hh_tes!I5=0,"",SER_hh_tes!I5/SER_hh_fec!I5)</f>
        <v>0.52074497655795982</v>
      </c>
      <c r="J5" s="136">
        <f>IF(SER_hh_tes!J5=0,"",SER_hh_tes!J5/SER_hh_fec!J5)</f>
        <v>0.52519278018627813</v>
      </c>
      <c r="K5" s="136">
        <f>IF(SER_hh_tes!K5=0,"",SER_hh_tes!K5/SER_hh_fec!K5)</f>
        <v>0.53035485192231668</v>
      </c>
      <c r="L5" s="136">
        <f>IF(SER_hh_tes!L5=0,"",SER_hh_tes!L5/SER_hh_fec!L5)</f>
        <v>0.53563904108800497</v>
      </c>
      <c r="M5" s="136">
        <f>IF(SER_hh_tes!M5=0,"",SER_hh_tes!M5/SER_hh_fec!M5)</f>
        <v>0.54565448243704984</v>
      </c>
      <c r="N5" s="136">
        <f>IF(SER_hh_tes!N5=0,"",SER_hh_tes!N5/SER_hh_fec!N5)</f>
        <v>0.55748929312110551</v>
      </c>
      <c r="O5" s="136">
        <f>IF(SER_hh_tes!O5=0,"",SER_hh_tes!O5/SER_hh_fec!O5)</f>
        <v>0.57005999848740541</v>
      </c>
      <c r="P5" s="136">
        <f>IF(SER_hh_tes!P5=0,"",SER_hh_tes!P5/SER_hh_fec!P5)</f>
        <v>0.5748049201504366</v>
      </c>
      <c r="Q5" s="136">
        <f>IF(SER_hh_tes!Q5=0,"",SER_hh_tes!Q5/SER_hh_fec!Q5)</f>
        <v>0.58340662401892718</v>
      </c>
      <c r="R5" s="136">
        <f>IF(SER_hh_tes!R5=0,"",SER_hh_tes!R5/SER_hh_fec!R5)</f>
        <v>0.59352691985457773</v>
      </c>
      <c r="S5" s="136">
        <f>IF(SER_hh_tes!S5=0,"",SER_hh_tes!S5/SER_hh_fec!S5)</f>
        <v>0.60535830666508372</v>
      </c>
      <c r="T5" s="136">
        <f>IF(SER_hh_tes!T5=0,"",SER_hh_tes!T5/SER_hh_fec!T5)</f>
        <v>0.61676828888340884</v>
      </c>
      <c r="U5" s="136">
        <f>IF(SER_hh_tes!U5=0,"",SER_hh_tes!U5/SER_hh_fec!U5)</f>
        <v>0.62544255047704278</v>
      </c>
      <c r="V5" s="136">
        <f>IF(SER_hh_tes!V5=0,"",SER_hh_tes!V5/SER_hh_fec!V5)</f>
        <v>0.62790841319831203</v>
      </c>
      <c r="W5" s="136">
        <f>IF(SER_hh_tes!W5=0,"",SER_hh_tes!W5/SER_hh_fec!W5)</f>
        <v>0.62840866629573833</v>
      </c>
      <c r="X5" s="136">
        <f>IF(SER_hh_tes!X5=0,"",SER_hh_tes!X5/SER_hh_fec!X5)</f>
        <v>0.62853612459996511</v>
      </c>
      <c r="Y5" s="136">
        <f>IF(SER_hh_tes!Y5=0,"",SER_hh_tes!Y5/SER_hh_fec!Y5)</f>
        <v>0.62872534836932659</v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0.39637123147439285</v>
      </c>
      <c r="C7" s="136">
        <f>IF(SER_hh_tes!C7=0,"",SER_hh_tes!C7/SER_hh_fec!C7)</f>
        <v>0.39716581170064369</v>
      </c>
      <c r="D7" s="136">
        <f>IF(SER_hh_tes!D7=0,"",SER_hh_tes!D7/SER_hh_fec!D7)</f>
        <v>0.39723778357353573</v>
      </c>
      <c r="E7" s="136">
        <f>IF(SER_hh_tes!E7=0,"",SER_hh_tes!E7/SER_hh_fec!E7)</f>
        <v>0.39723778357353579</v>
      </c>
      <c r="F7" s="136">
        <f>IF(SER_hh_tes!F7=0,"",SER_hh_tes!F7/SER_hh_fec!F7)</f>
        <v>0.39723778357353573</v>
      </c>
      <c r="G7" s="136">
        <f>IF(SER_hh_tes!G7=0,"",SER_hh_tes!G7/SER_hh_fec!G7)</f>
        <v>0.39723778357353579</v>
      </c>
      <c r="H7" s="136">
        <f>IF(SER_hh_tes!H7=0,"",SER_hh_tes!H7/SER_hh_fec!H7)</f>
        <v>0.39812753849121812</v>
      </c>
      <c r="I7" s="136">
        <f>IF(SER_hh_tes!I7=0,"",SER_hh_tes!I7/SER_hh_fec!I7)</f>
        <v>0.39812732402210083</v>
      </c>
      <c r="J7" s="136">
        <f>IF(SER_hh_tes!J7=0,"",SER_hh_tes!J7/SER_hh_fec!J7)</f>
        <v>0.39812732402210066</v>
      </c>
      <c r="K7" s="136">
        <f>IF(SER_hh_tes!K7=0,"",SER_hh_tes!K7/SER_hh_fec!K7)</f>
        <v>0.4015923213100917</v>
      </c>
      <c r="L7" s="136">
        <f>IF(SER_hh_tes!L7=0,"",SER_hh_tes!L7/SER_hh_fec!L7)</f>
        <v>0.40971409700729683</v>
      </c>
      <c r="M7" s="136">
        <f>IF(SER_hh_tes!M7=0,"",SER_hh_tes!M7/SER_hh_fec!M7)</f>
        <v>0.41541842191668793</v>
      </c>
      <c r="N7" s="136">
        <f>IF(SER_hh_tes!N7=0,"",SER_hh_tes!N7/SER_hh_fec!N7)</f>
        <v>0.44562714988933877</v>
      </c>
      <c r="O7" s="136">
        <f>IF(SER_hh_tes!O7=0,"",SER_hh_tes!O7/SER_hh_fec!O7)</f>
        <v>0.51988444045996463</v>
      </c>
      <c r="P7" s="136">
        <f>IF(SER_hh_tes!P7=0,"",SER_hh_tes!P7/SER_hh_fec!P7)</f>
        <v>0.52978048437036962</v>
      </c>
      <c r="Q7" s="136">
        <f>IF(SER_hh_tes!Q7=0,"",SER_hh_tes!Q7/SER_hh_fec!Q7)</f>
        <v>0.55479065120752724</v>
      </c>
      <c r="R7" s="136">
        <f>IF(SER_hh_tes!R7=0,"",SER_hh_tes!R7/SER_hh_fec!R7)</f>
        <v>0.56050932864115199</v>
      </c>
      <c r="S7" s="136">
        <f>IF(SER_hh_tes!S7=0,"",SER_hh_tes!S7/SER_hh_fec!S7)</f>
        <v>0.56354592159030303</v>
      </c>
      <c r="T7" s="136">
        <f>IF(SER_hh_tes!T7=0,"",SER_hh_tes!T7/SER_hh_fec!T7)</f>
        <v>0.56373997735443049</v>
      </c>
      <c r="U7" s="136">
        <f>IF(SER_hh_tes!U7=0,"",SER_hh_tes!U7/SER_hh_fec!U7)</f>
        <v>0.56373997735443082</v>
      </c>
      <c r="V7" s="136">
        <f>IF(SER_hh_tes!V7=0,"",SER_hh_tes!V7/SER_hh_fec!V7)</f>
        <v>0.56405905338882789</v>
      </c>
      <c r="W7" s="136">
        <f>IF(SER_hh_tes!W7=0,"",SER_hh_tes!W7/SER_hh_fec!W7)</f>
        <v>0.56650135589313</v>
      </c>
      <c r="X7" s="136">
        <f>IF(SER_hh_tes!X7=0,"",SER_hh_tes!X7/SER_hh_fec!X7)</f>
        <v>0.57422122160595579</v>
      </c>
      <c r="Y7" s="136">
        <f>IF(SER_hh_tes!Y7=0,"",SER_hh_tes!Y7/SER_hh_fec!Y7)</f>
        <v>0.59064231142469437</v>
      </c>
      <c r="DA7" s="163" t="s">
        <v>334</v>
      </c>
    </row>
    <row r="8" spans="1:105" ht="12" customHeight="1" x14ac:dyDescent="0.25">
      <c r="A8" s="131" t="s">
        <v>73</v>
      </c>
      <c r="B8" s="136" t="str">
        <f>IF(SER_hh_tes!B8=0,"",SER_hh_tes!B8/SER_hh_fec!B8)</f>
        <v/>
      </c>
      <c r="C8" s="136" t="str">
        <f>IF(SER_hh_tes!C8=0,"",SER_hh_tes!C8/SER_hh_fec!C8)</f>
        <v/>
      </c>
      <c r="D8" s="136" t="str">
        <f>IF(SER_hh_tes!D8=0,"",SER_hh_tes!D8/SER_hh_fec!D8)</f>
        <v/>
      </c>
      <c r="E8" s="136" t="str">
        <f>IF(SER_hh_tes!E8=0,"",SER_hh_tes!E8/SER_hh_fec!E8)</f>
        <v/>
      </c>
      <c r="F8" s="136" t="str">
        <f>IF(SER_hh_tes!F8=0,"",SER_hh_tes!F8/SER_hh_fec!F8)</f>
        <v/>
      </c>
      <c r="G8" s="136" t="str">
        <f>IF(SER_hh_tes!G8=0,"",SER_hh_tes!G8/SER_hh_fec!G8)</f>
        <v/>
      </c>
      <c r="H8" s="136" t="str">
        <f>IF(SER_hh_tes!H8=0,"",SER_hh_tes!H8/SER_hh_fec!H8)</f>
        <v/>
      </c>
      <c r="I8" s="136" t="str">
        <f>IF(SER_hh_tes!I8=0,"",SER_hh_tes!I8/SER_hh_fec!I8)</f>
        <v/>
      </c>
      <c r="J8" s="136" t="str">
        <f>IF(SER_hh_tes!J8=0,"",SER_hh_tes!J8/SER_hh_fec!J8)</f>
        <v/>
      </c>
      <c r="K8" s="136" t="str">
        <f>IF(SER_hh_tes!K8=0,"",SER_hh_tes!K8/SER_hh_fec!K8)</f>
        <v/>
      </c>
      <c r="L8" s="136" t="str">
        <f>IF(SER_hh_tes!L8=0,"",SER_hh_tes!L8/SER_hh_fec!L8)</f>
        <v/>
      </c>
      <c r="M8" s="136" t="str">
        <f>IF(SER_hh_tes!M8=0,"",SER_hh_tes!M8/SER_hh_fec!M8)</f>
        <v/>
      </c>
      <c r="N8" s="136" t="str">
        <f>IF(SER_hh_tes!N8=0,"",SER_hh_tes!N8/SER_hh_fec!N8)</f>
        <v/>
      </c>
      <c r="O8" s="136" t="str">
        <f>IF(SER_hh_tes!O8=0,"",SER_hh_tes!O8/SER_hh_fec!O8)</f>
        <v/>
      </c>
      <c r="P8" s="136" t="str">
        <f>IF(SER_hh_tes!P8=0,"",SER_hh_tes!P8/SER_hh_fec!P8)</f>
        <v/>
      </c>
      <c r="Q8" s="136" t="str">
        <f>IF(SER_hh_tes!Q8=0,"",SER_hh_tes!Q8/SER_hh_fec!Q8)</f>
        <v/>
      </c>
      <c r="R8" s="136" t="str">
        <f>IF(SER_hh_tes!R8=0,"",SER_hh_tes!R8/SER_hh_fec!R8)</f>
        <v/>
      </c>
      <c r="S8" s="136" t="str">
        <f>IF(SER_hh_tes!S8=0,"",SER_hh_tes!S8/SER_hh_fec!S8)</f>
        <v/>
      </c>
      <c r="T8" s="136" t="str">
        <f>IF(SER_hh_tes!T8=0,"",SER_hh_tes!T8/SER_hh_fec!T8)</f>
        <v/>
      </c>
      <c r="U8" s="136" t="str">
        <f>IF(SER_hh_tes!U8=0,"",SER_hh_tes!U8/SER_hh_fec!U8)</f>
        <v/>
      </c>
      <c r="V8" s="136" t="str">
        <f>IF(SER_hh_tes!V8=0,"",SER_hh_tes!V8/SER_hh_fec!V8)</f>
        <v/>
      </c>
      <c r="W8" s="136" t="str">
        <f>IF(SER_hh_tes!W8=0,"",SER_hh_tes!W8/SER_hh_fec!W8)</f>
        <v/>
      </c>
      <c r="X8" s="136" t="str">
        <f>IF(SER_hh_tes!X8=0,"",SER_hh_tes!X8/SER_hh_fec!X8)</f>
        <v/>
      </c>
      <c r="Y8" s="136" t="str">
        <f>IF(SER_hh_tes!Y8=0,"",SER_hh_tes!Y8/SER_hh_fec!Y8)</f>
        <v/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0.42843544607161677</v>
      </c>
      <c r="C9" s="136">
        <f>IF(SER_hh_tes!C9=0,"",SER_hh_tes!C9/SER_hh_fec!C9)</f>
        <v>0.43660805141816433</v>
      </c>
      <c r="D9" s="136">
        <f>IF(SER_hh_tes!D9=0,"",SER_hh_tes!D9/SER_hh_fec!D9)</f>
        <v>0.44733682481870962</v>
      </c>
      <c r="E9" s="136">
        <f>IF(SER_hh_tes!E9=0,"",SER_hh_tes!E9/SER_hh_fec!E9)</f>
        <v>0.45613826150368086</v>
      </c>
      <c r="F9" s="136">
        <f>IF(SER_hh_tes!F9=0,"",SER_hh_tes!F9/SER_hh_fec!F9)</f>
        <v>0.46343321351046557</v>
      </c>
      <c r="G9" s="136">
        <f>IF(SER_hh_tes!G9=0,"",SER_hh_tes!G9/SER_hh_fec!G9)</f>
        <v>0.46978635963732235</v>
      </c>
      <c r="H9" s="136">
        <f>IF(SER_hh_tes!H9=0,"",SER_hh_tes!H9/SER_hh_fec!H9)</f>
        <v>0.47570486875111617</v>
      </c>
      <c r="I9" s="136">
        <f>IF(SER_hh_tes!I9=0,"",SER_hh_tes!I9/SER_hh_fec!I9)</f>
        <v>0.47922712439309034</v>
      </c>
      <c r="J9" s="136">
        <f>IF(SER_hh_tes!J9=0,"",SER_hh_tes!J9/SER_hh_fec!J9)</f>
        <v>0.48127787173248321</v>
      </c>
      <c r="K9" s="136">
        <f>IF(SER_hh_tes!K9=0,"",SER_hh_tes!K9/SER_hh_fec!K9)</f>
        <v>0.48377320566117676</v>
      </c>
      <c r="L9" s="136">
        <f>IF(SER_hh_tes!L9=0,"",SER_hh_tes!L9/SER_hh_fec!L9)</f>
        <v>0.48688947444326064</v>
      </c>
      <c r="M9" s="136">
        <f>IF(SER_hh_tes!M9=0,"",SER_hh_tes!M9/SER_hh_fec!M9)</f>
        <v>0.48967436724894647</v>
      </c>
      <c r="N9" s="136">
        <f>IF(SER_hh_tes!N9=0,"",SER_hh_tes!N9/SER_hh_fec!N9)</f>
        <v>0.49652605299621311</v>
      </c>
      <c r="O9" s="136">
        <f>IF(SER_hh_tes!O9=0,"",SER_hh_tes!O9/SER_hh_fec!O9)</f>
        <v>0.5046557545493191</v>
      </c>
      <c r="P9" s="136">
        <f>IF(SER_hh_tes!P9=0,"",SER_hh_tes!P9/SER_hh_fec!P9)</f>
        <v>0.51738978530301849</v>
      </c>
      <c r="Q9" s="136">
        <f>IF(SER_hh_tes!Q9=0,"",SER_hh_tes!Q9/SER_hh_fec!Q9)</f>
        <v>0.52987024694917861</v>
      </c>
      <c r="R9" s="136">
        <f>IF(SER_hh_tes!R9=0,"",SER_hh_tes!R9/SER_hh_fec!R9)</f>
        <v>0.54097836610191463</v>
      </c>
      <c r="S9" s="136">
        <f>IF(SER_hh_tes!S9=0,"",SER_hh_tes!S9/SER_hh_fec!S9)</f>
        <v>0.55244304652009324</v>
      </c>
      <c r="T9" s="136">
        <f>IF(SER_hh_tes!T9=0,"",SER_hh_tes!T9/SER_hh_fec!T9)</f>
        <v>0.56491092506334839</v>
      </c>
      <c r="U9" s="136">
        <f>IF(SER_hh_tes!U9=0,"",SER_hh_tes!U9/SER_hh_fec!U9)</f>
        <v>0.57927224752576378</v>
      </c>
      <c r="V9" s="136">
        <f>IF(SER_hh_tes!V9=0,"",SER_hh_tes!V9/SER_hh_fec!V9)</f>
        <v>0.59555294029891259</v>
      </c>
      <c r="W9" s="136">
        <f>IF(SER_hh_tes!W9=0,"",SER_hh_tes!W9/SER_hh_fec!W9)</f>
        <v>0.6093736094433736</v>
      </c>
      <c r="X9" s="136">
        <f>IF(SER_hh_tes!X9=0,"",SER_hh_tes!X9/SER_hh_fec!X9)</f>
        <v>0.61928646674465282</v>
      </c>
      <c r="Y9" s="136">
        <f>IF(SER_hh_tes!Y9=0,"",SER_hh_tes!Y9/SER_hh_fec!Y9)</f>
        <v>0.62550374308300438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0.39062113148101341</v>
      </c>
      <c r="C10" s="136">
        <f>IF(SER_hh_tes!C10=0,"",SER_hh_tes!C10/SER_hh_fec!C10)</f>
        <v>0.39062113148101341</v>
      </c>
      <c r="D10" s="136">
        <f>IF(SER_hh_tes!D10=0,"",SER_hh_tes!D10/SER_hh_fec!D10)</f>
        <v>0.39820893825525033</v>
      </c>
      <c r="E10" s="136">
        <f>IF(SER_hh_tes!E10=0,"",SER_hh_tes!E10/SER_hh_fec!E10)</f>
        <v>0.41264042483270075</v>
      </c>
      <c r="F10" s="136">
        <f>IF(SER_hh_tes!F10=0,"",SER_hh_tes!F10/SER_hh_fec!F10)</f>
        <v>0.42221089972292558</v>
      </c>
      <c r="G10" s="136">
        <f>IF(SER_hh_tes!G10=0,"",SER_hh_tes!G10/SER_hh_fec!G10)</f>
        <v>0.43165940636870231</v>
      </c>
      <c r="H10" s="136">
        <f>IF(SER_hh_tes!H10=0,"",SER_hh_tes!H10/SER_hh_fec!H10)</f>
        <v>0.43952826467867617</v>
      </c>
      <c r="I10" s="136">
        <f>IF(SER_hh_tes!I10=0,"",SER_hh_tes!I10/SER_hh_fec!I10)</f>
        <v>0.44498997074300267</v>
      </c>
      <c r="J10" s="136">
        <f>IF(SER_hh_tes!J10=0,"",SER_hh_tes!J10/SER_hh_fec!J10)</f>
        <v>0.44839246793617055</v>
      </c>
      <c r="K10" s="136">
        <f>IF(SER_hh_tes!K10=0,"",SER_hh_tes!K10/SER_hh_fec!K10)</f>
        <v>0.45209496662364518</v>
      </c>
      <c r="L10" s="136">
        <f>IF(SER_hh_tes!L10=0,"",SER_hh_tes!L10/SER_hh_fec!L10)</f>
        <v>0.45622674965524007</v>
      </c>
      <c r="M10" s="136">
        <f>IF(SER_hh_tes!M10=0,"",SER_hh_tes!M10/SER_hh_fec!M10)</f>
        <v>0.46661161835252446</v>
      </c>
      <c r="N10" s="136">
        <f>IF(SER_hh_tes!N10=0,"",SER_hh_tes!N10/SER_hh_fec!N10)</f>
        <v>0.47279006966194281</v>
      </c>
      <c r="O10" s="136">
        <f>IF(SER_hh_tes!O10=0,"",SER_hh_tes!O10/SER_hh_fec!O10)</f>
        <v>0.47613323579944317</v>
      </c>
      <c r="P10" s="136">
        <f>IF(SER_hh_tes!P10=0,"",SER_hh_tes!P10/SER_hh_fec!P10)</f>
        <v>0.47615646352997393</v>
      </c>
      <c r="Q10" s="136">
        <f>IF(SER_hh_tes!Q10=0,"",SER_hh_tes!Q10/SER_hh_fec!Q10)</f>
        <v>0.47619740456970833</v>
      </c>
      <c r="R10" s="136">
        <f>IF(SER_hh_tes!R10=0,"",SER_hh_tes!R10/SER_hh_fec!R10)</f>
        <v>0.47649807502205971</v>
      </c>
      <c r="S10" s="136">
        <f>IF(SER_hh_tes!S10=0,"",SER_hh_tes!S10/SER_hh_fec!S10)</f>
        <v>0.47713371838846508</v>
      </c>
      <c r="T10" s="136">
        <f>IF(SER_hh_tes!T10=0,"",SER_hh_tes!T10/SER_hh_fec!T10)</f>
        <v>0.47749203407363611</v>
      </c>
      <c r="U10" s="136">
        <f>IF(SER_hh_tes!U10=0,"",SER_hh_tes!U10/SER_hh_fec!U10)</f>
        <v>0.47768813720994607</v>
      </c>
      <c r="V10" s="136">
        <f>IF(SER_hh_tes!V10=0,"",SER_hh_tes!V10/SER_hh_fec!V10)</f>
        <v>0.47778174980433757</v>
      </c>
      <c r="W10" s="136">
        <f>IF(SER_hh_tes!W10=0,"",SER_hh_tes!W10/SER_hh_fec!W10)</f>
        <v>0.47785533385745971</v>
      </c>
      <c r="X10" s="136">
        <f>IF(SER_hh_tes!X10=0,"",SER_hh_tes!X10/SER_hh_fec!X10)</f>
        <v>0.47793857732806116</v>
      </c>
      <c r="Y10" s="136">
        <f>IF(SER_hh_tes!Y10=0,"",SER_hh_tes!Y10/SER_hh_fec!Y10)</f>
        <v>0.47796796058171592</v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 t="str">
        <f>IF(SER_hh_tes!C11=0,"",SER_hh_tes!C11/SER_hh_fec!C11)</f>
        <v/>
      </c>
      <c r="D11" s="136" t="str">
        <f>IF(SER_hh_tes!D11=0,"",SER_hh_tes!D11/SER_hh_fec!D11)</f>
        <v/>
      </c>
      <c r="E11" s="136" t="str">
        <f>IF(SER_hh_tes!E11=0,"",SER_hh_tes!E11/SER_hh_fec!E11)</f>
        <v/>
      </c>
      <c r="F11" s="136" t="str">
        <f>IF(SER_hh_tes!F11=0,"",SER_hh_tes!F11/SER_hh_fec!F11)</f>
        <v/>
      </c>
      <c r="G11" s="136">
        <f>IF(SER_hh_tes!G11=0,"",SER_hh_tes!G11/SER_hh_fec!G11)</f>
        <v>0.79936320463913624</v>
      </c>
      <c r="H11" s="136">
        <f>IF(SER_hh_tes!H11=0,"",SER_hh_tes!H11/SER_hh_fec!H11)</f>
        <v>0.80030735522634011</v>
      </c>
      <c r="I11" s="136">
        <f>IF(SER_hh_tes!I11=0,"",SER_hh_tes!I11/SER_hh_fec!I11)</f>
        <v>0.80150252059793925</v>
      </c>
      <c r="J11" s="136">
        <f>IF(SER_hh_tes!J11=0,"",SER_hh_tes!J11/SER_hh_fec!J11)</f>
        <v>0.80153345765732775</v>
      </c>
      <c r="K11" s="136">
        <f>IF(SER_hh_tes!K11=0,"",SER_hh_tes!K11/SER_hh_fec!K11)</f>
        <v>0.80160960131512304</v>
      </c>
      <c r="L11" s="136">
        <f>IF(SER_hh_tes!L11=0,"",SER_hh_tes!L11/SER_hh_fec!L11)</f>
        <v>0.8016241620154797</v>
      </c>
      <c r="M11" s="136">
        <f>IF(SER_hh_tes!M11=0,"",SER_hh_tes!M11/SER_hh_fec!M11)</f>
        <v>0.80162416201547992</v>
      </c>
      <c r="N11" s="136">
        <f>IF(SER_hh_tes!N11=0,"",SER_hh_tes!N11/SER_hh_fec!N11)</f>
        <v>0.80328093630844455</v>
      </c>
      <c r="O11" s="136">
        <f>IF(SER_hh_tes!O11=0,"",SER_hh_tes!O11/SER_hh_fec!O11)</f>
        <v>0.80577699517978507</v>
      </c>
      <c r="P11" s="136">
        <f>IF(SER_hh_tes!P11=0,"",SER_hh_tes!P11/SER_hh_fec!P11)</f>
        <v>0.80766835566940254</v>
      </c>
      <c r="Q11" s="136">
        <f>IF(SER_hh_tes!Q11=0,"",SER_hh_tes!Q11/SER_hh_fec!Q11)</f>
        <v>0.80954078127301998</v>
      </c>
      <c r="R11" s="136">
        <f>IF(SER_hh_tes!R11=0,"",SER_hh_tes!R11/SER_hh_fec!R11)</f>
        <v>0.81082727169745039</v>
      </c>
      <c r="S11" s="136">
        <f>IF(SER_hh_tes!S11=0,"",SER_hh_tes!S11/SER_hh_fec!S11)</f>
        <v>0.81386469507256509</v>
      </c>
      <c r="T11" s="136">
        <f>IF(SER_hh_tes!T11=0,"",SER_hh_tes!T11/SER_hh_fec!T11)</f>
        <v>0.8190070986758734</v>
      </c>
      <c r="U11" s="136">
        <f>IF(SER_hh_tes!U11=0,"",SER_hh_tes!U11/SER_hh_fec!U11)</f>
        <v>0.82644598461514052</v>
      </c>
      <c r="V11" s="136">
        <f>IF(SER_hh_tes!V11=0,"",SER_hh_tes!V11/SER_hh_fec!V11)</f>
        <v>0.83582184692193462</v>
      </c>
      <c r="W11" s="136">
        <f>IF(SER_hh_tes!W11=0,"",SER_hh_tes!W11/SER_hh_fec!W11)</f>
        <v>0.84861572562533338</v>
      </c>
      <c r="X11" s="136">
        <f>IF(SER_hh_tes!X11=0,"",SER_hh_tes!X11/SER_hh_fec!X11)</f>
        <v>0.85287027694627515</v>
      </c>
      <c r="Y11" s="136">
        <f>IF(SER_hh_tes!Y11=0,"",SER_hh_tes!Y11/SER_hh_fec!Y11)</f>
        <v>0.85556518058567899</v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0.67863792545591817</v>
      </c>
      <c r="C12" s="136">
        <f>IF(SER_hh_tes!C12=0,"",SER_hh_tes!C12/SER_hh_fec!C12)</f>
        <v>0.68256329425681717</v>
      </c>
      <c r="D12" s="136">
        <f>IF(SER_hh_tes!D12=0,"",SER_hh_tes!D12/SER_hh_fec!D12)</f>
        <v>0.68537915279610462</v>
      </c>
      <c r="E12" s="136">
        <f>IF(SER_hh_tes!E12=0,"",SER_hh_tes!E12/SER_hh_fec!E12)</f>
        <v>0.6892884062749941</v>
      </c>
      <c r="F12" s="136">
        <f>IF(SER_hh_tes!F12=0,"",SER_hh_tes!F12/SER_hh_fec!F12)</f>
        <v>0.69199045823071581</v>
      </c>
      <c r="G12" s="136">
        <f>IF(SER_hh_tes!G12=0,"",SER_hh_tes!G12/SER_hh_fec!G12)</f>
        <v>0.69276662416515211</v>
      </c>
      <c r="H12" s="136">
        <f>IF(SER_hh_tes!H12=0,"",SER_hh_tes!H12/SER_hh_fec!H12)</f>
        <v>0.69347076714794142</v>
      </c>
      <c r="I12" s="136">
        <f>IF(SER_hh_tes!I12=0,"",SER_hh_tes!I12/SER_hh_fec!I12)</f>
        <v>0.69473801152761527</v>
      </c>
      <c r="J12" s="136">
        <f>IF(SER_hh_tes!J12=0,"",SER_hh_tes!J12/SER_hh_fec!J12)</f>
        <v>0.69590308594416339</v>
      </c>
      <c r="K12" s="136">
        <f>IF(SER_hh_tes!K12=0,"",SER_hh_tes!K12/SER_hh_fec!K12)</f>
        <v>0.69789238428514433</v>
      </c>
      <c r="L12" s="136">
        <f>IF(SER_hh_tes!L12=0,"",SER_hh_tes!L12/SER_hh_fec!L12)</f>
        <v>0.700778317310637</v>
      </c>
      <c r="M12" s="136">
        <f>IF(SER_hh_tes!M12=0,"",SER_hh_tes!M12/SER_hh_fec!M12)</f>
        <v>0.70596812985020707</v>
      </c>
      <c r="N12" s="136">
        <f>IF(SER_hh_tes!N12=0,"",SER_hh_tes!N12/SER_hh_fec!N12)</f>
        <v>0.71113084108547364</v>
      </c>
      <c r="O12" s="136">
        <f>IF(SER_hh_tes!O12=0,"",SER_hh_tes!O12/SER_hh_fec!O12)</f>
        <v>0.71567916568668066</v>
      </c>
      <c r="P12" s="136">
        <f>IF(SER_hh_tes!P12=0,"",SER_hh_tes!P12/SER_hh_fec!P12)</f>
        <v>0.71817157249858909</v>
      </c>
      <c r="Q12" s="136">
        <f>IF(SER_hh_tes!Q12=0,"",SER_hh_tes!Q12/SER_hh_fec!Q12)</f>
        <v>0.72303109331249904</v>
      </c>
      <c r="R12" s="136">
        <f>IF(SER_hh_tes!R12=0,"",SER_hh_tes!R12/SER_hh_fec!R12)</f>
        <v>0.72983630122309151</v>
      </c>
      <c r="S12" s="136">
        <f>IF(SER_hh_tes!S12=0,"",SER_hh_tes!S12/SER_hh_fec!S12)</f>
        <v>0.73575818105017987</v>
      </c>
      <c r="T12" s="136">
        <f>IF(SER_hh_tes!T12=0,"",SER_hh_tes!T12/SER_hh_fec!T12)</f>
        <v>0.74178814884640731</v>
      </c>
      <c r="U12" s="136">
        <f>IF(SER_hh_tes!U12=0,"",SER_hh_tes!U12/SER_hh_fec!U12)</f>
        <v>0.74606895834403908</v>
      </c>
      <c r="V12" s="136">
        <f>IF(SER_hh_tes!V12=0,"",SER_hh_tes!V12/SER_hh_fec!V12)</f>
        <v>0.75072932787622204</v>
      </c>
      <c r="W12" s="136">
        <f>IF(SER_hh_tes!W12=0,"",SER_hh_tes!W12/SER_hh_fec!W12)</f>
        <v>0.75190645908338027</v>
      </c>
      <c r="X12" s="136">
        <f>IF(SER_hh_tes!X12=0,"",SER_hh_tes!X12/SER_hh_fec!X12)</f>
        <v>0.75564835566841637</v>
      </c>
      <c r="Y12" s="136">
        <f>IF(SER_hh_tes!Y12=0,"",SER_hh_tes!Y12/SER_hh_fec!Y12)</f>
        <v>0.75711769288675523</v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1.3267398099461714</v>
      </c>
      <c r="C13" s="136">
        <f>IF(SER_hh_tes!C13=0,"",SER_hh_tes!C13/SER_hh_fec!C13)</f>
        <v>1.3758339128392771</v>
      </c>
      <c r="D13" s="136">
        <f>IF(SER_hh_tes!D13=0,"",SER_hh_tes!D13/SER_hh_fec!D13)</f>
        <v>1.4794326618890818</v>
      </c>
      <c r="E13" s="136">
        <f>IF(SER_hh_tes!E13=0,"",SER_hh_tes!E13/SER_hh_fec!E13)</f>
        <v>1.5399335526766476</v>
      </c>
      <c r="F13" s="136">
        <f>IF(SER_hh_tes!F13=0,"",SER_hh_tes!F13/SER_hh_fec!F13)</f>
        <v>1.5902307955354629</v>
      </c>
      <c r="G13" s="136">
        <f>IF(SER_hh_tes!G13=0,"",SER_hh_tes!G13/SER_hh_fec!G13)</f>
        <v>1.6210744264522903</v>
      </c>
      <c r="H13" s="136">
        <f>IF(SER_hh_tes!H13=0,"",SER_hh_tes!H13/SER_hh_fec!H13)</f>
        <v>1.6555949553051883</v>
      </c>
      <c r="I13" s="136">
        <f>IF(SER_hh_tes!I13=0,"",SER_hh_tes!I13/SER_hh_fec!I13)</f>
        <v>1.6995861149923872</v>
      </c>
      <c r="J13" s="136">
        <f>IF(SER_hh_tes!J13=0,"",SER_hh_tes!J13/SER_hh_fec!J13)</f>
        <v>1.7475267264015486</v>
      </c>
      <c r="K13" s="136">
        <f>IF(SER_hh_tes!K13=0,"",SER_hh_tes!K13/SER_hh_fec!K13)</f>
        <v>1.7783421726796089</v>
      </c>
      <c r="L13" s="136">
        <f>IF(SER_hh_tes!L13=0,"",SER_hh_tes!L13/SER_hh_fec!L13)</f>
        <v>1.8135171790487981</v>
      </c>
      <c r="M13" s="136">
        <f>IF(SER_hh_tes!M13=0,"",SER_hh_tes!M13/SER_hh_fec!M13)</f>
        <v>1.879222775258635</v>
      </c>
      <c r="N13" s="136">
        <f>IF(SER_hh_tes!N13=0,"",SER_hh_tes!N13/SER_hh_fec!N13)</f>
        <v>1.9640262715013503</v>
      </c>
      <c r="O13" s="136">
        <f>IF(SER_hh_tes!O13=0,"",SER_hh_tes!O13/SER_hh_fec!O13)</f>
        <v>2.0690150864544199</v>
      </c>
      <c r="P13" s="136">
        <f>IF(SER_hh_tes!P13=0,"",SER_hh_tes!P13/SER_hh_fec!P13)</f>
        <v>2.1468651427384713</v>
      </c>
      <c r="Q13" s="136">
        <f>IF(SER_hh_tes!Q13=0,"",SER_hh_tes!Q13/SER_hh_fec!Q13)</f>
        <v>2.2122348271232659</v>
      </c>
      <c r="R13" s="136">
        <f>IF(SER_hh_tes!R13=0,"",SER_hh_tes!R13/SER_hh_fec!R13)</f>
        <v>2.2808241345321014</v>
      </c>
      <c r="S13" s="136">
        <f>IF(SER_hh_tes!S13=0,"",SER_hh_tes!S13/SER_hh_fec!S13)</f>
        <v>2.369355966636872</v>
      </c>
      <c r="T13" s="136">
        <f>IF(SER_hh_tes!T13=0,"",SER_hh_tes!T13/SER_hh_fec!T13)</f>
        <v>2.4771436790236505</v>
      </c>
      <c r="U13" s="136">
        <f>IF(SER_hh_tes!U13=0,"",SER_hh_tes!U13/SER_hh_fec!U13)</f>
        <v>2.5854477353299101</v>
      </c>
      <c r="V13" s="136">
        <f>IF(SER_hh_tes!V13=0,"",SER_hh_tes!V13/SER_hh_fec!V13)</f>
        <v>2.6710253436181359</v>
      </c>
      <c r="W13" s="136">
        <f>IF(SER_hh_tes!W13=0,"",SER_hh_tes!W13/SER_hh_fec!W13)</f>
        <v>2.7517404177117522</v>
      </c>
      <c r="X13" s="136">
        <f>IF(SER_hh_tes!X13=0,"",SER_hh_tes!X13/SER_hh_fec!X13)</f>
        <v>2.8393793085576475</v>
      </c>
      <c r="Y13" s="136">
        <f>IF(SER_hh_tes!Y13=0,"",SER_hh_tes!Y13/SER_hh_fec!Y13)</f>
        <v>2.9412787945775465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0.59996621248231374</v>
      </c>
      <c r="C14" s="137">
        <f>IF(SER_hh_tes!C14=0,"",SER_hh_tes!C14/SER_hh_fec!C14)</f>
        <v>0.60266897542606634</v>
      </c>
      <c r="D14" s="137">
        <f>IF(SER_hh_tes!D14=0,"",SER_hh_tes!D14/SER_hh_fec!D14)</f>
        <v>0.6070512719050557</v>
      </c>
      <c r="E14" s="137">
        <f>IF(SER_hh_tes!E14=0,"",SER_hh_tes!E14/SER_hh_fec!E14)</f>
        <v>0.61025018957120858</v>
      </c>
      <c r="F14" s="137">
        <f>IF(SER_hh_tes!F14=0,"",SER_hh_tes!F14/SER_hh_fec!F14)</f>
        <v>0.6140473280336699</v>
      </c>
      <c r="G14" s="137">
        <f>IF(SER_hh_tes!G14=0,"",SER_hh_tes!G14/SER_hh_fec!G14)</f>
        <v>0.61518455436695096</v>
      </c>
      <c r="H14" s="137">
        <f>IF(SER_hh_tes!H14=0,"",SER_hh_tes!H14/SER_hh_fec!H14)</f>
        <v>0.61857888127487759</v>
      </c>
      <c r="I14" s="137">
        <f>IF(SER_hh_tes!I14=0,"",SER_hh_tes!I14/SER_hh_fec!I14)</f>
        <v>0.62511635278280253</v>
      </c>
      <c r="J14" s="137">
        <f>IF(SER_hh_tes!J14=0,"",SER_hh_tes!J14/SER_hh_fec!J14)</f>
        <v>0.6345740332830887</v>
      </c>
      <c r="K14" s="137">
        <f>IF(SER_hh_tes!K14=0,"",SER_hh_tes!K14/SER_hh_fec!K14)</f>
        <v>0.64160240451866379</v>
      </c>
      <c r="L14" s="137">
        <f>IF(SER_hh_tes!L14=0,"",SER_hh_tes!L14/SER_hh_fec!L14)</f>
        <v>0.64952069510444166</v>
      </c>
      <c r="M14" s="137">
        <f>IF(SER_hh_tes!M14=0,"",SER_hh_tes!M14/SER_hh_fec!M14)</f>
        <v>0.65487573023080847</v>
      </c>
      <c r="N14" s="137">
        <f>IF(SER_hh_tes!N14=0,"",SER_hh_tes!N14/SER_hh_fec!N14)</f>
        <v>0.65934894418803691</v>
      </c>
      <c r="O14" s="137">
        <f>IF(SER_hh_tes!O14=0,"",SER_hh_tes!O14/SER_hh_fec!O14)</f>
        <v>0.66361202123129259</v>
      </c>
      <c r="P14" s="137">
        <f>IF(SER_hh_tes!P14=0,"",SER_hh_tes!P14/SER_hh_fec!P14)</f>
        <v>0.6637676229316537</v>
      </c>
      <c r="Q14" s="137">
        <f>IF(SER_hh_tes!Q14=0,"",SER_hh_tes!Q14/SER_hh_fec!Q14)</f>
        <v>0.66405300343862528</v>
      </c>
      <c r="R14" s="137">
        <f>IF(SER_hh_tes!R14=0,"",SER_hh_tes!R14/SER_hh_fec!R14)</f>
        <v>0.66574038141018499</v>
      </c>
      <c r="S14" s="137">
        <f>IF(SER_hh_tes!S14=0,"",SER_hh_tes!S14/SER_hh_fec!S14)</f>
        <v>0.67207058225084271</v>
      </c>
      <c r="T14" s="137">
        <f>IF(SER_hh_tes!T14=0,"",SER_hh_tes!T14/SER_hh_fec!T14)</f>
        <v>0.67764166752026189</v>
      </c>
      <c r="U14" s="137">
        <f>IF(SER_hh_tes!U14=0,"",SER_hh_tes!U14/SER_hh_fec!U14)</f>
        <v>0.68410890556736437</v>
      </c>
      <c r="V14" s="137">
        <f>IF(SER_hh_tes!V14=0,"",SER_hh_tes!V14/SER_hh_fec!V14)</f>
        <v>0.69759583288085814</v>
      </c>
      <c r="W14" s="137">
        <f>IF(SER_hh_tes!W14=0,"",SER_hh_tes!W14/SER_hh_fec!W14)</f>
        <v>0.71658468751489246</v>
      </c>
      <c r="X14" s="137">
        <f>IF(SER_hh_tes!X14=0,"",SER_hh_tes!X14/SER_hh_fec!X14)</f>
        <v>0.73524061107873739</v>
      </c>
      <c r="Y14" s="137">
        <f>IF(SER_hh_tes!Y14=0,"",SER_hh_tes!Y14/SER_hh_fec!Y14)</f>
        <v>0.75797243282191284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1.5733144068030744</v>
      </c>
      <c r="C16" s="135">
        <f>IF(SER_hh_tes!C16=0,"",SER_hh_tes!C16/SER_hh_fec!C16)</f>
        <v>1.6612782508045159</v>
      </c>
      <c r="D16" s="135">
        <f>IF(SER_hh_tes!D16=0,"",SER_hh_tes!D16/SER_hh_fec!D16)</f>
        <v>1.7494694105723558</v>
      </c>
      <c r="E16" s="135">
        <f>IF(SER_hh_tes!E16=0,"",SER_hh_tes!E16/SER_hh_fec!E16)</f>
        <v>1.8578033939583232</v>
      </c>
      <c r="F16" s="135">
        <f>IF(SER_hh_tes!F16=0,"",SER_hh_tes!F16/SER_hh_fec!F16)</f>
        <v>1.978911291131755</v>
      </c>
      <c r="G16" s="135">
        <f>IF(SER_hh_tes!G16=0,"",SER_hh_tes!G16/SER_hh_fec!G16)</f>
        <v>2.0824129801956675</v>
      </c>
      <c r="H16" s="135">
        <f>IF(SER_hh_tes!H16=0,"",SER_hh_tes!H16/SER_hh_fec!H16)</f>
        <v>2.1928994738840504</v>
      </c>
      <c r="I16" s="135">
        <f>IF(SER_hh_tes!I16=0,"",SER_hh_tes!I16/SER_hh_fec!I16)</f>
        <v>2.3205124251902021</v>
      </c>
      <c r="J16" s="135">
        <f>IF(SER_hh_tes!J16=0,"",SER_hh_tes!J16/SER_hh_fec!J16)</f>
        <v>2.4370800448575429</v>
      </c>
      <c r="K16" s="135">
        <f>IF(SER_hh_tes!K16=0,"",SER_hh_tes!K16/SER_hh_fec!K16)</f>
        <v>2.4893088543505968</v>
      </c>
      <c r="L16" s="135">
        <f>IF(SER_hh_tes!L16=0,"",SER_hh_tes!L16/SER_hh_fec!L16)</f>
        <v>2.5539943261864164</v>
      </c>
      <c r="M16" s="135">
        <f>IF(SER_hh_tes!M16=0,"",SER_hh_tes!M16/SER_hh_fec!M16)</f>
        <v>2.6514964101443947</v>
      </c>
      <c r="N16" s="135">
        <f>IF(SER_hh_tes!N16=0,"",SER_hh_tes!N16/SER_hh_fec!N16)</f>
        <v>2.7513383244990872</v>
      </c>
      <c r="O16" s="135">
        <f>IF(SER_hh_tes!O16=0,"",SER_hh_tes!O16/SER_hh_fec!O16)</f>
        <v>2.8637142092780352</v>
      </c>
      <c r="P16" s="135">
        <f>IF(SER_hh_tes!P16=0,"",SER_hh_tes!P16/SER_hh_fec!P16)</f>
        <v>2.9879496840714692</v>
      </c>
      <c r="Q16" s="135">
        <f>IF(SER_hh_tes!Q16=0,"",SER_hh_tes!Q16/SER_hh_fec!Q16)</f>
        <v>3.1142146480599284</v>
      </c>
      <c r="R16" s="135">
        <f>IF(SER_hh_tes!R16=0,"",SER_hh_tes!R16/SER_hh_fec!R16)</f>
        <v>3.2473075051948048</v>
      </c>
      <c r="S16" s="135">
        <f>IF(SER_hh_tes!S16=0,"",SER_hh_tes!S16/SER_hh_fec!S16)</f>
        <v>3.3706376305805046</v>
      </c>
      <c r="T16" s="135">
        <f>IF(SER_hh_tes!T16=0,"",SER_hh_tes!T16/SER_hh_fec!T16)</f>
        <v>3.4760490453499875</v>
      </c>
      <c r="U16" s="135">
        <f>IF(SER_hh_tes!U16=0,"",SER_hh_tes!U16/SER_hh_fec!U16)</f>
        <v>3.5663142713330034</v>
      </c>
      <c r="V16" s="135">
        <f>IF(SER_hh_tes!V16=0,"",SER_hh_tes!V16/SER_hh_fec!V16)</f>
        <v>3.6510277536789224</v>
      </c>
      <c r="W16" s="135">
        <f>IF(SER_hh_tes!W16=0,"",SER_hh_tes!W16/SER_hh_fec!W16)</f>
        <v>3.7316773104721874</v>
      </c>
      <c r="X16" s="135">
        <f>IF(SER_hh_tes!X16=0,"",SER_hh_tes!X16/SER_hh_fec!X16)</f>
        <v>3.797691607564849</v>
      </c>
      <c r="Y16" s="135">
        <f>IF(SER_hh_tes!Y16=0,"",SER_hh_tes!Y16/SER_hh_fec!Y16)</f>
        <v>3.8532080226096435</v>
      </c>
      <c r="DA16" s="162" t="s">
        <v>241</v>
      </c>
    </row>
    <row r="17" spans="1:105" ht="12.95" customHeight="1" x14ac:dyDescent="0.25">
      <c r="A17" s="131" t="s">
        <v>73</v>
      </c>
      <c r="B17" s="136" t="str">
        <f>IF(SER_hh_tes!B17=0,"",SER_hh_tes!B17/SER_hh_fec!B17)</f>
        <v/>
      </c>
      <c r="C17" s="136" t="str">
        <f>IF(SER_hh_tes!C17=0,"",SER_hh_tes!C17/SER_hh_fec!C17)</f>
        <v/>
      </c>
      <c r="D17" s="136" t="str">
        <f>IF(SER_hh_tes!D17=0,"",SER_hh_tes!D17/SER_hh_fec!D17)</f>
        <v/>
      </c>
      <c r="E17" s="136" t="str">
        <f>IF(SER_hh_tes!E17=0,"",SER_hh_tes!E17/SER_hh_fec!E17)</f>
        <v/>
      </c>
      <c r="F17" s="136" t="str">
        <f>IF(SER_hh_tes!F17=0,"",SER_hh_tes!F17/SER_hh_fec!F17)</f>
        <v/>
      </c>
      <c r="G17" s="136" t="str">
        <f>IF(SER_hh_tes!G17=0,"",SER_hh_tes!G17/SER_hh_fec!G17)</f>
        <v/>
      </c>
      <c r="H17" s="136" t="str">
        <f>IF(SER_hh_tes!H17=0,"",SER_hh_tes!H17/SER_hh_fec!H17)</f>
        <v/>
      </c>
      <c r="I17" s="136" t="str">
        <f>IF(SER_hh_tes!I17=0,"",SER_hh_tes!I17/SER_hh_fec!I17)</f>
        <v/>
      </c>
      <c r="J17" s="136" t="str">
        <f>IF(SER_hh_tes!J17=0,"",SER_hh_tes!J17/SER_hh_fec!J17)</f>
        <v/>
      </c>
      <c r="K17" s="136" t="str">
        <f>IF(SER_hh_tes!K17=0,"",SER_hh_tes!K17/SER_hh_fec!K17)</f>
        <v/>
      </c>
      <c r="L17" s="136" t="str">
        <f>IF(SER_hh_tes!L17=0,"",SER_hh_tes!L17/SER_hh_fec!L17)</f>
        <v/>
      </c>
      <c r="M17" s="136" t="str">
        <f>IF(SER_hh_tes!M17=0,"",SER_hh_tes!M17/SER_hh_fec!M17)</f>
        <v/>
      </c>
      <c r="N17" s="136" t="str">
        <f>IF(SER_hh_tes!N17=0,"",SER_hh_tes!N17/SER_hh_fec!N17)</f>
        <v/>
      </c>
      <c r="O17" s="136" t="str">
        <f>IF(SER_hh_tes!O17=0,"",SER_hh_tes!O17/SER_hh_fec!O17)</f>
        <v/>
      </c>
      <c r="P17" s="136" t="str">
        <f>IF(SER_hh_tes!P17=0,"",SER_hh_tes!P17/SER_hh_fec!P17)</f>
        <v/>
      </c>
      <c r="Q17" s="136" t="str">
        <f>IF(SER_hh_tes!Q17=0,"",SER_hh_tes!Q17/SER_hh_fec!Q17)</f>
        <v/>
      </c>
      <c r="R17" s="136" t="str">
        <f>IF(SER_hh_tes!R17=0,"",SER_hh_tes!R17/SER_hh_fec!R17)</f>
        <v/>
      </c>
      <c r="S17" s="136" t="str">
        <f>IF(SER_hh_tes!S17=0,"",SER_hh_tes!S17/SER_hh_fec!S17)</f>
        <v/>
      </c>
      <c r="T17" s="136" t="str">
        <f>IF(SER_hh_tes!T17=0,"",SER_hh_tes!T17/SER_hh_fec!T17)</f>
        <v/>
      </c>
      <c r="U17" s="136" t="str">
        <f>IF(SER_hh_tes!U17=0,"",SER_hh_tes!U17/SER_hh_fec!U17)</f>
        <v/>
      </c>
      <c r="V17" s="136" t="str">
        <f>IF(SER_hh_tes!V17=0,"",SER_hh_tes!V17/SER_hh_fec!V17)</f>
        <v/>
      </c>
      <c r="W17" s="136" t="str">
        <f>IF(SER_hh_tes!W17=0,"",SER_hh_tes!W17/SER_hh_fec!W17)</f>
        <v/>
      </c>
      <c r="X17" s="136" t="str">
        <f>IF(SER_hh_tes!X17=0,"",SER_hh_tes!X17/SER_hh_fec!X17)</f>
        <v/>
      </c>
      <c r="Y17" s="136" t="str">
        <f>IF(SER_hh_tes!Y17=0,"",SER_hh_tes!Y17/SER_hh_fec!Y17)</f>
        <v/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1.5733144068030744</v>
      </c>
      <c r="C18" s="136">
        <f>IF(SER_hh_tes!C18=0,"",SER_hh_tes!C18/SER_hh_fec!C18)</f>
        <v>1.6612782508045159</v>
      </c>
      <c r="D18" s="136">
        <f>IF(SER_hh_tes!D18=0,"",SER_hh_tes!D18/SER_hh_fec!D18)</f>
        <v>1.7494694105723558</v>
      </c>
      <c r="E18" s="136">
        <f>IF(SER_hh_tes!E18=0,"",SER_hh_tes!E18/SER_hh_fec!E18)</f>
        <v>1.8578033939583232</v>
      </c>
      <c r="F18" s="136">
        <f>IF(SER_hh_tes!F18=0,"",SER_hh_tes!F18/SER_hh_fec!F18)</f>
        <v>1.978911291131755</v>
      </c>
      <c r="G18" s="136">
        <f>IF(SER_hh_tes!G18=0,"",SER_hh_tes!G18/SER_hh_fec!G18)</f>
        <v>2.0824129801956675</v>
      </c>
      <c r="H18" s="136">
        <f>IF(SER_hh_tes!H18=0,"",SER_hh_tes!H18/SER_hh_fec!H18)</f>
        <v>2.1928994738840504</v>
      </c>
      <c r="I18" s="136">
        <f>IF(SER_hh_tes!I18=0,"",SER_hh_tes!I18/SER_hh_fec!I18)</f>
        <v>2.3205124251902021</v>
      </c>
      <c r="J18" s="136">
        <f>IF(SER_hh_tes!J18=0,"",SER_hh_tes!J18/SER_hh_fec!J18)</f>
        <v>2.4370800448575429</v>
      </c>
      <c r="K18" s="136">
        <f>IF(SER_hh_tes!K18=0,"",SER_hh_tes!K18/SER_hh_fec!K18)</f>
        <v>2.4893088543505968</v>
      </c>
      <c r="L18" s="136">
        <f>IF(SER_hh_tes!L18=0,"",SER_hh_tes!L18/SER_hh_fec!L18)</f>
        <v>2.5539943261864164</v>
      </c>
      <c r="M18" s="136">
        <f>IF(SER_hh_tes!M18=0,"",SER_hh_tes!M18/SER_hh_fec!M18)</f>
        <v>2.6514964101443947</v>
      </c>
      <c r="N18" s="136">
        <f>IF(SER_hh_tes!N18=0,"",SER_hh_tes!N18/SER_hh_fec!N18)</f>
        <v>2.7513383244990872</v>
      </c>
      <c r="O18" s="136">
        <f>IF(SER_hh_tes!O18=0,"",SER_hh_tes!O18/SER_hh_fec!O18)</f>
        <v>2.8637142092780352</v>
      </c>
      <c r="P18" s="136">
        <f>IF(SER_hh_tes!P18=0,"",SER_hh_tes!P18/SER_hh_fec!P18)</f>
        <v>2.9879496840714692</v>
      </c>
      <c r="Q18" s="136">
        <f>IF(SER_hh_tes!Q18=0,"",SER_hh_tes!Q18/SER_hh_fec!Q18)</f>
        <v>3.1142146480599284</v>
      </c>
      <c r="R18" s="136">
        <f>IF(SER_hh_tes!R18=0,"",SER_hh_tes!R18/SER_hh_fec!R18)</f>
        <v>3.2473075051948048</v>
      </c>
      <c r="S18" s="136">
        <f>IF(SER_hh_tes!S18=0,"",SER_hh_tes!S18/SER_hh_fec!S18)</f>
        <v>3.3706376305805046</v>
      </c>
      <c r="T18" s="136">
        <f>IF(SER_hh_tes!T18=0,"",SER_hh_tes!T18/SER_hh_fec!T18)</f>
        <v>3.4760490453499875</v>
      </c>
      <c r="U18" s="136">
        <f>IF(SER_hh_tes!U18=0,"",SER_hh_tes!U18/SER_hh_fec!U18)</f>
        <v>3.5663142713330034</v>
      </c>
      <c r="V18" s="136">
        <f>IF(SER_hh_tes!V18=0,"",SER_hh_tes!V18/SER_hh_fec!V18)</f>
        <v>3.6510277536789224</v>
      </c>
      <c r="W18" s="136">
        <f>IF(SER_hh_tes!W18=0,"",SER_hh_tes!W18/SER_hh_fec!W18)</f>
        <v>3.7316773104721874</v>
      </c>
      <c r="X18" s="136">
        <f>IF(SER_hh_tes!X18=0,"",SER_hh_tes!X18/SER_hh_fec!X18)</f>
        <v>3.797691607564849</v>
      </c>
      <c r="Y18" s="136">
        <f>IF(SER_hh_tes!Y18=0,"",SER_hh_tes!Y18/SER_hh_fec!Y18)</f>
        <v>3.8532080226096435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0.57294051261805734</v>
      </c>
      <c r="C19" s="135">
        <f>IF(SER_hh_tes!C19=0,"",SER_hh_tes!C19/SER_hh_fec!C19)</f>
        <v>0.5729088385557396</v>
      </c>
      <c r="D19" s="135">
        <f>IF(SER_hh_tes!D19=0,"",SER_hh_tes!D19/SER_hh_fec!D19)</f>
        <v>0.57570350842183393</v>
      </c>
      <c r="E19" s="135">
        <f>IF(SER_hh_tes!E19=0,"",SER_hh_tes!E19/SER_hh_fec!E19)</f>
        <v>0.57896864012990201</v>
      </c>
      <c r="F19" s="135">
        <f>IF(SER_hh_tes!F19=0,"",SER_hh_tes!F19/SER_hh_fec!F19)</f>
        <v>0.58432638844349827</v>
      </c>
      <c r="G19" s="135">
        <f>IF(SER_hh_tes!G19=0,"",SER_hh_tes!G19/SER_hh_fec!G19)</f>
        <v>0.58623943281253388</v>
      </c>
      <c r="H19" s="135">
        <f>IF(SER_hh_tes!H19=0,"",SER_hh_tes!H19/SER_hh_fec!H19)</f>
        <v>0.58654251423084569</v>
      </c>
      <c r="I19" s="135">
        <f>IF(SER_hh_tes!I19=0,"",SER_hh_tes!I19/SER_hh_fec!I19)</f>
        <v>0.58704721282142303</v>
      </c>
      <c r="J19" s="135">
        <f>IF(SER_hh_tes!J19=0,"",SER_hh_tes!J19/SER_hh_fec!J19)</f>
        <v>0.58904892043295842</v>
      </c>
      <c r="K19" s="135">
        <f>IF(SER_hh_tes!K19=0,"",SER_hh_tes!K19/SER_hh_fec!K19)</f>
        <v>0.59102907603003896</v>
      </c>
      <c r="L19" s="135">
        <f>IF(SER_hh_tes!L19=0,"",SER_hh_tes!L19/SER_hh_fec!L19)</f>
        <v>0.60562761914735197</v>
      </c>
      <c r="M19" s="135">
        <f>IF(SER_hh_tes!M19=0,"",SER_hh_tes!M19/SER_hh_fec!M19)</f>
        <v>0.61608868468405698</v>
      </c>
      <c r="N19" s="135">
        <f>IF(SER_hh_tes!N19=0,"",SER_hh_tes!N19/SER_hh_fec!N19)</f>
        <v>0.62589919289896079</v>
      </c>
      <c r="O19" s="135">
        <f>IF(SER_hh_tes!O19=0,"",SER_hh_tes!O19/SER_hh_fec!O19)</f>
        <v>0.64161866656836364</v>
      </c>
      <c r="P19" s="135">
        <f>IF(SER_hh_tes!P19=0,"",SER_hh_tes!P19/SER_hh_fec!P19)</f>
        <v>0.64802642171466629</v>
      </c>
      <c r="Q19" s="135">
        <f>IF(SER_hh_tes!Q19=0,"",SER_hh_tes!Q19/SER_hh_fec!Q19)</f>
        <v>0.65867459871398348</v>
      </c>
      <c r="R19" s="135">
        <f>IF(SER_hh_tes!R19=0,"",SER_hh_tes!R19/SER_hh_fec!R19)</f>
        <v>0.6685671038057186</v>
      </c>
      <c r="S19" s="135">
        <f>IF(SER_hh_tes!S19=0,"",SER_hh_tes!S19/SER_hh_fec!S19)</f>
        <v>0.68140910794634135</v>
      </c>
      <c r="T19" s="135">
        <f>IF(SER_hh_tes!T19=0,"",SER_hh_tes!T19/SER_hh_fec!T19)</f>
        <v>0.69694902168960582</v>
      </c>
      <c r="U19" s="135">
        <f>IF(SER_hh_tes!U19=0,"",SER_hh_tes!U19/SER_hh_fec!U19)</f>
        <v>0.71002069022857173</v>
      </c>
      <c r="V19" s="135">
        <f>IF(SER_hh_tes!V19=0,"",SER_hh_tes!V19/SER_hh_fec!V19)</f>
        <v>0.7288445166658587</v>
      </c>
      <c r="W19" s="135">
        <f>IF(SER_hh_tes!W19=0,"",SER_hh_tes!W19/SER_hh_fec!W19)</f>
        <v>0.74173847899659362</v>
      </c>
      <c r="X19" s="135">
        <f>IF(SER_hh_tes!X19=0,"",SER_hh_tes!X19/SER_hh_fec!X19)</f>
        <v>0.75900972878266215</v>
      </c>
      <c r="Y19" s="135">
        <f>IF(SER_hh_tes!Y19=0,"",SER_hh_tes!Y19/SER_hh_fec!Y19)</f>
        <v>0.76955087907428865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 t="str">
        <f>IF(SER_hh_tes!B21=0,"",SER_hh_tes!B21/SER_hh_fec!B21)</f>
        <v/>
      </c>
      <c r="C21" s="136" t="str">
        <f>IF(SER_hh_tes!C21=0,"",SER_hh_tes!C21/SER_hh_fec!C21)</f>
        <v/>
      </c>
      <c r="D21" s="136" t="str">
        <f>IF(SER_hh_tes!D21=0,"",SER_hh_tes!D21/SER_hh_fec!D21)</f>
        <v/>
      </c>
      <c r="E21" s="136" t="str">
        <f>IF(SER_hh_tes!E21=0,"",SER_hh_tes!E21/SER_hh_fec!E21)</f>
        <v/>
      </c>
      <c r="F21" s="136" t="str">
        <f>IF(SER_hh_tes!F21=0,"",SER_hh_tes!F21/SER_hh_fec!F21)</f>
        <v/>
      </c>
      <c r="G21" s="136" t="str">
        <f>IF(SER_hh_tes!G21=0,"",SER_hh_tes!G21/SER_hh_fec!G21)</f>
        <v/>
      </c>
      <c r="H21" s="136" t="str">
        <f>IF(SER_hh_tes!H21=0,"",SER_hh_tes!H21/SER_hh_fec!H21)</f>
        <v/>
      </c>
      <c r="I21" s="136" t="str">
        <f>IF(SER_hh_tes!I21=0,"",SER_hh_tes!I21/SER_hh_fec!I21)</f>
        <v/>
      </c>
      <c r="J21" s="136" t="str">
        <f>IF(SER_hh_tes!J21=0,"",SER_hh_tes!J21/SER_hh_fec!J21)</f>
        <v/>
      </c>
      <c r="K21" s="136" t="str">
        <f>IF(SER_hh_tes!K21=0,"",SER_hh_tes!K21/SER_hh_fec!K21)</f>
        <v/>
      </c>
      <c r="L21" s="136" t="str">
        <f>IF(SER_hh_tes!L21=0,"",SER_hh_tes!L21/SER_hh_fec!L21)</f>
        <v/>
      </c>
      <c r="M21" s="136" t="str">
        <f>IF(SER_hh_tes!M21=0,"",SER_hh_tes!M21/SER_hh_fec!M21)</f>
        <v/>
      </c>
      <c r="N21" s="136" t="str">
        <f>IF(SER_hh_tes!N21=0,"",SER_hh_tes!N21/SER_hh_fec!N21)</f>
        <v/>
      </c>
      <c r="O21" s="136" t="str">
        <f>IF(SER_hh_tes!O21=0,"",SER_hh_tes!O21/SER_hh_fec!O21)</f>
        <v/>
      </c>
      <c r="P21" s="136" t="str">
        <f>IF(SER_hh_tes!P21=0,"",SER_hh_tes!P21/SER_hh_fec!P21)</f>
        <v/>
      </c>
      <c r="Q21" s="136" t="str">
        <f>IF(SER_hh_tes!Q21=0,"",SER_hh_tes!Q21/SER_hh_fec!Q21)</f>
        <v/>
      </c>
      <c r="R21" s="136" t="str">
        <f>IF(SER_hh_tes!R21=0,"",SER_hh_tes!R21/SER_hh_fec!R21)</f>
        <v/>
      </c>
      <c r="S21" s="136" t="str">
        <f>IF(SER_hh_tes!S21=0,"",SER_hh_tes!S21/SER_hh_fec!S21)</f>
        <v/>
      </c>
      <c r="T21" s="136" t="str">
        <f>IF(SER_hh_tes!T21=0,"",SER_hh_tes!T21/SER_hh_fec!T21)</f>
        <v/>
      </c>
      <c r="U21" s="136" t="str">
        <f>IF(SER_hh_tes!U21=0,"",SER_hh_tes!U21/SER_hh_fec!U21)</f>
        <v/>
      </c>
      <c r="V21" s="136" t="str">
        <f>IF(SER_hh_tes!V21=0,"",SER_hh_tes!V21/SER_hh_fec!V21)</f>
        <v/>
      </c>
      <c r="W21" s="136" t="str">
        <f>IF(SER_hh_tes!W21=0,"",SER_hh_tes!W21/SER_hh_fec!W21)</f>
        <v/>
      </c>
      <c r="X21" s="136" t="str">
        <f>IF(SER_hh_tes!X21=0,"",SER_hh_tes!X21/SER_hh_fec!X21)</f>
        <v/>
      </c>
      <c r="Y21" s="136" t="str">
        <f>IF(SER_hh_tes!Y21=0,"",SER_hh_tes!Y21/SER_hh_fec!Y21)</f>
        <v/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0.44043423491530637</v>
      </c>
      <c r="C22" s="136">
        <f>IF(SER_hh_tes!C22=0,"",SER_hh_tes!C22/SER_hh_fec!C22)</f>
        <v>0.44143664349238904</v>
      </c>
      <c r="D22" s="136">
        <f>IF(SER_hh_tes!D22=0,"",SER_hh_tes!D22/SER_hh_fec!D22)</f>
        <v>0.44214253712656237</v>
      </c>
      <c r="E22" s="136">
        <f>IF(SER_hh_tes!E22=0,"",SER_hh_tes!E22/SER_hh_fec!E22)</f>
        <v>0.44236625891998554</v>
      </c>
      <c r="F22" s="136">
        <f>IF(SER_hh_tes!F22=0,"",SER_hh_tes!F22/SER_hh_fec!F22)</f>
        <v>0.44255444554983436</v>
      </c>
      <c r="G22" s="136">
        <f>IF(SER_hh_tes!G22=0,"",SER_hh_tes!G22/SER_hh_fec!G22)</f>
        <v>0.44270652588227244</v>
      </c>
      <c r="H22" s="136">
        <f>IF(SER_hh_tes!H22=0,"",SER_hh_tes!H22/SER_hh_fec!H22)</f>
        <v>0.44359294460343296</v>
      </c>
      <c r="I22" s="136">
        <f>IF(SER_hh_tes!I22=0,"",SER_hh_tes!I22/SER_hh_fec!I22)</f>
        <v>0.44708715883331801</v>
      </c>
      <c r="J22" s="136">
        <f>IF(SER_hh_tes!J22=0,"",SER_hh_tes!J22/SER_hh_fec!J22)</f>
        <v>0.45113656049817036</v>
      </c>
      <c r="K22" s="136">
        <f>IF(SER_hh_tes!K22=0,"",SER_hh_tes!K22/SER_hh_fec!K22)</f>
        <v>0.45558228634043751</v>
      </c>
      <c r="L22" s="136">
        <f>IF(SER_hh_tes!L22=0,"",SER_hh_tes!L22/SER_hh_fec!L22)</f>
        <v>0.45950859939927674</v>
      </c>
      <c r="M22" s="136">
        <f>IF(SER_hh_tes!M22=0,"",SER_hh_tes!M22/SER_hh_fec!M22)</f>
        <v>0.46613456813198695</v>
      </c>
      <c r="N22" s="136">
        <f>IF(SER_hh_tes!N22=0,"",SER_hh_tes!N22/SER_hh_fec!N22)</f>
        <v>0.47426550667873207</v>
      </c>
      <c r="O22" s="136">
        <f>IF(SER_hh_tes!O22=0,"",SER_hh_tes!O22/SER_hh_fec!O22)</f>
        <v>0.48137415223648405</v>
      </c>
      <c r="P22" s="136">
        <f>IF(SER_hh_tes!P22=0,"",SER_hh_tes!P22/SER_hh_fec!P22)</f>
        <v>0.48227364698761788</v>
      </c>
      <c r="Q22" s="136">
        <f>IF(SER_hh_tes!Q22=0,"",SER_hh_tes!Q22/SER_hh_fec!Q22)</f>
        <v>0.4827597486598405</v>
      </c>
      <c r="R22" s="136">
        <f>IF(SER_hh_tes!R22=0,"",SER_hh_tes!R22/SER_hh_fec!R22)</f>
        <v>0.48389833891140188</v>
      </c>
      <c r="S22" s="136">
        <f>IF(SER_hh_tes!S22=0,"",SER_hh_tes!S22/SER_hh_fec!S22)</f>
        <v>0.4857698743236733</v>
      </c>
      <c r="T22" s="136">
        <f>IF(SER_hh_tes!T22=0,"",SER_hh_tes!T22/SER_hh_fec!T22)</f>
        <v>0.48684521227270711</v>
      </c>
      <c r="U22" s="136">
        <f>IF(SER_hh_tes!U22=0,"",SER_hh_tes!U22/SER_hh_fec!U22)</f>
        <v>0.4870558612179765</v>
      </c>
      <c r="V22" s="136">
        <f>IF(SER_hh_tes!V22=0,"",SER_hh_tes!V22/SER_hh_fec!V22)</f>
        <v>0.4870985402975449</v>
      </c>
      <c r="W22" s="136">
        <f>IF(SER_hh_tes!W22=0,"",SER_hh_tes!W22/SER_hh_fec!W22)</f>
        <v>0.51497196461380268</v>
      </c>
      <c r="X22" s="136">
        <f>IF(SER_hh_tes!X22=0,"",SER_hh_tes!X22/SER_hh_fec!X22)</f>
        <v>0.55934816075902738</v>
      </c>
      <c r="Y22" s="136">
        <f>IF(SER_hh_tes!Y22=0,"",SER_hh_tes!Y22/SER_hh_fec!Y22)</f>
        <v>0.61602773832103075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0.45032963102216805</v>
      </c>
      <c r="C23" s="136">
        <f>IF(SER_hh_tes!C23=0,"",SER_hh_tes!C23/SER_hh_fec!C23)</f>
        <v>0.4606071556370066</v>
      </c>
      <c r="D23" s="136">
        <f>IF(SER_hh_tes!D23=0,"",SER_hh_tes!D23/SER_hh_fec!D23)</f>
        <v>0.47424668133752529</v>
      </c>
      <c r="E23" s="136">
        <f>IF(SER_hh_tes!E23=0,"",SER_hh_tes!E23/SER_hh_fec!E23)</f>
        <v>0.48504772411088193</v>
      </c>
      <c r="F23" s="136">
        <f>IF(SER_hh_tes!F23=0,"",SER_hh_tes!F23/SER_hh_fec!F23)</f>
        <v>0.49385305839314853</v>
      </c>
      <c r="G23" s="136">
        <f>IF(SER_hh_tes!G23=0,"",SER_hh_tes!G23/SER_hh_fec!G23)</f>
        <v>0.50141699977919418</v>
      </c>
      <c r="H23" s="136">
        <f>IF(SER_hh_tes!H23=0,"",SER_hh_tes!H23/SER_hh_fec!H23)</f>
        <v>0.50806637277247801</v>
      </c>
      <c r="I23" s="136">
        <f>IF(SER_hh_tes!I23=0,"",SER_hh_tes!I23/SER_hh_fec!I23)</f>
        <v>0.51379106885545456</v>
      </c>
      <c r="J23" s="136">
        <f>IF(SER_hh_tes!J23=0,"",SER_hh_tes!J23/SER_hh_fec!J23)</f>
        <v>0.51824837123545253</v>
      </c>
      <c r="K23" s="136">
        <f>IF(SER_hh_tes!K23=0,"",SER_hh_tes!K23/SER_hh_fec!K23)</f>
        <v>0.52184350690500214</v>
      </c>
      <c r="L23" s="136">
        <f>IF(SER_hh_tes!L23=0,"",SER_hh_tes!L23/SER_hh_fec!L23)</f>
        <v>0.52401544115800014</v>
      </c>
      <c r="M23" s="136">
        <f>IF(SER_hh_tes!M23=0,"",SER_hh_tes!M23/SER_hh_fec!M23)</f>
        <v>0.52739059306096292</v>
      </c>
      <c r="N23" s="136">
        <f>IF(SER_hh_tes!N23=0,"",SER_hh_tes!N23/SER_hh_fec!N23)</f>
        <v>0.53191569267078753</v>
      </c>
      <c r="O23" s="136">
        <f>IF(SER_hh_tes!O23=0,"",SER_hh_tes!O23/SER_hh_fec!O23)</f>
        <v>0.53685006950229452</v>
      </c>
      <c r="P23" s="136">
        <f>IF(SER_hh_tes!P23=0,"",SER_hh_tes!P23/SER_hh_fec!P23)</f>
        <v>0.54410882955951256</v>
      </c>
      <c r="Q23" s="136">
        <f>IF(SER_hh_tes!Q23=0,"",SER_hh_tes!Q23/SER_hh_fec!Q23)</f>
        <v>0.55309684262150105</v>
      </c>
      <c r="R23" s="136">
        <f>IF(SER_hh_tes!R23=0,"",SER_hh_tes!R23/SER_hh_fec!R23)</f>
        <v>0.56524617944398914</v>
      </c>
      <c r="S23" s="136">
        <f>IF(SER_hh_tes!S23=0,"",SER_hh_tes!S23/SER_hh_fec!S23)</f>
        <v>0.58092270942201085</v>
      </c>
      <c r="T23" s="136">
        <f>IF(SER_hh_tes!T23=0,"",SER_hh_tes!T23/SER_hh_fec!T23)</f>
        <v>0.59968002400532372</v>
      </c>
      <c r="U23" s="136">
        <f>IF(SER_hh_tes!U23=0,"",SER_hh_tes!U23/SER_hh_fec!U23)</f>
        <v>0.61874925451488361</v>
      </c>
      <c r="V23" s="136">
        <f>IF(SER_hh_tes!V23=0,"",SER_hh_tes!V23/SER_hh_fec!V23)</f>
        <v>0.63449263663463884</v>
      </c>
      <c r="W23" s="136">
        <f>IF(SER_hh_tes!W23=0,"",SER_hh_tes!W23/SER_hh_fec!W23)</f>
        <v>0.65223872775685598</v>
      </c>
      <c r="X23" s="136">
        <f>IF(SER_hh_tes!X23=0,"",SER_hh_tes!X23/SER_hh_fec!X23)</f>
        <v>0.6691568145754605</v>
      </c>
      <c r="Y23" s="136">
        <f>IF(SER_hh_tes!Y23=0,"",SER_hh_tes!Y23/SER_hh_fec!Y23)</f>
        <v>0.68452783726582189</v>
      </c>
      <c r="DA23" s="163" t="s">
        <v>348</v>
      </c>
    </row>
    <row r="24" spans="1:105" ht="12" customHeight="1" x14ac:dyDescent="0.25">
      <c r="A24" s="131" t="s">
        <v>128</v>
      </c>
      <c r="B24" s="136" t="str">
        <f>IF(SER_hh_tes!B24=0,"",SER_hh_tes!B24/SER_hh_fec!B24)</f>
        <v/>
      </c>
      <c r="C24" s="136" t="str">
        <f>IF(SER_hh_tes!C24=0,"",SER_hh_tes!C24/SER_hh_fec!C24)</f>
        <v/>
      </c>
      <c r="D24" s="136" t="str">
        <f>IF(SER_hh_tes!D24=0,"",SER_hh_tes!D24/SER_hh_fec!D24)</f>
        <v/>
      </c>
      <c r="E24" s="136" t="str">
        <f>IF(SER_hh_tes!E24=0,"",SER_hh_tes!E24/SER_hh_fec!E24)</f>
        <v/>
      </c>
      <c r="F24" s="136" t="str">
        <f>IF(SER_hh_tes!F24=0,"",SER_hh_tes!F24/SER_hh_fec!F24)</f>
        <v/>
      </c>
      <c r="G24" s="136" t="str">
        <f>IF(SER_hh_tes!G24=0,"",SER_hh_tes!G24/SER_hh_fec!G24)</f>
        <v/>
      </c>
      <c r="H24" s="136" t="str">
        <f>IF(SER_hh_tes!H24=0,"",SER_hh_tes!H24/SER_hh_fec!H24)</f>
        <v/>
      </c>
      <c r="I24" s="136" t="str">
        <f>IF(SER_hh_tes!I24=0,"",SER_hh_tes!I24/SER_hh_fec!I24)</f>
        <v/>
      </c>
      <c r="J24" s="136" t="str">
        <f>IF(SER_hh_tes!J24=0,"",SER_hh_tes!J24/SER_hh_fec!J24)</f>
        <v/>
      </c>
      <c r="K24" s="136" t="str">
        <f>IF(SER_hh_tes!K24=0,"",SER_hh_tes!K24/SER_hh_fec!K24)</f>
        <v/>
      </c>
      <c r="L24" s="136" t="str">
        <f>IF(SER_hh_tes!L24=0,"",SER_hh_tes!L24/SER_hh_fec!L24)</f>
        <v/>
      </c>
      <c r="M24" s="136" t="str">
        <f>IF(SER_hh_tes!M24=0,"",SER_hh_tes!M24/SER_hh_fec!M24)</f>
        <v/>
      </c>
      <c r="N24" s="136" t="str">
        <f>IF(SER_hh_tes!N24=0,"",SER_hh_tes!N24/SER_hh_fec!N24)</f>
        <v/>
      </c>
      <c r="O24" s="136" t="str">
        <f>IF(SER_hh_tes!O24=0,"",SER_hh_tes!O24/SER_hh_fec!O24)</f>
        <v/>
      </c>
      <c r="P24" s="136" t="str">
        <f>IF(SER_hh_tes!P24=0,"",SER_hh_tes!P24/SER_hh_fec!P24)</f>
        <v/>
      </c>
      <c r="Q24" s="136" t="str">
        <f>IF(SER_hh_tes!Q24=0,"",SER_hh_tes!Q24/SER_hh_fec!Q24)</f>
        <v/>
      </c>
      <c r="R24" s="136" t="str">
        <f>IF(SER_hh_tes!R24=0,"",SER_hh_tes!R24/SER_hh_fec!R24)</f>
        <v/>
      </c>
      <c r="S24" s="136" t="str">
        <f>IF(SER_hh_tes!S24=0,"",SER_hh_tes!S24/SER_hh_fec!S24)</f>
        <v/>
      </c>
      <c r="T24" s="136" t="str">
        <f>IF(SER_hh_tes!T24=0,"",SER_hh_tes!T24/SER_hh_fec!T24)</f>
        <v/>
      </c>
      <c r="U24" s="136" t="str">
        <f>IF(SER_hh_tes!U24=0,"",SER_hh_tes!U24/SER_hh_fec!U24)</f>
        <v/>
      </c>
      <c r="V24" s="136" t="str">
        <f>IF(SER_hh_tes!V24=0,"",SER_hh_tes!V24/SER_hh_fec!V24)</f>
        <v/>
      </c>
      <c r="W24" s="136" t="str">
        <f>IF(SER_hh_tes!W24=0,"",SER_hh_tes!W24/SER_hh_fec!W24)</f>
        <v/>
      </c>
      <c r="X24" s="136" t="str">
        <f>IF(SER_hh_tes!X24=0,"",SER_hh_tes!X24/SER_hh_fec!X24)</f>
        <v/>
      </c>
      <c r="Y24" s="136" t="str">
        <f>IF(SER_hh_tes!Y24=0,"",SER_hh_tes!Y24/SER_hh_fec!Y24)</f>
        <v/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0.6720035281089195</v>
      </c>
      <c r="C25" s="136">
        <f>IF(SER_hh_tes!C25=0,"",SER_hh_tes!C25/SER_hh_fec!C25)</f>
        <v>0.67406098839872353</v>
      </c>
      <c r="D25" s="136">
        <f>IF(SER_hh_tes!D25=0,"",SER_hh_tes!D25/SER_hh_fec!D25)</f>
        <v>0.67672140455407404</v>
      </c>
      <c r="E25" s="136">
        <f>IF(SER_hh_tes!E25=0,"",SER_hh_tes!E25/SER_hh_fec!E25)</f>
        <v>0.6795045832149551</v>
      </c>
      <c r="F25" s="136">
        <f>IF(SER_hh_tes!F25=0,"",SER_hh_tes!F25/SER_hh_fec!F25)</f>
        <v>0.68225455420109904</v>
      </c>
      <c r="G25" s="136">
        <f>IF(SER_hh_tes!G25=0,"",SER_hh_tes!G25/SER_hh_fec!G25)</f>
        <v>0.68476498913819639</v>
      </c>
      <c r="H25" s="136">
        <f>IF(SER_hh_tes!H25=0,"",SER_hh_tes!H25/SER_hh_fec!H25)</f>
        <v>0.68714361059532447</v>
      </c>
      <c r="I25" s="136">
        <f>IF(SER_hh_tes!I25=0,"",SER_hh_tes!I25/SER_hh_fec!I25)</f>
        <v>0.68958379019390525</v>
      </c>
      <c r="J25" s="136">
        <f>IF(SER_hh_tes!J25=0,"",SER_hh_tes!J25/SER_hh_fec!J25)</f>
        <v>0.69214873256740161</v>
      </c>
      <c r="K25" s="136">
        <f>IF(SER_hh_tes!K25=0,"",SER_hh_tes!K25/SER_hh_fec!K25)</f>
        <v>0.69483516587801231</v>
      </c>
      <c r="L25" s="136">
        <f>IF(SER_hh_tes!L25=0,"",SER_hh_tes!L25/SER_hh_fec!L25)</f>
        <v>0.69727916092704845</v>
      </c>
      <c r="M25" s="136">
        <f>IF(SER_hh_tes!M25=0,"",SER_hh_tes!M25/SER_hh_fec!M25)</f>
        <v>0.70117043706513837</v>
      </c>
      <c r="N25" s="136">
        <f>IF(SER_hh_tes!N25=0,"",SER_hh_tes!N25/SER_hh_fec!N25)</f>
        <v>0.70625036022684751</v>
      </c>
      <c r="O25" s="136">
        <f>IF(SER_hh_tes!O25=0,"",SER_hh_tes!O25/SER_hh_fec!O25)</f>
        <v>0.71122326361643118</v>
      </c>
      <c r="P25" s="136">
        <f>IF(SER_hh_tes!P25=0,"",SER_hh_tes!P25/SER_hh_fec!P25)</f>
        <v>0.71395957918196451</v>
      </c>
      <c r="Q25" s="136">
        <f>IF(SER_hh_tes!Q25=0,"",SER_hh_tes!Q25/SER_hh_fec!Q25)</f>
        <v>0.71749042484153958</v>
      </c>
      <c r="R25" s="136">
        <f>IF(SER_hh_tes!R25=0,"",SER_hh_tes!R25/SER_hh_fec!R25)</f>
        <v>0.72227842645879325</v>
      </c>
      <c r="S25" s="136">
        <f>IF(SER_hh_tes!S25=0,"",SER_hh_tes!S25/SER_hh_fec!S25)</f>
        <v>0.72821783986074862</v>
      </c>
      <c r="T25" s="136">
        <f>IF(SER_hh_tes!T25=0,"",SER_hh_tes!T25/SER_hh_fec!T25)</f>
        <v>0.73466349904807904</v>
      </c>
      <c r="U25" s="136">
        <f>IF(SER_hh_tes!U25=0,"",SER_hh_tes!U25/SER_hh_fec!U25)</f>
        <v>0.74082222172807444</v>
      </c>
      <c r="V25" s="136">
        <f>IF(SER_hh_tes!V25=0,"",SER_hh_tes!V25/SER_hh_fec!V25)</f>
        <v>0.74649666818886629</v>
      </c>
      <c r="W25" s="136">
        <f>IF(SER_hh_tes!W25=0,"",SER_hh_tes!W25/SER_hh_fec!W25)</f>
        <v>0.75244552698087286</v>
      </c>
      <c r="X25" s="136">
        <f>IF(SER_hh_tes!X25=0,"",SER_hh_tes!X25/SER_hh_fec!X25)</f>
        <v>0.75798713427614672</v>
      </c>
      <c r="Y25" s="136">
        <f>IF(SER_hh_tes!Y25=0,"",SER_hh_tes!Y25/SER_hh_fec!Y25)</f>
        <v>0.76298645366394069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0.55885585788557302</v>
      </c>
      <c r="C26" s="137">
        <f>IF(SER_hh_tes!C26=0,"",SER_hh_tes!C26/SER_hh_fec!C26)</f>
        <v>0.56107386320278863</v>
      </c>
      <c r="D26" s="137">
        <f>IF(SER_hh_tes!D26=0,"",SER_hh_tes!D26/SER_hh_fec!D26)</f>
        <v>0.563245983518044</v>
      </c>
      <c r="E26" s="137">
        <f>IF(SER_hh_tes!E26=0,"",SER_hh_tes!E26/SER_hh_fec!E26)</f>
        <v>0.56563909205095175</v>
      </c>
      <c r="F26" s="137">
        <f>IF(SER_hh_tes!F26=0,"",SER_hh_tes!F26/SER_hh_fec!F26)</f>
        <v>0.56820789560210483</v>
      </c>
      <c r="G26" s="137">
        <f>IF(SER_hh_tes!G26=0,"",SER_hh_tes!G26/SER_hh_fec!G26)</f>
        <v>0.57075790105794499</v>
      </c>
      <c r="H26" s="137">
        <f>IF(SER_hh_tes!H26=0,"",SER_hh_tes!H26/SER_hh_fec!H26)</f>
        <v>0.57343316673396594</v>
      </c>
      <c r="I26" s="137">
        <f>IF(SER_hh_tes!I26=0,"",SER_hh_tes!I26/SER_hh_fec!I26)</f>
        <v>0.57638985403901133</v>
      </c>
      <c r="J26" s="137">
        <f>IF(SER_hh_tes!J26=0,"",SER_hh_tes!J26/SER_hh_fec!J26)</f>
        <v>0.57937636736211151</v>
      </c>
      <c r="K26" s="137">
        <f>IF(SER_hh_tes!K26=0,"",SER_hh_tes!K26/SER_hh_fec!K26)</f>
        <v>0.58217469911230835</v>
      </c>
      <c r="L26" s="137">
        <f>IF(SER_hh_tes!L26=0,"",SER_hh_tes!L26/SER_hh_fec!L26)</f>
        <v>0.58428455937768642</v>
      </c>
      <c r="M26" s="137">
        <f>IF(SER_hh_tes!M26=0,"",SER_hh_tes!M26/SER_hh_fec!M26)</f>
        <v>0.58823536064832904</v>
      </c>
      <c r="N26" s="137">
        <f>IF(SER_hh_tes!N26=0,"",SER_hh_tes!N26/SER_hh_fec!N26)</f>
        <v>0.5933140797801435</v>
      </c>
      <c r="O26" s="137">
        <f>IF(SER_hh_tes!O26=0,"",SER_hh_tes!O26/SER_hh_fec!O26)</f>
        <v>0.59830129950298228</v>
      </c>
      <c r="P26" s="137">
        <f>IF(SER_hh_tes!P26=0,"",SER_hh_tes!P26/SER_hh_fec!P26)</f>
        <v>0.60379239212530389</v>
      </c>
      <c r="Q26" s="137">
        <f>IF(SER_hh_tes!Q26=0,"",SER_hh_tes!Q26/SER_hh_fec!Q26)</f>
        <v>0.61078353175130651</v>
      </c>
      <c r="R26" s="137">
        <f>IF(SER_hh_tes!R26=0,"",SER_hh_tes!R26/SER_hh_fec!R26)</f>
        <v>0.62012127598094891</v>
      </c>
      <c r="S26" s="137">
        <f>IF(SER_hh_tes!S26=0,"",SER_hh_tes!S26/SER_hh_fec!S26)</f>
        <v>0.63289438909544504</v>
      </c>
      <c r="T26" s="137">
        <f>IF(SER_hh_tes!T26=0,"",SER_hh_tes!T26/SER_hh_fec!T26)</f>
        <v>0.64767553830535651</v>
      </c>
      <c r="U26" s="137">
        <f>IF(SER_hh_tes!U26=0,"",SER_hh_tes!U26/SER_hh_fec!U26)</f>
        <v>0.66384534085954505</v>
      </c>
      <c r="V26" s="137">
        <f>IF(SER_hh_tes!V26=0,"",SER_hh_tes!V26/SER_hh_fec!V26)</f>
        <v>0.67633852362404023</v>
      </c>
      <c r="W26" s="137">
        <f>IF(SER_hh_tes!W26=0,"",SER_hh_tes!W26/SER_hh_fec!W26)</f>
        <v>0.69566682553818093</v>
      </c>
      <c r="X26" s="137">
        <f>IF(SER_hh_tes!X26=0,"",SER_hh_tes!X26/SER_hh_fec!X26)</f>
        <v>0.712287525704144</v>
      </c>
      <c r="Y26" s="137">
        <f>IF(SER_hh_tes!Y26=0,"",SER_hh_tes!Y26/SER_hh_fec!Y26)</f>
        <v>0.73043402604295782</v>
      </c>
      <c r="DA26" s="164" t="s">
        <v>351</v>
      </c>
    </row>
    <row r="27" spans="1:105" ht="12" customHeight="1" x14ac:dyDescent="0.25">
      <c r="A27" s="144" t="s">
        <v>26</v>
      </c>
      <c r="B27" s="153" t="str">
        <f>IF(SER_hh_tes!B27=0,"",SER_hh_tes!B27/SER_hh_fec!B27)</f>
        <v/>
      </c>
      <c r="C27" s="153" t="str">
        <f>IF(SER_hh_tes!C27=0,"",SER_hh_tes!C27/SER_hh_fec!C27)</f>
        <v/>
      </c>
      <c r="D27" s="153" t="str">
        <f>IF(SER_hh_tes!D27=0,"",SER_hh_tes!D27/SER_hh_fec!D27)</f>
        <v/>
      </c>
      <c r="E27" s="153" t="str">
        <f>IF(SER_hh_tes!E27=0,"",SER_hh_tes!E27/SER_hh_fec!E27)</f>
        <v/>
      </c>
      <c r="F27" s="153" t="str">
        <f>IF(SER_hh_tes!F27=0,"",SER_hh_tes!F27/SER_hh_fec!F27)</f>
        <v/>
      </c>
      <c r="G27" s="153" t="str">
        <f>IF(SER_hh_tes!G27=0,"",SER_hh_tes!G27/SER_hh_fec!G27)</f>
        <v/>
      </c>
      <c r="H27" s="153" t="str">
        <f>IF(SER_hh_tes!H27=0,"",SER_hh_tes!H27/SER_hh_fec!H27)</f>
        <v/>
      </c>
      <c r="I27" s="153" t="str">
        <f>IF(SER_hh_tes!I27=0,"",SER_hh_tes!I27/SER_hh_fec!I27)</f>
        <v/>
      </c>
      <c r="J27" s="153" t="str">
        <f>IF(SER_hh_tes!J27=0,"",SER_hh_tes!J27/SER_hh_fec!J27)</f>
        <v/>
      </c>
      <c r="K27" s="153" t="str">
        <f>IF(SER_hh_tes!K27=0,"",SER_hh_tes!K27/SER_hh_fec!K27)</f>
        <v/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0.70127533702838585</v>
      </c>
      <c r="C29" s="135">
        <f>IF(SER_hh_tes!C29=0,"",SER_hh_tes!C29/SER_hh_fec!C29)</f>
        <v>0.69569551614447123</v>
      </c>
      <c r="D29" s="135">
        <f>IF(SER_hh_tes!D29=0,"",SER_hh_tes!D29/SER_hh_fec!D29)</f>
        <v>0.70277174103355977</v>
      </c>
      <c r="E29" s="135">
        <f>IF(SER_hh_tes!E29=0,"",SER_hh_tes!E29/SER_hh_fec!E29)</f>
        <v>0.70203787099457104</v>
      </c>
      <c r="F29" s="135">
        <f>IF(SER_hh_tes!F29=0,"",SER_hh_tes!F29/SER_hh_fec!F29)</f>
        <v>0.6986928581914772</v>
      </c>
      <c r="G29" s="135">
        <f>IF(SER_hh_tes!G29=0,"",SER_hh_tes!G29/SER_hh_fec!G29)</f>
        <v>0.70311271543753895</v>
      </c>
      <c r="H29" s="135">
        <f>IF(SER_hh_tes!H29=0,"",SER_hh_tes!H29/SER_hh_fec!H29)</f>
        <v>0.69978012833749959</v>
      </c>
      <c r="I29" s="135">
        <f>IF(SER_hh_tes!I29=0,"",SER_hh_tes!I29/SER_hh_fec!I29)</f>
        <v>0.69905497510394543</v>
      </c>
      <c r="J29" s="135">
        <f>IF(SER_hh_tes!J29=0,"",SER_hh_tes!J29/SER_hh_fec!J29)</f>
        <v>0.69365975907596478</v>
      </c>
      <c r="K29" s="135">
        <f>IF(SER_hh_tes!K29=0,"",SER_hh_tes!K29/SER_hh_fec!K29)</f>
        <v>0.69642678246367673</v>
      </c>
      <c r="L29" s="135">
        <f>IF(SER_hh_tes!L29=0,"",SER_hh_tes!L29/SER_hh_fec!L29)</f>
        <v>0.69149791712992648</v>
      </c>
      <c r="M29" s="135">
        <f>IF(SER_hh_tes!M29=0,"",SER_hh_tes!M29/SER_hh_fec!M29)</f>
        <v>0.69191342854503879</v>
      </c>
      <c r="N29" s="135">
        <f>IF(SER_hh_tes!N29=0,"",SER_hh_tes!N29/SER_hh_fec!N29)</f>
        <v>0.68806335614304714</v>
      </c>
      <c r="O29" s="135">
        <f>IF(SER_hh_tes!O29=0,"",SER_hh_tes!O29/SER_hh_fec!O29)</f>
        <v>0.6949376277785656</v>
      </c>
      <c r="P29" s="135">
        <f>IF(SER_hh_tes!P29=0,"",SER_hh_tes!P29/SER_hh_fec!P29)</f>
        <v>0.7023497143938553</v>
      </c>
      <c r="Q29" s="135">
        <f>IF(SER_hh_tes!Q29=0,"",SER_hh_tes!Q29/SER_hh_fec!Q29)</f>
        <v>0.70708367453880094</v>
      </c>
      <c r="R29" s="135">
        <f>IF(SER_hh_tes!R29=0,"",SER_hh_tes!R29/SER_hh_fec!R29)</f>
        <v>0.71117426686767682</v>
      </c>
      <c r="S29" s="135">
        <f>IF(SER_hh_tes!S29=0,"",SER_hh_tes!S29/SER_hh_fec!S29)</f>
        <v>0.71066267355771717</v>
      </c>
      <c r="T29" s="135">
        <f>IF(SER_hh_tes!T29=0,"",SER_hh_tes!T29/SER_hh_fec!T29)</f>
        <v>0.71075865873122557</v>
      </c>
      <c r="U29" s="135">
        <f>IF(SER_hh_tes!U29=0,"",SER_hh_tes!U29/SER_hh_fec!U29)</f>
        <v>0.71625842129867678</v>
      </c>
      <c r="V29" s="135">
        <f>IF(SER_hh_tes!V29=0,"",SER_hh_tes!V29/SER_hh_fec!V29)</f>
        <v>0.72246907583174269</v>
      </c>
      <c r="W29" s="135">
        <f>IF(SER_hh_tes!W29=0,"",SER_hh_tes!W29/SER_hh_fec!W29)</f>
        <v>0.73253560389083083</v>
      </c>
      <c r="X29" s="135">
        <f>IF(SER_hh_tes!X29=0,"",SER_hh_tes!X29/SER_hh_fec!X29)</f>
        <v>0.73098048040822317</v>
      </c>
      <c r="Y29" s="135">
        <f>IF(SER_hh_tes!Y29=0,"",SER_hh_tes!Y29/SER_hh_fec!Y29)</f>
        <v>0.74627576765938575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0.53623624565302341</v>
      </c>
      <c r="C30" s="136">
        <f>IF(SER_hh_tes!C30=0,"",SER_hh_tes!C30/SER_hh_fec!C30)</f>
        <v>0.53688831365992473</v>
      </c>
      <c r="D30" s="136">
        <f>IF(SER_hh_tes!D30=0,"",SER_hh_tes!D30/SER_hh_fec!D30)</f>
        <v>0.53696357920322757</v>
      </c>
      <c r="E30" s="136">
        <f>IF(SER_hh_tes!E30=0,"",SER_hh_tes!E30/SER_hh_fec!E30)</f>
        <v>0.53703366686176046</v>
      </c>
      <c r="F30" s="136">
        <f>IF(SER_hh_tes!F30=0,"",SER_hh_tes!F30/SER_hh_fec!F30)</f>
        <v>0.53709561271026351</v>
      </c>
      <c r="G30" s="136" t="str">
        <f>IF(SER_hh_tes!G30=0,"",SER_hh_tes!G30/SER_hh_fec!G30)</f>
        <v/>
      </c>
      <c r="H30" s="136" t="str">
        <f>IF(SER_hh_tes!H30=0,"",SER_hh_tes!H30/SER_hh_fec!H30)</f>
        <v/>
      </c>
      <c r="I30" s="136" t="str">
        <f>IF(SER_hh_tes!I30=0,"",SER_hh_tes!I30/SER_hh_fec!I30)</f>
        <v/>
      </c>
      <c r="J30" s="136" t="str">
        <f>IF(SER_hh_tes!J30=0,"",SER_hh_tes!J30/SER_hh_fec!J30)</f>
        <v/>
      </c>
      <c r="K30" s="136" t="str">
        <f>IF(SER_hh_tes!K30=0,"",SER_hh_tes!K30/SER_hh_fec!K30)</f>
        <v/>
      </c>
      <c r="L30" s="136">
        <f>IF(SER_hh_tes!L30=0,"",SER_hh_tes!L30/SER_hh_fec!L30)</f>
        <v>0.54893282105554608</v>
      </c>
      <c r="M30" s="136">
        <f>IF(SER_hh_tes!M30=0,"",SER_hh_tes!M30/SER_hh_fec!M30)</f>
        <v>0.54905710815498965</v>
      </c>
      <c r="N30" s="136">
        <f>IF(SER_hh_tes!N30=0,"",SER_hh_tes!N30/SER_hh_fec!N30)</f>
        <v>0.54916129309976991</v>
      </c>
      <c r="O30" s="136">
        <f>IF(SER_hh_tes!O30=0,"",SER_hh_tes!O30/SER_hh_fec!O30)</f>
        <v>0.54918565848747092</v>
      </c>
      <c r="P30" s="136">
        <f>IF(SER_hh_tes!P30=0,"",SER_hh_tes!P30/SER_hh_fec!P30)</f>
        <v>0.54920788620867422</v>
      </c>
      <c r="Q30" s="136">
        <f>IF(SER_hh_tes!Q30=0,"",SER_hh_tes!Q30/SER_hh_fec!Q30)</f>
        <v>0.54928385126780499</v>
      </c>
      <c r="R30" s="136">
        <f>IF(SER_hh_tes!R30=0,"",SER_hh_tes!R30/SER_hh_fec!R30)</f>
        <v>0.54987444086026249</v>
      </c>
      <c r="S30" s="136">
        <f>IF(SER_hh_tes!S30=0,"",SER_hh_tes!S30/SER_hh_fec!S30)</f>
        <v>0.55194550918795182</v>
      </c>
      <c r="T30" s="136">
        <f>IF(SER_hh_tes!T30=0,"",SER_hh_tes!T30/SER_hh_fec!T30)</f>
        <v>0.55610896697007872</v>
      </c>
      <c r="U30" s="136">
        <f>IF(SER_hh_tes!U30=0,"",SER_hh_tes!U30/SER_hh_fec!U30)</f>
        <v>0.56044958472390161</v>
      </c>
      <c r="V30" s="136">
        <f>IF(SER_hh_tes!V30=0,"",SER_hh_tes!V30/SER_hh_fec!V30)</f>
        <v>0.56570151740937658</v>
      </c>
      <c r="W30" s="136">
        <f>IF(SER_hh_tes!W30=0,"",SER_hh_tes!W30/SER_hh_fec!W30)</f>
        <v>0.57251863856164542</v>
      </c>
      <c r="X30" s="136">
        <f>IF(SER_hh_tes!X30=0,"",SER_hh_tes!X30/SER_hh_fec!X30)</f>
        <v>0.5800524907973873</v>
      </c>
      <c r="Y30" s="136">
        <f>IF(SER_hh_tes!Y30=0,"",SER_hh_tes!Y30/SER_hh_fec!Y30)</f>
        <v>0.58312185816280349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0.54286786549763033</v>
      </c>
      <c r="C31" s="136">
        <f>IF(SER_hh_tes!C31=0,"",SER_hh_tes!C31/SER_hh_fec!C31)</f>
        <v>0.54416096560743277</v>
      </c>
      <c r="D31" s="136">
        <f>IF(SER_hh_tes!D31=0,"",SER_hh_tes!D31/SER_hh_fec!D31)</f>
        <v>0.54609345661557818</v>
      </c>
      <c r="E31" s="136">
        <f>IF(SER_hh_tes!E31=0,"",SER_hh_tes!E31/SER_hh_fec!E31)</f>
        <v>0.54758289296322571</v>
      </c>
      <c r="F31" s="136">
        <f>IF(SER_hh_tes!F31=0,"",SER_hh_tes!F31/SER_hh_fec!F31)</f>
        <v>0.54883318314213758</v>
      </c>
      <c r="G31" s="136">
        <f>IF(SER_hh_tes!G31=0,"",SER_hh_tes!G31/SER_hh_fec!G31)</f>
        <v>0.54984654004134159</v>
      </c>
      <c r="H31" s="136">
        <f>IF(SER_hh_tes!H31=0,"",SER_hh_tes!H31/SER_hh_fec!H31)</f>
        <v>0.55073410397170142</v>
      </c>
      <c r="I31" s="136">
        <f>IF(SER_hh_tes!I31=0,"",SER_hh_tes!I31/SER_hh_fec!I31)</f>
        <v>0.55140565640747274</v>
      </c>
      <c r="J31" s="136">
        <f>IF(SER_hh_tes!J31=0,"",SER_hh_tes!J31/SER_hh_fec!J31)</f>
        <v>0.55191914075273008</v>
      </c>
      <c r="K31" s="136">
        <f>IF(SER_hh_tes!K31=0,"",SER_hh_tes!K31/SER_hh_fec!K31)</f>
        <v>0.55234880867495773</v>
      </c>
      <c r="L31" s="136">
        <f>IF(SER_hh_tes!L31=0,"",SER_hh_tes!L31/SER_hh_fec!L31)</f>
        <v>0.5527057101010574</v>
      </c>
      <c r="M31" s="136">
        <f>IF(SER_hh_tes!M31=0,"",SER_hh_tes!M31/SER_hh_fec!M31)</f>
        <v>0.55303685170669825</v>
      </c>
      <c r="N31" s="136">
        <f>IF(SER_hh_tes!N31=0,"",SER_hh_tes!N31/SER_hh_fec!N31)</f>
        <v>0.55349303624190493</v>
      </c>
      <c r="O31" s="136">
        <f>IF(SER_hh_tes!O31=0,"",SER_hh_tes!O31/SER_hh_fec!O31)</f>
        <v>0.55411390152313167</v>
      </c>
      <c r="P31" s="136">
        <f>IF(SER_hh_tes!P31=0,"",SER_hh_tes!P31/SER_hh_fec!P31)</f>
        <v>0.55482334550641232</v>
      </c>
      <c r="Q31" s="136">
        <f>IF(SER_hh_tes!Q31=0,"",SER_hh_tes!Q31/SER_hh_fec!Q31)</f>
        <v>0.55572369196502391</v>
      </c>
      <c r="R31" s="136">
        <f>IF(SER_hh_tes!R31=0,"",SER_hh_tes!R31/SER_hh_fec!R31)</f>
        <v>0.55712063910031495</v>
      </c>
      <c r="S31" s="136">
        <f>IF(SER_hh_tes!S31=0,"",SER_hh_tes!S31/SER_hh_fec!S31)</f>
        <v>0.55908849566755692</v>
      </c>
      <c r="T31" s="136">
        <f>IF(SER_hh_tes!T31=0,"",SER_hh_tes!T31/SER_hh_fec!T31)</f>
        <v>0.56162238800587716</v>
      </c>
      <c r="U31" s="136">
        <f>IF(SER_hh_tes!U31=0,"",SER_hh_tes!U31/SER_hh_fec!U31)</f>
        <v>0.56450201600211125</v>
      </c>
      <c r="V31" s="136">
        <f>IF(SER_hh_tes!V31=0,"",SER_hh_tes!V31/SER_hh_fec!V31)</f>
        <v>0.56781469265521822</v>
      </c>
      <c r="W31" s="136">
        <f>IF(SER_hh_tes!W31=0,"",SER_hh_tes!W31/SER_hh_fec!W31)</f>
        <v>0.5711069559560944</v>
      </c>
      <c r="X31" s="136">
        <f>IF(SER_hh_tes!X31=0,"",SER_hh_tes!X31/SER_hh_fec!X31)</f>
        <v>0.57425601137143334</v>
      </c>
      <c r="Y31" s="136">
        <f>IF(SER_hh_tes!Y31=0,"",SER_hh_tes!Y31/SER_hh_fec!Y31)</f>
        <v>0.57823010741200498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>
        <f>IF(SER_hh_tes!J32=0,"",SER_hh_tes!J32/SER_hh_fec!J32)</f>
        <v>0.55647595708882924</v>
      </c>
      <c r="K32" s="136">
        <f>IF(SER_hh_tes!K32=0,"",SER_hh_tes!K32/SER_hh_fec!K32)</f>
        <v>0.55652949816083341</v>
      </c>
      <c r="L32" s="136">
        <f>IF(SER_hh_tes!L32=0,"",SER_hh_tes!L32/SER_hh_fec!L32)</f>
        <v>0.55655052459678211</v>
      </c>
      <c r="M32" s="136">
        <f>IF(SER_hh_tes!M32=0,"",SER_hh_tes!M32/SER_hh_fec!M32)</f>
        <v>0.55655100149682435</v>
      </c>
      <c r="N32" s="136">
        <f>IF(SER_hh_tes!N32=0,"",SER_hh_tes!N32/SER_hh_fec!N32)</f>
        <v>0.55655100149682435</v>
      </c>
      <c r="O32" s="136">
        <f>IF(SER_hh_tes!O32=0,"",SER_hh_tes!O32/SER_hh_fec!O32)</f>
        <v>0.55655100149682457</v>
      </c>
      <c r="P32" s="136">
        <f>IF(SER_hh_tes!P32=0,"",SER_hh_tes!P32/SER_hh_fec!P32)</f>
        <v>0.55655100149682435</v>
      </c>
      <c r="Q32" s="136">
        <f>IF(SER_hh_tes!Q32=0,"",SER_hh_tes!Q32/SER_hh_fec!Q32)</f>
        <v>0.55676147290996691</v>
      </c>
      <c r="R32" s="136">
        <f>IF(SER_hh_tes!R32=0,"",SER_hh_tes!R32/SER_hh_fec!R32)</f>
        <v>0.55780700722551113</v>
      </c>
      <c r="S32" s="136">
        <f>IF(SER_hh_tes!S32=0,"",SER_hh_tes!S32/SER_hh_fec!S32)</f>
        <v>0.56027136895816265</v>
      </c>
      <c r="T32" s="136">
        <f>IF(SER_hh_tes!T32=0,"",SER_hh_tes!T32/SER_hh_fec!T32)</f>
        <v>0.56281729988504348</v>
      </c>
      <c r="U32" s="136">
        <f>IF(SER_hh_tes!U32=0,"",SER_hh_tes!U32/SER_hh_fec!U32)</f>
        <v>0.56489569589780031</v>
      </c>
      <c r="V32" s="136">
        <f>IF(SER_hh_tes!V32=0,"",SER_hh_tes!V32/SER_hh_fec!V32)</f>
        <v>0.56665296011831723</v>
      </c>
      <c r="W32" s="136">
        <f>IF(SER_hh_tes!W32=0,"",SER_hh_tes!W32/SER_hh_fec!W32)</f>
        <v>0.56746810503039846</v>
      </c>
      <c r="X32" s="136">
        <f>IF(SER_hh_tes!X32=0,"",SER_hh_tes!X32/SER_hh_fec!X32)</f>
        <v>0.56796022435952787</v>
      </c>
      <c r="Y32" s="136">
        <f>IF(SER_hh_tes!Y32=0,"",SER_hh_tes!Y32/SER_hh_fec!Y32)</f>
        <v>0.56832579717317466</v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0.7095452647723236</v>
      </c>
      <c r="C33" s="149">
        <f>IF(SER_hh_tes!C33=0,"",SER_hh_tes!C33/SER_hh_fec!C33)</f>
        <v>0.7111751270281399</v>
      </c>
      <c r="D33" s="149">
        <f>IF(SER_hh_tes!D33=0,"",SER_hh_tes!D33/SER_hh_fec!D33)</f>
        <v>0.71295395353482172</v>
      </c>
      <c r="E33" s="149">
        <f>IF(SER_hh_tes!E33=0,"",SER_hh_tes!E33/SER_hh_fec!E33)</f>
        <v>0.71484345455500042</v>
      </c>
      <c r="F33" s="149">
        <f>IF(SER_hh_tes!F33=0,"",SER_hh_tes!F33/SER_hh_fec!F33)</f>
        <v>0.71677833716025441</v>
      </c>
      <c r="G33" s="149">
        <f>IF(SER_hh_tes!G33=0,"",SER_hh_tes!G33/SER_hh_fec!G33)</f>
        <v>0.71883938857931817</v>
      </c>
      <c r="H33" s="149">
        <f>IF(SER_hh_tes!H33=0,"",SER_hh_tes!H33/SER_hh_fec!H33)</f>
        <v>0.72088088124278271</v>
      </c>
      <c r="I33" s="149">
        <f>IF(SER_hh_tes!I33=0,"",SER_hh_tes!I33/SER_hh_fec!I33)</f>
        <v>0.72315460844790058</v>
      </c>
      <c r="J33" s="149">
        <f>IF(SER_hh_tes!J33=0,"",SER_hh_tes!J33/SER_hh_fec!J33)</f>
        <v>0.72534436276024183</v>
      </c>
      <c r="K33" s="149">
        <f>IF(SER_hh_tes!K33=0,"",SER_hh_tes!K33/SER_hh_fec!K33)</f>
        <v>0.72786567105012467</v>
      </c>
      <c r="L33" s="149">
        <f>IF(SER_hh_tes!L33=0,"",SER_hh_tes!L33/SER_hh_fec!L33)</f>
        <v>0.72970626785203097</v>
      </c>
      <c r="M33" s="149">
        <f>IF(SER_hh_tes!M33=0,"",SER_hh_tes!M33/SER_hh_fec!M33)</f>
        <v>0.7309957414777678</v>
      </c>
      <c r="N33" s="149">
        <f>IF(SER_hh_tes!N33=0,"",SER_hh_tes!N33/SER_hh_fec!N33)</f>
        <v>0.73282022766306343</v>
      </c>
      <c r="O33" s="149">
        <f>IF(SER_hh_tes!O33=0,"",SER_hh_tes!O33/SER_hh_fec!O33)</f>
        <v>0.7358445009520268</v>
      </c>
      <c r="P33" s="149">
        <f>IF(SER_hh_tes!P33=0,"",SER_hh_tes!P33/SER_hh_fec!P33)</f>
        <v>0.73967193195743763</v>
      </c>
      <c r="Q33" s="149">
        <f>IF(SER_hh_tes!Q33=0,"",SER_hh_tes!Q33/SER_hh_fec!Q33)</f>
        <v>0.74453265639923127</v>
      </c>
      <c r="R33" s="149">
        <f>IF(SER_hh_tes!R33=0,"",SER_hh_tes!R33/SER_hh_fec!R33)</f>
        <v>0.7502106520613091</v>
      </c>
      <c r="S33" s="149">
        <f>IF(SER_hh_tes!S33=0,"",SER_hh_tes!S33/SER_hh_fec!S33)</f>
        <v>0.7569426398064063</v>
      </c>
      <c r="T33" s="149">
        <f>IF(SER_hh_tes!T33=0,"",SER_hh_tes!T33/SER_hh_fec!T33)</f>
        <v>0.764730316668077</v>
      </c>
      <c r="U33" s="149">
        <f>IF(SER_hh_tes!U33=0,"",SER_hh_tes!U33/SER_hh_fec!U33)</f>
        <v>0.77432686092163017</v>
      </c>
      <c r="V33" s="149">
        <f>IF(SER_hh_tes!V33=0,"",SER_hh_tes!V33/SER_hh_fec!V33)</f>
        <v>0.78478916632717977</v>
      </c>
      <c r="W33" s="149">
        <f>IF(SER_hh_tes!W33=0,"",SER_hh_tes!W33/SER_hh_fec!W33)</f>
        <v>0.7959066596078892</v>
      </c>
      <c r="X33" s="149">
        <f>IF(SER_hh_tes!X33=0,"",SER_hh_tes!X33/SER_hh_fec!X33)</f>
        <v>0.80704627802781559</v>
      </c>
      <c r="Y33" s="149">
        <f>IF(SER_hh_tes!Y33=0,"",SER_hh_tes!Y33/SER_hh_fec!Y33)</f>
        <v>0.81936661150620882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335.84810584788113</v>
      </c>
      <c r="C3" s="125">
        <f t="shared" si="0"/>
        <v>591.25569528540325</v>
      </c>
      <c r="D3" s="125">
        <f t="shared" si="0"/>
        <v>404.62436771955885</v>
      </c>
      <c r="E3" s="125">
        <f t="shared" si="0"/>
        <v>292.16735926159089</v>
      </c>
      <c r="F3" s="125">
        <f t="shared" si="0"/>
        <v>209.91033967249763</v>
      </c>
      <c r="G3" s="125">
        <f t="shared" si="0"/>
        <v>235.13095416141741</v>
      </c>
      <c r="H3" s="125">
        <f t="shared" si="0"/>
        <v>384.05193619061288</v>
      </c>
      <c r="I3" s="125">
        <f t="shared" si="0"/>
        <v>326.95928965522688</v>
      </c>
      <c r="J3" s="125">
        <f t="shared" si="0"/>
        <v>404.48942578981439</v>
      </c>
      <c r="K3" s="125">
        <f t="shared" si="0"/>
        <v>377.97381639483137</v>
      </c>
      <c r="L3" s="125">
        <f t="shared" si="0"/>
        <v>345.86012875545646</v>
      </c>
      <c r="M3" s="125">
        <f t="shared" si="0"/>
        <v>322.244895230883</v>
      </c>
      <c r="N3" s="125">
        <f t="shared" si="0"/>
        <v>313.68673585049805</v>
      </c>
      <c r="O3" s="125">
        <f t="shared" si="0"/>
        <v>273.26704794223758</v>
      </c>
      <c r="P3" s="125">
        <f t="shared" si="0"/>
        <v>253.21777651233538</v>
      </c>
      <c r="Q3" s="125">
        <f t="shared" si="0"/>
        <v>352.20162553875059</v>
      </c>
      <c r="R3" s="125">
        <f t="shared" ref="R3:W3" si="1">SUM(R4,R16,R19,R29)</f>
        <v>355.48624755366274</v>
      </c>
      <c r="S3" s="125">
        <f t="shared" si="1"/>
        <v>346.98289694705966</v>
      </c>
      <c r="T3" s="125">
        <f t="shared" si="1"/>
        <v>317.49378118821562</v>
      </c>
      <c r="U3" s="125">
        <f t="shared" si="1"/>
        <v>316.39433985215481</v>
      </c>
      <c r="V3" s="125">
        <f t="shared" si="1"/>
        <v>290.73822264378794</v>
      </c>
      <c r="W3" s="125">
        <f t="shared" si="1"/>
        <v>342.28058367477445</v>
      </c>
      <c r="X3" s="125">
        <f t="shared" ref="X3:Y3" si="2">SUM(X4,X16,X19,X29)</f>
        <v>339.98636408996867</v>
      </c>
      <c r="Y3" s="125">
        <f t="shared" si="2"/>
        <v>354.28305908272336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283.31195994931431</v>
      </c>
      <c r="C4" s="130">
        <f t="shared" si="3"/>
        <v>524.33789186657248</v>
      </c>
      <c r="D4" s="130">
        <f t="shared" si="3"/>
        <v>344.22522868244346</v>
      </c>
      <c r="E4" s="130">
        <f t="shared" si="3"/>
        <v>226.96893662053341</v>
      </c>
      <c r="F4" s="130">
        <f t="shared" si="3"/>
        <v>139.95405064387987</v>
      </c>
      <c r="G4" s="130">
        <f t="shared" si="3"/>
        <v>166.11977412606251</v>
      </c>
      <c r="H4" s="130">
        <f t="shared" si="3"/>
        <v>300.32246967494143</v>
      </c>
      <c r="I4" s="130">
        <f t="shared" si="3"/>
        <v>230.69943077864338</v>
      </c>
      <c r="J4" s="130">
        <f t="shared" si="3"/>
        <v>302.26700023047908</v>
      </c>
      <c r="K4" s="130">
        <f t="shared" si="3"/>
        <v>273.13812249787776</v>
      </c>
      <c r="L4" s="130">
        <f t="shared" si="3"/>
        <v>224.51982137550814</v>
      </c>
      <c r="M4" s="130">
        <f t="shared" si="3"/>
        <v>196.71044809927878</v>
      </c>
      <c r="N4" s="130">
        <f t="shared" si="3"/>
        <v>173.43410532169509</v>
      </c>
      <c r="O4" s="130">
        <f t="shared" si="3"/>
        <v>146.14982631996997</v>
      </c>
      <c r="P4" s="130">
        <f t="shared" si="3"/>
        <v>137.09398383623648</v>
      </c>
      <c r="Q4" s="130">
        <f t="shared" si="3"/>
        <v>237.75493538265317</v>
      </c>
      <c r="R4" s="130">
        <f t="shared" ref="R4:W4" si="4">SUM(R5:R15)</f>
        <v>243.50737528874049</v>
      </c>
      <c r="S4" s="130">
        <f t="shared" si="4"/>
        <v>227.66864038500626</v>
      </c>
      <c r="T4" s="130">
        <f t="shared" si="4"/>
        <v>198.37071995860612</v>
      </c>
      <c r="U4" s="130">
        <f t="shared" si="4"/>
        <v>196.96889277787133</v>
      </c>
      <c r="V4" s="130">
        <f t="shared" si="4"/>
        <v>191.47033283181543</v>
      </c>
      <c r="W4" s="130">
        <f t="shared" si="4"/>
        <v>231.94571092714961</v>
      </c>
      <c r="X4" s="130">
        <f t="shared" ref="X4:Y4" si="5">SUM(X5:X15)</f>
        <v>232.11745153557263</v>
      </c>
      <c r="Y4" s="130">
        <f t="shared" si="5"/>
        <v>235.68178050329118</v>
      </c>
      <c r="DA4" s="155" t="s">
        <v>234</v>
      </c>
    </row>
    <row r="5" spans="1:105" ht="12" customHeight="1" x14ac:dyDescent="0.25">
      <c r="A5" s="131" t="s">
        <v>29</v>
      </c>
      <c r="B5" s="132">
        <v>12.072595007881112</v>
      </c>
      <c r="C5" s="132">
        <v>13.14839892540329</v>
      </c>
      <c r="D5" s="132">
        <v>21.163973399558895</v>
      </c>
      <c r="E5" s="132">
        <v>26.623418021590926</v>
      </c>
      <c r="F5" s="132">
        <v>19.053325032497639</v>
      </c>
      <c r="G5" s="132">
        <v>25.225002121417369</v>
      </c>
      <c r="H5" s="132">
        <v>25.794597550612874</v>
      </c>
      <c r="I5" s="132">
        <v>12.231137175226921</v>
      </c>
      <c r="J5" s="132">
        <v>23.189639149814365</v>
      </c>
      <c r="K5" s="132">
        <v>19.554186154831452</v>
      </c>
      <c r="L5" s="132">
        <v>18.009910035456411</v>
      </c>
      <c r="M5" s="132">
        <v>20.058963470882912</v>
      </c>
      <c r="N5" s="132">
        <v>15.14239093049796</v>
      </c>
      <c r="O5" s="132">
        <v>19.933278542237524</v>
      </c>
      <c r="P5" s="132">
        <v>8.9158447923354096</v>
      </c>
      <c r="Q5" s="132">
        <v>22.703542818750552</v>
      </c>
      <c r="R5" s="132">
        <v>24.75699579366275</v>
      </c>
      <c r="S5" s="132">
        <v>16.456802187059722</v>
      </c>
      <c r="T5" s="132">
        <v>10.561442028215355</v>
      </c>
      <c r="U5" s="132">
        <v>15.541831532154641</v>
      </c>
      <c r="V5" s="132">
        <v>12.618320403787994</v>
      </c>
      <c r="W5" s="132">
        <v>9.9853189547742058</v>
      </c>
      <c r="X5" s="132">
        <v>6.3542116499687546</v>
      </c>
      <c r="Y5" s="132">
        <v>7.532214682723481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256.11724179002402</v>
      </c>
      <c r="C7" s="132">
        <v>486.7873761869451</v>
      </c>
      <c r="D7" s="132">
        <v>296.93881909862421</v>
      </c>
      <c r="E7" s="132">
        <v>163.38313181072843</v>
      </c>
      <c r="F7" s="132">
        <v>85.030476622535588</v>
      </c>
      <c r="G7" s="132">
        <v>83.976149653444267</v>
      </c>
      <c r="H7" s="132">
        <v>183.43301202464039</v>
      </c>
      <c r="I7" s="132">
        <v>126.8788119415568</v>
      </c>
      <c r="J7" s="132">
        <v>167.732754268783</v>
      </c>
      <c r="K7" s="132">
        <v>181.41616475381346</v>
      </c>
      <c r="L7" s="132">
        <v>104.25450365468446</v>
      </c>
      <c r="M7" s="132">
        <v>70.027872676811612</v>
      </c>
      <c r="N7" s="132">
        <v>56.334732166980714</v>
      </c>
      <c r="O7" s="132">
        <v>33.819534888331582</v>
      </c>
      <c r="P7" s="132">
        <v>24.224271827334256</v>
      </c>
      <c r="Q7" s="132">
        <v>94.895105067152329</v>
      </c>
      <c r="R7" s="132">
        <v>92.971415608521326</v>
      </c>
      <c r="S7" s="132">
        <v>77.74644591205633</v>
      </c>
      <c r="T7" s="132">
        <v>45.823680528140443</v>
      </c>
      <c r="U7" s="132">
        <v>57.317050632795329</v>
      </c>
      <c r="V7" s="132">
        <v>50.996686547311889</v>
      </c>
      <c r="W7" s="132">
        <v>52.385466131136525</v>
      </c>
      <c r="X7" s="132">
        <v>64.58389106429874</v>
      </c>
      <c r="Y7" s="132">
        <v>96.287756723239227</v>
      </c>
      <c r="DA7" s="156" t="s">
        <v>360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361</v>
      </c>
    </row>
    <row r="9" spans="1:105" ht="12" customHeight="1" x14ac:dyDescent="0.25">
      <c r="A9" s="131" t="s">
        <v>78</v>
      </c>
      <c r="B9" s="132">
        <v>15.122123151409182</v>
      </c>
      <c r="C9" s="132">
        <v>24.40211675422405</v>
      </c>
      <c r="D9" s="132">
        <v>26.122436184260398</v>
      </c>
      <c r="E9" s="132">
        <v>36.962386788214047</v>
      </c>
      <c r="F9" s="132">
        <v>35.870248988846647</v>
      </c>
      <c r="G9" s="132">
        <v>56.918622351200852</v>
      </c>
      <c r="H9" s="132">
        <v>91.094860099688148</v>
      </c>
      <c r="I9" s="132">
        <v>91.589481661859651</v>
      </c>
      <c r="J9" s="132">
        <v>111.34460681188176</v>
      </c>
      <c r="K9" s="132">
        <v>72.167771589232856</v>
      </c>
      <c r="L9" s="132">
        <v>102.25540768536727</v>
      </c>
      <c r="M9" s="132">
        <v>106.62361195158424</v>
      </c>
      <c r="N9" s="132">
        <v>101.95698222421642</v>
      </c>
      <c r="O9" s="132">
        <v>92.397012889400855</v>
      </c>
      <c r="P9" s="132">
        <v>103.95386721656679</v>
      </c>
      <c r="Q9" s="132">
        <v>120.15628749675031</v>
      </c>
      <c r="R9" s="132">
        <v>125.7789638865564</v>
      </c>
      <c r="S9" s="132">
        <v>133.4653922858902</v>
      </c>
      <c r="T9" s="132">
        <v>141.98559740225031</v>
      </c>
      <c r="U9" s="132">
        <v>124.11001061292136</v>
      </c>
      <c r="V9" s="132">
        <v>127.85532588071554</v>
      </c>
      <c r="W9" s="132">
        <v>169.57492584123887</v>
      </c>
      <c r="X9" s="132">
        <v>161.17934882130513</v>
      </c>
      <c r="Y9" s="132">
        <v>131.86180909732846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0</v>
      </c>
      <c r="C16" s="130">
        <f t="shared" si="6"/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235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42.759914734414039</v>
      </c>
      <c r="C19" s="130">
        <f t="shared" si="9"/>
        <v>47.10371897204093</v>
      </c>
      <c r="D19" s="130">
        <f t="shared" si="9"/>
        <v>47.588238635252821</v>
      </c>
      <c r="E19" s="130">
        <f t="shared" si="9"/>
        <v>48.584293914136381</v>
      </c>
      <c r="F19" s="130">
        <f t="shared" si="9"/>
        <v>45.169757646972698</v>
      </c>
      <c r="G19" s="130">
        <f t="shared" si="9"/>
        <v>47.685846162881631</v>
      </c>
      <c r="H19" s="130">
        <f t="shared" si="9"/>
        <v>54.146725957680189</v>
      </c>
      <c r="I19" s="130">
        <f t="shared" si="9"/>
        <v>61.571420582632001</v>
      </c>
      <c r="J19" s="130">
        <f t="shared" si="9"/>
        <v>65.232904068821682</v>
      </c>
      <c r="K19" s="130">
        <f t="shared" si="9"/>
        <v>67.309645206095865</v>
      </c>
      <c r="L19" s="130">
        <f t="shared" si="9"/>
        <v>68.887196710865311</v>
      </c>
      <c r="M19" s="130">
        <f t="shared" si="9"/>
        <v>69.713721677340956</v>
      </c>
      <c r="N19" s="130">
        <f t="shared" si="9"/>
        <v>68.351838045611288</v>
      </c>
      <c r="O19" s="130">
        <f t="shared" si="9"/>
        <v>63.090097068926127</v>
      </c>
      <c r="P19" s="130">
        <f t="shared" si="9"/>
        <v>60.433732738213472</v>
      </c>
      <c r="Q19" s="130">
        <f t="shared" si="9"/>
        <v>60.047312341176756</v>
      </c>
      <c r="R19" s="130">
        <f t="shared" ref="R19:W19" si="10">SUM(R20:R27)</f>
        <v>57.103992164352725</v>
      </c>
      <c r="S19" s="130">
        <f t="shared" si="10"/>
        <v>58.155795951782181</v>
      </c>
      <c r="T19" s="130">
        <f t="shared" si="10"/>
        <v>54.617097972737213</v>
      </c>
      <c r="U19" s="130">
        <f t="shared" si="10"/>
        <v>55.730931663107953</v>
      </c>
      <c r="V19" s="130">
        <f t="shared" si="10"/>
        <v>46.133136180900266</v>
      </c>
      <c r="W19" s="130">
        <f t="shared" si="10"/>
        <v>48.088586533126062</v>
      </c>
      <c r="X19" s="130">
        <f t="shared" ref="X19:Y19" si="11">SUM(X20:X27)</f>
        <v>42.213378992646255</v>
      </c>
      <c r="Y19" s="130">
        <f t="shared" si="11"/>
        <v>50.480355699735689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372</v>
      </c>
    </row>
    <row r="22" spans="1:105" ht="12" customHeight="1" x14ac:dyDescent="0.25">
      <c r="A22" s="131" t="s">
        <v>161</v>
      </c>
      <c r="B22" s="132">
        <v>35.894717729976001</v>
      </c>
      <c r="C22" s="132">
        <v>38.180853333054813</v>
      </c>
      <c r="D22" s="132">
        <v>36.732488021375794</v>
      </c>
      <c r="E22" s="132">
        <v>33.336588309271512</v>
      </c>
      <c r="F22" s="132">
        <v>25.718693617464396</v>
      </c>
      <c r="G22" s="132">
        <v>23.586572386555726</v>
      </c>
      <c r="H22" s="132">
        <v>23.304240535359568</v>
      </c>
      <c r="I22" s="132">
        <v>22.997470938443126</v>
      </c>
      <c r="J22" s="132">
        <v>22.814196691217084</v>
      </c>
      <c r="K22" s="132">
        <v>21.898993326186517</v>
      </c>
      <c r="L22" s="132">
        <v>20.853748265315602</v>
      </c>
      <c r="M22" s="132">
        <v>20.810899243188437</v>
      </c>
      <c r="N22" s="132">
        <v>18.468795913019314</v>
      </c>
      <c r="O22" s="132">
        <v>13.113543431668413</v>
      </c>
      <c r="P22" s="132">
        <v>10.215997212665739</v>
      </c>
      <c r="Q22" s="132">
        <v>10.906853012847622</v>
      </c>
      <c r="R22" s="132">
        <v>9.8499563114786799</v>
      </c>
      <c r="S22" s="132">
        <v>8.0820180879436183</v>
      </c>
      <c r="T22" s="132">
        <v>4.6097479918595754</v>
      </c>
      <c r="U22" s="132">
        <v>5.6733100072046616</v>
      </c>
      <c r="V22" s="132">
        <v>4.9116205326881097</v>
      </c>
      <c r="W22" s="132">
        <v>4.8073324688635024</v>
      </c>
      <c r="X22" s="132">
        <v>6.0382809357012297</v>
      </c>
      <c r="Y22" s="132">
        <v>9.1230123967608368</v>
      </c>
      <c r="DA22" s="156" t="s">
        <v>373</v>
      </c>
    </row>
    <row r="23" spans="1:105" ht="12" customHeight="1" x14ac:dyDescent="0.25">
      <c r="A23" s="131" t="s">
        <v>149</v>
      </c>
      <c r="B23" s="132">
        <v>6.8651970044380377</v>
      </c>
      <c r="C23" s="132">
        <v>8.9228656389861154</v>
      </c>
      <c r="D23" s="132">
        <v>10.855750613877026</v>
      </c>
      <c r="E23" s="132">
        <v>15.247705604864866</v>
      </c>
      <c r="F23" s="132">
        <v>19.451064029508299</v>
      </c>
      <c r="G23" s="132">
        <v>24.099273776325905</v>
      </c>
      <c r="H23" s="132">
        <v>30.842485422320621</v>
      </c>
      <c r="I23" s="132">
        <v>38.573949644188879</v>
      </c>
      <c r="J23" s="132">
        <v>42.418707377604591</v>
      </c>
      <c r="K23" s="132">
        <v>45.410651879909345</v>
      </c>
      <c r="L23" s="132">
        <v>48.033448445549702</v>
      </c>
      <c r="M23" s="132">
        <v>48.902822434152519</v>
      </c>
      <c r="N23" s="132">
        <v>49.883042132591974</v>
      </c>
      <c r="O23" s="132">
        <v>49.976553637257716</v>
      </c>
      <c r="P23" s="132">
        <v>50.217735525547731</v>
      </c>
      <c r="Q23" s="132">
        <v>49.140459328329136</v>
      </c>
      <c r="R23" s="132">
        <v>47.254035852874047</v>
      </c>
      <c r="S23" s="132">
        <v>50.073777863838565</v>
      </c>
      <c r="T23" s="132">
        <v>50.007349980877635</v>
      </c>
      <c r="U23" s="132">
        <v>50.05762165590329</v>
      </c>
      <c r="V23" s="132">
        <v>41.221515648212154</v>
      </c>
      <c r="W23" s="132">
        <v>43.281254064262562</v>
      </c>
      <c r="X23" s="132">
        <v>36.175098056945025</v>
      </c>
      <c r="Y23" s="132">
        <v>41.357343302974854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9.776231164152783</v>
      </c>
      <c r="C29" s="130">
        <f t="shared" si="12"/>
        <v>19.814084446789842</v>
      </c>
      <c r="D29" s="130">
        <f t="shared" si="12"/>
        <v>12.810900401862568</v>
      </c>
      <c r="E29" s="130">
        <f t="shared" si="12"/>
        <v>16.614128726921106</v>
      </c>
      <c r="F29" s="130">
        <f t="shared" si="12"/>
        <v>24.786531381645069</v>
      </c>
      <c r="G29" s="130">
        <f t="shared" si="12"/>
        <v>21.325333872473273</v>
      </c>
      <c r="H29" s="130">
        <f t="shared" si="12"/>
        <v>29.582740557991286</v>
      </c>
      <c r="I29" s="130">
        <f t="shared" si="12"/>
        <v>34.688438293951471</v>
      </c>
      <c r="J29" s="130">
        <f t="shared" si="12"/>
        <v>36.989521490513681</v>
      </c>
      <c r="K29" s="130">
        <f t="shared" si="12"/>
        <v>37.526048690857763</v>
      </c>
      <c r="L29" s="130">
        <f t="shared" si="12"/>
        <v>52.453110669083017</v>
      </c>
      <c r="M29" s="130">
        <f t="shared" si="12"/>
        <v>55.820725454263275</v>
      </c>
      <c r="N29" s="130">
        <f t="shared" si="12"/>
        <v>71.900792483191651</v>
      </c>
      <c r="O29" s="130">
        <f t="shared" si="12"/>
        <v>64.027124553341451</v>
      </c>
      <c r="P29" s="130">
        <f t="shared" si="12"/>
        <v>55.690059937885408</v>
      </c>
      <c r="Q29" s="130">
        <f t="shared" si="12"/>
        <v>54.399377814920705</v>
      </c>
      <c r="R29" s="130">
        <f t="shared" ref="R29:W29" si="13">SUM(R30:R33)</f>
        <v>54.874880100569499</v>
      </c>
      <c r="S29" s="130">
        <f t="shared" si="13"/>
        <v>61.15846061027122</v>
      </c>
      <c r="T29" s="130">
        <f t="shared" si="13"/>
        <v>64.505963256872263</v>
      </c>
      <c r="U29" s="130">
        <f t="shared" si="13"/>
        <v>63.694515411175516</v>
      </c>
      <c r="V29" s="130">
        <f t="shared" si="13"/>
        <v>53.134753631072257</v>
      </c>
      <c r="W29" s="130">
        <f t="shared" si="13"/>
        <v>62.246286214498824</v>
      </c>
      <c r="X29" s="130">
        <f t="shared" ref="X29:Y29" si="14">SUM(X30:X33)</f>
        <v>65.65553356174982</v>
      </c>
      <c r="Y29" s="130">
        <f t="shared" si="14"/>
        <v>68.120922879696479</v>
      </c>
      <c r="DA29" s="155" t="s">
        <v>237</v>
      </c>
    </row>
    <row r="30" spans="1:105" ht="12" customHeight="1" x14ac:dyDescent="0.25">
      <c r="A30" s="131" t="s">
        <v>52</v>
      </c>
      <c r="B30" s="132">
        <v>2.9846552400000008</v>
      </c>
      <c r="C30" s="132">
        <v>11.93862096</v>
      </c>
      <c r="D30" s="132">
        <v>2.9846552400000008</v>
      </c>
      <c r="E30" s="132">
        <v>2.9846552400000008</v>
      </c>
      <c r="F30" s="132">
        <v>6.5940004800000018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14.513025240000005</v>
      </c>
      <c r="M30" s="132">
        <v>17.415675720000003</v>
      </c>
      <c r="N30" s="132">
        <v>31.928700959999979</v>
      </c>
      <c r="O30" s="132">
        <v>23.220749519999998</v>
      </c>
      <c r="P30" s="132">
        <v>14.513025240000006</v>
      </c>
      <c r="Q30" s="132">
        <v>14.513025239999999</v>
      </c>
      <c r="R30" s="132">
        <v>17.415675720000007</v>
      </c>
      <c r="S30" s="132">
        <v>22.216475159999998</v>
      </c>
      <c r="T30" s="132">
        <v>26.805561479999987</v>
      </c>
      <c r="U30" s="132">
        <v>27.545648759999995</v>
      </c>
      <c r="V30" s="132">
        <v>22.782557879999999</v>
      </c>
      <c r="W30" s="132">
        <v>27.391861440000032</v>
      </c>
      <c r="X30" s="132">
        <v>32.38438392000004</v>
      </c>
      <c r="Y30" s="132">
        <v>36.212938559999991</v>
      </c>
      <c r="DA30" s="156" t="s">
        <v>379</v>
      </c>
    </row>
    <row r="31" spans="1:105" ht="12" customHeight="1" x14ac:dyDescent="0.25">
      <c r="A31" s="131" t="s">
        <v>149</v>
      </c>
      <c r="B31" s="132">
        <v>6.7915759241527827</v>
      </c>
      <c r="C31" s="132">
        <v>7.8754634867898421</v>
      </c>
      <c r="D31" s="132">
        <v>9.8262451618625679</v>
      </c>
      <c r="E31" s="132">
        <v>13.629473486921103</v>
      </c>
      <c r="F31" s="132">
        <v>18.192530901645068</v>
      </c>
      <c r="G31" s="132">
        <v>21.325333872473273</v>
      </c>
      <c r="H31" s="132">
        <v>29.582740557991286</v>
      </c>
      <c r="I31" s="132">
        <v>34.688438293951471</v>
      </c>
      <c r="J31" s="132">
        <v>36.989521490513681</v>
      </c>
      <c r="K31" s="132">
        <v>37.526048690857763</v>
      </c>
      <c r="L31" s="132">
        <v>37.940085429083013</v>
      </c>
      <c r="M31" s="132">
        <v>38.405049734263272</v>
      </c>
      <c r="N31" s="132">
        <v>39.972091523191679</v>
      </c>
      <c r="O31" s="132">
        <v>40.80637503334146</v>
      </c>
      <c r="P31" s="132">
        <v>41.177034697885404</v>
      </c>
      <c r="Q31" s="132">
        <v>39.886352574920707</v>
      </c>
      <c r="R31" s="132">
        <v>37.459204380569496</v>
      </c>
      <c r="S31" s="132">
        <v>38.941985450271225</v>
      </c>
      <c r="T31" s="132">
        <v>37.700401776872269</v>
      </c>
      <c r="U31" s="132">
        <v>36.148866651175517</v>
      </c>
      <c r="V31" s="132">
        <v>30.352195751072255</v>
      </c>
      <c r="W31" s="132">
        <v>34.854424774498789</v>
      </c>
      <c r="X31" s="132">
        <v>33.271149641749787</v>
      </c>
      <c r="Y31" s="132">
        <v>31.907984319696485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86590.069667950927</v>
      </c>
      <c r="C3" s="125">
        <f>IF(SER_hh_fec!C3=0,0,11630*1000*SER_hh_fec!C3/SER_hh_num!C3)</f>
        <v>103746.17413889011</v>
      </c>
      <c r="D3" s="125">
        <f>IF(SER_hh_fec!D3=0,0,11630*1000*SER_hh_fec!D3/SER_hh_num!D3)</f>
        <v>92775.398311336554</v>
      </c>
      <c r="E3" s="125">
        <f>IF(SER_hh_fec!E3=0,0,11630*1000*SER_hh_fec!E3/SER_hh_num!E3)</f>
        <v>89101.085844071131</v>
      </c>
      <c r="F3" s="125">
        <f>IF(SER_hh_fec!F3=0,0,11630*1000*SER_hh_fec!F3/SER_hh_num!F3)</f>
        <v>73233.161287009207</v>
      </c>
      <c r="G3" s="125">
        <f>IF(SER_hh_fec!G3=0,0,11630*1000*SER_hh_fec!G3/SER_hh_num!G3)</f>
        <v>86981.176949825749</v>
      </c>
      <c r="H3" s="125">
        <f>IF(SER_hh_fec!H3=0,0,11630*1000*SER_hh_fec!H3/SER_hh_num!H3)</f>
        <v>98286.076571564729</v>
      </c>
      <c r="I3" s="125">
        <f>IF(SER_hh_fec!I3=0,0,11630*1000*SER_hh_fec!I3/SER_hh_num!I3)</f>
        <v>84507.194384397575</v>
      </c>
      <c r="J3" s="125">
        <f>IF(SER_hh_fec!J3=0,0,11630*1000*SER_hh_fec!J3/SER_hh_num!J3)</f>
        <v>88221.712302641332</v>
      </c>
      <c r="K3" s="125">
        <f>IF(SER_hh_fec!K3=0,0,11630*1000*SER_hh_fec!K3/SER_hh_num!K3)</f>
        <v>83930.462021081534</v>
      </c>
      <c r="L3" s="125">
        <f>IF(SER_hh_fec!L3=0,0,11630*1000*SER_hh_fec!L3/SER_hh_num!L3)</f>
        <v>88579.570759394235</v>
      </c>
      <c r="M3" s="125">
        <f>IF(SER_hh_fec!M3=0,0,11630*1000*SER_hh_fec!M3/SER_hh_num!M3)</f>
        <v>92875.971298120363</v>
      </c>
      <c r="N3" s="125">
        <f>IF(SER_hh_fec!N3=0,0,11630*1000*SER_hh_fec!N3/SER_hh_num!N3)</f>
        <v>87100.883285005446</v>
      </c>
      <c r="O3" s="125">
        <f>IF(SER_hh_fec!O3=0,0,11630*1000*SER_hh_fec!O3/SER_hh_num!O3)</f>
        <v>77022.628181542328</v>
      </c>
      <c r="P3" s="125">
        <f>IF(SER_hh_fec!P3=0,0,11630*1000*SER_hh_fec!P3/SER_hh_num!P3)</f>
        <v>69990.201813909021</v>
      </c>
      <c r="Q3" s="125">
        <f>IF(SER_hh_fec!Q3=0,0,11630*1000*SER_hh_fec!Q3/SER_hh_num!Q3)</f>
        <v>75967.465636606663</v>
      </c>
      <c r="R3" s="125">
        <f>IF(SER_hh_fec!R3=0,0,11630*1000*SER_hh_fec!R3/SER_hh_num!R3)</f>
        <v>83170.168090382373</v>
      </c>
      <c r="S3" s="125">
        <f>IF(SER_hh_fec!S3=0,0,11630*1000*SER_hh_fec!S3/SER_hh_num!S3)</f>
        <v>82491.182504304321</v>
      </c>
      <c r="T3" s="125">
        <f>IF(SER_hh_fec!T3=0,0,11630*1000*SER_hh_fec!T3/SER_hh_num!T3)</f>
        <v>88521.351845379395</v>
      </c>
      <c r="U3" s="125">
        <f>IF(SER_hh_fec!U3=0,0,11630*1000*SER_hh_fec!U3/SER_hh_num!U3)</f>
        <v>91426.780358118107</v>
      </c>
      <c r="V3" s="125">
        <f>IF(SER_hh_fec!V3=0,0,11630*1000*SER_hh_fec!V3/SER_hh_num!V3)</f>
        <v>71997.501784202861</v>
      </c>
      <c r="W3" s="125">
        <f>IF(SER_hh_fec!W3=0,0,11630*1000*SER_hh_fec!W3/SER_hh_num!W3)</f>
        <v>92450.422906507389</v>
      </c>
      <c r="X3" s="125">
        <f>IF(SER_hh_fec!X3=0,0,11630*1000*SER_hh_fec!X3/SER_hh_num!X3)</f>
        <v>94637.224151409842</v>
      </c>
      <c r="Y3" s="125">
        <f>IF(SER_hh_fec!Y3=0,0,11630*1000*SER_hh_fec!Y3/SER_hh_num!Y3)</f>
        <v>86263.371062014587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51673.622079687302</v>
      </c>
      <c r="C4" s="130">
        <f>IF(SER_hh_fec!C4=0,0,11630*1000*SER_hh_fec!C4/SER_hh_num!C4)</f>
        <v>68657.59245261531</v>
      </c>
      <c r="D4" s="130">
        <f>IF(SER_hh_fec!D4=0,0,11630*1000*SER_hh_fec!D4/SER_hh_num!D4)</f>
        <v>58978.91651863922</v>
      </c>
      <c r="E4" s="130">
        <f>IF(SER_hh_fec!E4=0,0,11630*1000*SER_hh_fec!E4/SER_hh_num!E4)</f>
        <v>55488.309217868555</v>
      </c>
      <c r="F4" s="130">
        <f>IF(SER_hh_fec!F4=0,0,11630*1000*SER_hh_fec!F4/SER_hh_num!F4)</f>
        <v>40279.518998939151</v>
      </c>
      <c r="G4" s="130">
        <f>IF(SER_hh_fec!G4=0,0,11630*1000*SER_hh_fec!G4/SER_hh_num!G4)</f>
        <v>54508.348431792852</v>
      </c>
      <c r="H4" s="130">
        <f>IF(SER_hh_fec!H4=0,0,11630*1000*SER_hh_fec!H4/SER_hh_num!H4)</f>
        <v>65280.374788127425</v>
      </c>
      <c r="I4" s="130">
        <f>IF(SER_hh_fec!I4=0,0,11630*1000*SER_hh_fec!I4/SER_hh_num!I4)</f>
        <v>49628.395622142285</v>
      </c>
      <c r="J4" s="130">
        <f>IF(SER_hh_fec!J4=0,0,11630*1000*SER_hh_fec!J4/SER_hh_num!J4)</f>
        <v>54509.81800190168</v>
      </c>
      <c r="K4" s="130">
        <f>IF(SER_hh_fec!K4=0,0,11630*1000*SER_hh_fec!K4/SER_hh_num!K4)</f>
        <v>49717.796396771322</v>
      </c>
      <c r="L4" s="130">
        <f>IF(SER_hh_fec!L4=0,0,11630*1000*SER_hh_fec!L4/SER_hh_num!L4)</f>
        <v>52449.896589235002</v>
      </c>
      <c r="M4" s="130">
        <f>IF(SER_hh_fec!M4=0,0,11630*1000*SER_hh_fec!M4/SER_hh_num!M4)</f>
        <v>57526.187511490229</v>
      </c>
      <c r="N4" s="130">
        <f>IF(SER_hh_fec!N4=0,0,11630*1000*SER_hh_fec!N4/SER_hh_num!N4)</f>
        <v>48537.968416307289</v>
      </c>
      <c r="O4" s="130">
        <f>IF(SER_hh_fec!O4=0,0,11630*1000*SER_hh_fec!O4/SER_hh_num!O4)</f>
        <v>41537.064275888966</v>
      </c>
      <c r="P4" s="130">
        <f>IF(SER_hh_fec!P4=0,0,11630*1000*SER_hh_fec!P4/SER_hh_num!P4)</f>
        <v>35559.509033228824</v>
      </c>
      <c r="Q4" s="130">
        <f>IF(SER_hh_fec!Q4=0,0,11630*1000*SER_hh_fec!Q4/SER_hh_num!Q4)</f>
        <v>40496.363579119148</v>
      </c>
      <c r="R4" s="130">
        <f>IF(SER_hh_fec!R4=0,0,11630*1000*SER_hh_fec!R4/SER_hh_num!R4)</f>
        <v>47950.554944779324</v>
      </c>
      <c r="S4" s="130">
        <f>IF(SER_hh_fec!S4=0,0,11630*1000*SER_hh_fec!S4/SER_hh_num!S4)</f>
        <v>46566.018427253228</v>
      </c>
      <c r="T4" s="130">
        <f>IF(SER_hh_fec!T4=0,0,11630*1000*SER_hh_fec!T4/SER_hh_num!T4)</f>
        <v>52763.336805544321</v>
      </c>
      <c r="U4" s="130">
        <f>IF(SER_hh_fec!U4=0,0,11630*1000*SER_hh_fec!U4/SER_hh_num!U4)</f>
        <v>55362.307655886216</v>
      </c>
      <c r="V4" s="130">
        <f>IF(SER_hh_fec!V4=0,0,11630*1000*SER_hh_fec!V4/SER_hh_num!V4)</f>
        <v>41295.997833819478</v>
      </c>
      <c r="W4" s="130">
        <f>IF(SER_hh_fec!W4=0,0,11630*1000*SER_hh_fec!W4/SER_hh_num!W4)</f>
        <v>58290.095381084539</v>
      </c>
      <c r="X4" s="130">
        <f>IF(SER_hh_fec!X4=0,0,11630*1000*SER_hh_fec!X4/SER_hh_num!X4)</f>
        <v>59633.531194391973</v>
      </c>
      <c r="Y4" s="130">
        <f>IF(SER_hh_fec!Y4=0,0,11630*1000*SER_hh_fec!Y4/SER_hh_num!Y4)</f>
        <v>51198.000270291224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63447.168898704491</v>
      </c>
      <c r="C5" s="132">
        <f>IF(SER_hh_fec!C5=0,0,11630*1000*SER_hh_fec!C5/SER_hh_num!C5)</f>
        <v>61722.773357706792</v>
      </c>
      <c r="D5" s="132">
        <f>IF(SER_hh_fec!D5=0,0,11630*1000*SER_hh_fec!D5/SER_hh_num!D5)</f>
        <v>73102.101287840589</v>
      </c>
      <c r="E5" s="132">
        <f>IF(SER_hh_fec!E5=0,0,11630*1000*SER_hh_fec!E5/SER_hh_num!E5)</f>
        <v>78889.479034539545</v>
      </c>
      <c r="F5" s="132">
        <f>IF(SER_hh_fec!F5=0,0,11630*1000*SER_hh_fec!F5/SER_hh_num!F5)</f>
        <v>54532.220517607224</v>
      </c>
      <c r="G5" s="132">
        <f>IF(SER_hh_fec!G5=0,0,11630*1000*SER_hh_fec!G5/SER_hh_num!G5)</f>
        <v>77642.953699900027</v>
      </c>
      <c r="H5" s="132">
        <f>IF(SER_hh_fec!H5=0,0,11630*1000*SER_hh_fec!H5/SER_hh_num!H5)</f>
        <v>88669.0705541278</v>
      </c>
      <c r="I5" s="132">
        <f>IF(SER_hh_fec!I5=0,0,11630*1000*SER_hh_fec!I5/SER_hh_num!I5)</f>
        <v>44352.833764685936</v>
      </c>
      <c r="J5" s="132">
        <f>IF(SER_hh_fec!J5=0,0,11630*1000*SER_hh_fec!J5/SER_hh_num!J5)</f>
        <v>84857.566452248167</v>
      </c>
      <c r="K5" s="132">
        <f>IF(SER_hh_fec!K5=0,0,11630*1000*SER_hh_fec!K5/SER_hh_num!K5)</f>
        <v>72505.189914420509</v>
      </c>
      <c r="L5" s="132">
        <f>IF(SER_hh_fec!L5=0,0,11630*1000*SER_hh_fec!L5/SER_hh_num!L5)</f>
        <v>70627.21642042129</v>
      </c>
      <c r="M5" s="132">
        <f>IF(SER_hh_fec!M5=0,0,11630*1000*SER_hh_fec!M5/SER_hh_num!M5)</f>
        <v>78954.759742483962</v>
      </c>
      <c r="N5" s="132">
        <f>IF(SER_hh_fec!N5=0,0,11630*1000*SER_hh_fec!N5/SER_hh_num!N5)</f>
        <v>59511.073270753259</v>
      </c>
      <c r="O5" s="132">
        <f>IF(SER_hh_fec!O5=0,0,11630*1000*SER_hh_fec!O5/SER_hh_num!O5)</f>
        <v>78607.860121741585</v>
      </c>
      <c r="P5" s="132">
        <f>IF(SER_hh_fec!P5=0,0,11630*1000*SER_hh_fec!P5/SER_hh_num!P5)</f>
        <v>35978.201919967352</v>
      </c>
      <c r="Q5" s="132">
        <f>IF(SER_hh_fec!Q5=0,0,11630*1000*SER_hh_fec!Q5/SER_hh_num!Q5)</f>
        <v>93259.273983474166</v>
      </c>
      <c r="R5" s="132">
        <f>IF(SER_hh_fec!R5=0,0,11630*1000*SER_hh_fec!R5/SER_hh_num!R5)</f>
        <v>102330.38589493193</v>
      </c>
      <c r="S5" s="132">
        <f>IF(SER_hh_fec!S5=0,0,11630*1000*SER_hh_fec!S5/SER_hh_num!S5)</f>
        <v>72789.176964408136</v>
      </c>
      <c r="T5" s="132">
        <f>IF(SER_hh_fec!T5=0,0,11630*1000*SER_hh_fec!T5/SER_hh_num!T5)</f>
        <v>54274.327894100876</v>
      </c>
      <c r="U5" s="132">
        <f>IF(SER_hh_fec!U5=0,0,11630*1000*SER_hh_fec!U5/SER_hh_num!U5)</f>
        <v>87509.78685241277</v>
      </c>
      <c r="V5" s="132">
        <f>IF(SER_hh_fec!V5=0,0,11630*1000*SER_hh_fec!V5/SER_hh_num!V5)</f>
        <v>82502.627019772961</v>
      </c>
      <c r="W5" s="132">
        <f>IF(SER_hh_fec!W5=0,0,11630*1000*SER_hh_fec!W5/SER_hh_num!W5)</f>
        <v>80762.436003294555</v>
      </c>
      <c r="X5" s="132">
        <f>IF(SER_hh_fec!X5=0,0,11630*1000*SER_hh_fec!X5/SER_hh_num!X5)</f>
        <v>74491.753342571072</v>
      </c>
      <c r="Y5" s="132">
        <f>IF(SER_hh_fec!Y5=0,0,11630*1000*SER_hh_fec!Y5/SER_hh_num!Y5)</f>
        <v>97341.002113516879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57593.304894023597</v>
      </c>
      <c r="C7" s="132">
        <f>IF(SER_hh_fec!C7=0,0,11630*1000*SER_hh_fec!C7/SER_hh_num!C7)</f>
        <v>117070.21317958971</v>
      </c>
      <c r="D7" s="132">
        <f>IF(SER_hh_fec!D7=0,0,11630*1000*SER_hh_fec!D7/SER_hh_num!D7)</f>
        <v>89733.055278562999</v>
      </c>
      <c r="E7" s="132">
        <f>IF(SER_hh_fec!E7=0,0,11630*1000*SER_hh_fec!E7/SER_hh_num!E7)</f>
        <v>70660.609245402768</v>
      </c>
      <c r="F7" s="132">
        <f>IF(SER_hh_fec!F7=0,0,11630*1000*SER_hh_fec!F7/SER_hh_num!F7)</f>
        <v>50184.351372664998</v>
      </c>
      <c r="G7" s="132">
        <f>IF(SER_hh_fec!G7=0,0,11630*1000*SER_hh_fec!G7/SER_hh_num!G7)</f>
        <v>54941.198963833005</v>
      </c>
      <c r="H7" s="132">
        <f>IF(SER_hh_fec!H7=0,0,11630*1000*SER_hh_fec!H7/SER_hh_num!H7)</f>
        <v>116567.53107253106</v>
      </c>
      <c r="I7" s="132">
        <f>IF(SER_hh_fec!I7=0,0,11630*1000*SER_hh_fec!I7/SER_hh_num!I7)</f>
        <v>82291.108640745064</v>
      </c>
      <c r="J7" s="132">
        <f>IF(SER_hh_fec!J7=0,0,11630*1000*SER_hh_fec!J7/SER_hh_num!J7)</f>
        <v>109676.19206804222</v>
      </c>
      <c r="K7" s="132">
        <f>IF(SER_hh_fec!K7=0,0,11630*1000*SER_hh_fec!K7/SER_hh_num!K7)</f>
        <v>125907.72211717285</v>
      </c>
      <c r="L7" s="132">
        <f>IF(SER_hh_fec!L7=0,0,11630*1000*SER_hh_fec!L7/SER_hh_num!L7)</f>
        <v>86807.454094432207</v>
      </c>
      <c r="M7" s="132">
        <f>IF(SER_hh_fec!M7=0,0,11630*1000*SER_hh_fec!M7/SER_hh_num!M7)</f>
        <v>81749.922083150377</v>
      </c>
      <c r="N7" s="132">
        <f>IF(SER_hh_fec!N7=0,0,11630*1000*SER_hh_fec!N7/SER_hh_num!N7)</f>
        <v>88507.162001172677</v>
      </c>
      <c r="O7" s="132">
        <f>IF(SER_hh_fec!O7=0,0,11630*1000*SER_hh_fec!O7/SER_hh_num!O7)</f>
        <v>56722.117597334931</v>
      </c>
      <c r="P7" s="132">
        <f>IF(SER_hh_fec!P7=0,0,11630*1000*SER_hh_fec!P7/SER_hh_num!P7)</f>
        <v>34645.332602648508</v>
      </c>
      <c r="Q7" s="132">
        <f>IF(SER_hh_fec!Q7=0,0,11630*1000*SER_hh_fec!Q7/SER_hh_num!Q7)</f>
        <v>92633.748177909467</v>
      </c>
      <c r="R7" s="132">
        <f>IF(SER_hh_fec!R7=0,0,11630*1000*SER_hh_fec!R7/SER_hh_num!R7)</f>
        <v>88301.38395570578</v>
      </c>
      <c r="S7" s="132">
        <f>IF(SER_hh_fec!S7=0,0,11630*1000*SER_hh_fec!S7/SER_hh_num!S7)</f>
        <v>80566.639913674298</v>
      </c>
      <c r="T7" s="132">
        <f>IF(SER_hh_fec!T7=0,0,11630*1000*SER_hh_fec!T7/SER_hh_num!T7)</f>
        <v>61932.087670709385</v>
      </c>
      <c r="U7" s="132">
        <f>IF(SER_hh_fec!U7=0,0,11630*1000*SER_hh_fec!U7/SER_hh_num!U7)</f>
        <v>86651.21322525751</v>
      </c>
      <c r="V7" s="132">
        <f>IF(SER_hh_fec!V7=0,0,11630*1000*SER_hh_fec!V7/SER_hh_num!V7)</f>
        <v>80891.222073219193</v>
      </c>
      <c r="W7" s="132">
        <f>IF(SER_hh_fec!W7=0,0,11630*1000*SER_hh_fec!W7/SER_hh_num!W7)</f>
        <v>81145.598469464559</v>
      </c>
      <c r="X7" s="132">
        <f>IF(SER_hh_fec!X7=0,0,11630*1000*SER_hh_fec!X7/SER_hh_num!X7)</f>
        <v>91469.174474091385</v>
      </c>
      <c r="Y7" s="132">
        <f>IF(SER_hh_fec!Y7=0,0,11630*1000*SER_hh_fec!Y7/SER_hh_num!Y7)</f>
        <v>108629.80461428445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0</v>
      </c>
      <c r="C8" s="132">
        <f>IF(SER_hh_fec!C8=0,0,11630*1000*SER_hh_fec!C8/SER_hh_num!C8)</f>
        <v>0</v>
      </c>
      <c r="D8" s="132">
        <f>IF(SER_hh_fec!D8=0,0,11630*1000*SER_hh_fec!D8/SER_hh_num!D8)</f>
        <v>0</v>
      </c>
      <c r="E8" s="132">
        <f>IF(SER_hh_fec!E8=0,0,11630*1000*SER_hh_fec!E8/SER_hh_num!E8)</f>
        <v>0</v>
      </c>
      <c r="F8" s="132">
        <f>IF(SER_hh_fec!F8=0,0,11630*1000*SER_hh_fec!F8/SER_hh_num!F8)</f>
        <v>0</v>
      </c>
      <c r="G8" s="132">
        <f>IF(SER_hh_fec!G8=0,0,11630*1000*SER_hh_fec!G8/SER_hh_num!G8)</f>
        <v>0</v>
      </c>
      <c r="H8" s="132">
        <f>IF(SER_hh_fec!H8=0,0,11630*1000*SER_hh_fec!H8/SER_hh_num!H8)</f>
        <v>0</v>
      </c>
      <c r="I8" s="132">
        <f>IF(SER_hh_fec!I8=0,0,11630*1000*SER_hh_fec!I8/SER_hh_num!I8)</f>
        <v>0</v>
      </c>
      <c r="J8" s="132">
        <f>IF(SER_hh_fec!J8=0,0,11630*1000*SER_hh_fec!J8/SER_hh_num!J8)</f>
        <v>0</v>
      </c>
      <c r="K8" s="132">
        <f>IF(SER_hh_fec!K8=0,0,11630*1000*SER_hh_fec!K8/SER_hh_num!K8)</f>
        <v>0</v>
      </c>
      <c r="L8" s="132">
        <f>IF(SER_hh_fec!L8=0,0,11630*1000*SER_hh_fec!L8/SER_hh_num!L8)</f>
        <v>0</v>
      </c>
      <c r="M8" s="132">
        <f>IF(SER_hh_fec!M8=0,0,11630*1000*SER_hh_fec!M8/SER_hh_num!M8)</f>
        <v>0</v>
      </c>
      <c r="N8" s="132">
        <f>IF(SER_hh_fec!N8=0,0,11630*1000*SER_hh_fec!N8/SER_hh_num!N8)</f>
        <v>0</v>
      </c>
      <c r="O8" s="132">
        <f>IF(SER_hh_fec!O8=0,0,11630*1000*SER_hh_fec!O8/SER_hh_num!O8)</f>
        <v>0</v>
      </c>
      <c r="P8" s="132">
        <f>IF(SER_hh_fec!P8=0,0,11630*1000*SER_hh_fec!P8/SER_hh_num!P8)</f>
        <v>0</v>
      </c>
      <c r="Q8" s="132">
        <f>IF(SER_hh_fec!Q8=0,0,11630*1000*SER_hh_fec!Q8/SER_hh_num!Q8)</f>
        <v>0</v>
      </c>
      <c r="R8" s="132">
        <f>IF(SER_hh_fec!R8=0,0,11630*1000*SER_hh_fec!R8/SER_hh_num!R8)</f>
        <v>0</v>
      </c>
      <c r="S8" s="132">
        <f>IF(SER_hh_fec!S8=0,0,11630*1000*SER_hh_fec!S8/SER_hh_num!S8)</f>
        <v>0</v>
      </c>
      <c r="T8" s="132">
        <f>IF(SER_hh_fec!T8=0,0,11630*1000*SER_hh_fec!T8/SER_hh_num!T8)</f>
        <v>0</v>
      </c>
      <c r="U8" s="132">
        <f>IF(SER_hh_fec!U8=0,0,11630*1000*SER_hh_fec!U8/SER_hh_num!U8)</f>
        <v>0</v>
      </c>
      <c r="V8" s="132">
        <f>IF(SER_hh_fec!V8=0,0,11630*1000*SER_hh_fec!V8/SER_hh_num!V8)</f>
        <v>0</v>
      </c>
      <c r="W8" s="132">
        <f>IF(SER_hh_fec!W8=0,0,11630*1000*SER_hh_fec!W8/SER_hh_num!W8)</f>
        <v>0</v>
      </c>
      <c r="X8" s="132">
        <f>IF(SER_hh_fec!X8=0,0,11630*1000*SER_hh_fec!X8/SER_hh_num!X8)</f>
        <v>0</v>
      </c>
      <c r="Y8" s="132">
        <f>IF(SER_hh_fec!Y8=0,0,11630*1000*SER_hh_fec!Y8/SER_hh_num!Y8)</f>
        <v>0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60366.682603082168</v>
      </c>
      <c r="C9" s="132">
        <f>IF(SER_hh_fec!C9=0,0,11630*1000*SER_hh_fec!C9/SER_hh_num!C9)</f>
        <v>84091.395840511512</v>
      </c>
      <c r="D9" s="132">
        <f>IF(SER_hh_fec!D9=0,0,11630*1000*SER_hh_fec!D9/SER_hh_num!D9)</f>
        <v>69321.902660659864</v>
      </c>
      <c r="E9" s="132">
        <f>IF(SER_hh_fec!E9=0,0,11630*1000*SER_hh_fec!E9/SER_hh_num!E9)</f>
        <v>76353.2456476722</v>
      </c>
      <c r="F9" s="132">
        <f>IF(SER_hh_fec!F9=0,0,11630*1000*SER_hh_fec!F9/SER_hh_num!F9)</f>
        <v>58439.392950053429</v>
      </c>
      <c r="G9" s="132">
        <f>IF(SER_hh_fec!G9=0,0,11630*1000*SER_hh_fec!G9/SER_hh_num!G9)</f>
        <v>73611.360305630951</v>
      </c>
      <c r="H9" s="132">
        <f>IF(SER_hh_fec!H9=0,0,11630*1000*SER_hh_fec!H9/SER_hh_num!H9)</f>
        <v>92465.582302117065</v>
      </c>
      <c r="I9" s="132">
        <f>IF(SER_hh_fec!I9=0,0,11630*1000*SER_hh_fec!I9/SER_hh_num!I9)</f>
        <v>82938.346997112254</v>
      </c>
      <c r="J9" s="132">
        <f>IF(SER_hh_fec!J9=0,0,11630*1000*SER_hh_fec!J9/SER_hh_num!J9)</f>
        <v>98424.001835267118</v>
      </c>
      <c r="K9" s="132">
        <f>IF(SER_hh_fec!K9=0,0,11630*1000*SER_hh_fec!K9/SER_hh_num!K9)</f>
        <v>62041.431081960007</v>
      </c>
      <c r="L9" s="132">
        <f>IF(SER_hh_fec!L9=0,0,11630*1000*SER_hh_fec!L9/SER_hh_num!L9)</f>
        <v>85479.037448672461</v>
      </c>
      <c r="M9" s="132">
        <f>IF(SER_hh_fec!M9=0,0,11630*1000*SER_hh_fec!M9/SER_hh_num!M9)</f>
        <v>88966.957471107642</v>
      </c>
      <c r="N9" s="132">
        <f>IF(SER_hh_fec!N9=0,0,11630*1000*SER_hh_fec!N9/SER_hh_num!N9)</f>
        <v>78152.432654009302</v>
      </c>
      <c r="O9" s="132">
        <f>IF(SER_hh_fec!O9=0,0,11630*1000*SER_hh_fec!O9/SER_hh_num!O9)</f>
        <v>67184.205709558548</v>
      </c>
      <c r="P9" s="132">
        <f>IF(SER_hh_fec!P9=0,0,11630*1000*SER_hh_fec!P9/SER_hh_num!P9)</f>
        <v>67885.622794561117</v>
      </c>
      <c r="Q9" s="132">
        <f>IF(SER_hh_fec!Q9=0,0,11630*1000*SER_hh_fec!Q9/SER_hh_num!Q9)</f>
        <v>75419.934503677156</v>
      </c>
      <c r="R9" s="132">
        <f>IF(SER_hh_fec!R9=0,0,11630*1000*SER_hh_fec!R9/SER_hh_num!R9)</f>
        <v>79200.306733668738</v>
      </c>
      <c r="S9" s="132">
        <f>IF(SER_hh_fec!S9=0,0,11630*1000*SER_hh_fec!S9/SER_hh_num!S9)</f>
        <v>79438.240595642303</v>
      </c>
      <c r="T9" s="132">
        <f>IF(SER_hh_fec!T9=0,0,11630*1000*SER_hh_fec!T9/SER_hh_num!T9)</f>
        <v>85662.115193520338</v>
      </c>
      <c r="U9" s="132">
        <f>IF(SER_hh_fec!U9=0,0,11630*1000*SER_hh_fec!U9/SER_hh_num!U9)</f>
        <v>73310.293832563475</v>
      </c>
      <c r="V9" s="132">
        <f>IF(SER_hh_fec!V9=0,0,11630*1000*SER_hh_fec!V9/SER_hh_num!V9)</f>
        <v>74439.195642100385</v>
      </c>
      <c r="W9" s="132">
        <f>IF(SER_hh_fec!W9=0,0,11630*1000*SER_hh_fec!W9/SER_hh_num!W9)</f>
        <v>96795.4980038504</v>
      </c>
      <c r="X9" s="132">
        <f>IF(SER_hh_fec!X9=0,0,11630*1000*SER_hh_fec!X9/SER_hh_num!X9)</f>
        <v>96787.893140570814</v>
      </c>
      <c r="Y9" s="132">
        <f>IF(SER_hh_fec!Y9=0,0,11630*1000*SER_hh_fec!Y9/SER_hh_num!Y9)</f>
        <v>85211.350902660546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81127.746652670932</v>
      </c>
      <c r="C10" s="132">
        <f>IF(SER_hh_fec!C10=0,0,11630*1000*SER_hh_fec!C10/SER_hh_num!C10)</f>
        <v>85196.078412130664</v>
      </c>
      <c r="D10" s="132">
        <f>IF(SER_hh_fec!D10=0,0,11630*1000*SER_hh_fec!D10/SER_hh_num!D10)</f>
        <v>70517.8815833017</v>
      </c>
      <c r="E10" s="132">
        <f>IF(SER_hh_fec!E10=0,0,11630*1000*SER_hh_fec!E10/SER_hh_num!E10)</f>
        <v>98517.60202846973</v>
      </c>
      <c r="F10" s="132">
        <f>IF(SER_hh_fec!F10=0,0,11630*1000*SER_hh_fec!F10/SER_hh_num!F10)</f>
        <v>62627.442144766486</v>
      </c>
      <c r="G10" s="132">
        <f>IF(SER_hh_fec!G10=0,0,11630*1000*SER_hh_fec!G10/SER_hh_num!G10)</f>
        <v>85523.391155430276</v>
      </c>
      <c r="H10" s="132">
        <f>IF(SER_hh_fec!H10=0,0,11630*1000*SER_hh_fec!H10/SER_hh_num!H10)</f>
        <v>105518.91844682983</v>
      </c>
      <c r="I10" s="132">
        <f>IF(SER_hh_fec!I10=0,0,11630*1000*SER_hh_fec!I10/SER_hh_num!I10)</f>
        <v>84603.704988474215</v>
      </c>
      <c r="J10" s="132">
        <f>IF(SER_hh_fec!J10=0,0,11630*1000*SER_hh_fec!J10/SER_hh_num!J10)</f>
        <v>99643.647451943514</v>
      </c>
      <c r="K10" s="132">
        <f>IF(SER_hh_fec!K10=0,0,11630*1000*SER_hh_fec!K10/SER_hh_num!K10)</f>
        <v>79901.920989426042</v>
      </c>
      <c r="L10" s="132">
        <f>IF(SER_hh_fec!L10=0,0,11630*1000*SER_hh_fec!L10/SER_hh_num!L10)</f>
        <v>41277.962179919443</v>
      </c>
      <c r="M10" s="132">
        <f>IF(SER_hh_fec!M10=0,0,11630*1000*SER_hh_fec!M10/SER_hh_num!M10)</f>
        <v>32747.859596085982</v>
      </c>
      <c r="N10" s="132">
        <f>IF(SER_hh_fec!N10=0,0,11630*1000*SER_hh_fec!N10/SER_hh_num!N10)</f>
        <v>184453.39766012441</v>
      </c>
      <c r="O10" s="132">
        <f>IF(SER_hh_fec!O10=0,0,11630*1000*SER_hh_fec!O10/SER_hh_num!O10)</f>
        <v>92186.75312635384</v>
      </c>
      <c r="P10" s="132">
        <f>IF(SER_hh_fec!P10=0,0,11630*1000*SER_hh_fec!P10/SER_hh_num!P10)</f>
        <v>10653.921706167728</v>
      </c>
      <c r="Q10" s="132">
        <f>IF(SER_hh_fec!Q10=0,0,11630*1000*SER_hh_fec!Q10/SER_hh_num!Q10)</f>
        <v>45030.528769712582</v>
      </c>
      <c r="R10" s="132">
        <f>IF(SER_hh_fec!R10=0,0,11630*1000*SER_hh_fec!R10/SER_hh_num!R10)</f>
        <v>17731.25725182932</v>
      </c>
      <c r="S10" s="132">
        <f>IF(SER_hh_fec!S10=0,0,11630*1000*SER_hh_fec!S10/SER_hh_num!S10)</f>
        <v>99130.994192195329</v>
      </c>
      <c r="T10" s="132">
        <f>IF(SER_hh_fec!T10=0,0,11630*1000*SER_hh_fec!T10/SER_hh_num!T10)</f>
        <v>116477.59310275677</v>
      </c>
      <c r="U10" s="132">
        <f>IF(SER_hh_fec!U10=0,0,11630*1000*SER_hh_fec!U10/SER_hh_num!U10)</f>
        <v>114620.55249622789</v>
      </c>
      <c r="V10" s="132">
        <f>IF(SER_hh_fec!V10=0,0,11630*1000*SER_hh_fec!V10/SER_hh_num!V10)</f>
        <v>81640.197133575013</v>
      </c>
      <c r="W10" s="132">
        <f>IF(SER_hh_fec!W10=0,0,11630*1000*SER_hh_fec!W10/SER_hh_num!W10)</f>
        <v>116695.68017892312</v>
      </c>
      <c r="X10" s="132">
        <f>IF(SER_hh_fec!X10=0,0,11630*1000*SER_hh_fec!X10/SER_hh_num!X10)</f>
        <v>148499.41086437949</v>
      </c>
      <c r="Y10" s="132">
        <f>IF(SER_hh_fec!Y10=0,0,11630*1000*SER_hh_fec!Y10/SER_hh_num!Y10)</f>
        <v>100076.63565747307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0</v>
      </c>
      <c r="D11" s="132">
        <f>IF(SER_hh_fec!D11=0,0,11630*1000*SER_hh_fec!D11/SER_hh_num!D11)</f>
        <v>0</v>
      </c>
      <c r="E11" s="132">
        <f>IF(SER_hh_fec!E11=0,0,11630*1000*SER_hh_fec!E11/SER_hh_num!E11)</f>
        <v>0</v>
      </c>
      <c r="F11" s="132">
        <f>IF(SER_hh_fec!F11=0,0,11630*1000*SER_hh_fec!F11/SER_hh_num!F11)</f>
        <v>0</v>
      </c>
      <c r="G11" s="132">
        <f>IF(SER_hh_fec!G11=0,0,11630*1000*SER_hh_fec!G11/SER_hh_num!G11)</f>
        <v>70720.827044029618</v>
      </c>
      <c r="H11" s="132">
        <f>IF(SER_hh_fec!H11=0,0,11630*1000*SER_hh_fec!H11/SER_hh_num!H11)</f>
        <v>55904.446887819664</v>
      </c>
      <c r="I11" s="132">
        <f>IF(SER_hh_fec!I11=0,0,11630*1000*SER_hh_fec!I11/SER_hh_num!I11)</f>
        <v>47640.827951495507</v>
      </c>
      <c r="J11" s="132">
        <f>IF(SER_hh_fec!J11=0,0,11630*1000*SER_hh_fec!J11/SER_hh_num!J11)</f>
        <v>47699.911498548056</v>
      </c>
      <c r="K11" s="132">
        <f>IF(SER_hh_fec!K11=0,0,11630*1000*SER_hh_fec!K11/SER_hh_num!K11)</f>
        <v>47843.985859024739</v>
      </c>
      <c r="L11" s="132">
        <f>IF(SER_hh_fec!L11=0,0,11630*1000*SER_hh_fec!L11/SER_hh_num!L11)</f>
        <v>49735.10922451644</v>
      </c>
      <c r="M11" s="132">
        <f>IF(SER_hh_fec!M11=0,0,11630*1000*SER_hh_fec!M11/SER_hh_num!M11)</f>
        <v>50364.485877951854</v>
      </c>
      <c r="N11" s="132">
        <f>IF(SER_hh_fec!N11=0,0,11630*1000*SER_hh_fec!N11/SER_hh_num!N11)</f>
        <v>49138.10486063319</v>
      </c>
      <c r="O11" s="132">
        <f>IF(SER_hh_fec!O11=0,0,11630*1000*SER_hh_fec!O11/SER_hh_num!O11)</f>
        <v>47079.348348970823</v>
      </c>
      <c r="P11" s="132">
        <f>IF(SER_hh_fec!P11=0,0,11630*1000*SER_hh_fec!P11/SER_hh_num!P11)</f>
        <v>46809.318597192039</v>
      </c>
      <c r="Q11" s="132">
        <f>IF(SER_hh_fec!Q11=0,0,11630*1000*SER_hh_fec!Q11/SER_hh_num!Q11)</f>
        <v>47530.569538977266</v>
      </c>
      <c r="R11" s="132">
        <f>IF(SER_hh_fec!R11=0,0,11630*1000*SER_hh_fec!R11/SER_hh_num!R11)</f>
        <v>52176.562637131261</v>
      </c>
      <c r="S11" s="132">
        <f>IF(SER_hh_fec!S11=0,0,11630*1000*SER_hh_fec!S11/SER_hh_num!S11)</f>
        <v>54458.212310942115</v>
      </c>
      <c r="T11" s="132">
        <f>IF(SER_hh_fec!T11=0,0,11630*1000*SER_hh_fec!T11/SER_hh_num!T11)</f>
        <v>55942.930238492518</v>
      </c>
      <c r="U11" s="132">
        <f>IF(SER_hh_fec!U11=0,0,11630*1000*SER_hh_fec!U11/SER_hh_num!U11)</f>
        <v>57489.663443872567</v>
      </c>
      <c r="V11" s="132">
        <f>IF(SER_hh_fec!V11=0,0,11630*1000*SER_hh_fec!V11/SER_hh_num!V11)</f>
        <v>60182.154572878419</v>
      </c>
      <c r="W11" s="132">
        <f>IF(SER_hh_fec!W11=0,0,11630*1000*SER_hh_fec!W11/SER_hh_num!W11)</f>
        <v>62398.19294470227</v>
      </c>
      <c r="X11" s="132">
        <f>IF(SER_hh_fec!X11=0,0,11630*1000*SER_hh_fec!X11/SER_hh_num!X11)</f>
        <v>65707.500938934259</v>
      </c>
      <c r="Y11" s="132">
        <f>IF(SER_hh_fec!Y11=0,0,11630*1000*SER_hh_fec!Y11/SER_hh_num!Y11)</f>
        <v>67607.691551286873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44743.660405484108</v>
      </c>
      <c r="C12" s="132">
        <f>IF(SER_hh_fec!C12=0,0,11630*1000*SER_hh_fec!C12/SER_hh_num!C12)</f>
        <v>55477.054603062315</v>
      </c>
      <c r="D12" s="132">
        <f>IF(SER_hh_fec!D12=0,0,11630*1000*SER_hh_fec!D12/SER_hh_num!D12)</f>
        <v>48539.554658299661</v>
      </c>
      <c r="E12" s="132">
        <f>IF(SER_hh_fec!E12=0,0,11630*1000*SER_hh_fec!E12/SER_hh_num!E12)</f>
        <v>49507.016392525882</v>
      </c>
      <c r="F12" s="132">
        <f>IF(SER_hh_fec!F12=0,0,11630*1000*SER_hh_fec!F12/SER_hh_num!F12)</f>
        <v>40939.531166646768</v>
      </c>
      <c r="G12" s="132">
        <f>IF(SER_hh_fec!G12=0,0,11630*1000*SER_hh_fec!G12/SER_hh_num!G12)</f>
        <v>65284.611446593663</v>
      </c>
      <c r="H12" s="132">
        <f>IF(SER_hh_fec!H12=0,0,11630*1000*SER_hh_fec!H12/SER_hh_num!H12)</f>
        <v>65592.704159050016</v>
      </c>
      <c r="I12" s="132">
        <f>IF(SER_hh_fec!I12=0,0,11630*1000*SER_hh_fec!I12/SER_hh_num!I12)</f>
        <v>49753.805675625474</v>
      </c>
      <c r="J12" s="132">
        <f>IF(SER_hh_fec!J12=0,0,11630*1000*SER_hh_fec!J12/SER_hh_num!J12)</f>
        <v>47327.212417286588</v>
      </c>
      <c r="K12" s="132">
        <f>IF(SER_hh_fec!K12=0,0,11630*1000*SER_hh_fec!K12/SER_hh_num!K12)</f>
        <v>52001.988893603186</v>
      </c>
      <c r="L12" s="132">
        <f>IF(SER_hh_fec!L12=0,0,11630*1000*SER_hh_fec!L12/SER_hh_num!L12)</f>
        <v>53875.92778586231</v>
      </c>
      <c r="M12" s="132">
        <f>IF(SER_hh_fec!M12=0,0,11630*1000*SER_hh_fec!M12/SER_hh_num!M12)</f>
        <v>72652.923153542652</v>
      </c>
      <c r="N12" s="132">
        <f>IF(SER_hh_fec!N12=0,0,11630*1000*SER_hh_fec!N12/SER_hh_num!N12)</f>
        <v>50449.973335637223</v>
      </c>
      <c r="O12" s="132">
        <f>IF(SER_hh_fec!O12=0,0,11630*1000*SER_hh_fec!O12/SER_hh_num!O12)</f>
        <v>49209.600028028632</v>
      </c>
      <c r="P12" s="132">
        <f>IF(SER_hh_fec!P12=0,0,11630*1000*SER_hh_fec!P12/SER_hh_num!P12)</f>
        <v>49438.435924629928</v>
      </c>
      <c r="Q12" s="132">
        <f>IF(SER_hh_fec!Q12=0,0,11630*1000*SER_hh_fec!Q12/SER_hh_num!Q12)</f>
        <v>55279.921727612586</v>
      </c>
      <c r="R12" s="132">
        <f>IF(SER_hh_fec!R12=0,0,11630*1000*SER_hh_fec!R12/SER_hh_num!R12)</f>
        <v>75154.420844426175</v>
      </c>
      <c r="S12" s="132">
        <f>IF(SER_hh_fec!S12=0,0,11630*1000*SER_hh_fec!S12/SER_hh_num!S12)</f>
        <v>55288.518391572754</v>
      </c>
      <c r="T12" s="132">
        <f>IF(SER_hh_fec!T12=0,0,11630*1000*SER_hh_fec!T12/SER_hh_num!T12)</f>
        <v>72470.559775571717</v>
      </c>
      <c r="U12" s="132">
        <f>IF(SER_hh_fec!U12=0,0,11630*1000*SER_hh_fec!U12/SER_hh_num!U12)</f>
        <v>68803.96489958551</v>
      </c>
      <c r="V12" s="132">
        <f>IF(SER_hh_fec!V12=0,0,11630*1000*SER_hh_fec!V12/SER_hh_num!V12)</f>
        <v>53272.785170410018</v>
      </c>
      <c r="W12" s="132">
        <f>IF(SER_hh_fec!W12=0,0,11630*1000*SER_hh_fec!W12/SER_hh_num!W12)</f>
        <v>73759.757398553658</v>
      </c>
      <c r="X12" s="132">
        <f>IF(SER_hh_fec!X12=0,0,11630*1000*SER_hh_fec!X12/SER_hh_num!X12)</f>
        <v>68074.989084594272</v>
      </c>
      <c r="Y12" s="132">
        <f>IF(SER_hh_fec!Y12=0,0,11630*1000*SER_hh_fec!Y12/SER_hh_num!Y12)</f>
        <v>76266.945467167883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22783.21372051775</v>
      </c>
      <c r="C13" s="132">
        <f>IF(SER_hh_fec!C13=0,0,11630*1000*SER_hh_fec!C13/SER_hh_num!C13)</f>
        <v>18559.70514780849</v>
      </c>
      <c r="D13" s="132">
        <f>IF(SER_hh_fec!D13=0,0,11630*1000*SER_hh_fec!D13/SER_hh_num!D13)</f>
        <v>21262.769713122871</v>
      </c>
      <c r="E13" s="132">
        <f>IF(SER_hh_fec!E13=0,0,11630*1000*SER_hh_fec!E13/SER_hh_num!E13)</f>
        <v>22988.618137732781</v>
      </c>
      <c r="F13" s="132">
        <f>IF(SER_hh_fec!F13=0,0,11630*1000*SER_hh_fec!F13/SER_hh_num!F13)</f>
        <v>20535.758937241793</v>
      </c>
      <c r="G13" s="132">
        <f>IF(SER_hh_fec!G13=0,0,11630*1000*SER_hh_fec!G13/SER_hh_num!G13)</f>
        <v>22472.173660850243</v>
      </c>
      <c r="H13" s="132">
        <f>IF(SER_hh_fec!H13=0,0,11630*1000*SER_hh_fec!H13/SER_hh_num!H13)</f>
        <v>25336.234511492316</v>
      </c>
      <c r="I13" s="132">
        <f>IF(SER_hh_fec!I13=0,0,11630*1000*SER_hh_fec!I13/SER_hh_num!I13)</f>
        <v>22492.24301705031</v>
      </c>
      <c r="J13" s="132">
        <f>IF(SER_hh_fec!J13=0,0,11630*1000*SER_hh_fec!J13/SER_hh_num!J13)</f>
        <v>20453.626569834843</v>
      </c>
      <c r="K13" s="132">
        <f>IF(SER_hh_fec!K13=0,0,11630*1000*SER_hh_fec!K13/SER_hh_num!K13)</f>
        <v>21729.956025306965</v>
      </c>
      <c r="L13" s="132">
        <f>IF(SER_hh_fec!L13=0,0,11630*1000*SER_hh_fec!L13/SER_hh_num!L13)</f>
        <v>23070.356973406731</v>
      </c>
      <c r="M13" s="132">
        <f>IF(SER_hh_fec!M13=0,0,11630*1000*SER_hh_fec!M13/SER_hh_num!M13)</f>
        <v>21274.619456613866</v>
      </c>
      <c r="N13" s="132">
        <f>IF(SER_hh_fec!N13=0,0,11630*1000*SER_hh_fec!N13/SER_hh_num!N13)</f>
        <v>18688.796970279673</v>
      </c>
      <c r="O13" s="132">
        <f>IF(SER_hh_fec!O13=0,0,11630*1000*SER_hh_fec!O13/SER_hh_num!O13)</f>
        <v>19737.344708727764</v>
      </c>
      <c r="P13" s="132">
        <f>IF(SER_hh_fec!P13=0,0,11630*1000*SER_hh_fec!P13/SER_hh_num!P13)</f>
        <v>16962.969978267265</v>
      </c>
      <c r="Q13" s="132">
        <f>IF(SER_hh_fec!Q13=0,0,11630*1000*SER_hh_fec!Q13/SER_hh_num!Q13)</f>
        <v>17776.387744740507</v>
      </c>
      <c r="R13" s="132">
        <f>IF(SER_hh_fec!R13=0,0,11630*1000*SER_hh_fec!R13/SER_hh_num!R13)</f>
        <v>18007.679808826982</v>
      </c>
      <c r="S13" s="132">
        <f>IF(SER_hh_fec!S13=0,0,11630*1000*SER_hh_fec!S13/SER_hh_num!S13)</f>
        <v>17902.39162458686</v>
      </c>
      <c r="T13" s="132">
        <f>IF(SER_hh_fec!T13=0,0,11630*1000*SER_hh_fec!T13/SER_hh_num!T13)</f>
        <v>17168.381170696932</v>
      </c>
      <c r="U13" s="132">
        <f>IF(SER_hh_fec!U13=0,0,11630*1000*SER_hh_fec!U13/SER_hh_num!U13)</f>
        <v>17591.546930547302</v>
      </c>
      <c r="V13" s="132">
        <f>IF(SER_hh_fec!V13=0,0,11630*1000*SER_hh_fec!V13/SER_hh_num!V13)</f>
        <v>17480.534292800628</v>
      </c>
      <c r="W13" s="132">
        <f>IF(SER_hh_fec!W13=0,0,11630*1000*SER_hh_fec!W13/SER_hh_num!W13)</f>
        <v>19174.374454577828</v>
      </c>
      <c r="X13" s="132">
        <f>IF(SER_hh_fec!X13=0,0,11630*1000*SER_hh_fec!X13/SER_hh_num!X13)</f>
        <v>20715.542392559448</v>
      </c>
      <c r="Y13" s="132">
        <f>IF(SER_hh_fec!Y13=0,0,11630*1000*SER_hh_fec!Y13/SER_hh_num!Y13)</f>
        <v>20019.139127749269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53638.408870670872</v>
      </c>
      <c r="C14" s="65">
        <f>IF(SER_hh_fec!C14=0,0,11630*1000*SER_hh_fec!C14/SER_hh_num!C14)</f>
        <v>47432.001174598779</v>
      </c>
      <c r="D14" s="65">
        <f>IF(SER_hh_fec!D14=0,0,11630*1000*SER_hh_fec!D14/SER_hh_num!D14)</f>
        <v>60828.211265693069</v>
      </c>
      <c r="E14" s="65">
        <f>IF(SER_hh_fec!E14=0,0,11630*1000*SER_hh_fec!E14/SER_hh_num!E14)</f>
        <v>65092.243501363759</v>
      </c>
      <c r="F14" s="65">
        <f>IF(SER_hh_fec!F14=0,0,11630*1000*SER_hh_fec!F14/SER_hh_num!F14)</f>
        <v>42884.690565543868</v>
      </c>
      <c r="G14" s="65">
        <f>IF(SER_hh_fec!G14=0,0,11630*1000*SER_hh_fec!G14/SER_hh_num!G14)</f>
        <v>50226.143424502479</v>
      </c>
      <c r="H14" s="65">
        <f>IF(SER_hh_fec!H14=0,0,11630*1000*SER_hh_fec!H14/SER_hh_num!H14)</f>
        <v>74152.248273445977</v>
      </c>
      <c r="I14" s="65">
        <f>IF(SER_hh_fec!I14=0,0,11630*1000*SER_hh_fec!I14/SER_hh_num!I14)</f>
        <v>53091.886583596221</v>
      </c>
      <c r="J14" s="65">
        <f>IF(SER_hh_fec!J14=0,0,11630*1000*SER_hh_fec!J14/SER_hh_num!J14)</f>
        <v>66628.746743345982</v>
      </c>
      <c r="K14" s="65">
        <f>IF(SER_hh_fec!K14=0,0,11630*1000*SER_hh_fec!K14/SER_hh_num!K14)</f>
        <v>51543.15228359399</v>
      </c>
      <c r="L14" s="65">
        <f>IF(SER_hh_fec!L14=0,0,11630*1000*SER_hh_fec!L14/SER_hh_num!L14)</f>
        <v>67022.588274092253</v>
      </c>
      <c r="M14" s="65">
        <f>IF(SER_hh_fec!M14=0,0,11630*1000*SER_hh_fec!M14/SER_hh_num!M14)</f>
        <v>79524.407163340351</v>
      </c>
      <c r="N14" s="65">
        <f>IF(SER_hh_fec!N14=0,0,11630*1000*SER_hh_fec!N14/SER_hh_num!N14)</f>
        <v>57354.031670214608</v>
      </c>
      <c r="O14" s="65">
        <f>IF(SER_hh_fec!O14=0,0,11630*1000*SER_hh_fec!O14/SER_hh_num!O14)</f>
        <v>53921.862152602778</v>
      </c>
      <c r="P14" s="65">
        <f>IF(SER_hh_fec!P14=0,0,11630*1000*SER_hh_fec!P14/SER_hh_num!P14)</f>
        <v>51266.420433868218</v>
      </c>
      <c r="Q14" s="65">
        <f>IF(SER_hh_fec!Q14=0,0,11630*1000*SER_hh_fec!Q14/SER_hh_num!Q14)</f>
        <v>45024.14921056258</v>
      </c>
      <c r="R14" s="65">
        <f>IF(SER_hh_fec!R14=0,0,11630*1000*SER_hh_fec!R14/SER_hh_num!R14)</f>
        <v>76508.752213595333</v>
      </c>
      <c r="S14" s="65">
        <f>IF(SER_hh_fec!S14=0,0,11630*1000*SER_hh_fec!S14/SER_hh_num!S14)</f>
        <v>66814.756891424709</v>
      </c>
      <c r="T14" s="65">
        <f>IF(SER_hh_fec!T14=0,0,11630*1000*SER_hh_fec!T14/SER_hh_num!T14)</f>
        <v>79560.734995668288</v>
      </c>
      <c r="U14" s="65">
        <f>IF(SER_hh_fec!U14=0,0,11630*1000*SER_hh_fec!U14/SER_hh_num!U14)</f>
        <v>109373.10551352707</v>
      </c>
      <c r="V14" s="65">
        <f>IF(SER_hh_fec!V14=0,0,11630*1000*SER_hh_fec!V14/SER_hh_num!V14)</f>
        <v>33879.294634634978</v>
      </c>
      <c r="W14" s="65">
        <f>IF(SER_hh_fec!W14=0,0,11630*1000*SER_hh_fec!W14/SER_hh_num!W14)</f>
        <v>98779.875669368907</v>
      </c>
      <c r="X14" s="65">
        <f>IF(SER_hh_fec!X14=0,0,11630*1000*SER_hh_fec!X14/SER_hh_num!X14)</f>
        <v>88776.097416714998</v>
      </c>
      <c r="Y14" s="65">
        <f>IF(SER_hh_fec!Y14=0,0,11630*1000*SER_hh_fec!Y14/SER_hh_num!Y14)</f>
        <v>68811.995880336064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301.05198187614252</v>
      </c>
      <c r="C15" s="134">
        <f>IF(SER_hh_fec!C15=0,0,11630*1000*SER_hh_fec!C15/SER_hh_num!C15)</f>
        <v>495.95171373565404</v>
      </c>
      <c r="D15" s="134">
        <f>IF(SER_hh_fec!D15=0,0,11630*1000*SER_hh_fec!D15/SER_hh_num!D15)</f>
        <v>358.1016113862234</v>
      </c>
      <c r="E15" s="134">
        <f>IF(SER_hh_fec!E15=0,0,11630*1000*SER_hh_fec!E15/SER_hh_num!E15)</f>
        <v>289.65862783075852</v>
      </c>
      <c r="F15" s="134">
        <f>IF(SER_hh_fec!F15=0,0,11630*1000*SER_hh_fec!F15/SER_hh_num!F15)</f>
        <v>209.38425458000401</v>
      </c>
      <c r="G15" s="134">
        <f>IF(SER_hh_fec!G15=0,0,11630*1000*SER_hh_fec!G15/SER_hh_num!G15)</f>
        <v>291.06930342518802</v>
      </c>
      <c r="H15" s="134">
        <f>IF(SER_hh_fec!H15=0,0,11630*1000*SER_hh_fec!H15/SER_hh_num!H15)</f>
        <v>374.84828223803339</v>
      </c>
      <c r="I15" s="134">
        <f>IF(SER_hh_fec!I15=0,0,11630*1000*SER_hh_fec!I15/SER_hh_num!I15)</f>
        <v>298.65922857925193</v>
      </c>
      <c r="J15" s="134">
        <f>IF(SER_hh_fec!J15=0,0,11630*1000*SER_hh_fec!J15/SER_hh_num!J15)</f>
        <v>353.45446257641424</v>
      </c>
      <c r="K15" s="134">
        <f>IF(SER_hh_fec!K15=0,0,11630*1000*SER_hh_fec!K15/SER_hh_num!K15)</f>
        <v>323.20231470295386</v>
      </c>
      <c r="L15" s="134">
        <f>IF(SER_hh_fec!L15=0,0,11630*1000*SER_hh_fec!L15/SER_hh_num!L15)</f>
        <v>312.43040108777308</v>
      </c>
      <c r="M15" s="134">
        <f>IF(SER_hh_fec!M15=0,0,11630*1000*SER_hh_fec!M15/SER_hh_num!M15)</f>
        <v>325.74136979806502</v>
      </c>
      <c r="N15" s="134">
        <f>IF(SER_hh_fec!N15=0,0,11630*1000*SER_hh_fec!N15/SER_hh_num!N15)</f>
        <v>319.31764966366819</v>
      </c>
      <c r="O15" s="134">
        <f>IF(SER_hh_fec!O15=0,0,11630*1000*SER_hh_fec!O15/SER_hh_num!O15)</f>
        <v>270.48685781312423</v>
      </c>
      <c r="P15" s="134">
        <f>IF(SER_hh_fec!P15=0,0,11630*1000*SER_hh_fec!P15/SER_hh_num!P15)</f>
        <v>243.39186922036995</v>
      </c>
      <c r="Q15" s="134">
        <f>IF(SER_hh_fec!Q15=0,0,11630*1000*SER_hh_fec!Q15/SER_hh_num!Q15)</f>
        <v>334.63091384139614</v>
      </c>
      <c r="R15" s="134">
        <f>IF(SER_hh_fec!R15=0,0,11630*1000*SER_hh_fec!R15/SER_hh_num!R15)</f>
        <v>360.53855152957385</v>
      </c>
      <c r="S15" s="134">
        <f>IF(SER_hh_fec!S15=0,0,11630*1000*SER_hh_fec!S15/SER_hh_num!S15)</f>
        <v>362.24783740661542</v>
      </c>
      <c r="T15" s="134">
        <f>IF(SER_hh_fec!T15=0,0,11630*1000*SER_hh_fec!T15/SER_hh_num!T15)</f>
        <v>393.88103077999966</v>
      </c>
      <c r="U15" s="134">
        <f>IF(SER_hh_fec!U15=0,0,11630*1000*SER_hh_fec!U15/SER_hh_num!U15)</f>
        <v>389.82540319072677</v>
      </c>
      <c r="V15" s="134">
        <f>IF(SER_hh_fec!V15=0,0,11630*1000*SER_hh_fec!V15/SER_hh_num!V15)</f>
        <v>350.49332612541531</v>
      </c>
      <c r="W15" s="134">
        <f>IF(SER_hh_fec!W15=0,0,11630*1000*SER_hh_fec!W15/SER_hh_num!W15)</f>
        <v>456.28639151244215</v>
      </c>
      <c r="X15" s="134">
        <f>IF(SER_hh_fec!X15=0,0,11630*1000*SER_hh_fec!X15/SER_hh_num!X15)</f>
        <v>479.29149656985817</v>
      </c>
      <c r="Y15" s="134">
        <f>IF(SER_hh_fec!Y15=0,0,11630*1000*SER_hh_fec!Y15/SER_hh_num!Y15)</f>
        <v>451.11342036612604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18614.840299696156</v>
      </c>
      <c r="C16" s="130">
        <f>IF(SER_hh_fec!C16=0,0,11630*1000*SER_hh_fec!C16/SER_hh_num!C16)</f>
        <v>16278.893935281989</v>
      </c>
      <c r="D16" s="130">
        <f>IF(SER_hh_fec!D16=0,0,11630*1000*SER_hh_fec!D16/SER_hh_num!D16)</f>
        <v>11460.104805208906</v>
      </c>
      <c r="E16" s="130">
        <f>IF(SER_hh_fec!E16=0,0,11630*1000*SER_hh_fec!E16/SER_hh_num!E16)</f>
        <v>11984.176738679842</v>
      </c>
      <c r="F16" s="130">
        <f>IF(SER_hh_fec!F16=0,0,11630*1000*SER_hh_fec!F16/SER_hh_num!F16)</f>
        <v>8853.3749320620591</v>
      </c>
      <c r="G16" s="130">
        <f>IF(SER_hh_fec!G16=0,0,11630*1000*SER_hh_fec!G16/SER_hh_num!G16)</f>
        <v>8520.1889401109656</v>
      </c>
      <c r="H16" s="130">
        <f>IF(SER_hh_fec!H16=0,0,11630*1000*SER_hh_fec!H16/SER_hh_num!H16)</f>
        <v>9379.973472314512</v>
      </c>
      <c r="I16" s="130">
        <f>IF(SER_hh_fec!I16=0,0,11630*1000*SER_hh_fec!I16/SER_hh_num!I16)</f>
        <v>15922.680098704917</v>
      </c>
      <c r="J16" s="130">
        <f>IF(SER_hh_fec!J16=0,0,11630*1000*SER_hh_fec!J16/SER_hh_num!J16)</f>
        <v>9662.5998472555293</v>
      </c>
      <c r="K16" s="130">
        <f>IF(SER_hh_fec!K16=0,0,11630*1000*SER_hh_fec!K16/SER_hh_num!K16)</f>
        <v>8204.2240634494501</v>
      </c>
      <c r="L16" s="130">
        <f>IF(SER_hh_fec!L16=0,0,11630*1000*SER_hh_fec!L16/SER_hh_num!L16)</f>
        <v>10014.499741096013</v>
      </c>
      <c r="M16" s="130">
        <f>IF(SER_hh_fec!M16=0,0,11630*1000*SER_hh_fec!M16/SER_hh_num!M16)</f>
        <v>8000.6219051127291</v>
      </c>
      <c r="N16" s="130">
        <f>IF(SER_hh_fec!N16=0,0,11630*1000*SER_hh_fec!N16/SER_hh_num!N16)</f>
        <v>16142.059833260924</v>
      </c>
      <c r="O16" s="130">
        <f>IF(SER_hh_fec!O16=0,0,11630*1000*SER_hh_fec!O16/SER_hh_num!O16)</f>
        <v>7561.1890947026004</v>
      </c>
      <c r="P16" s="130">
        <f>IF(SER_hh_fec!P16=0,0,11630*1000*SER_hh_fec!P16/SER_hh_num!P16)</f>
        <v>6720.4452599883598</v>
      </c>
      <c r="Q16" s="130">
        <f>IF(SER_hh_fec!Q16=0,0,11630*1000*SER_hh_fec!Q16/SER_hh_num!Q16)</f>
        <v>9288.0542626601473</v>
      </c>
      <c r="R16" s="130">
        <f>IF(SER_hh_fec!R16=0,0,11630*1000*SER_hh_fec!R16/SER_hh_num!R16)</f>
        <v>8271.1836487165092</v>
      </c>
      <c r="S16" s="130">
        <f>IF(SER_hh_fec!S16=0,0,11630*1000*SER_hh_fec!S16/SER_hh_num!S16)</f>
        <v>8479.6806569553864</v>
      </c>
      <c r="T16" s="130">
        <f>IF(SER_hh_fec!T16=0,0,11630*1000*SER_hh_fec!T16/SER_hh_num!T16)</f>
        <v>6189.1826708455756</v>
      </c>
      <c r="U16" s="130">
        <f>IF(SER_hh_fec!U16=0,0,11630*1000*SER_hh_fec!U16/SER_hh_num!U16)</f>
        <v>6687.5628721850335</v>
      </c>
      <c r="V16" s="130">
        <f>IF(SER_hh_fec!V16=0,0,11630*1000*SER_hh_fec!V16/SER_hh_num!V16)</f>
        <v>6398.2913184882082</v>
      </c>
      <c r="W16" s="130">
        <f>IF(SER_hh_fec!W16=0,0,11630*1000*SER_hh_fec!W16/SER_hh_num!W16)</f>
        <v>8802.957169210169</v>
      </c>
      <c r="X16" s="130">
        <f>IF(SER_hh_fec!X16=0,0,11630*1000*SER_hh_fec!X16/SER_hh_num!X16)</f>
        <v>8031.862639310677</v>
      </c>
      <c r="Y16" s="130">
        <f>IF(SER_hh_fec!Y16=0,0,11630*1000*SER_hh_fec!Y16/SER_hh_num!Y16)</f>
        <v>9753.6691227776755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0</v>
      </c>
      <c r="C17" s="132">
        <f>IF(SER_hh_fec!C17=0,0,11630*1000*SER_hh_fec!C17/SER_hh_num!C17)</f>
        <v>0</v>
      </c>
      <c r="D17" s="132">
        <f>IF(SER_hh_fec!D17=0,0,11630*1000*SER_hh_fec!D17/SER_hh_num!D17)</f>
        <v>0</v>
      </c>
      <c r="E17" s="132">
        <f>IF(SER_hh_fec!E17=0,0,11630*1000*SER_hh_fec!E17/SER_hh_num!E17)</f>
        <v>0</v>
      </c>
      <c r="F17" s="132">
        <f>IF(SER_hh_fec!F17=0,0,11630*1000*SER_hh_fec!F17/SER_hh_num!F17)</f>
        <v>0</v>
      </c>
      <c r="G17" s="132">
        <f>IF(SER_hh_fec!G17=0,0,11630*1000*SER_hh_fec!G17/SER_hh_num!G17)</f>
        <v>0</v>
      </c>
      <c r="H17" s="132">
        <f>IF(SER_hh_fec!H17=0,0,11630*1000*SER_hh_fec!H17/SER_hh_num!H17)</f>
        <v>0</v>
      </c>
      <c r="I17" s="132">
        <f>IF(SER_hh_fec!I17=0,0,11630*1000*SER_hh_fec!I17/SER_hh_num!I17)</f>
        <v>0</v>
      </c>
      <c r="J17" s="132">
        <f>IF(SER_hh_fec!J17=0,0,11630*1000*SER_hh_fec!J17/SER_hh_num!J17)</f>
        <v>0</v>
      </c>
      <c r="K17" s="132">
        <f>IF(SER_hh_fec!K17=0,0,11630*1000*SER_hh_fec!K17/SER_hh_num!K17)</f>
        <v>0</v>
      </c>
      <c r="L17" s="132">
        <f>IF(SER_hh_fec!L17=0,0,11630*1000*SER_hh_fec!L17/SER_hh_num!L17)</f>
        <v>0</v>
      </c>
      <c r="M17" s="132">
        <f>IF(SER_hh_fec!M17=0,0,11630*1000*SER_hh_fec!M17/SER_hh_num!M17)</f>
        <v>0</v>
      </c>
      <c r="N17" s="132">
        <f>IF(SER_hh_fec!N17=0,0,11630*1000*SER_hh_fec!N17/SER_hh_num!N17)</f>
        <v>0</v>
      </c>
      <c r="O17" s="132">
        <f>IF(SER_hh_fec!O17=0,0,11630*1000*SER_hh_fec!O17/SER_hh_num!O17)</f>
        <v>0</v>
      </c>
      <c r="P17" s="132">
        <f>IF(SER_hh_fec!P17=0,0,11630*1000*SER_hh_fec!P17/SER_hh_num!P17)</f>
        <v>0</v>
      </c>
      <c r="Q17" s="132">
        <f>IF(SER_hh_fec!Q17=0,0,11630*1000*SER_hh_fec!Q17/SER_hh_num!Q17)</f>
        <v>0</v>
      </c>
      <c r="R17" s="132">
        <f>IF(SER_hh_fec!R17=0,0,11630*1000*SER_hh_fec!R17/SER_hh_num!R17)</f>
        <v>0</v>
      </c>
      <c r="S17" s="132">
        <f>IF(SER_hh_fec!S17=0,0,11630*1000*SER_hh_fec!S17/SER_hh_num!S17)</f>
        <v>0</v>
      </c>
      <c r="T17" s="132">
        <f>IF(SER_hh_fec!T17=0,0,11630*1000*SER_hh_fec!T17/SER_hh_num!T17)</f>
        <v>0</v>
      </c>
      <c r="U17" s="132">
        <f>IF(SER_hh_fec!U17=0,0,11630*1000*SER_hh_fec!U17/SER_hh_num!U17)</f>
        <v>0</v>
      </c>
      <c r="V17" s="132">
        <f>IF(SER_hh_fec!V17=0,0,11630*1000*SER_hh_fec!V17/SER_hh_num!V17)</f>
        <v>0</v>
      </c>
      <c r="W17" s="132">
        <f>IF(SER_hh_fec!W17=0,0,11630*1000*SER_hh_fec!W17/SER_hh_num!W17)</f>
        <v>0</v>
      </c>
      <c r="X17" s="132">
        <f>IF(SER_hh_fec!X17=0,0,11630*1000*SER_hh_fec!X17/SER_hh_num!X17)</f>
        <v>0</v>
      </c>
      <c r="Y17" s="132">
        <f>IF(SER_hh_fec!Y17=0,0,11630*1000*SER_hh_fec!Y17/SER_hh_num!Y17)</f>
        <v>0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18614.840299696156</v>
      </c>
      <c r="C18" s="132">
        <f>IF(SER_hh_fec!C18=0,0,11630*1000*SER_hh_fec!C18/SER_hh_num!C18)</f>
        <v>16278.893935281989</v>
      </c>
      <c r="D18" s="132">
        <f>IF(SER_hh_fec!D18=0,0,11630*1000*SER_hh_fec!D18/SER_hh_num!D18)</f>
        <v>11460.104805208906</v>
      </c>
      <c r="E18" s="132">
        <f>IF(SER_hh_fec!E18=0,0,11630*1000*SER_hh_fec!E18/SER_hh_num!E18)</f>
        <v>11984.176738679842</v>
      </c>
      <c r="F18" s="132">
        <f>IF(SER_hh_fec!F18=0,0,11630*1000*SER_hh_fec!F18/SER_hh_num!F18)</f>
        <v>8853.3749320620591</v>
      </c>
      <c r="G18" s="132">
        <f>IF(SER_hh_fec!G18=0,0,11630*1000*SER_hh_fec!G18/SER_hh_num!G18)</f>
        <v>8520.1889401109656</v>
      </c>
      <c r="H18" s="132">
        <f>IF(SER_hh_fec!H18=0,0,11630*1000*SER_hh_fec!H18/SER_hh_num!H18)</f>
        <v>9379.973472314512</v>
      </c>
      <c r="I18" s="132">
        <f>IF(SER_hh_fec!I18=0,0,11630*1000*SER_hh_fec!I18/SER_hh_num!I18)</f>
        <v>15922.680098704917</v>
      </c>
      <c r="J18" s="132">
        <f>IF(SER_hh_fec!J18=0,0,11630*1000*SER_hh_fec!J18/SER_hh_num!J18)</f>
        <v>9662.5998472555293</v>
      </c>
      <c r="K18" s="132">
        <f>IF(SER_hh_fec!K18=0,0,11630*1000*SER_hh_fec!K18/SER_hh_num!K18)</f>
        <v>8204.2240634494501</v>
      </c>
      <c r="L18" s="132">
        <f>IF(SER_hh_fec!L18=0,0,11630*1000*SER_hh_fec!L18/SER_hh_num!L18)</f>
        <v>10014.499741096013</v>
      </c>
      <c r="M18" s="132">
        <f>IF(SER_hh_fec!M18=0,0,11630*1000*SER_hh_fec!M18/SER_hh_num!M18)</f>
        <v>8000.6219051127291</v>
      </c>
      <c r="N18" s="132">
        <f>IF(SER_hh_fec!N18=0,0,11630*1000*SER_hh_fec!N18/SER_hh_num!N18)</f>
        <v>16142.059833260924</v>
      </c>
      <c r="O18" s="132">
        <f>IF(SER_hh_fec!O18=0,0,11630*1000*SER_hh_fec!O18/SER_hh_num!O18)</f>
        <v>7561.1890947026004</v>
      </c>
      <c r="P18" s="132">
        <f>IF(SER_hh_fec!P18=0,0,11630*1000*SER_hh_fec!P18/SER_hh_num!P18)</f>
        <v>6720.4452599883598</v>
      </c>
      <c r="Q18" s="132">
        <f>IF(SER_hh_fec!Q18=0,0,11630*1000*SER_hh_fec!Q18/SER_hh_num!Q18)</f>
        <v>9288.0542626601473</v>
      </c>
      <c r="R18" s="132">
        <f>IF(SER_hh_fec!R18=0,0,11630*1000*SER_hh_fec!R18/SER_hh_num!R18)</f>
        <v>8271.1836487165092</v>
      </c>
      <c r="S18" s="132">
        <f>IF(SER_hh_fec!S18=0,0,11630*1000*SER_hh_fec!S18/SER_hh_num!S18)</f>
        <v>8479.6806569553864</v>
      </c>
      <c r="T18" s="132">
        <f>IF(SER_hh_fec!T18=0,0,11630*1000*SER_hh_fec!T18/SER_hh_num!T18)</f>
        <v>6189.1826708455756</v>
      </c>
      <c r="U18" s="132">
        <f>IF(SER_hh_fec!U18=0,0,11630*1000*SER_hh_fec!U18/SER_hh_num!U18)</f>
        <v>6687.5628721850335</v>
      </c>
      <c r="V18" s="132">
        <f>IF(SER_hh_fec!V18=0,0,11630*1000*SER_hh_fec!V18/SER_hh_num!V18)</f>
        <v>6398.2913184882082</v>
      </c>
      <c r="W18" s="132">
        <f>IF(SER_hh_fec!W18=0,0,11630*1000*SER_hh_fec!W18/SER_hh_num!W18)</f>
        <v>8802.957169210169</v>
      </c>
      <c r="X18" s="132">
        <f>IF(SER_hh_fec!X18=0,0,11630*1000*SER_hh_fec!X18/SER_hh_num!X18)</f>
        <v>8031.862639310677</v>
      </c>
      <c r="Y18" s="132">
        <f>IF(SER_hh_fec!Y18=0,0,11630*1000*SER_hh_fec!Y18/SER_hh_num!Y18)</f>
        <v>9753.6691227776755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16274.46156501575</v>
      </c>
      <c r="C19" s="130">
        <f>IF(SER_hh_fec!C19=0,0,11630*1000*SER_hh_fec!C19/SER_hh_num!C19)</f>
        <v>16129.560027755733</v>
      </c>
      <c r="D19" s="130">
        <f>IF(SER_hh_fec!D19=0,0,11630*1000*SER_hh_fec!D19/SER_hh_num!D19)</f>
        <v>15935.558012540367</v>
      </c>
      <c r="E19" s="130">
        <f>IF(SER_hh_fec!E19=0,0,11630*1000*SER_hh_fec!E19/SER_hh_num!E19)</f>
        <v>15614.471907756855</v>
      </c>
      <c r="F19" s="130">
        <f>IF(SER_hh_fec!F19=0,0,11630*1000*SER_hh_fec!F19/SER_hh_num!F19)</f>
        <v>15121.485959945629</v>
      </c>
      <c r="G19" s="130">
        <f>IF(SER_hh_fec!G19=0,0,11630*1000*SER_hh_fec!G19/SER_hh_num!G19)</f>
        <v>15114.557114461977</v>
      </c>
      <c r="H19" s="130">
        <f>IF(SER_hh_fec!H19=0,0,11630*1000*SER_hh_fec!H19/SER_hh_num!H19)</f>
        <v>15335.557117991659</v>
      </c>
      <c r="I19" s="130">
        <f>IF(SER_hh_fec!I19=0,0,11630*1000*SER_hh_fec!I19/SER_hh_num!I19)</f>
        <v>15385.461233697277</v>
      </c>
      <c r="J19" s="130">
        <f>IF(SER_hh_fec!J19=0,0,11630*1000*SER_hh_fec!J19/SER_hh_num!J19)</f>
        <v>15368.43204231052</v>
      </c>
      <c r="K19" s="130">
        <f>IF(SER_hh_fec!K19=0,0,11630*1000*SER_hh_fec!K19/SER_hh_num!K19)</f>
        <v>15848.742428031434</v>
      </c>
      <c r="L19" s="130">
        <f>IF(SER_hh_fec!L19=0,0,11630*1000*SER_hh_fec!L19/SER_hh_num!L19)</f>
        <v>16383.109852426946</v>
      </c>
      <c r="M19" s="130">
        <f>IF(SER_hh_fec!M19=0,0,11630*1000*SER_hh_fec!M19/SER_hh_num!M19)</f>
        <v>16272.228955678293</v>
      </c>
      <c r="N19" s="130">
        <f>IF(SER_hh_fec!N19=0,0,11630*1000*SER_hh_fec!N19/SER_hh_num!N19)</f>
        <v>16035.162595913956</v>
      </c>
      <c r="O19" s="130">
        <f>IF(SER_hh_fec!O19=0,0,11630*1000*SER_hh_fec!O19/SER_hh_num!O19)</f>
        <v>15952.53867808794</v>
      </c>
      <c r="P19" s="130">
        <f>IF(SER_hh_fec!P19=0,0,11630*1000*SER_hh_fec!P19/SER_hh_num!P19)</f>
        <v>15614.674822971752</v>
      </c>
      <c r="Q19" s="130">
        <f>IF(SER_hh_fec!Q19=0,0,11630*1000*SER_hh_fec!Q19/SER_hh_num!Q19)</f>
        <v>15742.836316155735</v>
      </c>
      <c r="R19" s="130">
        <f>IF(SER_hh_fec!R19=0,0,11630*1000*SER_hh_fec!R19/SER_hh_num!R19)</f>
        <v>15706.960528884238</v>
      </c>
      <c r="S19" s="130">
        <f>IF(SER_hh_fec!S19=0,0,11630*1000*SER_hh_fec!S19/SER_hh_num!S19)</f>
        <v>15758.373916431668</v>
      </c>
      <c r="T19" s="130">
        <f>IF(SER_hh_fec!T19=0,0,11630*1000*SER_hh_fec!T19/SER_hh_num!T19)</f>
        <v>15677.683589518776</v>
      </c>
      <c r="U19" s="130">
        <f>IF(SER_hh_fec!U19=0,0,11630*1000*SER_hh_fec!U19/SER_hh_num!U19)</f>
        <v>15704.843939967592</v>
      </c>
      <c r="V19" s="130">
        <f>IF(SER_hh_fec!V19=0,0,11630*1000*SER_hh_fec!V19/SER_hh_num!V19)</f>
        <v>13521.743077097237</v>
      </c>
      <c r="W19" s="130">
        <f>IF(SER_hh_fec!W19=0,0,11630*1000*SER_hh_fec!W19/SER_hh_num!W19)</f>
        <v>14457.391954637753</v>
      </c>
      <c r="X19" s="130">
        <f>IF(SER_hh_fec!X19=0,0,11630*1000*SER_hh_fec!X19/SER_hh_num!X19)</f>
        <v>14743.624043710424</v>
      </c>
      <c r="Y19" s="130">
        <f>IF(SER_hh_fec!Y19=0,0,11630*1000*SER_hh_fec!Y19/SER_hh_num!Y19)</f>
        <v>14896.557426806728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0</v>
      </c>
      <c r="C21" s="132">
        <f>IF(SER_hh_fec!C21=0,0,11630*1000*SER_hh_fec!C21/SER_hh_num!C21)</f>
        <v>0</v>
      </c>
      <c r="D21" s="132">
        <f>IF(SER_hh_fec!D21=0,0,11630*1000*SER_hh_fec!D21/SER_hh_num!D21)</f>
        <v>0</v>
      </c>
      <c r="E21" s="132">
        <f>IF(SER_hh_fec!E21=0,0,11630*1000*SER_hh_fec!E21/SER_hh_num!E21)</f>
        <v>0</v>
      </c>
      <c r="F21" s="132">
        <f>IF(SER_hh_fec!F21=0,0,11630*1000*SER_hh_fec!F21/SER_hh_num!F21)</f>
        <v>0</v>
      </c>
      <c r="G21" s="132">
        <f>IF(SER_hh_fec!G21=0,0,11630*1000*SER_hh_fec!G21/SER_hh_num!G21)</f>
        <v>0</v>
      </c>
      <c r="H21" s="132">
        <f>IF(SER_hh_fec!H21=0,0,11630*1000*SER_hh_fec!H21/SER_hh_num!H21)</f>
        <v>0</v>
      </c>
      <c r="I21" s="132">
        <f>IF(SER_hh_fec!I21=0,0,11630*1000*SER_hh_fec!I21/SER_hh_num!I21)</f>
        <v>0</v>
      </c>
      <c r="J21" s="132">
        <f>IF(SER_hh_fec!J21=0,0,11630*1000*SER_hh_fec!J21/SER_hh_num!J21)</f>
        <v>0</v>
      </c>
      <c r="K21" s="132">
        <f>IF(SER_hh_fec!K21=0,0,11630*1000*SER_hh_fec!K21/SER_hh_num!K21)</f>
        <v>0</v>
      </c>
      <c r="L21" s="132">
        <f>IF(SER_hh_fec!L21=0,0,11630*1000*SER_hh_fec!L21/SER_hh_num!L21)</f>
        <v>0</v>
      </c>
      <c r="M21" s="132">
        <f>IF(SER_hh_fec!M21=0,0,11630*1000*SER_hh_fec!M21/SER_hh_num!M21)</f>
        <v>0</v>
      </c>
      <c r="N21" s="132">
        <f>IF(SER_hh_fec!N21=0,0,11630*1000*SER_hh_fec!N21/SER_hh_num!N21)</f>
        <v>0</v>
      </c>
      <c r="O21" s="132">
        <f>IF(SER_hh_fec!O21=0,0,11630*1000*SER_hh_fec!O21/SER_hh_num!O21)</f>
        <v>0</v>
      </c>
      <c r="P21" s="132">
        <f>IF(SER_hh_fec!P21=0,0,11630*1000*SER_hh_fec!P21/SER_hh_num!P21)</f>
        <v>0</v>
      </c>
      <c r="Q21" s="132">
        <f>IF(SER_hh_fec!Q21=0,0,11630*1000*SER_hh_fec!Q21/SER_hh_num!Q21)</f>
        <v>0</v>
      </c>
      <c r="R21" s="132">
        <f>IF(SER_hh_fec!R21=0,0,11630*1000*SER_hh_fec!R21/SER_hh_num!R21)</f>
        <v>0</v>
      </c>
      <c r="S21" s="132">
        <f>IF(SER_hh_fec!S21=0,0,11630*1000*SER_hh_fec!S21/SER_hh_num!S21)</f>
        <v>0</v>
      </c>
      <c r="T21" s="132">
        <f>IF(SER_hh_fec!T21=0,0,11630*1000*SER_hh_fec!T21/SER_hh_num!T21)</f>
        <v>0</v>
      </c>
      <c r="U21" s="132">
        <f>IF(SER_hh_fec!U21=0,0,11630*1000*SER_hh_fec!U21/SER_hh_num!U21)</f>
        <v>0</v>
      </c>
      <c r="V21" s="132">
        <f>IF(SER_hh_fec!V21=0,0,11630*1000*SER_hh_fec!V21/SER_hh_num!V21)</f>
        <v>0</v>
      </c>
      <c r="W21" s="132">
        <f>IF(SER_hh_fec!W21=0,0,11630*1000*SER_hh_fec!W21/SER_hh_num!W21)</f>
        <v>0</v>
      </c>
      <c r="X21" s="132">
        <f>IF(SER_hh_fec!X21=0,0,11630*1000*SER_hh_fec!X21/SER_hh_num!X21)</f>
        <v>0</v>
      </c>
      <c r="Y21" s="132">
        <f>IF(SER_hh_fec!Y21=0,0,11630*1000*SER_hh_fec!Y21/SER_hh_num!Y21)</f>
        <v>0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19697.216240172813</v>
      </c>
      <c r="C22" s="132">
        <f>IF(SER_hh_fec!C22=0,0,11630*1000*SER_hh_fec!C22/SER_hh_num!C22)</f>
        <v>21511.220190939119</v>
      </c>
      <c r="D22" s="132">
        <f>IF(SER_hh_fec!D22=0,0,11630*1000*SER_hh_fec!D22/SER_hh_num!D22)</f>
        <v>21662.780326105494</v>
      </c>
      <c r="E22" s="132">
        <f>IF(SER_hh_fec!E22=0,0,11630*1000*SER_hh_fec!E22/SER_hh_num!E22)</f>
        <v>21309.176066525895</v>
      </c>
      <c r="F22" s="132">
        <f>IF(SER_hh_fec!F22=0,0,11630*1000*SER_hh_fec!F22/SER_hh_num!F22)</f>
        <v>18755.780247016275</v>
      </c>
      <c r="G22" s="132">
        <f>IF(SER_hh_fec!G22=0,0,11630*1000*SER_hh_fec!G22/SER_hh_num!G22)</f>
        <v>19108.904720192735</v>
      </c>
      <c r="H22" s="132">
        <f>IF(SER_hh_fec!H22=0,0,11630*1000*SER_hh_fec!H22/SER_hh_num!H22)</f>
        <v>19810.714270750577</v>
      </c>
      <c r="I22" s="132">
        <f>IF(SER_hh_fec!I22=0,0,11630*1000*SER_hh_fec!I22/SER_hh_num!I22)</f>
        <v>20282.447064001073</v>
      </c>
      <c r="J22" s="132">
        <f>IF(SER_hh_fec!J22=0,0,11630*1000*SER_hh_fec!J22/SER_hh_num!J22)</f>
        <v>20609.452113557243</v>
      </c>
      <c r="K22" s="132">
        <f>IF(SER_hh_fec!K22=0,0,11630*1000*SER_hh_fec!K22/SER_hh_num!K22)</f>
        <v>20694.066739675269</v>
      </c>
      <c r="L22" s="132">
        <f>IF(SER_hh_fec!L22=0,0,11630*1000*SER_hh_fec!L22/SER_hh_num!L22)</f>
        <v>20861.384698788701</v>
      </c>
      <c r="M22" s="132">
        <f>IF(SER_hh_fec!M22=0,0,11630*1000*SER_hh_fec!M22/SER_hh_num!M22)</f>
        <v>22245.331722909912</v>
      </c>
      <c r="N22" s="132">
        <f>IF(SER_hh_fec!N22=0,0,11630*1000*SER_hh_fec!N22/SER_hh_num!N22)</f>
        <v>22231.06023693721</v>
      </c>
      <c r="O22" s="132">
        <f>IF(SER_hh_fec!O22=0,0,11630*1000*SER_hh_fec!O22/SER_hh_num!O22)</f>
        <v>19328.955033427235</v>
      </c>
      <c r="P22" s="132">
        <f>IF(SER_hh_fec!P22=0,0,11630*1000*SER_hh_fec!P22/SER_hh_num!P22)</f>
        <v>18191.749247158194</v>
      </c>
      <c r="Q22" s="132">
        <f>IF(SER_hh_fec!Q22=0,0,11630*1000*SER_hh_fec!Q22/SER_hh_num!Q22)</f>
        <v>21491.010496906827</v>
      </c>
      <c r="R22" s="132">
        <f>IF(SER_hh_fec!R22=0,0,11630*1000*SER_hh_fec!R22/SER_hh_num!R22)</f>
        <v>22431.048207019259</v>
      </c>
      <c r="S22" s="132">
        <f>IF(SER_hh_fec!S22=0,0,11630*1000*SER_hh_fec!S22/SER_hh_num!S22)</f>
        <v>22123.740551978328</v>
      </c>
      <c r="T22" s="132">
        <f>IF(SER_hh_fec!T22=0,0,11630*1000*SER_hh_fec!T22/SER_hh_num!T22)</f>
        <v>16341.55396594933</v>
      </c>
      <c r="U22" s="132">
        <f>IF(SER_hh_fec!U22=0,0,11630*1000*SER_hh_fec!U22/SER_hh_num!U22)</f>
        <v>22132.770409141827</v>
      </c>
      <c r="V22" s="132">
        <f>IF(SER_hh_fec!V22=0,0,11630*1000*SER_hh_fec!V22/SER_hh_num!V22)</f>
        <v>19419.09486698233</v>
      </c>
      <c r="W22" s="132">
        <f>IF(SER_hh_fec!W22=0,0,11630*1000*SER_hh_fec!W22/SER_hh_num!W22)</f>
        <v>16781.756210089177</v>
      </c>
      <c r="X22" s="132">
        <f>IF(SER_hh_fec!X22=0,0,11630*1000*SER_hh_fec!X22/SER_hh_num!X22)</f>
        <v>17449.529696785416</v>
      </c>
      <c r="Y22" s="132">
        <f>IF(SER_hh_fec!Y22=0,0,11630*1000*SER_hh_fec!Y22/SER_hh_num!Y22)</f>
        <v>20511.206470474172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18589.935943388802</v>
      </c>
      <c r="C23" s="132">
        <f>IF(SER_hh_fec!C23=0,0,11630*1000*SER_hh_fec!C23/SER_hh_num!C23)</f>
        <v>20025.943791036563</v>
      </c>
      <c r="D23" s="132">
        <f>IF(SER_hh_fec!D23=0,0,11630*1000*SER_hh_fec!D23/SER_hh_num!D23)</f>
        <v>17539.998286098264</v>
      </c>
      <c r="E23" s="132">
        <f>IF(SER_hh_fec!E23=0,0,11630*1000*SER_hh_fec!E23/SER_hh_num!E23)</f>
        <v>18200.644184373021</v>
      </c>
      <c r="F23" s="132">
        <f>IF(SER_hh_fec!F23=0,0,11630*1000*SER_hh_fec!F23/SER_hh_num!F23)</f>
        <v>17657.793189761967</v>
      </c>
      <c r="G23" s="132">
        <f>IF(SER_hh_fec!G23=0,0,11630*1000*SER_hh_fec!G23/SER_hh_num!G23)</f>
        <v>17060.38426915638</v>
      </c>
      <c r="H23" s="132">
        <f>IF(SER_hh_fec!H23=0,0,11630*1000*SER_hh_fec!H23/SER_hh_num!H23)</f>
        <v>17524.157296072121</v>
      </c>
      <c r="I23" s="132">
        <f>IF(SER_hh_fec!I23=0,0,11630*1000*SER_hh_fec!I23/SER_hh_num!I23)</f>
        <v>18353.496527022027</v>
      </c>
      <c r="J23" s="132">
        <f>IF(SER_hh_fec!J23=0,0,11630*1000*SER_hh_fec!J23/SER_hh_num!J23)</f>
        <v>18042.470447674965</v>
      </c>
      <c r="K23" s="132">
        <f>IF(SER_hh_fec!K23=0,0,11630*1000*SER_hh_fec!K23/SER_hh_num!K23)</f>
        <v>18176.830297176668</v>
      </c>
      <c r="L23" s="132">
        <f>IF(SER_hh_fec!L23=0,0,11630*1000*SER_hh_fec!L23/SER_hh_num!L23)</f>
        <v>18808.44894824861</v>
      </c>
      <c r="M23" s="132">
        <f>IF(SER_hh_fec!M23=0,0,11630*1000*SER_hh_fec!M23/SER_hh_num!M23)</f>
        <v>18807.292181381807</v>
      </c>
      <c r="N23" s="132">
        <f>IF(SER_hh_fec!N23=0,0,11630*1000*SER_hh_fec!N23/SER_hh_num!N23)</f>
        <v>18578.464021734464</v>
      </c>
      <c r="O23" s="132">
        <f>IF(SER_hh_fec!O23=0,0,11630*1000*SER_hh_fec!O23/SER_hh_num!O23)</f>
        <v>18425.844774012574</v>
      </c>
      <c r="P23" s="132">
        <f>IF(SER_hh_fec!P23=0,0,11630*1000*SER_hh_fec!P23/SER_hh_num!P23)</f>
        <v>18246.377707529318</v>
      </c>
      <c r="Q23" s="132">
        <f>IF(SER_hh_fec!Q23=0,0,11630*1000*SER_hh_fec!Q23/SER_hh_num!Q23)</f>
        <v>18247.645195351302</v>
      </c>
      <c r="R23" s="132">
        <f>IF(SER_hh_fec!R23=0,0,11630*1000*SER_hh_fec!R23/SER_hh_num!R23)</f>
        <v>17949.126720508804</v>
      </c>
      <c r="S23" s="132">
        <f>IF(SER_hh_fec!S23=0,0,11630*1000*SER_hh_fec!S23/SER_hh_num!S23)</f>
        <v>17867.452083003926</v>
      </c>
      <c r="T23" s="132">
        <f>IF(SER_hh_fec!T23=0,0,11630*1000*SER_hh_fec!T23/SER_hh_num!T23)</f>
        <v>17834.522434734212</v>
      </c>
      <c r="U23" s="132">
        <f>IF(SER_hh_fec!U23=0,0,11630*1000*SER_hh_fec!U23/SER_hh_num!U23)</f>
        <v>17646.702512567845</v>
      </c>
      <c r="V23" s="132">
        <f>IF(SER_hh_fec!V23=0,0,11630*1000*SER_hh_fec!V23/SER_hh_num!V23)</f>
        <v>15203.114462651298</v>
      </c>
      <c r="W23" s="132">
        <f>IF(SER_hh_fec!W23=0,0,11630*1000*SER_hh_fec!W23/SER_hh_num!W23)</f>
        <v>16298.989882947686</v>
      </c>
      <c r="X23" s="132">
        <f>IF(SER_hh_fec!X23=0,0,11630*1000*SER_hh_fec!X23/SER_hh_num!X23)</f>
        <v>14178.246328525433</v>
      </c>
      <c r="Y23" s="132">
        <f>IF(SER_hh_fec!Y23=0,0,11630*1000*SER_hh_fec!Y23/SER_hh_num!Y23)</f>
        <v>16774.515882203479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0</v>
      </c>
      <c r="C24" s="132">
        <f>IF(SER_hh_fec!C24=0,0,11630*1000*SER_hh_fec!C24/SER_hh_num!C24)</f>
        <v>0</v>
      </c>
      <c r="D24" s="132">
        <f>IF(SER_hh_fec!D24=0,0,11630*1000*SER_hh_fec!D24/SER_hh_num!D24)</f>
        <v>0</v>
      </c>
      <c r="E24" s="132">
        <f>IF(SER_hh_fec!E24=0,0,11630*1000*SER_hh_fec!E24/SER_hh_num!E24)</f>
        <v>0</v>
      </c>
      <c r="F24" s="132">
        <f>IF(SER_hh_fec!F24=0,0,11630*1000*SER_hh_fec!F24/SER_hh_num!F24)</f>
        <v>0</v>
      </c>
      <c r="G24" s="132">
        <f>IF(SER_hh_fec!G24=0,0,11630*1000*SER_hh_fec!G24/SER_hh_num!G24)</f>
        <v>0</v>
      </c>
      <c r="H24" s="132">
        <f>IF(SER_hh_fec!H24=0,0,11630*1000*SER_hh_fec!H24/SER_hh_num!H24)</f>
        <v>0</v>
      </c>
      <c r="I24" s="132">
        <f>IF(SER_hh_fec!I24=0,0,11630*1000*SER_hh_fec!I24/SER_hh_num!I24)</f>
        <v>0</v>
      </c>
      <c r="J24" s="132">
        <f>IF(SER_hh_fec!J24=0,0,11630*1000*SER_hh_fec!J24/SER_hh_num!J24)</f>
        <v>0</v>
      </c>
      <c r="K24" s="132">
        <f>IF(SER_hh_fec!K24=0,0,11630*1000*SER_hh_fec!K24/SER_hh_num!K24)</f>
        <v>0</v>
      </c>
      <c r="L24" s="132">
        <f>IF(SER_hh_fec!L24=0,0,11630*1000*SER_hh_fec!L24/SER_hh_num!L24)</f>
        <v>0</v>
      </c>
      <c r="M24" s="132">
        <f>IF(SER_hh_fec!M24=0,0,11630*1000*SER_hh_fec!M24/SER_hh_num!M24)</f>
        <v>0</v>
      </c>
      <c r="N24" s="132">
        <f>IF(SER_hh_fec!N24=0,0,11630*1000*SER_hh_fec!N24/SER_hh_num!N24)</f>
        <v>0</v>
      </c>
      <c r="O24" s="132">
        <f>IF(SER_hh_fec!O24=0,0,11630*1000*SER_hh_fec!O24/SER_hh_num!O24)</f>
        <v>0</v>
      </c>
      <c r="P24" s="132">
        <f>IF(SER_hh_fec!P24=0,0,11630*1000*SER_hh_fec!P24/SER_hh_num!P24)</f>
        <v>0</v>
      </c>
      <c r="Q24" s="132">
        <f>IF(SER_hh_fec!Q24=0,0,11630*1000*SER_hh_fec!Q24/SER_hh_num!Q24)</f>
        <v>0</v>
      </c>
      <c r="R24" s="132">
        <f>IF(SER_hh_fec!R24=0,0,11630*1000*SER_hh_fec!R24/SER_hh_num!R24)</f>
        <v>0</v>
      </c>
      <c r="S24" s="132">
        <f>IF(SER_hh_fec!S24=0,0,11630*1000*SER_hh_fec!S24/SER_hh_num!S24)</f>
        <v>0</v>
      </c>
      <c r="T24" s="132">
        <f>IF(SER_hh_fec!T24=0,0,11630*1000*SER_hh_fec!T24/SER_hh_num!T24)</f>
        <v>0</v>
      </c>
      <c r="U24" s="132">
        <f>IF(SER_hh_fec!U24=0,0,11630*1000*SER_hh_fec!U24/SER_hh_num!U24)</f>
        <v>0</v>
      </c>
      <c r="V24" s="132">
        <f>IF(SER_hh_fec!V24=0,0,11630*1000*SER_hh_fec!V24/SER_hh_num!V24)</f>
        <v>0</v>
      </c>
      <c r="W24" s="132">
        <f>IF(SER_hh_fec!W24=0,0,11630*1000*SER_hh_fec!W24/SER_hh_num!W24)</f>
        <v>0</v>
      </c>
      <c r="X24" s="132">
        <f>IF(SER_hh_fec!X24=0,0,11630*1000*SER_hh_fec!X24/SER_hh_num!X24)</f>
        <v>0</v>
      </c>
      <c r="Y24" s="132">
        <f>IF(SER_hh_fec!Y24=0,0,11630*1000*SER_hh_fec!Y24/SER_hh_num!Y24)</f>
        <v>0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13789.776105278781</v>
      </c>
      <c r="C25" s="132">
        <f>IF(SER_hh_fec!C25=0,0,11630*1000*SER_hh_fec!C25/SER_hh_num!C25)</f>
        <v>13659.346152631118</v>
      </c>
      <c r="D25" s="132">
        <f>IF(SER_hh_fec!D25=0,0,11630*1000*SER_hh_fec!D25/SER_hh_num!D25)</f>
        <v>13424.542857492945</v>
      </c>
      <c r="E25" s="132">
        <f>IF(SER_hh_fec!E25=0,0,11630*1000*SER_hh_fec!E25/SER_hh_num!E25)</f>
        <v>13320.312984625589</v>
      </c>
      <c r="F25" s="132">
        <f>IF(SER_hh_fec!F25=0,0,11630*1000*SER_hh_fec!F25/SER_hh_num!F25)</f>
        <v>13180.610730492606</v>
      </c>
      <c r="G25" s="132">
        <f>IF(SER_hh_fec!G25=0,0,11630*1000*SER_hh_fec!G25/SER_hh_num!G25)</f>
        <v>13106.50116378331</v>
      </c>
      <c r="H25" s="132">
        <f>IF(SER_hh_fec!H25=0,0,11630*1000*SER_hh_fec!H25/SER_hh_num!H25)</f>
        <v>13060.908801765321</v>
      </c>
      <c r="I25" s="132">
        <f>IF(SER_hh_fec!I25=0,0,11630*1000*SER_hh_fec!I25/SER_hh_num!I25)</f>
        <v>13105.059235979828</v>
      </c>
      <c r="J25" s="132">
        <f>IF(SER_hh_fec!J25=0,0,11630*1000*SER_hh_fec!J25/SER_hh_num!J25)</f>
        <v>13293.60756353893</v>
      </c>
      <c r="K25" s="132">
        <f>IF(SER_hh_fec!K25=0,0,11630*1000*SER_hh_fec!K25/SER_hh_num!K25)</f>
        <v>13504.909008440834</v>
      </c>
      <c r="L25" s="132">
        <f>IF(SER_hh_fec!L25=0,0,11630*1000*SER_hh_fec!L25/SER_hh_num!L25)</f>
        <v>13805.540952592621</v>
      </c>
      <c r="M25" s="132">
        <f>IF(SER_hh_fec!M25=0,0,11630*1000*SER_hh_fec!M25/SER_hh_num!M25)</f>
        <v>14025.892923693707</v>
      </c>
      <c r="N25" s="132">
        <f>IF(SER_hh_fec!N25=0,0,11630*1000*SER_hh_fec!N25/SER_hh_num!N25)</f>
        <v>13929.618731135082</v>
      </c>
      <c r="O25" s="132">
        <f>IF(SER_hh_fec!O25=0,0,11630*1000*SER_hh_fec!O25/SER_hh_num!O25)</f>
        <v>13906.698790154202</v>
      </c>
      <c r="P25" s="132">
        <f>IF(SER_hh_fec!P25=0,0,11630*1000*SER_hh_fec!P25/SER_hh_num!P25)</f>
        <v>13876.285053223328</v>
      </c>
      <c r="Q25" s="132">
        <f>IF(SER_hh_fec!Q25=0,0,11630*1000*SER_hh_fec!Q25/SER_hh_num!Q25)</f>
        <v>13991.644167094288</v>
      </c>
      <c r="R25" s="132">
        <f>IF(SER_hh_fec!R25=0,0,11630*1000*SER_hh_fec!R25/SER_hh_num!R25)</f>
        <v>14103.794554154076</v>
      </c>
      <c r="S25" s="132">
        <f>IF(SER_hh_fec!S25=0,0,11630*1000*SER_hh_fec!S25/SER_hh_num!S25)</f>
        <v>14368.67276595488</v>
      </c>
      <c r="T25" s="132">
        <f>IF(SER_hh_fec!T25=0,0,11630*1000*SER_hh_fec!T25/SER_hh_num!T25)</f>
        <v>14413.653231697614</v>
      </c>
      <c r="U25" s="132">
        <f>IF(SER_hh_fec!U25=0,0,11630*1000*SER_hh_fec!U25/SER_hh_num!U25)</f>
        <v>14293.179369594911</v>
      </c>
      <c r="V25" s="132">
        <f>IF(SER_hh_fec!V25=0,0,11630*1000*SER_hh_fec!V25/SER_hh_num!V25)</f>
        <v>12794.157094000488</v>
      </c>
      <c r="W25" s="132">
        <f>IF(SER_hh_fec!W25=0,0,11630*1000*SER_hh_fec!W25/SER_hh_num!W25)</f>
        <v>13198.536662614339</v>
      </c>
      <c r="X25" s="132">
        <f>IF(SER_hh_fec!X25=0,0,11630*1000*SER_hh_fec!X25/SER_hh_num!X25)</f>
        <v>15225.874802869341</v>
      </c>
      <c r="Y25" s="132">
        <f>IF(SER_hh_fec!Y25=0,0,11630*1000*SER_hh_fec!Y25/SER_hh_num!Y25)</f>
        <v>14037.785952078191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17136.816673500576</v>
      </c>
      <c r="C26" s="65">
        <f>IF(SER_hh_fec!C26=0,0,11630*1000*SER_hh_fec!C26/SER_hh_num!C26)</f>
        <v>16415.352441682284</v>
      </c>
      <c r="D26" s="65">
        <f>IF(SER_hh_fec!D26=0,0,11630*1000*SER_hh_fec!D26/SER_hh_num!D26)</f>
        <v>16403.005615076028</v>
      </c>
      <c r="E26" s="65">
        <f>IF(SER_hh_fec!E26=0,0,11630*1000*SER_hh_fec!E26/SER_hh_num!E26)</f>
        <v>15897.105329040598</v>
      </c>
      <c r="F26" s="65">
        <f>IF(SER_hh_fec!F26=0,0,11630*1000*SER_hh_fec!F26/SER_hh_num!F26)</f>
        <v>15529.293055064798</v>
      </c>
      <c r="G26" s="65">
        <f>IF(SER_hh_fec!G26=0,0,11630*1000*SER_hh_fec!G26/SER_hh_num!G26)</f>
        <v>15580.47019662023</v>
      </c>
      <c r="H26" s="65">
        <f>IF(SER_hh_fec!H26=0,0,11630*1000*SER_hh_fec!H26/SER_hh_num!H26)</f>
        <v>15784.139475649958</v>
      </c>
      <c r="I26" s="65">
        <f>IF(SER_hh_fec!I26=0,0,11630*1000*SER_hh_fec!I26/SER_hh_num!I26)</f>
        <v>15482.985764748815</v>
      </c>
      <c r="J26" s="65">
        <f>IF(SER_hh_fec!J26=0,0,11630*1000*SER_hh_fec!J26/SER_hh_num!J26)</f>
        <v>15302.04141555006</v>
      </c>
      <c r="K26" s="65">
        <f>IF(SER_hh_fec!K26=0,0,11630*1000*SER_hh_fec!K26/SER_hh_num!K26)</f>
        <v>16007.620140216552</v>
      </c>
      <c r="L26" s="65">
        <f>IF(SER_hh_fec!L26=0,0,11630*1000*SER_hh_fec!L26/SER_hh_num!L26)</f>
        <v>15664.587002388755</v>
      </c>
      <c r="M26" s="65">
        <f>IF(SER_hh_fec!M26=0,0,11630*1000*SER_hh_fec!M26/SER_hh_num!M26)</f>
        <v>14791.456127641752</v>
      </c>
      <c r="N26" s="65">
        <f>IF(SER_hh_fec!N26=0,0,11630*1000*SER_hh_fec!N26/SER_hh_num!N26)</f>
        <v>14254.033564960797</v>
      </c>
      <c r="O26" s="65">
        <f>IF(SER_hh_fec!O26=0,0,11630*1000*SER_hh_fec!O26/SER_hh_num!O26)</f>
        <v>13750.282438906512</v>
      </c>
      <c r="P26" s="65">
        <f>IF(SER_hh_fec!P26=0,0,11630*1000*SER_hh_fec!P26/SER_hh_num!P26)</f>
        <v>13323.068496001606</v>
      </c>
      <c r="Q26" s="65">
        <f>IF(SER_hh_fec!Q26=0,0,11630*1000*SER_hh_fec!Q26/SER_hh_num!Q26)</f>
        <v>13060.36239242669</v>
      </c>
      <c r="R26" s="65">
        <f>IF(SER_hh_fec!R26=0,0,11630*1000*SER_hh_fec!R26/SER_hh_num!R26)</f>
        <v>12948.546187933744</v>
      </c>
      <c r="S26" s="65">
        <f>IF(SER_hh_fec!S26=0,0,11630*1000*SER_hh_fec!S26/SER_hh_num!S26)</f>
        <v>12875.721444052786</v>
      </c>
      <c r="T26" s="65">
        <f>IF(SER_hh_fec!T26=0,0,11630*1000*SER_hh_fec!T26/SER_hh_num!T26)</f>
        <v>12725.237089808126</v>
      </c>
      <c r="U26" s="65">
        <f>IF(SER_hh_fec!U26=0,0,11630*1000*SER_hh_fec!U26/SER_hh_num!U26)</f>
        <v>12701.230255886117</v>
      </c>
      <c r="V26" s="65">
        <f>IF(SER_hh_fec!V26=0,0,11630*1000*SER_hh_fec!V26/SER_hh_num!V26)</f>
        <v>10198.141695889715</v>
      </c>
      <c r="W26" s="65">
        <f>IF(SER_hh_fec!W26=0,0,11630*1000*SER_hh_fec!W26/SER_hh_num!W26)</f>
        <v>11252.544674959867</v>
      </c>
      <c r="X26" s="65">
        <f>IF(SER_hh_fec!X26=0,0,11630*1000*SER_hh_fec!X26/SER_hh_num!X26)</f>
        <v>10954.083769702926</v>
      </c>
      <c r="Y26" s="65">
        <f>IF(SER_hh_fec!Y26=0,0,11630*1000*SER_hh_fec!Y26/SER_hh_num!Y26)</f>
        <v>10996.923702472272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0</v>
      </c>
      <c r="C27" s="145">
        <f>IF(SER_hh_fec!C27=0,0,11630*1000*SER_hh_fec!C27/SER_hh_num!C19)</f>
        <v>0</v>
      </c>
      <c r="D27" s="145">
        <f>IF(SER_hh_fec!D27=0,0,11630*1000*SER_hh_fec!D27/SER_hh_num!D19)</f>
        <v>0</v>
      </c>
      <c r="E27" s="145">
        <f>IF(SER_hh_fec!E27=0,0,11630*1000*SER_hh_fec!E27/SER_hh_num!E19)</f>
        <v>0</v>
      </c>
      <c r="F27" s="145">
        <f>IF(SER_hh_fec!F27=0,0,11630*1000*SER_hh_fec!F27/SER_hh_num!F19)</f>
        <v>0</v>
      </c>
      <c r="G27" s="145">
        <f>IF(SER_hh_fec!G27=0,0,11630*1000*SER_hh_fec!G27/SER_hh_num!G19)</f>
        <v>0</v>
      </c>
      <c r="H27" s="145">
        <f>IF(SER_hh_fec!H27=0,0,11630*1000*SER_hh_fec!H27/SER_hh_num!H19)</f>
        <v>0</v>
      </c>
      <c r="I27" s="145">
        <f>IF(SER_hh_fec!I27=0,0,11630*1000*SER_hh_fec!I27/SER_hh_num!I19)</f>
        <v>0</v>
      </c>
      <c r="J27" s="145">
        <f>IF(SER_hh_fec!J27=0,0,11630*1000*SER_hh_fec!J27/SER_hh_num!J19)</f>
        <v>0</v>
      </c>
      <c r="K27" s="145">
        <f>IF(SER_hh_fec!K27=0,0,11630*1000*SER_hh_fec!K27/SER_hh_num!K19)</f>
        <v>0</v>
      </c>
      <c r="L27" s="145">
        <f>IF(SER_hh_fec!L27=0,0,11630*1000*SER_hh_fec!L27/SER_hh_num!L19)</f>
        <v>516.84570657975542</v>
      </c>
      <c r="M27" s="145">
        <f>IF(SER_hh_fec!M27=0,0,11630*1000*SER_hh_fec!M27/SER_hh_num!M19)</f>
        <v>782.07345305296246</v>
      </c>
      <c r="N27" s="145">
        <f>IF(SER_hh_fec!N27=0,0,11630*1000*SER_hh_fec!N27/SER_hh_num!N19)</f>
        <v>940.32074248955132</v>
      </c>
      <c r="O27" s="145">
        <f>IF(SER_hh_fec!O27=0,0,11630*1000*SER_hh_fec!O27/SER_hh_num!O19)</f>
        <v>1305.761922165362</v>
      </c>
      <c r="P27" s="145">
        <f>IF(SER_hh_fec!P27=0,0,11630*1000*SER_hh_fec!P27/SER_hh_num!P19)</f>
        <v>1301.68476610623</v>
      </c>
      <c r="Q27" s="145">
        <f>IF(SER_hh_fec!Q27=0,0,11630*1000*SER_hh_fec!Q27/SER_hh_num!Q19)</f>
        <v>1508.7696280508321</v>
      </c>
      <c r="R27" s="145">
        <f>IF(SER_hh_fec!R27=0,0,11630*1000*SER_hh_fec!R27/SER_hh_num!R19)</f>
        <v>1561.0328845344263</v>
      </c>
      <c r="S27" s="145">
        <f>IF(SER_hh_fec!S27=0,0,11630*1000*SER_hh_fec!S27/SER_hh_num!S19)</f>
        <v>1632.8346538075298</v>
      </c>
      <c r="T27" s="145">
        <f>IF(SER_hh_fec!T27=0,0,11630*1000*SER_hh_fec!T27/SER_hh_num!T19)</f>
        <v>1725.3728852680526</v>
      </c>
      <c r="U27" s="145">
        <f>IF(SER_hh_fec!U27=0,0,11630*1000*SER_hh_fec!U27/SER_hh_num!U19)</f>
        <v>1781.8226935842513</v>
      </c>
      <c r="V27" s="145">
        <f>IF(SER_hh_fec!V27=0,0,11630*1000*SER_hh_fec!V27/SER_hh_num!V19)</f>
        <v>1851.1327454258735</v>
      </c>
      <c r="W27" s="145">
        <f>IF(SER_hh_fec!W27=0,0,11630*1000*SER_hh_fec!W27/SER_hh_num!W19)</f>
        <v>1950.5808913483454</v>
      </c>
      <c r="X27" s="145">
        <f>IF(SER_hh_fec!X27=0,0,11630*1000*SER_hh_fec!X27/SER_hh_num!X19)</f>
        <v>2121.7753454292047</v>
      </c>
      <c r="Y27" s="145">
        <f>IF(SER_hh_fec!Y27=0,0,11630*1000*SER_hh_fec!Y27/SER_hh_num!Y19)</f>
        <v>2185.2308374143299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0</v>
      </c>
      <c r="C28" s="146">
        <f>IF(SER_hh_fec!C27=0,0,11630*1000*SER_hh_fec!C27/SER_hh_num!C27)</f>
        <v>0</v>
      </c>
      <c r="D28" s="146">
        <f>IF(SER_hh_fec!D27=0,0,11630*1000*SER_hh_fec!D27/SER_hh_num!D27)</f>
        <v>0</v>
      </c>
      <c r="E28" s="146">
        <f>IF(SER_hh_fec!E27=0,0,11630*1000*SER_hh_fec!E27/SER_hh_num!E27)</f>
        <v>0</v>
      </c>
      <c r="F28" s="146">
        <f>IF(SER_hh_fec!F27=0,0,11630*1000*SER_hh_fec!F27/SER_hh_num!F27)</f>
        <v>0</v>
      </c>
      <c r="G28" s="146">
        <f>IF(SER_hh_fec!G27=0,0,11630*1000*SER_hh_fec!G27/SER_hh_num!G27)</f>
        <v>0</v>
      </c>
      <c r="H28" s="146">
        <f>IF(SER_hh_fec!H27=0,0,11630*1000*SER_hh_fec!H27/SER_hh_num!H27)</f>
        <v>0</v>
      </c>
      <c r="I28" s="146">
        <f>IF(SER_hh_fec!I27=0,0,11630*1000*SER_hh_fec!I27/SER_hh_num!I27)</f>
        <v>0</v>
      </c>
      <c r="J28" s="146">
        <f>IF(SER_hh_fec!J27=0,0,11630*1000*SER_hh_fec!J27/SER_hh_num!J27)</f>
        <v>0</v>
      </c>
      <c r="K28" s="146">
        <f>IF(SER_hh_fec!K27=0,0,11630*1000*SER_hh_fec!K27/SER_hh_num!K27)</f>
        <v>0</v>
      </c>
      <c r="L28" s="146">
        <f>IF(SER_hh_fec!L27=0,0,11630*1000*SER_hh_fec!L27/SER_hh_num!L27)</f>
        <v>6485.8382073608673</v>
      </c>
      <c r="M28" s="146">
        <f>IF(SER_hh_fec!M27=0,0,11630*1000*SER_hh_fec!M27/SER_hh_num!M27)</f>
        <v>6664.3049264554202</v>
      </c>
      <c r="N28" s="146">
        <f>IF(SER_hh_fec!N27=0,0,11630*1000*SER_hh_fec!N27/SER_hh_num!N27)</f>
        <v>6900.178706368778</v>
      </c>
      <c r="O28" s="146">
        <f>IF(SER_hh_fec!O27=0,0,11630*1000*SER_hh_fec!O27/SER_hh_num!O27)</f>
        <v>6814.9804548757602</v>
      </c>
      <c r="P28" s="146">
        <f>IF(SER_hh_fec!P27=0,0,11630*1000*SER_hh_fec!P27/SER_hh_num!P27)</f>
        <v>6603.7779227344363</v>
      </c>
      <c r="Q28" s="146">
        <f>IF(SER_hh_fec!Q27=0,0,11630*1000*SER_hh_fec!Q27/SER_hh_num!Q27)</f>
        <v>6990.6567081518333</v>
      </c>
      <c r="R28" s="146">
        <f>IF(SER_hh_fec!R27=0,0,11630*1000*SER_hh_fec!R27/SER_hh_num!R27)</f>
        <v>6810.5382242813939</v>
      </c>
      <c r="S28" s="146">
        <f>IF(SER_hh_fec!S27=0,0,11630*1000*SER_hh_fec!S27/SER_hh_num!S27)</f>
        <v>6715.8235183410925</v>
      </c>
      <c r="T28" s="146">
        <f>IF(SER_hh_fec!T27=0,0,11630*1000*SER_hh_fec!T27/SER_hh_num!T27)</f>
        <v>7045.7032541348317</v>
      </c>
      <c r="U28" s="146">
        <f>IF(SER_hh_fec!U27=0,0,11630*1000*SER_hh_fec!U27/SER_hh_num!U27)</f>
        <v>7191.2654123882676</v>
      </c>
      <c r="V28" s="146">
        <f>IF(SER_hh_fec!V27=0,0,11630*1000*SER_hh_fec!V27/SER_hh_num!V27)</f>
        <v>6267.5231824632738</v>
      </c>
      <c r="W28" s="146">
        <f>IF(SER_hh_fec!W27=0,0,11630*1000*SER_hh_fec!W27/SER_hh_num!W27)</f>
        <v>6789.5222883942124</v>
      </c>
      <c r="X28" s="146">
        <f>IF(SER_hh_fec!X27=0,0,11630*1000*SER_hh_fec!X27/SER_hh_num!X27)</f>
        <v>7085.1769986826566</v>
      </c>
      <c r="Y28" s="146">
        <f>IF(SER_hh_fec!Y27=0,0,11630*1000*SER_hh_fec!Y27/SER_hh_num!Y27)</f>
        <v>7296.2341425989407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16202.589995981667</v>
      </c>
      <c r="C29" s="130">
        <f>IF(SER_hh_fec!C29=0,0,11630*1000*SER_hh_fec!C29/SER_hh_num!C29)</f>
        <v>16621.210736642995</v>
      </c>
      <c r="D29" s="130">
        <f>IF(SER_hh_fec!D29=0,0,11630*1000*SER_hh_fec!D29/SER_hh_num!D29)</f>
        <v>16103.715045240098</v>
      </c>
      <c r="E29" s="130">
        <f>IF(SER_hh_fec!E29=0,0,11630*1000*SER_hh_fec!E29/SER_hh_num!E29)</f>
        <v>15954.62359392902</v>
      </c>
      <c r="F29" s="130">
        <f>IF(SER_hh_fec!F29=0,0,11630*1000*SER_hh_fec!F29/SER_hh_num!F29)</f>
        <v>16095.836281964917</v>
      </c>
      <c r="G29" s="130">
        <f>IF(SER_hh_fec!G29=0,0,11630*1000*SER_hh_fec!G29/SER_hh_num!G29)</f>
        <v>15545.892953281322</v>
      </c>
      <c r="H29" s="130">
        <f>IF(SER_hh_fec!H29=0,0,11630*1000*SER_hh_fec!H29/SER_hh_num!H29)</f>
        <v>15495.467701558015</v>
      </c>
      <c r="I29" s="130">
        <f>IF(SER_hh_fec!I29=0,0,11630*1000*SER_hh_fec!I29/SER_hh_num!I29)</f>
        <v>15325.81132096796</v>
      </c>
      <c r="J29" s="130">
        <f>IF(SER_hh_fec!J29=0,0,11630*1000*SER_hh_fec!J29/SER_hh_num!J29)</f>
        <v>15640.994830321139</v>
      </c>
      <c r="K29" s="130">
        <f>IF(SER_hh_fec!K29=0,0,11630*1000*SER_hh_fec!K29/SER_hh_num!K29)</f>
        <v>15936.182860993549</v>
      </c>
      <c r="L29" s="130">
        <f>IF(SER_hh_fec!L29=0,0,11630*1000*SER_hh_fec!L29/SER_hh_num!L29)</f>
        <v>16685.00246352475</v>
      </c>
      <c r="M29" s="130">
        <f>IF(SER_hh_fec!M29=0,0,11630*1000*SER_hh_fec!M29/SER_hh_num!M29)</f>
        <v>16539.512667749372</v>
      </c>
      <c r="N29" s="130">
        <f>IF(SER_hh_fec!N29=0,0,11630*1000*SER_hh_fec!N29/SER_hh_num!N29)</f>
        <v>17256.39441890036</v>
      </c>
      <c r="O29" s="130">
        <f>IF(SER_hh_fec!O29=0,0,11630*1000*SER_hh_fec!O29/SER_hh_num!O29)</f>
        <v>17013.728811607176</v>
      </c>
      <c r="P29" s="130">
        <f>IF(SER_hh_fec!P29=0,0,11630*1000*SER_hh_fec!P29/SER_hh_num!P29)</f>
        <v>16540.36763011471</v>
      </c>
      <c r="Q29" s="130">
        <f>IF(SER_hh_fec!Q29=0,0,11630*1000*SER_hh_fec!Q29/SER_hh_num!Q29)</f>
        <v>16535.421770248606</v>
      </c>
      <c r="R29" s="130">
        <f>IF(SER_hh_fec!R29=0,0,11630*1000*SER_hh_fec!R29/SER_hh_num!R29)</f>
        <v>16621.155079894841</v>
      </c>
      <c r="S29" s="130">
        <f>IF(SER_hh_fec!S29=0,0,11630*1000*SER_hh_fec!S29/SER_hh_num!S29)</f>
        <v>17212.92054642531</v>
      </c>
      <c r="T29" s="130">
        <f>IF(SER_hh_fec!T29=0,0,11630*1000*SER_hh_fec!T29/SER_hh_num!T29)</f>
        <v>17923.779840107836</v>
      </c>
      <c r="U29" s="130">
        <f>IF(SER_hh_fec!U29=0,0,11630*1000*SER_hh_fec!U29/SER_hh_num!U29)</f>
        <v>18026.233637171899</v>
      </c>
      <c r="V29" s="130">
        <f>IF(SER_hh_fec!V29=0,0,11630*1000*SER_hh_fec!V29/SER_hh_num!V29)</f>
        <v>14960.160449862968</v>
      </c>
      <c r="W29" s="130">
        <f>IF(SER_hh_fec!W29=0,0,11630*1000*SER_hh_fec!W29/SER_hh_num!W29)</f>
        <v>16672.749275086597</v>
      </c>
      <c r="X29" s="130">
        <f>IF(SER_hh_fec!X29=0,0,11630*1000*SER_hh_fec!X29/SER_hh_num!X29)</f>
        <v>17497.951499597497</v>
      </c>
      <c r="Y29" s="130">
        <f>IF(SER_hh_fec!Y29=0,0,11630*1000*SER_hh_fec!Y29/SER_hh_num!Y29)</f>
        <v>16789.529665501748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10710.129113830013</v>
      </c>
      <c r="C30" s="132">
        <f>IF(SER_hh_fec!C30=0,0,11630*1000*SER_hh_fec!C30/SER_hh_num!C30)</f>
        <v>42694.913769459221</v>
      </c>
      <c r="D30" s="132">
        <f>IF(SER_hh_fec!D30=0,0,11630*1000*SER_hh_fec!D30/SER_hh_num!D30)</f>
        <v>12348.297574482151</v>
      </c>
      <c r="E30" s="132">
        <f>IF(SER_hh_fec!E30=0,0,11630*1000*SER_hh_fec!E30/SER_hh_num!E30)</f>
        <v>14632.168529177703</v>
      </c>
      <c r="F30" s="132">
        <f>IF(SER_hh_fec!F30=0,0,11630*1000*SER_hh_fec!F30/SER_hh_num!F30)</f>
        <v>39075.585152576197</v>
      </c>
      <c r="G30" s="132">
        <f>IF(SER_hh_fec!G30=0,0,11630*1000*SER_hh_fec!G30/SER_hh_num!G30)</f>
        <v>0</v>
      </c>
      <c r="H30" s="132">
        <f>IF(SER_hh_fec!H30=0,0,11630*1000*SER_hh_fec!H30/SER_hh_num!H30)</f>
        <v>0</v>
      </c>
      <c r="I30" s="132">
        <f>IF(SER_hh_fec!I30=0,0,11630*1000*SER_hh_fec!I30/SER_hh_num!I30)</f>
        <v>0</v>
      </c>
      <c r="J30" s="132">
        <f>IF(SER_hh_fec!J30=0,0,11630*1000*SER_hh_fec!J30/SER_hh_num!J30)</f>
        <v>0</v>
      </c>
      <c r="K30" s="132">
        <f>IF(SER_hh_fec!K30=0,0,11630*1000*SER_hh_fec!K30/SER_hh_num!K30)</f>
        <v>0</v>
      </c>
      <c r="L30" s="132">
        <f>IF(SER_hh_fec!L30=0,0,11630*1000*SER_hh_fec!L30/SER_hh_num!L30)</f>
        <v>24557.332872431427</v>
      </c>
      <c r="M30" s="132">
        <f>IF(SER_hh_fec!M30=0,0,11630*1000*SER_hh_fec!M30/SER_hh_num!M30)</f>
        <v>22856.664631689851</v>
      </c>
      <c r="N30" s="132">
        <f>IF(SER_hh_fec!N30=0,0,11630*1000*SER_hh_fec!N30/SER_hh_num!N30)</f>
        <v>36117.458536951664</v>
      </c>
      <c r="O30" s="132">
        <f>IF(SER_hh_fec!O30=0,0,11630*1000*SER_hh_fec!O30/SER_hh_num!O30)</f>
        <v>25739.101474715411</v>
      </c>
      <c r="P30" s="132">
        <f>IF(SER_hh_fec!P30=0,0,11630*1000*SER_hh_fec!P30/SER_hh_num!P30)</f>
        <v>16114.038434176433</v>
      </c>
      <c r="Q30" s="132">
        <f>IF(SER_hh_fec!Q30=0,0,11630*1000*SER_hh_fec!Q30/SER_hh_num!Q30)</f>
        <v>16239.970491860699</v>
      </c>
      <c r="R30" s="132">
        <f>IF(SER_hh_fec!R30=0,0,11630*1000*SER_hh_fec!R30/SER_hh_num!R30)</f>
        <v>19040.135776860952</v>
      </c>
      <c r="S30" s="132">
        <f>IF(SER_hh_fec!S30=0,0,11630*1000*SER_hh_fec!S30/SER_hh_num!S30)</f>
        <v>22559.903463952869</v>
      </c>
      <c r="T30" s="132">
        <f>IF(SER_hh_fec!T30=0,0,11630*1000*SER_hh_fec!T30/SER_hh_num!T30)</f>
        <v>24194.246090912329</v>
      </c>
      <c r="U30" s="132">
        <f>IF(SER_hh_fec!U30=0,0,11630*1000*SER_hh_fec!U30/SER_hh_num!U30)</f>
        <v>23355.045907667376</v>
      </c>
      <c r="V30" s="132">
        <f>IF(SER_hh_fec!V30=0,0,11630*1000*SER_hh_fec!V30/SER_hh_num!V30)</f>
        <v>18420.702127328837</v>
      </c>
      <c r="W30" s="132">
        <f>IF(SER_hh_fec!W30=0,0,11630*1000*SER_hh_fec!W30/SER_hh_num!W30)</f>
        <v>20534.787539242636</v>
      </c>
      <c r="X30" s="132">
        <f>IF(SER_hh_fec!X30=0,0,11630*1000*SER_hh_fec!X30/SER_hh_num!X30)</f>
        <v>21930.959932364272</v>
      </c>
      <c r="Y30" s="132">
        <f>IF(SER_hh_fec!Y30=0,0,11630*1000*SER_hh_fec!Y30/SER_hh_num!Y30)</f>
        <v>22449.358376582481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19983.462349876485</v>
      </c>
      <c r="C31" s="132">
        <f>IF(SER_hh_fec!C31=0,0,11630*1000*SER_hh_fec!C31/SER_hh_num!C31)</f>
        <v>20457.62487732045</v>
      </c>
      <c r="D31" s="132">
        <f>IF(SER_hh_fec!D31=0,0,11630*1000*SER_hh_fec!D31/SER_hh_num!D31)</f>
        <v>18959.415780330961</v>
      </c>
      <c r="E31" s="132">
        <f>IF(SER_hh_fec!E31=0,0,11630*1000*SER_hh_fec!E31/SER_hh_num!E31)</f>
        <v>19947.695789688638</v>
      </c>
      <c r="F31" s="132">
        <f>IF(SER_hh_fec!F31=0,0,11630*1000*SER_hh_fec!F31/SER_hh_num!F31)</f>
        <v>20200.173398019313</v>
      </c>
      <c r="G31" s="132">
        <f>IF(SER_hh_fec!G31=0,0,11630*1000*SER_hh_fec!G31/SER_hh_num!G31)</f>
        <v>18506.25027001854</v>
      </c>
      <c r="H31" s="132">
        <f>IF(SER_hh_fec!H31=0,0,11630*1000*SER_hh_fec!H31/SER_hh_num!H31)</f>
        <v>20407.978030618742</v>
      </c>
      <c r="I31" s="132">
        <f>IF(SER_hh_fec!I31=0,0,11630*1000*SER_hh_fec!I31/SER_hh_num!I31)</f>
        <v>20581.589934601561</v>
      </c>
      <c r="J31" s="132">
        <f>IF(SER_hh_fec!J31=0,0,11630*1000*SER_hh_fec!J31/SER_hh_num!J31)</f>
        <v>20340.602539972482</v>
      </c>
      <c r="K31" s="132">
        <f>IF(SER_hh_fec!K31=0,0,11630*1000*SER_hh_fec!K31/SER_hh_num!K31)</f>
        <v>20213.521496479199</v>
      </c>
      <c r="L31" s="132">
        <f>IF(SER_hh_fec!L31=0,0,11630*1000*SER_hh_fec!L31/SER_hh_num!L31)</f>
        <v>20639.908630840437</v>
      </c>
      <c r="M31" s="132">
        <f>IF(SER_hh_fec!M31=0,0,11630*1000*SER_hh_fec!M31/SER_hh_num!M31)</f>
        <v>20818.159471924788</v>
      </c>
      <c r="N31" s="132">
        <f>IF(SER_hh_fec!N31=0,0,11630*1000*SER_hh_fec!N31/SER_hh_num!N31)</f>
        <v>21169.008717287848</v>
      </c>
      <c r="O31" s="132">
        <f>IF(SER_hh_fec!O31=0,0,11630*1000*SER_hh_fec!O31/SER_hh_num!O31)</f>
        <v>21301.650346562692</v>
      </c>
      <c r="P31" s="132">
        <f>IF(SER_hh_fec!P31=0,0,11630*1000*SER_hh_fec!P31/SER_hh_num!P31)</f>
        <v>21276.689789727701</v>
      </c>
      <c r="Q31" s="132">
        <f>IF(SER_hh_fec!Q31=0,0,11630*1000*SER_hh_fec!Q31/SER_hh_num!Q31)</f>
        <v>21398.812002470764</v>
      </c>
      <c r="R31" s="132">
        <f>IF(SER_hh_fec!R31=0,0,11630*1000*SER_hh_fec!R31/SER_hh_num!R31)</f>
        <v>21354.028615543266</v>
      </c>
      <c r="S31" s="132">
        <f>IF(SER_hh_fec!S31=0,0,11630*1000*SER_hh_fec!S31/SER_hh_num!S31)</f>
        <v>22009.63036284846</v>
      </c>
      <c r="T31" s="132">
        <f>IF(SER_hh_fec!T31=0,0,11630*1000*SER_hh_fec!T31/SER_hh_num!T31)</f>
        <v>22534.777959382947</v>
      </c>
      <c r="U31" s="132">
        <f>IF(SER_hh_fec!U31=0,0,11630*1000*SER_hh_fec!U31/SER_hh_num!U31)</f>
        <v>22123.719232369247</v>
      </c>
      <c r="V31" s="132">
        <f>IF(SER_hh_fec!V31=0,0,11630*1000*SER_hh_fec!V31/SER_hh_num!V31)</f>
        <v>19192.994802398571</v>
      </c>
      <c r="W31" s="132">
        <f>IF(SER_hh_fec!W31=0,0,11630*1000*SER_hh_fec!W31/SER_hh_num!W31)</f>
        <v>22020.844484130703</v>
      </c>
      <c r="X31" s="132">
        <f>IF(SER_hh_fec!X31=0,0,11630*1000*SER_hh_fec!X31/SER_hh_num!X31)</f>
        <v>21861.545815160011</v>
      </c>
      <c r="Y31" s="132">
        <f>IF(SER_hh_fec!Y31=0,0,11630*1000*SER_hh_fec!Y31/SER_hh_num!Y31)</f>
        <v>21589.342168273055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28612.189792127538</v>
      </c>
      <c r="K32" s="132">
        <f>IF(SER_hh_fec!K32=0,0,11630*1000*SER_hh_fec!K32/SER_hh_num!K32)</f>
        <v>22767.864065861395</v>
      </c>
      <c r="L32" s="132">
        <f>IF(SER_hh_fec!L32=0,0,11630*1000*SER_hh_fec!L32/SER_hh_num!L32)</f>
        <v>20939.790740214681</v>
      </c>
      <c r="M32" s="132">
        <f>IF(SER_hh_fec!M32=0,0,11630*1000*SER_hh_fec!M32/SER_hh_num!M32)</f>
        <v>20954.840172493085</v>
      </c>
      <c r="N32" s="132">
        <f>IF(SER_hh_fec!N32=0,0,11630*1000*SER_hh_fec!N32/SER_hh_num!N32)</f>
        <v>20436.895636002482</v>
      </c>
      <c r="O32" s="132">
        <f>IF(SER_hh_fec!O32=0,0,11630*1000*SER_hh_fec!O32/SER_hh_num!O32)</f>
        <v>20613.98002333855</v>
      </c>
      <c r="P32" s="132">
        <f>IF(SER_hh_fec!P32=0,0,11630*1000*SER_hh_fec!P32/SER_hh_num!P32)</f>
        <v>20247.432489334613</v>
      </c>
      <c r="Q32" s="132">
        <f>IF(SER_hh_fec!Q32=0,0,11630*1000*SER_hh_fec!Q32/SER_hh_num!Q32)</f>
        <v>17965.954197525403</v>
      </c>
      <c r="R32" s="132">
        <f>IF(SER_hh_fec!R32=0,0,11630*1000*SER_hh_fec!R32/SER_hh_num!R32)</f>
        <v>14387.718287849504</v>
      </c>
      <c r="S32" s="132">
        <f>IF(SER_hh_fec!S32=0,0,11630*1000*SER_hh_fec!S32/SER_hh_num!S32)</f>
        <v>20578.894312902339</v>
      </c>
      <c r="T32" s="132">
        <f>IF(SER_hh_fec!T32=0,0,11630*1000*SER_hh_fec!T32/SER_hh_num!T32)</f>
        <v>24363.573689972782</v>
      </c>
      <c r="U32" s="132">
        <f>IF(SER_hh_fec!U32=0,0,11630*1000*SER_hh_fec!U32/SER_hh_num!U32)</f>
        <v>24512.657717711856</v>
      </c>
      <c r="V32" s="132">
        <f>IF(SER_hh_fec!V32=0,0,11630*1000*SER_hh_fec!V32/SER_hh_num!V32)</f>
        <v>20106.188614792027</v>
      </c>
      <c r="W32" s="132">
        <f>IF(SER_hh_fec!W32=0,0,11630*1000*SER_hh_fec!W32/SER_hh_num!W32)</f>
        <v>18989.134567280908</v>
      </c>
      <c r="X32" s="132">
        <f>IF(SER_hh_fec!X32=0,0,11630*1000*SER_hh_fec!X32/SER_hh_num!X32)</f>
        <v>27614.437743356586</v>
      </c>
      <c r="Y32" s="132">
        <f>IF(SER_hh_fec!Y32=0,0,11630*1000*SER_hh_fec!Y32/SER_hh_num!Y32)</f>
        <v>19805.139938802316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16209.306854552988</v>
      </c>
      <c r="C33" s="68">
        <f>IF(SER_hh_fec!C33=0,0,11630*1000*SER_hh_fec!C33/SER_hh_num!C33)</f>
        <v>15939.12857863028</v>
      </c>
      <c r="D33" s="68">
        <f>IF(SER_hh_fec!D33=0,0,11630*1000*SER_hh_fec!D33/SER_hh_num!D33)</f>
        <v>16048.157662597105</v>
      </c>
      <c r="E33" s="68">
        <f>IF(SER_hh_fec!E33=0,0,11630*1000*SER_hh_fec!E33/SER_hh_num!E33)</f>
        <v>15757.168820607016</v>
      </c>
      <c r="F33" s="68">
        <f>IF(SER_hh_fec!F33=0,0,11630*1000*SER_hh_fec!F33/SER_hh_num!F33)</f>
        <v>15548.97834448767</v>
      </c>
      <c r="G33" s="68">
        <f>IF(SER_hh_fec!G33=0,0,11630*1000*SER_hh_fec!G33/SER_hh_num!G33)</f>
        <v>15294.842362065108</v>
      </c>
      <c r="H33" s="68">
        <f>IF(SER_hh_fec!H33=0,0,11630*1000*SER_hh_fec!H33/SER_hh_num!H33)</f>
        <v>14984.807261236969</v>
      </c>
      <c r="I33" s="68">
        <f>IF(SER_hh_fec!I33=0,0,11630*1000*SER_hh_fec!I33/SER_hh_num!I33)</f>
        <v>14712.577778283045</v>
      </c>
      <c r="J33" s="68">
        <f>IF(SER_hh_fec!J33=0,0,11630*1000*SER_hh_fec!J33/SER_hh_num!J33)</f>
        <v>14707.061110278632</v>
      </c>
      <c r="K33" s="68">
        <f>IF(SER_hh_fec!K33=0,0,11630*1000*SER_hh_fec!K33/SER_hh_num!K33)</f>
        <v>15165.439865477832</v>
      </c>
      <c r="L33" s="68">
        <f>IF(SER_hh_fec!L33=0,0,11630*1000*SER_hh_fec!L33/SER_hh_num!L33)</f>
        <v>15731.003969679576</v>
      </c>
      <c r="M33" s="68">
        <f>IF(SER_hh_fec!M33=0,0,11630*1000*SER_hh_fec!M33/SER_hh_num!M33)</f>
        <v>15563.947468388356</v>
      </c>
      <c r="N33" s="68">
        <f>IF(SER_hh_fec!N33=0,0,11630*1000*SER_hh_fec!N33/SER_hh_num!N33)</f>
        <v>15672.087940727008</v>
      </c>
      <c r="O33" s="68">
        <f>IF(SER_hh_fec!O33=0,0,11630*1000*SER_hh_fec!O33/SER_hh_num!O33)</f>
        <v>15915.832436167533</v>
      </c>
      <c r="P33" s="68">
        <f>IF(SER_hh_fec!P33=0,0,11630*1000*SER_hh_fec!P33/SER_hh_num!P33)</f>
        <v>15878.975541080117</v>
      </c>
      <c r="Q33" s="68">
        <f>IF(SER_hh_fec!Q33=0,0,11630*1000*SER_hh_fec!Q33/SER_hh_num!Q33)</f>
        <v>15914.948518895584</v>
      </c>
      <c r="R33" s="68">
        <f>IF(SER_hh_fec!R33=0,0,11630*1000*SER_hh_fec!R33/SER_hh_num!R33)</f>
        <v>16009.937579604297</v>
      </c>
      <c r="S33" s="68">
        <f>IF(SER_hh_fec!S33=0,0,11630*1000*SER_hh_fec!S33/SER_hh_num!S33)</f>
        <v>16184.079590351896</v>
      </c>
      <c r="T33" s="68">
        <f>IF(SER_hh_fec!T33=0,0,11630*1000*SER_hh_fec!T33/SER_hh_num!T33)</f>
        <v>16511.883259244674</v>
      </c>
      <c r="U33" s="68">
        <f>IF(SER_hh_fec!U33=0,0,11630*1000*SER_hh_fec!U33/SER_hh_num!U33)</f>
        <v>16600.081024059575</v>
      </c>
      <c r="V33" s="68">
        <f>IF(SER_hh_fec!V33=0,0,11630*1000*SER_hh_fec!V33/SER_hh_num!V33)</f>
        <v>13713.895070875191</v>
      </c>
      <c r="W33" s="68">
        <f>IF(SER_hh_fec!W33=0,0,11630*1000*SER_hh_fec!W33/SER_hh_num!W33)</f>
        <v>15553.89667113707</v>
      </c>
      <c r="X33" s="68">
        <f>IF(SER_hh_fec!X33=0,0,11630*1000*SER_hh_fec!X33/SER_hh_num!X33)</f>
        <v>15442.69743900848</v>
      </c>
      <c r="Y33" s="68">
        <f>IF(SER_hh_fec!Y33=0,0,11630*1000*SER_hh_fec!Y33/SER_hh_num!Y33)</f>
        <v>15430.078515041363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53437.188076389873</v>
      </c>
      <c r="C3" s="125">
        <f>IF(SER_hh_tes!C3=0,0,11630*1000*SER_hh_tes!C3/SER_hh_num!C3)</f>
        <v>61600.534843183763</v>
      </c>
      <c r="D3" s="125">
        <f>IF(SER_hh_tes!D3=0,0,11630*1000*SER_hh_tes!D3/SER_hh_num!D3)</f>
        <v>58252.84529590798</v>
      </c>
      <c r="E3" s="125">
        <f>IF(SER_hh_tes!E3=0,0,11630*1000*SER_hh_tes!E3/SER_hh_num!E3)</f>
        <v>59515.364321635614</v>
      </c>
      <c r="F3" s="125">
        <f>IF(SER_hh_tes!F3=0,0,11630*1000*SER_hh_tes!F3/SER_hh_num!F3)</f>
        <v>51349.403362766483</v>
      </c>
      <c r="G3" s="125">
        <f>IF(SER_hh_tes!G3=0,0,11630*1000*SER_hh_tes!G3/SER_hh_num!G3)</f>
        <v>62180.982488608781</v>
      </c>
      <c r="H3" s="125">
        <f>IF(SER_hh_tes!H3=0,0,11630*1000*SER_hh_tes!H3/SER_hh_num!H3)</f>
        <v>69594.724398010279</v>
      </c>
      <c r="I3" s="125">
        <f>IF(SER_hh_tes!I3=0,0,11630*1000*SER_hh_tes!I3/SER_hh_num!I3)</f>
        <v>65248.986251283815</v>
      </c>
      <c r="J3" s="125">
        <f>IF(SER_hh_tes!J3=0,0,11630*1000*SER_hh_tes!J3/SER_hh_num!J3)</f>
        <v>65099.692450692703</v>
      </c>
      <c r="K3" s="125">
        <f>IF(SER_hh_tes!K3=0,0,11630*1000*SER_hh_tes!K3/SER_hh_num!K3)</f>
        <v>63492.696650527709</v>
      </c>
      <c r="L3" s="125">
        <f>IF(SER_hh_tes!L3=0,0,11630*1000*SER_hh_tes!L3/SER_hh_num!L3)</f>
        <v>69801.086920549104</v>
      </c>
      <c r="M3" s="125">
        <f>IF(SER_hh_tes!M3=0,0,11630*1000*SER_hh_tes!M3/SER_hh_num!M3)</f>
        <v>73304.575013114649</v>
      </c>
      <c r="N3" s="125">
        <f>IF(SER_hh_tes!N3=0,0,11630*1000*SER_hh_tes!N3/SER_hh_num!N3)</f>
        <v>75404.775620110464</v>
      </c>
      <c r="O3" s="125">
        <f>IF(SER_hh_tes!O3=0,0,11630*1000*SER_hh_tes!O3/SER_hh_num!O3)</f>
        <v>67302.687990509643</v>
      </c>
      <c r="P3" s="125">
        <f>IF(SER_hh_tes!P3=0,0,11630*1000*SER_hh_tes!P3/SER_hh_num!P3)</f>
        <v>62927.91166414789</v>
      </c>
      <c r="Q3" s="125">
        <f>IF(SER_hh_tes!Q3=0,0,11630*1000*SER_hh_tes!Q3/SER_hh_num!Q3)</f>
        <v>70444.423998192709</v>
      </c>
      <c r="R3" s="125">
        <f>IF(SER_hh_tes!R3=0,0,11630*1000*SER_hh_tes!R3/SER_hh_num!R3)</f>
        <v>76341.797078982592</v>
      </c>
      <c r="S3" s="125">
        <f>IF(SER_hh_tes!S3=0,0,11630*1000*SER_hh_tes!S3/SER_hh_num!S3)</f>
        <v>76195.324611226897</v>
      </c>
      <c r="T3" s="125">
        <f>IF(SER_hh_tes!T3=0,0,11630*1000*SER_hh_tes!T3/SER_hh_num!T3)</f>
        <v>78692.450947256133</v>
      </c>
      <c r="U3" s="125">
        <f>IF(SER_hh_tes!U3=0,0,11630*1000*SER_hh_tes!U3/SER_hh_num!U3)</f>
        <v>83155.4020111961</v>
      </c>
      <c r="V3" s="125">
        <f>IF(SER_hh_tes!V3=0,0,11630*1000*SER_hh_tes!V3/SER_hh_num!V3)</f>
        <v>71201.867907121516</v>
      </c>
      <c r="W3" s="125">
        <f>IF(SER_hh_tes!W3=0,0,11630*1000*SER_hh_tes!W3/SER_hh_num!W3)</f>
        <v>90479.904890124264</v>
      </c>
      <c r="X3" s="125">
        <f>IF(SER_hh_tes!X3=0,0,11630*1000*SER_hh_tes!X3/SER_hh_num!X3)</f>
        <v>94086.395873953574</v>
      </c>
      <c r="Y3" s="125">
        <f>IF(SER_hh_tes!Y3=0,0,11630*1000*SER_hh_tes!Y3/SER_hh_num!Y3)</f>
        <v>93875.893966858333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28912.476050985944</v>
      </c>
      <c r="C4" s="130">
        <f>IF(SER_hh_tes!C4=0,0,11630*1000*SER_hh_tes!C4/SER_hh_num!C4)</f>
        <v>36912.711119886328</v>
      </c>
      <c r="D4" s="130">
        <f>IF(SER_hh_tes!D4=0,0,11630*1000*SER_hh_tes!D4/SER_hh_num!D4)</f>
        <v>34687.269850249497</v>
      </c>
      <c r="E4" s="130">
        <f>IF(SER_hh_tes!E4=0,0,11630*1000*SER_hh_tes!E4/SER_hh_num!E4)</f>
        <v>35477.567045157681</v>
      </c>
      <c r="F4" s="130">
        <f>IF(SER_hh_tes!F4=0,0,11630*1000*SER_hh_tes!F4/SER_hh_num!F4)</f>
        <v>27831.450882700781</v>
      </c>
      <c r="G4" s="130">
        <f>IF(SER_hh_tes!G4=0,0,11630*1000*SER_hh_tes!G4/SER_hh_num!G4)</f>
        <v>38615.597680421051</v>
      </c>
      <c r="H4" s="130">
        <f>IF(SER_hh_tes!H4=0,0,11630*1000*SER_hh_tes!H4/SER_hh_num!H4)</f>
        <v>44987.499822069898</v>
      </c>
      <c r="I4" s="130">
        <f>IF(SER_hh_tes!I4=0,0,11630*1000*SER_hh_tes!I4/SER_hh_num!I4)</f>
        <v>35832.613117624285</v>
      </c>
      <c r="J4" s="130">
        <f>IF(SER_hh_tes!J4=0,0,11630*1000*SER_hh_tes!J4/SER_hh_num!J4)</f>
        <v>38611.276000793936</v>
      </c>
      <c r="K4" s="130">
        <f>IF(SER_hh_tes!K4=0,0,11630*1000*SER_hh_tes!K4/SER_hh_num!K4)</f>
        <v>36983.848989726066</v>
      </c>
      <c r="L4" s="130">
        <f>IF(SER_hh_tes!L4=0,0,11630*1000*SER_hh_tes!L4/SER_hh_num!L4)</f>
        <v>40522.16705064437</v>
      </c>
      <c r="M4" s="130">
        <f>IF(SER_hh_tes!M4=0,0,11630*1000*SER_hh_tes!M4/SER_hh_num!M4)</f>
        <v>45105.918278000056</v>
      </c>
      <c r="N4" s="130">
        <f>IF(SER_hh_tes!N4=0,0,11630*1000*SER_hh_tes!N4/SER_hh_num!N4)</f>
        <v>38991.598748987715</v>
      </c>
      <c r="O4" s="130">
        <f>IF(SER_hh_tes!O4=0,0,11630*1000*SER_hh_tes!O4/SER_hh_num!O4)</f>
        <v>38029.216111725669</v>
      </c>
      <c r="P4" s="130">
        <f>IF(SER_hh_tes!P4=0,0,11630*1000*SER_hh_tes!P4/SER_hh_num!P4)</f>
        <v>34392.538654008109</v>
      </c>
      <c r="Q4" s="130">
        <f>IF(SER_hh_tes!Q4=0,0,11630*1000*SER_hh_tes!Q4/SER_hh_num!Q4)</f>
        <v>38439.889355955587</v>
      </c>
      <c r="R4" s="130">
        <f>IF(SER_hh_tes!R4=0,0,11630*1000*SER_hh_tes!R4/SER_hh_num!R4)</f>
        <v>44630.520537576827</v>
      </c>
      <c r="S4" s="130">
        <f>IF(SER_hh_tes!S4=0,0,11630*1000*SER_hh_tes!S4/SER_hh_num!S4)</f>
        <v>43268.42088545618</v>
      </c>
      <c r="T4" s="130">
        <f>IF(SER_hh_tes!T4=0,0,11630*1000*SER_hh_tes!T4/SER_hh_num!T4)</f>
        <v>47530.143822719918</v>
      </c>
      <c r="U4" s="130">
        <f>IF(SER_hh_tes!U4=0,0,11630*1000*SER_hh_tes!U4/SER_hh_num!U4)</f>
        <v>50771.575894810638</v>
      </c>
      <c r="V4" s="130">
        <f>IF(SER_hh_tes!V4=0,0,11630*1000*SER_hh_tes!V4/SER_hh_num!V4)</f>
        <v>42434.543567112065</v>
      </c>
      <c r="W4" s="130">
        <f>IF(SER_hh_tes!W4=0,0,11630*1000*SER_hh_tes!W4/SER_hh_num!W4)</f>
        <v>56235.241066525785</v>
      </c>
      <c r="X4" s="130">
        <f>IF(SER_hh_tes!X4=0,0,11630*1000*SER_hh_tes!X4/SER_hh_num!X4)</f>
        <v>59615.510672772747</v>
      </c>
      <c r="Y4" s="130">
        <f>IF(SER_hh_tes!Y4=0,0,11630*1000*SER_hh_tes!Y4/SER_hh_num!Y4)</f>
        <v>56861.532902856765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29744.905626995878</v>
      </c>
      <c r="C5" s="132">
        <f>IF(SER_hh_tes!C5=0,0,11630*1000*SER_hh_tes!C5/SER_hh_num!C5)</f>
        <v>29642.240849852315</v>
      </c>
      <c r="D5" s="132">
        <f>IF(SER_hh_tes!D5=0,0,11630*1000*SER_hh_tes!D5/SER_hh_num!D5)</f>
        <v>36532.814924355771</v>
      </c>
      <c r="E5" s="132">
        <f>IF(SER_hh_tes!E5=0,0,11630*1000*SER_hh_tes!E5/SER_hh_num!E5)</f>
        <v>40243.978073492879</v>
      </c>
      <c r="F5" s="132">
        <f>IF(SER_hh_tes!F5=0,0,11630*1000*SER_hh_tes!F5/SER_hh_num!F5)</f>
        <v>28089.554817456883</v>
      </c>
      <c r="G5" s="132">
        <f>IF(SER_hh_tes!G5=0,0,11630*1000*SER_hh_tes!G5/SER_hh_num!G5)</f>
        <v>40161.752556705862</v>
      </c>
      <c r="H5" s="132">
        <f>IF(SER_hh_tes!H5=0,0,11630*1000*SER_hh_tes!H5/SER_hh_num!H5)</f>
        <v>46037.945091472102</v>
      </c>
      <c r="I5" s="132">
        <f>IF(SER_hh_tes!I5=0,0,11630*1000*SER_hh_tes!I5/SER_hh_num!I5)</f>
        <v>23096.515379070464</v>
      </c>
      <c r="J5" s="132">
        <f>IF(SER_hh_tes!J5=0,0,11630*1000*SER_hh_tes!J5/SER_hh_num!J5)</f>
        <v>44566.581244898065</v>
      </c>
      <c r="K5" s="132">
        <f>IF(SER_hh_tes!K5=0,0,11630*1000*SER_hh_tes!K5/SER_hh_num!K5)</f>
        <v>38453.479260661938</v>
      </c>
      <c r="L5" s="132">
        <f>IF(SER_hh_tes!L5=0,0,11630*1000*SER_hh_tes!L5/SER_hh_num!L5)</f>
        <v>37830.69447814946</v>
      </c>
      <c r="M5" s="132">
        <f>IF(SER_hh_tes!M5=0,0,11630*1000*SER_hh_tes!M5/SER_hh_num!M5)</f>
        <v>43082.018563226709</v>
      </c>
      <c r="N5" s="132">
        <f>IF(SER_hh_tes!N5=0,0,11630*1000*SER_hh_tes!N5/SER_hh_num!N5)</f>
        <v>33176.786170590545</v>
      </c>
      <c r="O5" s="132">
        <f>IF(SER_hh_tes!O5=0,0,11630*1000*SER_hh_tes!O5/SER_hh_num!O5)</f>
        <v>44811.196622098178</v>
      </c>
      <c r="P5" s="132">
        <f>IF(SER_hh_tes!P5=0,0,11630*1000*SER_hh_tes!P5/SER_hh_num!P5)</f>
        <v>20680.44748176312</v>
      </c>
      <c r="Q5" s="132">
        <f>IF(SER_hh_tes!Q5=0,0,11630*1000*SER_hh_tes!Q5/SER_hh_num!Q5)</f>
        <v>54408.078193154826</v>
      </c>
      <c r="R5" s="132">
        <f>IF(SER_hh_tes!R5=0,0,11630*1000*SER_hh_tes!R5/SER_hh_num!R5)</f>
        <v>60735.838747749272</v>
      </c>
      <c r="S5" s="132">
        <f>IF(SER_hh_tes!S5=0,0,11630*1000*SER_hh_tes!S5/SER_hh_num!S5)</f>
        <v>44063.53291071923</v>
      </c>
      <c r="T5" s="132">
        <f>IF(SER_hh_tes!T5=0,0,11630*1000*SER_hh_tes!T5/SER_hh_num!T5)</f>
        <v>33474.684345541667</v>
      </c>
      <c r="U5" s="132">
        <f>IF(SER_hh_tes!U5=0,0,11630*1000*SER_hh_tes!U5/SER_hh_num!U5)</f>
        <v>54732.344280675432</v>
      </c>
      <c r="V5" s="132">
        <f>IF(SER_hh_tes!V5=0,0,11630*1000*SER_hh_tes!V5/SER_hh_num!V5)</f>
        <v>51804.093616677827</v>
      </c>
      <c r="W5" s="132">
        <f>IF(SER_hh_tes!W5=0,0,11630*1000*SER_hh_tes!W5/SER_hh_num!W5)</f>
        <v>50751.814695625246</v>
      </c>
      <c r="X5" s="132">
        <f>IF(SER_hh_tes!X5=0,0,11630*1000*SER_hh_tes!X5/SER_hh_num!X5)</f>
        <v>46820.757960596122</v>
      </c>
      <c r="Y5" s="132">
        <f>IF(SER_hh_tes!Y5=0,0,11630*1000*SER_hh_tes!Y5/SER_hh_num!Y5)</f>
        <v>61200.755464440248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22828.329185524315</v>
      </c>
      <c r="C7" s="132">
        <f>IF(SER_hh_tes!C7=0,0,11630*1000*SER_hh_tes!C7/SER_hh_num!C7)</f>
        <v>46496.286243439143</v>
      </c>
      <c r="D7" s="132">
        <f>IF(SER_hh_tes!D7=0,0,11630*1000*SER_hh_tes!D7/SER_hh_num!D7)</f>
        <v>35645.359992137921</v>
      </c>
      <c r="E7" s="132">
        <f>IF(SER_hh_tes!E7=0,0,11630*1000*SER_hh_tes!E7/SER_hh_num!E7)</f>
        <v>28069.063802599485</v>
      </c>
      <c r="F7" s="132">
        <f>IF(SER_hh_tes!F7=0,0,11630*1000*SER_hh_tes!F7/SER_hh_num!F7)</f>
        <v>19935.120509352968</v>
      </c>
      <c r="G7" s="132">
        <f>IF(SER_hh_tes!G7=0,0,11630*1000*SER_hh_tes!G7/SER_hh_num!G7)</f>
        <v>21824.720103265667</v>
      </c>
      <c r="H7" s="132">
        <f>IF(SER_hh_tes!H7=0,0,11630*1000*SER_hh_tes!H7/SER_hh_num!H7)</f>
        <v>46408.744213905375</v>
      </c>
      <c r="I7" s="132">
        <f>IF(SER_hh_tes!I7=0,0,11630*1000*SER_hh_tes!I7/SER_hh_num!I7)</f>
        <v>32762.338873951812</v>
      </c>
      <c r="J7" s="132">
        <f>IF(SER_hh_tes!J7=0,0,11630*1000*SER_hh_tes!J7/SER_hh_num!J7)</f>
        <v>43665.088856983595</v>
      </c>
      <c r="K7" s="132">
        <f>IF(SER_hh_tes!K7=0,0,11630*1000*SER_hh_tes!K7/SER_hh_num!K7)</f>
        <v>50563.574395901407</v>
      </c>
      <c r="L7" s="132">
        <f>IF(SER_hh_tes!L7=0,0,11630*1000*SER_hh_tes!L7/SER_hh_num!L7)</f>
        <v>35566.237667802663</v>
      </c>
      <c r="M7" s="132">
        <f>IF(SER_hh_tes!M7=0,0,11630*1000*SER_hh_tes!M7/SER_hh_num!M7)</f>
        <v>33960.423623594528</v>
      </c>
      <c r="N7" s="132">
        <f>IF(SER_hh_tes!N7=0,0,11630*1000*SER_hh_tes!N7/SER_hh_num!N7)</f>
        <v>39441.194347376564</v>
      </c>
      <c r="O7" s="132">
        <f>IF(SER_hh_tes!O7=0,0,11630*1000*SER_hh_tes!O7/SER_hh_num!O7)</f>
        <v>29488.946368794783</v>
      </c>
      <c r="P7" s="132">
        <f>IF(SER_hh_tes!P7=0,0,11630*1000*SER_hh_tes!P7/SER_hh_num!P7)</f>
        <v>18354.421087403683</v>
      </c>
      <c r="Q7" s="132">
        <f>IF(SER_hh_tes!Q7=0,0,11630*1000*SER_hh_tes!Q7/SER_hh_num!Q7)</f>
        <v>51392.337475416476</v>
      </c>
      <c r="R7" s="132">
        <f>IF(SER_hh_tes!R7=0,0,11630*1000*SER_hh_tes!R7/SER_hh_num!R7)</f>
        <v>49493.749439097235</v>
      </c>
      <c r="S7" s="132">
        <f>IF(SER_hh_tes!S7=0,0,11630*1000*SER_hh_tes!S7/SER_hh_num!S7)</f>
        <v>45403.001339585666</v>
      </c>
      <c r="T7" s="132">
        <f>IF(SER_hh_tes!T7=0,0,11630*1000*SER_hh_tes!T7/SER_hh_num!T7)</f>
        <v>34913.59370099831</v>
      </c>
      <c r="U7" s="132">
        <f>IF(SER_hh_tes!U7=0,0,11630*1000*SER_hh_tes!U7/SER_hh_num!U7)</f>
        <v>48848.752981340622</v>
      </c>
      <c r="V7" s="132">
        <f>IF(SER_hh_tes!V7=0,0,11630*1000*SER_hh_tes!V7/SER_hh_num!V7)</f>
        <v>45627.42615008547</v>
      </c>
      <c r="W7" s="132">
        <f>IF(SER_hh_tes!W7=0,0,11630*1000*SER_hh_tes!W7/SER_hh_num!W7)</f>
        <v>45969.091557711166</v>
      </c>
      <c r="X7" s="132">
        <f>IF(SER_hh_tes!X7=0,0,11630*1000*SER_hh_tes!X7/SER_hh_num!X7)</f>
        <v>52523.541105801072</v>
      </c>
      <c r="Y7" s="132">
        <f>IF(SER_hh_tes!Y7=0,0,11630*1000*SER_hh_tes!Y7/SER_hh_num!Y7)</f>
        <v>64161.358886993898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0</v>
      </c>
      <c r="C8" s="132">
        <f>IF(SER_hh_tes!C8=0,0,11630*1000*SER_hh_tes!C8/SER_hh_num!C8)</f>
        <v>0</v>
      </c>
      <c r="D8" s="132">
        <f>IF(SER_hh_tes!D8=0,0,11630*1000*SER_hh_tes!D8/SER_hh_num!D8)</f>
        <v>0</v>
      </c>
      <c r="E8" s="132">
        <f>IF(SER_hh_tes!E8=0,0,11630*1000*SER_hh_tes!E8/SER_hh_num!E8)</f>
        <v>0</v>
      </c>
      <c r="F8" s="132">
        <f>IF(SER_hh_tes!F8=0,0,11630*1000*SER_hh_tes!F8/SER_hh_num!F8)</f>
        <v>0</v>
      </c>
      <c r="G8" s="132">
        <f>IF(SER_hh_tes!G8=0,0,11630*1000*SER_hh_tes!G8/SER_hh_num!G8)</f>
        <v>0</v>
      </c>
      <c r="H8" s="132">
        <f>IF(SER_hh_tes!H8=0,0,11630*1000*SER_hh_tes!H8/SER_hh_num!H8)</f>
        <v>0</v>
      </c>
      <c r="I8" s="132">
        <f>IF(SER_hh_tes!I8=0,0,11630*1000*SER_hh_tes!I8/SER_hh_num!I8)</f>
        <v>0</v>
      </c>
      <c r="J8" s="132">
        <f>IF(SER_hh_tes!J8=0,0,11630*1000*SER_hh_tes!J8/SER_hh_num!J8)</f>
        <v>0</v>
      </c>
      <c r="K8" s="132">
        <f>IF(SER_hh_tes!K8=0,0,11630*1000*SER_hh_tes!K8/SER_hh_num!K8)</f>
        <v>0</v>
      </c>
      <c r="L8" s="132">
        <f>IF(SER_hh_tes!L8=0,0,11630*1000*SER_hh_tes!L8/SER_hh_num!L8)</f>
        <v>0</v>
      </c>
      <c r="M8" s="132">
        <f>IF(SER_hh_tes!M8=0,0,11630*1000*SER_hh_tes!M8/SER_hh_num!M8)</f>
        <v>0</v>
      </c>
      <c r="N8" s="132">
        <f>IF(SER_hh_tes!N8=0,0,11630*1000*SER_hh_tes!N8/SER_hh_num!N8)</f>
        <v>0</v>
      </c>
      <c r="O8" s="132">
        <f>IF(SER_hh_tes!O8=0,0,11630*1000*SER_hh_tes!O8/SER_hh_num!O8)</f>
        <v>0</v>
      </c>
      <c r="P8" s="132">
        <f>IF(SER_hh_tes!P8=0,0,11630*1000*SER_hh_tes!P8/SER_hh_num!P8)</f>
        <v>0</v>
      </c>
      <c r="Q8" s="132">
        <f>IF(SER_hh_tes!Q8=0,0,11630*1000*SER_hh_tes!Q8/SER_hh_num!Q8)</f>
        <v>0</v>
      </c>
      <c r="R8" s="132">
        <f>IF(SER_hh_tes!R8=0,0,11630*1000*SER_hh_tes!R8/SER_hh_num!R8)</f>
        <v>0</v>
      </c>
      <c r="S8" s="132">
        <f>IF(SER_hh_tes!S8=0,0,11630*1000*SER_hh_tes!S8/SER_hh_num!S8)</f>
        <v>0</v>
      </c>
      <c r="T8" s="132">
        <f>IF(SER_hh_tes!T8=0,0,11630*1000*SER_hh_tes!T8/SER_hh_num!T8)</f>
        <v>0</v>
      </c>
      <c r="U8" s="132">
        <f>IF(SER_hh_tes!U8=0,0,11630*1000*SER_hh_tes!U8/SER_hh_num!U8)</f>
        <v>0</v>
      </c>
      <c r="V8" s="132">
        <f>IF(SER_hh_tes!V8=0,0,11630*1000*SER_hh_tes!V8/SER_hh_num!V8)</f>
        <v>0</v>
      </c>
      <c r="W8" s="132">
        <f>IF(SER_hh_tes!W8=0,0,11630*1000*SER_hh_tes!W8/SER_hh_num!W8)</f>
        <v>0</v>
      </c>
      <c r="X8" s="132">
        <f>IF(SER_hh_tes!X8=0,0,11630*1000*SER_hh_tes!X8/SER_hh_num!X8)</f>
        <v>0</v>
      </c>
      <c r="Y8" s="132">
        <f>IF(SER_hh_tes!Y8=0,0,11630*1000*SER_hh_tes!Y8/SER_hh_num!Y8)</f>
        <v>0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25863.226588915219</v>
      </c>
      <c r="C9" s="132">
        <f>IF(SER_hh_tes!C9=0,0,11630*1000*SER_hh_tes!C9/SER_hh_num!C9)</f>
        <v>36714.98047895926</v>
      </c>
      <c r="D9" s="132">
        <f>IF(SER_hh_tes!D9=0,0,11630*1000*SER_hh_tes!D9/SER_hh_num!D9)</f>
        <v>31010.239826611247</v>
      </c>
      <c r="E9" s="132">
        <f>IF(SER_hh_tes!E9=0,0,11630*1000*SER_hh_tes!E9/SER_hh_num!E9)</f>
        <v>34827.636729892685</v>
      </c>
      <c r="F9" s="132">
        <f>IF(SER_hh_tes!F9=0,0,11630*1000*SER_hh_tes!F9/SER_hh_num!F9)</f>
        <v>27082.755670444112</v>
      </c>
      <c r="G9" s="132">
        <f>IF(SER_hh_tes!G9=0,0,11630*1000*SER_hh_tes!G9/SER_hh_num!G9)</f>
        <v>34581.612985933658</v>
      </c>
      <c r="H9" s="132">
        <f>IF(SER_hh_tes!H9=0,0,11630*1000*SER_hh_tes!H9/SER_hh_num!H9)</f>
        <v>43986.327693024126</v>
      </c>
      <c r="I9" s="132">
        <f>IF(SER_hh_tes!I9=0,0,11630*1000*SER_hh_tes!I9/SER_hh_num!I9)</f>
        <v>39746.305533342405</v>
      </c>
      <c r="J9" s="132">
        <f>IF(SER_hh_tes!J9=0,0,11630*1000*SER_hh_tes!J9/SER_hh_num!J9)</f>
        <v>47369.294130671391</v>
      </c>
      <c r="K9" s="132">
        <f>IF(SER_hh_tes!K9=0,0,11630*1000*SER_hh_tes!K9/SER_hh_num!K9)</f>
        <v>30013.981998326766</v>
      </c>
      <c r="L9" s="132">
        <f>IF(SER_hh_tes!L9=0,0,11630*1000*SER_hh_tes!L9/SER_hh_num!L9)</f>
        <v>41618.843619299929</v>
      </c>
      <c r="M9" s="132">
        <f>IF(SER_hh_tes!M9=0,0,11630*1000*SER_hh_tes!M9/SER_hh_num!M9)</f>
        <v>43564.838605728561</v>
      </c>
      <c r="N9" s="132">
        <f>IF(SER_hh_tes!N9=0,0,11630*1000*SER_hh_tes!N9/SER_hh_num!N9)</f>
        <v>38804.718917747603</v>
      </c>
      <c r="O9" s="132">
        <f>IF(SER_hh_tes!O9=0,0,11630*1000*SER_hh_tes!O9/SER_hh_num!O9)</f>
        <v>33904.896026153947</v>
      </c>
      <c r="P9" s="132">
        <f>IF(SER_hh_tes!P9=0,0,11630*1000*SER_hh_tes!P9/SER_hh_num!P9)</f>
        <v>35123.327802839674</v>
      </c>
      <c r="Q9" s="132">
        <f>IF(SER_hh_tes!Q9=0,0,11630*1000*SER_hh_tes!Q9/SER_hh_num!Q9)</f>
        <v>39962.779320354282</v>
      </c>
      <c r="R9" s="132">
        <f>IF(SER_hh_tes!R9=0,0,11630*1000*SER_hh_tes!R9/SER_hh_num!R9)</f>
        <v>42845.652531550579</v>
      </c>
      <c r="S9" s="132">
        <f>IF(SER_hh_tes!S9=0,0,11630*1000*SER_hh_tes!S9/SER_hh_num!S9)</f>
        <v>43885.103644852781</v>
      </c>
      <c r="T9" s="132">
        <f>IF(SER_hh_tes!T9=0,0,11630*1000*SER_hh_tes!T9/SER_hh_num!T9)</f>
        <v>48391.464736854687</v>
      </c>
      <c r="U9" s="132">
        <f>IF(SER_hh_tes!U9=0,0,11630*1000*SER_hh_tes!U9/SER_hh_num!U9)</f>
        <v>42466.618675163183</v>
      </c>
      <c r="V9" s="132">
        <f>IF(SER_hh_tes!V9=0,0,11630*1000*SER_hh_tes!V9/SER_hh_num!V9)</f>
        <v>44332.48183813889</v>
      </c>
      <c r="W9" s="132">
        <f>IF(SER_hh_tes!W9=0,0,11630*1000*SER_hh_tes!W9/SER_hh_num!W9)</f>
        <v>58984.621996475187</v>
      </c>
      <c r="X9" s="132">
        <f>IF(SER_hh_tes!X9=0,0,11630*1000*SER_hh_tes!X9/SER_hh_num!X9)</f>
        <v>59939.432366683111</v>
      </c>
      <c r="Y9" s="132">
        <f>IF(SER_hh_tes!Y9=0,0,11630*1000*SER_hh_tes!Y9/SER_hh_num!Y9)</f>
        <v>53300.018942773517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31690.212191971321</v>
      </c>
      <c r="C10" s="132">
        <f>IF(SER_hh_tes!C10=0,0,11630*1000*SER_hh_tes!C10/SER_hh_num!C10)</f>
        <v>33279.388547091621</v>
      </c>
      <c r="D10" s="132">
        <f>IF(SER_hh_tes!D10=0,0,11630*1000*SER_hh_tes!D10/SER_hh_num!D10)</f>
        <v>28080.850753296039</v>
      </c>
      <c r="E10" s="132">
        <f>IF(SER_hh_tes!E10=0,0,11630*1000*SER_hh_tes!E10/SER_hh_num!E10)</f>
        <v>40652.345154526694</v>
      </c>
      <c r="F10" s="132">
        <f>IF(SER_hh_tes!F10=0,0,11630*1000*SER_hh_tes!F10/SER_hh_num!F10)</f>
        <v>26441.988695287324</v>
      </c>
      <c r="G10" s="132">
        <f>IF(SER_hh_tes!G10=0,0,11630*1000*SER_hh_tes!G10/SER_hh_num!G10)</f>
        <v>36916.976256791357</v>
      </c>
      <c r="H10" s="132">
        <f>IF(SER_hh_tes!H10=0,0,11630*1000*SER_hh_tes!H10/SER_hh_num!H10)</f>
        <v>46378.547115705871</v>
      </c>
      <c r="I10" s="132">
        <f>IF(SER_hh_tes!I10=0,0,11630*1000*SER_hh_tes!I10/SER_hh_num!I10)</f>
        <v>37647.800207570763</v>
      </c>
      <c r="J10" s="132">
        <f>IF(SER_hh_tes!J10=0,0,11630*1000*SER_hh_tes!J10/SER_hh_num!J10)</f>
        <v>44679.460995138666</v>
      </c>
      <c r="K10" s="132">
        <f>IF(SER_hh_tes!K10=0,0,11630*1000*SER_hh_tes!K10/SER_hh_num!K10)</f>
        <v>36123.256302879701</v>
      </c>
      <c r="L10" s="132">
        <f>IF(SER_hh_tes!L10=0,0,11630*1000*SER_hh_tes!L10/SER_hh_num!L10)</f>
        <v>18832.110517736575</v>
      </c>
      <c r="M10" s="132">
        <f>IF(SER_hh_tes!M10=0,0,11630*1000*SER_hh_tes!M10/SER_hh_num!M10)</f>
        <v>15280.531763710926</v>
      </c>
      <c r="N10" s="132">
        <f>IF(SER_hh_tes!N10=0,0,11630*1000*SER_hh_tes!N10/SER_hh_num!N10)</f>
        <v>87207.734729112257</v>
      </c>
      <c r="O10" s="132">
        <f>IF(SER_hh_tes!O10=0,0,11630*1000*SER_hh_tes!O10/SER_hh_num!O10)</f>
        <v>43893.17706389528</v>
      </c>
      <c r="P10" s="132">
        <f>IF(SER_hh_tes!P10=0,0,11630*1000*SER_hh_tes!P10/SER_hh_num!P10)</f>
        <v>5072.9336823340509</v>
      </c>
      <c r="Q10" s="132">
        <f>IF(SER_hh_tes!Q10=0,0,11630*1000*SER_hh_tes!Q10/SER_hh_num!Q10)</f>
        <v>21443.420926538711</v>
      </c>
      <c r="R10" s="132">
        <f>IF(SER_hh_tes!R10=0,0,11630*1000*SER_hh_tes!R10/SER_hh_num!R10)</f>
        <v>8448.909948217608</v>
      </c>
      <c r="S10" s="132">
        <f>IF(SER_hh_tes!S10=0,0,11630*1000*SER_hh_tes!S10/SER_hh_num!S10)</f>
        <v>47298.739866467491</v>
      </c>
      <c r="T10" s="132">
        <f>IF(SER_hh_tes!T10=0,0,11630*1000*SER_hh_tes!T10/SER_hh_num!T10)</f>
        <v>55617.122854636662</v>
      </c>
      <c r="U10" s="132">
        <f>IF(SER_hh_tes!U10=0,0,11630*1000*SER_hh_tes!U10/SER_hh_num!U10)</f>
        <v>54752.878207897942</v>
      </c>
      <c r="V10" s="132">
        <f>IF(SER_hh_tes!V10=0,0,11630*1000*SER_hh_tes!V10/SER_hh_num!V10)</f>
        <v>39006.196240850535</v>
      </c>
      <c r="W10" s="132">
        <f>IF(SER_hh_tes!W10=0,0,11630*1000*SER_hh_tes!W10/SER_hh_num!W10)</f>
        <v>55763.653211622652</v>
      </c>
      <c r="X10" s="132">
        <f>IF(SER_hh_tes!X10=0,0,11630*1000*SER_hh_tes!X10/SER_hh_num!X10)</f>
        <v>70973.597162576756</v>
      </c>
      <c r="Y10" s="132">
        <f>IF(SER_hh_tes!Y10=0,0,11630*1000*SER_hh_tes!Y10/SER_hh_num!Y10)</f>
        <v>47833.425447081834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0</v>
      </c>
      <c r="D11" s="132">
        <f>IF(SER_hh_tes!D11=0,0,11630*1000*SER_hh_tes!D11/SER_hh_num!D11)</f>
        <v>0</v>
      </c>
      <c r="E11" s="132">
        <f>IF(SER_hh_tes!E11=0,0,11630*1000*SER_hh_tes!E11/SER_hh_num!E11)</f>
        <v>0</v>
      </c>
      <c r="F11" s="132">
        <f>IF(SER_hh_tes!F11=0,0,11630*1000*SER_hh_tes!F11/SER_hh_num!F11)</f>
        <v>0</v>
      </c>
      <c r="G11" s="132">
        <f>IF(SER_hh_tes!G11=0,0,11630*1000*SER_hh_tes!G11/SER_hh_num!G11)</f>
        <v>56531.626940645605</v>
      </c>
      <c r="H11" s="132">
        <f>IF(SER_hh_tes!H11=0,0,11630*1000*SER_hh_tes!H11/SER_hh_num!H11)</f>
        <v>44740.740034182352</v>
      </c>
      <c r="I11" s="132">
        <f>IF(SER_hh_tes!I11=0,0,11630*1000*SER_hh_tes!I11/SER_hh_num!I11)</f>
        <v>38184.243686496411</v>
      </c>
      <c r="J11" s="132">
        <f>IF(SER_hh_tes!J11=0,0,11630*1000*SER_hh_tes!J11/SER_hh_num!J11)</f>
        <v>38233.074993379749</v>
      </c>
      <c r="K11" s="132">
        <f>IF(SER_hh_tes!K11=0,0,11630*1000*SER_hh_tes!K11/SER_hh_num!K11)</f>
        <v>38352.198429779208</v>
      </c>
      <c r="L11" s="132">
        <f>IF(SER_hh_tes!L11=0,0,11630*1000*SER_hh_tes!L11/SER_hh_num!L11)</f>
        <v>39868.865254851335</v>
      </c>
      <c r="M11" s="132">
        <f>IF(SER_hh_tes!M11=0,0,11630*1000*SER_hh_tes!M11/SER_hh_num!M11)</f>
        <v>40373.388787253629</v>
      </c>
      <c r="N11" s="132">
        <f>IF(SER_hh_tes!N11=0,0,11630*1000*SER_hh_tes!N11/SER_hh_num!N11)</f>
        <v>39471.70288087197</v>
      </c>
      <c r="O11" s="132">
        <f>IF(SER_hh_tes!O11=0,0,11630*1000*SER_hh_tes!O11/SER_hh_num!O11)</f>
        <v>37935.455847656085</v>
      </c>
      <c r="P11" s="132">
        <f>IF(SER_hh_tes!P11=0,0,11630*1000*SER_hh_tes!P11/SER_hh_num!P11)</f>
        <v>37806.40538139928</v>
      </c>
      <c r="Q11" s="132">
        <f>IF(SER_hh_tes!Q11=0,0,11630*1000*SER_hh_tes!Q11/SER_hh_num!Q11)</f>
        <v>38477.934398935264</v>
      </c>
      <c r="R11" s="132">
        <f>IF(SER_hh_tes!R11=0,0,11630*1000*SER_hh_tes!R11/SER_hh_num!R11)</f>
        <v>42306.179929616272</v>
      </c>
      <c r="S11" s="132">
        <f>IF(SER_hh_tes!S11=0,0,11630*1000*SER_hh_tes!S11/SER_hh_num!S11)</f>
        <v>44321.61635664192</v>
      </c>
      <c r="T11" s="132">
        <f>IF(SER_hh_tes!T11=0,0,11630*1000*SER_hh_tes!T11/SER_hh_num!T11)</f>
        <v>45817.656986054535</v>
      </c>
      <c r="U11" s="132">
        <f>IF(SER_hh_tes!U11=0,0,11630*1000*SER_hh_tes!U11/SER_hh_num!U11)</f>
        <v>47512.10151006432</v>
      </c>
      <c r="V11" s="132">
        <f>IF(SER_hh_tes!V11=0,0,11630*1000*SER_hh_tes!V11/SER_hh_num!V11)</f>
        <v>50301.559586844596</v>
      </c>
      <c r="W11" s="132">
        <f>IF(SER_hh_tes!W11=0,0,11630*1000*SER_hh_tes!W11/SER_hh_num!W11)</f>
        <v>52952.087783478077</v>
      </c>
      <c r="X11" s="132">
        <f>IF(SER_hh_tes!X11=0,0,11630*1000*SER_hh_tes!X11/SER_hh_num!X11)</f>
        <v>56039.974523236495</v>
      </c>
      <c r="Y11" s="132">
        <f>IF(SER_hh_tes!Y11=0,0,11630*1000*SER_hh_tes!Y11/SER_hh_num!Y11)</f>
        <v>57842.78683105763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30364.744874881842</v>
      </c>
      <c r="C12" s="132">
        <f>IF(SER_hh_tes!C12=0,0,11630*1000*SER_hh_tes!C12/SER_hh_num!C12)</f>
        <v>37866.601145531531</v>
      </c>
      <c r="D12" s="132">
        <f>IF(SER_hh_tes!D12=0,0,11630*1000*SER_hh_tes!D12/SER_hh_num!D12)</f>
        <v>33267.998848805633</v>
      </c>
      <c r="E12" s="132">
        <f>IF(SER_hh_tes!E12=0,0,11630*1000*SER_hh_tes!E12/SER_hh_num!E12)</f>
        <v>34124.612428634173</v>
      </c>
      <c r="F12" s="132">
        <f>IF(SER_hh_tes!F12=0,0,11630*1000*SER_hh_tes!F12/SER_hh_num!F12)</f>
        <v>28329.764931758567</v>
      </c>
      <c r="G12" s="132">
        <f>IF(SER_hh_tes!G12=0,0,11630*1000*SER_hh_tes!G12/SER_hh_num!G12)</f>
        <v>45226.999881790332</v>
      </c>
      <c r="H12" s="132">
        <f>IF(SER_hh_tes!H12=0,0,11630*1000*SER_hh_tes!H12/SER_hh_num!H12)</f>
        <v>45486.622872484382</v>
      </c>
      <c r="I12" s="132">
        <f>IF(SER_hh_tes!I12=0,0,11630*1000*SER_hh_tes!I12/SER_hh_num!I12)</f>
        <v>34565.860021015425</v>
      </c>
      <c r="J12" s="132">
        <f>IF(SER_hh_tes!J12=0,0,11630*1000*SER_hh_tes!J12/SER_hh_num!J12)</f>
        <v>32935.153170324666</v>
      </c>
      <c r="K12" s="132">
        <f>IF(SER_hh_tes!K12=0,0,11630*1000*SER_hh_tes!K12/SER_hh_num!K12)</f>
        <v>36291.79201652632</v>
      </c>
      <c r="L12" s="132">
        <f>IF(SER_hh_tes!L12=0,0,11630*1000*SER_hh_tes!L12/SER_hh_num!L12)</f>
        <v>37755.082017325978</v>
      </c>
      <c r="M12" s="132">
        <f>IF(SER_hh_tes!M12=0,0,11630*1000*SER_hh_tes!M12/SER_hh_num!M12)</f>
        <v>51290.648286857315</v>
      </c>
      <c r="N12" s="132">
        <f>IF(SER_hh_tes!N12=0,0,11630*1000*SER_hh_tes!N12/SER_hh_num!N12)</f>
        <v>35876.531970911419</v>
      </c>
      <c r="O12" s="132">
        <f>IF(SER_hh_tes!O12=0,0,11630*1000*SER_hh_tes!O12/SER_hh_num!O12)</f>
        <v>35218.285491834788</v>
      </c>
      <c r="P12" s="132">
        <f>IF(SER_hh_tes!P12=0,0,11630*1000*SER_hh_tes!P12/SER_hh_num!P12)</f>
        <v>35505.279269862214</v>
      </c>
      <c r="Q12" s="132">
        <f>IF(SER_hh_tes!Q12=0,0,11630*1000*SER_hh_tes!Q12/SER_hh_num!Q12)</f>
        <v>39969.102244945097</v>
      </c>
      <c r="R12" s="132">
        <f>IF(SER_hh_tes!R12=0,0,11630*1000*SER_hh_tes!R12/SER_hh_num!R12)</f>
        <v>54850.424529659613</v>
      </c>
      <c r="S12" s="132">
        <f>IF(SER_hh_tes!S12=0,0,11630*1000*SER_hh_tes!S12/SER_hh_num!S12)</f>
        <v>40678.979724742989</v>
      </c>
      <c r="T12" s="132">
        <f>IF(SER_hh_tes!T12=0,0,11630*1000*SER_hh_tes!T12/SER_hh_num!T12)</f>
        <v>53757.802381784255</v>
      </c>
      <c r="U12" s="132">
        <f>IF(SER_hh_tes!U12=0,0,11630*1000*SER_hh_tes!U12/SER_hh_num!U12)</f>
        <v>51332.502422573598</v>
      </c>
      <c r="V12" s="132">
        <f>IF(SER_hh_tes!V12=0,0,11630*1000*SER_hh_tes!V12/SER_hh_num!V12)</f>
        <v>39993.442205076281</v>
      </c>
      <c r="W12" s="132">
        <f>IF(SER_hh_tes!W12=0,0,11630*1000*SER_hh_tes!W12/SER_hh_num!W12)</f>
        <v>55460.438008395642</v>
      </c>
      <c r="X12" s="132">
        <f>IF(SER_hh_tes!X12=0,0,11630*1000*SER_hh_tes!X12/SER_hh_num!X12)</f>
        <v>51440.753563919046</v>
      </c>
      <c r="Y12" s="132">
        <f>IF(SER_hh_tes!Y12=0,0,11630*1000*SER_hh_tes!Y12/SER_hh_num!Y12)</f>
        <v>57743.053795622123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30227.396641522726</v>
      </c>
      <c r="C13" s="132">
        <f>IF(SER_hh_tes!C13=0,0,11630*1000*SER_hh_tes!C13/SER_hh_num!C13)</f>
        <v>25535.071754652628</v>
      </c>
      <c r="D13" s="132">
        <f>IF(SER_hh_tes!D13=0,0,11630*1000*SER_hh_tes!D13/SER_hh_num!D13)</f>
        <v>31456.835995819914</v>
      </c>
      <c r="E13" s="132">
        <f>IF(SER_hh_tes!E13=0,0,11630*1000*SER_hh_tes!E13/SER_hh_num!E13)</f>
        <v>35400.944399965651</v>
      </c>
      <c r="F13" s="132">
        <f>IF(SER_hh_tes!F13=0,0,11630*1000*SER_hh_tes!F13/SER_hh_num!F13)</f>
        <v>32656.596271694514</v>
      </c>
      <c r="G13" s="132">
        <f>IF(SER_hh_tes!G13=0,0,11630*1000*SER_hh_tes!G13/SER_hh_num!G13)</f>
        <v>36429.066028399073</v>
      </c>
      <c r="H13" s="132">
        <f>IF(SER_hh_tes!H13=0,0,11630*1000*SER_hh_tes!H13/SER_hh_num!H13)</f>
        <v>41946.542043655892</v>
      </c>
      <c r="I13" s="132">
        <f>IF(SER_hh_tes!I13=0,0,11630*1000*SER_hh_tes!I13/SER_hh_num!I13)</f>
        <v>38227.503926813188</v>
      </c>
      <c r="J13" s="132">
        <f>IF(SER_hh_tes!J13=0,0,11630*1000*SER_hh_tes!J13/SER_hh_num!J13)</f>
        <v>35743.259082623219</v>
      </c>
      <c r="K13" s="132">
        <f>IF(SER_hh_tes!K13=0,0,11630*1000*SER_hh_tes!K13/SER_hh_num!K13)</f>
        <v>38643.297210276745</v>
      </c>
      <c r="L13" s="132">
        <f>IF(SER_hh_tes!L13=0,0,11630*1000*SER_hh_tes!L13/SER_hh_num!L13)</f>
        <v>41838.488698061337</v>
      </c>
      <c r="M13" s="132">
        <f>IF(SER_hh_tes!M13=0,0,11630*1000*SER_hh_tes!M13/SER_hh_num!M13)</f>
        <v>39979.749417829262</v>
      </c>
      <c r="N13" s="132">
        <f>IF(SER_hh_tes!N13=0,0,11630*1000*SER_hh_tes!N13/SER_hh_num!N13)</f>
        <v>36705.288232384119</v>
      </c>
      <c r="O13" s="132">
        <f>IF(SER_hh_tes!O13=0,0,11630*1000*SER_hh_tes!O13/SER_hh_num!O13)</f>
        <v>40836.863968909063</v>
      </c>
      <c r="P13" s="132">
        <f>IF(SER_hh_tes!P13=0,0,11630*1000*SER_hh_tes!P13/SER_hh_num!P13)</f>
        <v>36417.208963661149</v>
      </c>
      <c r="Q13" s="132">
        <f>IF(SER_hh_tes!Q13=0,0,11630*1000*SER_hh_tes!Q13/SER_hh_num!Q13)</f>
        <v>39325.544069362157</v>
      </c>
      <c r="R13" s="132">
        <f>IF(SER_hh_tes!R13=0,0,11630*1000*SER_hh_tes!R13/SER_hh_num!R13)</f>
        <v>41072.350714899003</v>
      </c>
      <c r="S13" s="132">
        <f>IF(SER_hh_tes!S13=0,0,11630*1000*SER_hh_tes!S13/SER_hh_num!S13)</f>
        <v>42417.138412784836</v>
      </c>
      <c r="T13" s="132">
        <f>IF(SER_hh_tes!T13=0,0,11630*1000*SER_hh_tes!T13/SER_hh_num!T13)</f>
        <v>42528.546896060558</v>
      </c>
      <c r="U13" s="132">
        <f>IF(SER_hh_tes!U13=0,0,11630*1000*SER_hh_tes!U13/SER_hh_num!U13)</f>
        <v>45482.025172533358</v>
      </c>
      <c r="V13" s="132">
        <f>IF(SER_hh_tes!V13=0,0,11630*1000*SER_hh_tes!V13/SER_hh_num!V13)</f>
        <v>46690.950116056403</v>
      </c>
      <c r="W13" s="132">
        <f>IF(SER_hh_tes!W13=0,0,11630*1000*SER_hh_tes!W13/SER_hh_num!W13)</f>
        <v>52762.901171001547</v>
      </c>
      <c r="X13" s="132">
        <f>IF(SER_hh_tes!X13=0,0,11630*1000*SER_hh_tes!X13/SER_hh_num!X13)</f>
        <v>58819.282434982088</v>
      </c>
      <c r="Y13" s="132">
        <f>IF(SER_hh_tes!Y13=0,0,11630*1000*SER_hh_tes!Y13/SER_hh_num!Y13)</f>
        <v>58881.869402146564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32181.233013714147</v>
      </c>
      <c r="C14" s="65">
        <f>IF(SER_hh_tes!C14=0,0,11630*1000*SER_hh_tes!C14/SER_hh_num!C14)</f>
        <v>28585.795550303421</v>
      </c>
      <c r="D14" s="65">
        <f>IF(SER_hh_tes!D14=0,0,11630*1000*SER_hh_tes!D14/SER_hh_num!D14)</f>
        <v>36925.84301654841</v>
      </c>
      <c r="E14" s="65">
        <f>IF(SER_hh_tes!E14=0,0,11630*1000*SER_hh_tes!E14/SER_hh_num!E14)</f>
        <v>39722.553936322511</v>
      </c>
      <c r="F14" s="65">
        <f>IF(SER_hh_tes!F14=0,0,11630*1000*SER_hh_tes!F14/SER_hh_num!F14)</f>
        <v>26333.229655322946</v>
      </c>
      <c r="G14" s="65">
        <f>IF(SER_hh_tes!G14=0,0,11630*1000*SER_hh_tes!G14/SER_hh_num!G14)</f>
        <v>30898.34766017312</v>
      </c>
      <c r="H14" s="65">
        <f>IF(SER_hh_tes!H14=0,0,11630*1000*SER_hh_tes!H14/SER_hh_num!H14)</f>
        <v>45869.014781005186</v>
      </c>
      <c r="I14" s="65">
        <f>IF(SER_hh_tes!I14=0,0,11630*1000*SER_hh_tes!I14/SER_hh_num!I14)</f>
        <v>33188.606503495874</v>
      </c>
      <c r="J14" s="65">
        <f>IF(SER_hh_tes!J14=0,0,11630*1000*SER_hh_tes!J14/SER_hh_num!J14)</f>
        <v>42280.872553522517</v>
      </c>
      <c r="K14" s="65">
        <f>IF(SER_hh_tes!K14=0,0,11630*1000*SER_hh_tes!K14/SER_hh_num!K14)</f>
        <v>33070.210441625553</v>
      </c>
      <c r="L14" s="65">
        <f>IF(SER_hh_tes!L14=0,0,11630*1000*SER_hh_tes!L14/SER_hh_num!L14)</f>
        <v>43532.558123487208</v>
      </c>
      <c r="M14" s="65">
        <f>IF(SER_hh_tes!M14=0,0,11630*1000*SER_hh_tes!M14/SER_hh_num!M14)</f>
        <v>52078.604212264654</v>
      </c>
      <c r="N14" s="65">
        <f>IF(SER_hh_tes!N14=0,0,11630*1000*SER_hh_tes!N14/SER_hh_num!N14)</f>
        <v>37816.320226683238</v>
      </c>
      <c r="O14" s="65">
        <f>IF(SER_hh_tes!O14=0,0,11630*1000*SER_hh_tes!O14/SER_hh_num!O14)</f>
        <v>35783.195931643866</v>
      </c>
      <c r="P14" s="65">
        <f>IF(SER_hh_tes!P14=0,0,11630*1000*SER_hh_tes!P14/SER_hh_num!P14)</f>
        <v>34028.99002760346</v>
      </c>
      <c r="Q14" s="65">
        <f>IF(SER_hh_tes!Q14=0,0,11630*1000*SER_hh_tes!Q14/SER_hh_num!Q14)</f>
        <v>29898.421510542888</v>
      </c>
      <c r="R14" s="65">
        <f>IF(SER_hh_tes!R14=0,0,11630*1000*SER_hh_tes!R14/SER_hh_num!R14)</f>
        <v>50934.965879896299</v>
      </c>
      <c r="S14" s="65">
        <f>IF(SER_hh_tes!S14=0,0,11630*1000*SER_hh_tes!S14/SER_hh_num!S14)</f>
        <v>44904.232566968312</v>
      </c>
      <c r="T14" s="65">
        <f>IF(SER_hh_tes!T14=0,0,11630*1000*SER_hh_tes!T14/SER_hh_num!T14)</f>
        <v>53913.669131602321</v>
      </c>
      <c r="U14" s="65">
        <f>IF(SER_hh_tes!U14=0,0,11630*1000*SER_hh_tes!U14/SER_hh_num!U14)</f>
        <v>74823.115511362863</v>
      </c>
      <c r="V14" s="65">
        <f>IF(SER_hh_tes!V14=0,0,11630*1000*SER_hh_tes!V14/SER_hh_num!V14)</f>
        <v>23634.054758064176</v>
      </c>
      <c r="W14" s="65">
        <f>IF(SER_hh_tes!W14=0,0,11630*1000*SER_hh_tes!W14/SER_hh_num!W14)</f>
        <v>70784.146339294661</v>
      </c>
      <c r="X14" s="65">
        <f>IF(SER_hh_tes!X14=0,0,11630*1000*SER_hh_tes!X14/SER_hh_num!X14)</f>
        <v>65271.79211385105</v>
      </c>
      <c r="Y14" s="65">
        <f>IF(SER_hh_tes!Y14=0,0,11630*1000*SER_hh_tes!Y14/SER_hh_num!Y14)</f>
        <v>52157.595924749767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301.05198187614252</v>
      </c>
      <c r="C15" s="134">
        <f>IF(SER_hh_tes!C15=0,0,11630*1000*SER_hh_tes!C15/SER_hh_num!C15)</f>
        <v>495.95171373565404</v>
      </c>
      <c r="D15" s="134">
        <f>IF(SER_hh_tes!D15=0,0,11630*1000*SER_hh_tes!D15/SER_hh_num!D15)</f>
        <v>358.1016113862234</v>
      </c>
      <c r="E15" s="134">
        <f>IF(SER_hh_tes!E15=0,0,11630*1000*SER_hh_tes!E15/SER_hh_num!E15)</f>
        <v>289.65862783075852</v>
      </c>
      <c r="F15" s="134">
        <f>IF(SER_hh_tes!F15=0,0,11630*1000*SER_hh_tes!F15/SER_hh_num!F15)</f>
        <v>209.38425458000401</v>
      </c>
      <c r="G15" s="134">
        <f>IF(SER_hh_tes!G15=0,0,11630*1000*SER_hh_tes!G15/SER_hh_num!G15)</f>
        <v>291.06930342518802</v>
      </c>
      <c r="H15" s="134">
        <f>IF(SER_hh_tes!H15=0,0,11630*1000*SER_hh_tes!H15/SER_hh_num!H15)</f>
        <v>374.84828223803339</v>
      </c>
      <c r="I15" s="134">
        <f>IF(SER_hh_tes!I15=0,0,11630*1000*SER_hh_tes!I15/SER_hh_num!I15)</f>
        <v>298.65922857925193</v>
      </c>
      <c r="J15" s="134">
        <f>IF(SER_hh_tes!J15=0,0,11630*1000*SER_hh_tes!J15/SER_hh_num!J15)</f>
        <v>353.45446257641424</v>
      </c>
      <c r="K15" s="134">
        <f>IF(SER_hh_tes!K15=0,0,11630*1000*SER_hh_tes!K15/SER_hh_num!K15)</f>
        <v>323.20231470295386</v>
      </c>
      <c r="L15" s="134">
        <f>IF(SER_hh_tes!L15=0,0,11630*1000*SER_hh_tes!L15/SER_hh_num!L15)</f>
        <v>312.43040108777308</v>
      </c>
      <c r="M15" s="134">
        <f>IF(SER_hh_tes!M15=0,0,11630*1000*SER_hh_tes!M15/SER_hh_num!M15)</f>
        <v>325.74136979806502</v>
      </c>
      <c r="N15" s="134">
        <f>IF(SER_hh_tes!N15=0,0,11630*1000*SER_hh_tes!N15/SER_hh_num!N15)</f>
        <v>319.31764966366819</v>
      </c>
      <c r="O15" s="134">
        <f>IF(SER_hh_tes!O15=0,0,11630*1000*SER_hh_tes!O15/SER_hh_num!O15)</f>
        <v>270.48685781312423</v>
      </c>
      <c r="P15" s="134">
        <f>IF(SER_hh_tes!P15=0,0,11630*1000*SER_hh_tes!P15/SER_hh_num!P15)</f>
        <v>243.39186922036995</v>
      </c>
      <c r="Q15" s="134">
        <f>IF(SER_hh_tes!Q15=0,0,11630*1000*SER_hh_tes!Q15/SER_hh_num!Q15)</f>
        <v>334.63091384139614</v>
      </c>
      <c r="R15" s="134">
        <f>IF(SER_hh_tes!R15=0,0,11630*1000*SER_hh_tes!R15/SER_hh_num!R15)</f>
        <v>360.53855152957385</v>
      </c>
      <c r="S15" s="134">
        <f>IF(SER_hh_tes!S15=0,0,11630*1000*SER_hh_tes!S15/SER_hh_num!S15)</f>
        <v>362.24783740661542</v>
      </c>
      <c r="T15" s="134">
        <f>IF(SER_hh_tes!T15=0,0,11630*1000*SER_hh_tes!T15/SER_hh_num!T15)</f>
        <v>393.88103077999966</v>
      </c>
      <c r="U15" s="134">
        <f>IF(SER_hh_tes!U15=0,0,11630*1000*SER_hh_tes!U15/SER_hh_num!U15)</f>
        <v>389.82540319072677</v>
      </c>
      <c r="V15" s="134">
        <f>IF(SER_hh_tes!V15=0,0,11630*1000*SER_hh_tes!V15/SER_hh_num!V15)</f>
        <v>350.49332612541531</v>
      </c>
      <c r="W15" s="134">
        <f>IF(SER_hh_tes!W15=0,0,11630*1000*SER_hh_tes!W15/SER_hh_num!W15)</f>
        <v>456.28639151244215</v>
      </c>
      <c r="X15" s="134">
        <f>IF(SER_hh_tes!X15=0,0,11630*1000*SER_hh_tes!X15/SER_hh_num!X15)</f>
        <v>479.29149656985817</v>
      </c>
      <c r="Y15" s="134">
        <f>IF(SER_hh_tes!Y15=0,0,11630*1000*SER_hh_tes!Y15/SER_hh_num!Y15)</f>
        <v>451.11342036612604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29286.996423850422</v>
      </c>
      <c r="C16" s="130">
        <f>IF(SER_hh_tes!C16=0,0,11630*1000*SER_hh_tes!C16/SER_hh_num!C16)</f>
        <v>27043.772441837504</v>
      </c>
      <c r="D16" s="130">
        <f>IF(SER_hh_tes!D16=0,0,11630*1000*SER_hh_tes!D16/SER_hh_num!D16)</f>
        <v>20049.102798666248</v>
      </c>
      <c r="E16" s="130">
        <f>IF(SER_hh_tes!E16=0,0,11630*1000*SER_hh_tes!E16/SER_hh_num!E16)</f>
        <v>22264.244218915799</v>
      </c>
      <c r="F16" s="130">
        <f>IF(SER_hh_tes!F16=0,0,11630*1000*SER_hh_tes!F16/SER_hh_num!F16)</f>
        <v>17520.04361768044</v>
      </c>
      <c r="G16" s="130">
        <f>IF(SER_hh_tes!G16=0,0,11630*1000*SER_hh_tes!G16/SER_hh_num!G16)</f>
        <v>17742.552042606643</v>
      </c>
      <c r="H16" s="130">
        <f>IF(SER_hh_tes!H16=0,0,11630*1000*SER_hh_tes!H16/SER_hh_num!H16)</f>
        <v>20569.338892484844</v>
      </c>
      <c r="I16" s="130">
        <f>IF(SER_hh_tes!I16=0,0,11630*1000*SER_hh_tes!I16/SER_hh_num!I16)</f>
        <v>36948.777011373517</v>
      </c>
      <c r="J16" s="130">
        <f>IF(SER_hh_tes!J16=0,0,11630*1000*SER_hh_tes!J16/SER_hh_num!J16)</f>
        <v>23548.529269189996</v>
      </c>
      <c r="K16" s="130">
        <f>IF(SER_hh_tes!K16=0,0,11630*1000*SER_hh_tes!K16/SER_hh_num!K16)</f>
        <v>20422.847604220948</v>
      </c>
      <c r="L16" s="130">
        <f>IF(SER_hh_tes!L16=0,0,11630*1000*SER_hh_tes!L16/SER_hh_num!L16)</f>
        <v>25576.975518354557</v>
      </c>
      <c r="M16" s="130">
        <f>IF(SER_hh_tes!M16=0,0,11630*1000*SER_hh_tes!M16/SER_hh_num!M16)</f>
        <v>21213.620260329008</v>
      </c>
      <c r="N16" s="130">
        <f>IF(SER_hh_tes!N16=0,0,11630*1000*SER_hh_tes!N16/SER_hh_num!N16)</f>
        <v>44412.267855608123</v>
      </c>
      <c r="O16" s="130">
        <f>IF(SER_hh_tes!O16=0,0,11630*1000*SER_hh_tes!O16/SER_hh_num!O16)</f>
        <v>21653.084649537963</v>
      </c>
      <c r="P16" s="130">
        <f>IF(SER_hh_tes!P16=0,0,11630*1000*SER_hh_tes!P16/SER_hh_num!P16)</f>
        <v>20080.352291401821</v>
      </c>
      <c r="Q16" s="130">
        <f>IF(SER_hh_tes!Q16=0,0,11630*1000*SER_hh_tes!Q16/SER_hh_num!Q16)</f>
        <v>28924.994636751686</v>
      </c>
      <c r="R16" s="130">
        <f>IF(SER_hh_tes!R16=0,0,11630*1000*SER_hh_tes!R16/SER_hh_num!R16)</f>
        <v>26859.076739321674</v>
      </c>
      <c r="S16" s="130">
        <f>IF(SER_hh_tes!S16=0,0,11630*1000*SER_hh_tes!S16/SER_hh_num!S16)</f>
        <v>28581.93071763944</v>
      </c>
      <c r="T16" s="130">
        <f>IF(SER_hh_tes!T16=0,0,11630*1000*SER_hh_tes!T16/SER_hh_num!T16)</f>
        <v>21513.902514489448</v>
      </c>
      <c r="U16" s="130">
        <f>IF(SER_hh_tes!U16=0,0,11630*1000*SER_hh_tes!U16/SER_hh_num!U16)</f>
        <v>23849.950911510216</v>
      </c>
      <c r="V16" s="130">
        <f>IF(SER_hh_tes!V16=0,0,11630*1000*SER_hh_tes!V16/SER_hh_num!V16)</f>
        <v>23360.339179923354</v>
      </c>
      <c r="W16" s="130">
        <f>IF(SER_hh_tes!W16=0,0,11630*1000*SER_hh_tes!W16/SER_hh_num!W16)</f>
        <v>32849.795533400065</v>
      </c>
      <c r="X16" s="130">
        <f>IF(SER_hh_tes!X16=0,0,11630*1000*SER_hh_tes!X16/SER_hh_num!X16)</f>
        <v>30502.537338423816</v>
      </c>
      <c r="Y16" s="130">
        <f>IF(SER_hh_tes!Y16=0,0,11630*1000*SER_hh_tes!Y16/SER_hh_num!Y16)</f>
        <v>37582.916113766907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0</v>
      </c>
      <c r="C17" s="132">
        <f>IF(SER_hh_tes!C17=0,0,11630*1000*SER_hh_tes!C17/SER_hh_num!C17)</f>
        <v>0</v>
      </c>
      <c r="D17" s="132">
        <f>IF(SER_hh_tes!D17=0,0,11630*1000*SER_hh_tes!D17/SER_hh_num!D17)</f>
        <v>0</v>
      </c>
      <c r="E17" s="132">
        <f>IF(SER_hh_tes!E17=0,0,11630*1000*SER_hh_tes!E17/SER_hh_num!E17)</f>
        <v>0</v>
      </c>
      <c r="F17" s="132">
        <f>IF(SER_hh_tes!F17=0,0,11630*1000*SER_hh_tes!F17/SER_hh_num!F17)</f>
        <v>0</v>
      </c>
      <c r="G17" s="132">
        <f>IF(SER_hh_tes!G17=0,0,11630*1000*SER_hh_tes!G17/SER_hh_num!G17)</f>
        <v>0</v>
      </c>
      <c r="H17" s="132">
        <f>IF(SER_hh_tes!H17=0,0,11630*1000*SER_hh_tes!H17/SER_hh_num!H17)</f>
        <v>0</v>
      </c>
      <c r="I17" s="132">
        <f>IF(SER_hh_tes!I17=0,0,11630*1000*SER_hh_tes!I17/SER_hh_num!I17)</f>
        <v>0</v>
      </c>
      <c r="J17" s="132">
        <f>IF(SER_hh_tes!J17=0,0,11630*1000*SER_hh_tes!J17/SER_hh_num!J17)</f>
        <v>0</v>
      </c>
      <c r="K17" s="132">
        <f>IF(SER_hh_tes!K17=0,0,11630*1000*SER_hh_tes!K17/SER_hh_num!K17)</f>
        <v>0</v>
      </c>
      <c r="L17" s="132">
        <f>IF(SER_hh_tes!L17=0,0,11630*1000*SER_hh_tes!L17/SER_hh_num!L17)</f>
        <v>0</v>
      </c>
      <c r="M17" s="132">
        <f>IF(SER_hh_tes!M17=0,0,11630*1000*SER_hh_tes!M17/SER_hh_num!M17)</f>
        <v>0</v>
      </c>
      <c r="N17" s="132">
        <f>IF(SER_hh_tes!N17=0,0,11630*1000*SER_hh_tes!N17/SER_hh_num!N17)</f>
        <v>0</v>
      </c>
      <c r="O17" s="132">
        <f>IF(SER_hh_tes!O17=0,0,11630*1000*SER_hh_tes!O17/SER_hh_num!O17)</f>
        <v>0</v>
      </c>
      <c r="P17" s="132">
        <f>IF(SER_hh_tes!P17=0,0,11630*1000*SER_hh_tes!P17/SER_hh_num!P17)</f>
        <v>0</v>
      </c>
      <c r="Q17" s="132">
        <f>IF(SER_hh_tes!Q17=0,0,11630*1000*SER_hh_tes!Q17/SER_hh_num!Q17)</f>
        <v>0</v>
      </c>
      <c r="R17" s="132">
        <f>IF(SER_hh_tes!R17=0,0,11630*1000*SER_hh_tes!R17/SER_hh_num!R17)</f>
        <v>0</v>
      </c>
      <c r="S17" s="132">
        <f>IF(SER_hh_tes!S17=0,0,11630*1000*SER_hh_tes!S17/SER_hh_num!S17)</f>
        <v>0</v>
      </c>
      <c r="T17" s="132">
        <f>IF(SER_hh_tes!T17=0,0,11630*1000*SER_hh_tes!T17/SER_hh_num!T17)</f>
        <v>0</v>
      </c>
      <c r="U17" s="132">
        <f>IF(SER_hh_tes!U17=0,0,11630*1000*SER_hh_tes!U17/SER_hh_num!U17)</f>
        <v>0</v>
      </c>
      <c r="V17" s="132">
        <f>IF(SER_hh_tes!V17=0,0,11630*1000*SER_hh_tes!V17/SER_hh_num!V17)</f>
        <v>0</v>
      </c>
      <c r="W17" s="132">
        <f>IF(SER_hh_tes!W17=0,0,11630*1000*SER_hh_tes!W17/SER_hh_num!W17)</f>
        <v>0</v>
      </c>
      <c r="X17" s="132">
        <f>IF(SER_hh_tes!X17=0,0,11630*1000*SER_hh_tes!X17/SER_hh_num!X17)</f>
        <v>0</v>
      </c>
      <c r="Y17" s="132">
        <f>IF(SER_hh_tes!Y17=0,0,11630*1000*SER_hh_tes!Y17/SER_hh_num!Y17)</f>
        <v>0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29286.996423850422</v>
      </c>
      <c r="C18" s="132">
        <f>IF(SER_hh_tes!C18=0,0,11630*1000*SER_hh_tes!C18/SER_hh_num!C18)</f>
        <v>27043.772441837504</v>
      </c>
      <c r="D18" s="132">
        <f>IF(SER_hh_tes!D18=0,0,11630*1000*SER_hh_tes!D18/SER_hh_num!D18)</f>
        <v>20049.102798666248</v>
      </c>
      <c r="E18" s="132">
        <f>IF(SER_hh_tes!E18=0,0,11630*1000*SER_hh_tes!E18/SER_hh_num!E18)</f>
        <v>22264.244218915799</v>
      </c>
      <c r="F18" s="132">
        <f>IF(SER_hh_tes!F18=0,0,11630*1000*SER_hh_tes!F18/SER_hh_num!F18)</f>
        <v>17520.04361768044</v>
      </c>
      <c r="G18" s="132">
        <f>IF(SER_hh_tes!G18=0,0,11630*1000*SER_hh_tes!G18/SER_hh_num!G18)</f>
        <v>17742.552042606643</v>
      </c>
      <c r="H18" s="132">
        <f>IF(SER_hh_tes!H18=0,0,11630*1000*SER_hh_tes!H18/SER_hh_num!H18)</f>
        <v>20569.338892484844</v>
      </c>
      <c r="I18" s="132">
        <f>IF(SER_hh_tes!I18=0,0,11630*1000*SER_hh_tes!I18/SER_hh_num!I18)</f>
        <v>36948.777011373517</v>
      </c>
      <c r="J18" s="132">
        <f>IF(SER_hh_tes!J18=0,0,11630*1000*SER_hh_tes!J18/SER_hh_num!J18)</f>
        <v>23548.529269189996</v>
      </c>
      <c r="K18" s="132">
        <f>IF(SER_hh_tes!K18=0,0,11630*1000*SER_hh_tes!K18/SER_hh_num!K18)</f>
        <v>20422.847604220948</v>
      </c>
      <c r="L18" s="132">
        <f>IF(SER_hh_tes!L18=0,0,11630*1000*SER_hh_tes!L18/SER_hh_num!L18)</f>
        <v>25576.975518354557</v>
      </c>
      <c r="M18" s="132">
        <f>IF(SER_hh_tes!M18=0,0,11630*1000*SER_hh_tes!M18/SER_hh_num!M18)</f>
        <v>21213.620260329008</v>
      </c>
      <c r="N18" s="132">
        <f>IF(SER_hh_tes!N18=0,0,11630*1000*SER_hh_tes!N18/SER_hh_num!N18)</f>
        <v>44412.267855608123</v>
      </c>
      <c r="O18" s="132">
        <f>IF(SER_hh_tes!O18=0,0,11630*1000*SER_hh_tes!O18/SER_hh_num!O18)</f>
        <v>21653.084649537963</v>
      </c>
      <c r="P18" s="132">
        <f>IF(SER_hh_tes!P18=0,0,11630*1000*SER_hh_tes!P18/SER_hh_num!P18)</f>
        <v>20080.352291401821</v>
      </c>
      <c r="Q18" s="132">
        <f>IF(SER_hh_tes!Q18=0,0,11630*1000*SER_hh_tes!Q18/SER_hh_num!Q18)</f>
        <v>28924.994636751686</v>
      </c>
      <c r="R18" s="132">
        <f>IF(SER_hh_tes!R18=0,0,11630*1000*SER_hh_tes!R18/SER_hh_num!R18)</f>
        <v>26859.076739321674</v>
      </c>
      <c r="S18" s="132">
        <f>IF(SER_hh_tes!S18=0,0,11630*1000*SER_hh_tes!S18/SER_hh_num!S18)</f>
        <v>28581.93071763944</v>
      </c>
      <c r="T18" s="132">
        <f>IF(SER_hh_tes!T18=0,0,11630*1000*SER_hh_tes!T18/SER_hh_num!T18)</f>
        <v>21513.902514489448</v>
      </c>
      <c r="U18" s="132">
        <f>IF(SER_hh_tes!U18=0,0,11630*1000*SER_hh_tes!U18/SER_hh_num!U18)</f>
        <v>23849.950911510216</v>
      </c>
      <c r="V18" s="132">
        <f>IF(SER_hh_tes!V18=0,0,11630*1000*SER_hh_tes!V18/SER_hh_num!V18)</f>
        <v>23360.339179923354</v>
      </c>
      <c r="W18" s="132">
        <f>IF(SER_hh_tes!W18=0,0,11630*1000*SER_hh_tes!W18/SER_hh_num!W18)</f>
        <v>32849.795533400065</v>
      </c>
      <c r="X18" s="132">
        <f>IF(SER_hh_tes!X18=0,0,11630*1000*SER_hh_tes!X18/SER_hh_num!X18)</f>
        <v>30502.537338423816</v>
      </c>
      <c r="Y18" s="132">
        <f>IF(SER_hh_tes!Y18=0,0,11630*1000*SER_hh_tes!Y18/SER_hh_num!Y18)</f>
        <v>37582.916113766907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9324.2983516429977</v>
      </c>
      <c r="C19" s="130">
        <f>IF(SER_hh_tes!C19=0,0,11630*1000*SER_hh_tes!C19/SER_hh_num!C19)</f>
        <v>9240.7675019166218</v>
      </c>
      <c r="D19" s="130">
        <f>IF(SER_hh_tes!D19=0,0,11630*1000*SER_hh_tes!D19/SER_hh_num!D19)</f>
        <v>9174.1566564791556</v>
      </c>
      <c r="E19" s="130">
        <f>IF(SER_hh_tes!E19=0,0,11630*1000*SER_hh_tes!E19/SER_hh_num!E19)</f>
        <v>9040.2895667805442</v>
      </c>
      <c r="F19" s="130">
        <f>IF(SER_hh_tes!F19=0,0,11630*1000*SER_hh_tes!F19/SER_hh_num!F19)</f>
        <v>8835.8832788740947</v>
      </c>
      <c r="G19" s="130">
        <f>IF(SER_hh_tes!G19=0,0,11630*1000*SER_hh_tes!G19/SER_hh_num!G19)</f>
        <v>8860.7493899948386</v>
      </c>
      <c r="H19" s="130">
        <f>IF(SER_hh_tes!H19=0,0,11630*1000*SER_hh_tes!H19/SER_hh_num!H19)</f>
        <v>8994.9562291175698</v>
      </c>
      <c r="I19" s="130">
        <f>IF(SER_hh_tes!I19=0,0,11630*1000*SER_hh_tes!I19/SER_hh_num!I19)</f>
        <v>9031.9921352140373</v>
      </c>
      <c r="J19" s="130">
        <f>IF(SER_hh_tes!J19=0,0,11630*1000*SER_hh_tes!J19/SER_hh_num!J19)</f>
        <v>9052.7583032702987</v>
      </c>
      <c r="K19" s="130">
        <f>IF(SER_hh_tes!K19=0,0,11630*1000*SER_hh_tes!K19/SER_hh_num!K19)</f>
        <v>9367.0675934774936</v>
      </c>
      <c r="L19" s="130">
        <f>IF(SER_hh_tes!L19=0,0,11630*1000*SER_hh_tes!L19/SER_hh_num!L19)</f>
        <v>9922.0638141548552</v>
      </c>
      <c r="M19" s="130">
        <f>IF(SER_hh_tes!M19=0,0,11630*1000*SER_hh_tes!M19/SER_hh_num!M19)</f>
        <v>10025.136134181666</v>
      </c>
      <c r="N19" s="130">
        <f>IF(SER_hh_tes!N19=0,0,11630*1000*SER_hh_tes!N19/SER_hh_num!N19)</f>
        <v>10036.395326786151</v>
      </c>
      <c r="O19" s="130">
        <f>IF(SER_hh_tes!O19=0,0,11630*1000*SER_hh_tes!O19/SER_hh_num!O19)</f>
        <v>10235.44659501503</v>
      </c>
      <c r="P19" s="130">
        <f>IF(SER_hh_tes!P19=0,0,11630*1000*SER_hh_tes!P19/SER_hh_num!P19)</f>
        <v>10118.721851768474</v>
      </c>
      <c r="Q19" s="130">
        <f>IF(SER_hh_tes!Q19=0,0,11630*1000*SER_hh_tes!Q19/SER_hh_num!Q19)</f>
        <v>10369.406393163805</v>
      </c>
      <c r="R19" s="130">
        <f>IF(SER_hh_tes!R19=0,0,11630*1000*SER_hh_tes!R19/SER_hh_num!R19)</f>
        <v>10501.157110386874</v>
      </c>
      <c r="S19" s="130">
        <f>IF(SER_hh_tes!S19=0,0,11630*1000*SER_hh_tes!S19/SER_hh_num!S19)</f>
        <v>10737.899513080596</v>
      </c>
      <c r="T19" s="130">
        <f>IF(SER_hh_tes!T19=0,0,11630*1000*SER_hh_tes!T19/SER_hh_num!T19)</f>
        <v>10926.546240074298</v>
      </c>
      <c r="U19" s="130">
        <f>IF(SER_hh_tes!U19=0,0,11630*1000*SER_hh_tes!U19/SER_hh_num!U19)</f>
        <v>11150.764134187793</v>
      </c>
      <c r="V19" s="130">
        <f>IF(SER_hh_tes!V19=0,0,11630*1000*SER_hh_tes!V19/SER_hh_num!V19)</f>
        <v>9855.248297506856</v>
      </c>
      <c r="W19" s="130">
        <f>IF(SER_hh_tes!W19=0,0,11630*1000*SER_hh_tes!W19/SER_hh_num!W19)</f>
        <v>10723.603918690596</v>
      </c>
      <c r="X19" s="130">
        <f>IF(SER_hh_tes!X19=0,0,11630*1000*SER_hh_tes!X19/SER_hh_num!X19)</f>
        <v>11190.554086690188</v>
      </c>
      <c r="Y19" s="130">
        <f>IF(SER_hh_tes!Y19=0,0,11630*1000*SER_hh_tes!Y19/SER_hh_num!Y19)</f>
        <v>11463.658862979742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0</v>
      </c>
      <c r="C21" s="132">
        <f>IF(SER_hh_tes!C21=0,0,11630*1000*SER_hh_tes!C21/SER_hh_num!C21)</f>
        <v>0</v>
      </c>
      <c r="D21" s="132">
        <f>IF(SER_hh_tes!D21=0,0,11630*1000*SER_hh_tes!D21/SER_hh_num!D21)</f>
        <v>0</v>
      </c>
      <c r="E21" s="132">
        <f>IF(SER_hh_tes!E21=0,0,11630*1000*SER_hh_tes!E21/SER_hh_num!E21)</f>
        <v>0</v>
      </c>
      <c r="F21" s="132">
        <f>IF(SER_hh_tes!F21=0,0,11630*1000*SER_hh_tes!F21/SER_hh_num!F21)</f>
        <v>0</v>
      </c>
      <c r="G21" s="132">
        <f>IF(SER_hh_tes!G21=0,0,11630*1000*SER_hh_tes!G21/SER_hh_num!G21)</f>
        <v>0</v>
      </c>
      <c r="H21" s="132">
        <f>IF(SER_hh_tes!H21=0,0,11630*1000*SER_hh_tes!H21/SER_hh_num!H21)</f>
        <v>0</v>
      </c>
      <c r="I21" s="132">
        <f>IF(SER_hh_tes!I21=0,0,11630*1000*SER_hh_tes!I21/SER_hh_num!I21)</f>
        <v>0</v>
      </c>
      <c r="J21" s="132">
        <f>IF(SER_hh_tes!J21=0,0,11630*1000*SER_hh_tes!J21/SER_hh_num!J21)</f>
        <v>0</v>
      </c>
      <c r="K21" s="132">
        <f>IF(SER_hh_tes!K21=0,0,11630*1000*SER_hh_tes!K21/SER_hh_num!K21)</f>
        <v>0</v>
      </c>
      <c r="L21" s="132">
        <f>IF(SER_hh_tes!L21=0,0,11630*1000*SER_hh_tes!L21/SER_hh_num!L21)</f>
        <v>0</v>
      </c>
      <c r="M21" s="132">
        <f>IF(SER_hh_tes!M21=0,0,11630*1000*SER_hh_tes!M21/SER_hh_num!M21)</f>
        <v>0</v>
      </c>
      <c r="N21" s="132">
        <f>IF(SER_hh_tes!N21=0,0,11630*1000*SER_hh_tes!N21/SER_hh_num!N21)</f>
        <v>0</v>
      </c>
      <c r="O21" s="132">
        <f>IF(SER_hh_tes!O21=0,0,11630*1000*SER_hh_tes!O21/SER_hh_num!O21)</f>
        <v>0</v>
      </c>
      <c r="P21" s="132">
        <f>IF(SER_hh_tes!P21=0,0,11630*1000*SER_hh_tes!P21/SER_hh_num!P21)</f>
        <v>0</v>
      </c>
      <c r="Q21" s="132">
        <f>IF(SER_hh_tes!Q21=0,0,11630*1000*SER_hh_tes!Q21/SER_hh_num!Q21)</f>
        <v>0</v>
      </c>
      <c r="R21" s="132">
        <f>IF(SER_hh_tes!R21=0,0,11630*1000*SER_hh_tes!R21/SER_hh_num!R21)</f>
        <v>0</v>
      </c>
      <c r="S21" s="132">
        <f>IF(SER_hh_tes!S21=0,0,11630*1000*SER_hh_tes!S21/SER_hh_num!S21)</f>
        <v>0</v>
      </c>
      <c r="T21" s="132">
        <f>IF(SER_hh_tes!T21=0,0,11630*1000*SER_hh_tes!T21/SER_hh_num!T21)</f>
        <v>0</v>
      </c>
      <c r="U21" s="132">
        <f>IF(SER_hh_tes!U21=0,0,11630*1000*SER_hh_tes!U21/SER_hh_num!U21)</f>
        <v>0</v>
      </c>
      <c r="V21" s="132">
        <f>IF(SER_hh_tes!V21=0,0,11630*1000*SER_hh_tes!V21/SER_hh_num!V21)</f>
        <v>0</v>
      </c>
      <c r="W21" s="132">
        <f>IF(SER_hh_tes!W21=0,0,11630*1000*SER_hh_tes!W21/SER_hh_num!W21)</f>
        <v>0</v>
      </c>
      <c r="X21" s="132">
        <f>IF(SER_hh_tes!X21=0,0,11630*1000*SER_hh_tes!X21/SER_hh_num!X21)</f>
        <v>0</v>
      </c>
      <c r="Y21" s="132">
        <f>IF(SER_hh_tes!Y21=0,0,11630*1000*SER_hh_tes!Y21/SER_hh_num!Y21)</f>
        <v>0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8675.3283647018598</v>
      </c>
      <c r="C22" s="132">
        <f>IF(SER_hh_tes!C22=0,0,11630*1000*SER_hh_tes!C22/SER_hh_num!C22)</f>
        <v>9495.8408385138719</v>
      </c>
      <c r="D22" s="132">
        <f>IF(SER_hh_tes!D22=0,0,11630*1000*SER_hh_tes!D22/SER_hh_num!D22)</f>
        <v>9578.0366545996621</v>
      </c>
      <c r="E22" s="132">
        <f>IF(SER_hh_tes!E22=0,0,11630*1000*SER_hh_tes!E22/SER_hh_num!E22)</f>
        <v>9426.4604972163525</v>
      </c>
      <c r="F22" s="132">
        <f>IF(SER_hh_tes!F22=0,0,11630*1000*SER_hh_tes!F22/SER_hh_num!F22)</f>
        <v>8300.4539280728222</v>
      </c>
      <c r="G22" s="132">
        <f>IF(SER_hh_tes!G22=0,0,11630*1000*SER_hh_tes!G22/SER_hh_num!G22)</f>
        <v>8459.636822091883</v>
      </c>
      <c r="H22" s="132">
        <f>IF(SER_hh_tes!H22=0,0,11630*1000*SER_hh_tes!H22/SER_hh_num!H22)</f>
        <v>8787.8930780595001</v>
      </c>
      <c r="I22" s="132">
        <f>IF(SER_hh_tes!I22=0,0,11630*1000*SER_hh_tes!I22/SER_hh_num!I22)</f>
        <v>9068.0216320314121</v>
      </c>
      <c r="J22" s="132">
        <f>IF(SER_hh_tes!J22=0,0,11630*1000*SER_hh_tes!J22/SER_hh_num!J22)</f>
        <v>9297.6773402619619</v>
      </c>
      <c r="K22" s="132">
        <f>IF(SER_hh_tes!K22=0,0,11630*1000*SER_hh_tes!K22/SER_hh_num!K22)</f>
        <v>9427.8502389428631</v>
      </c>
      <c r="L22" s="132">
        <f>IF(SER_hh_tes!L22=0,0,11630*1000*SER_hh_tes!L22/SER_hh_num!L22)</f>
        <v>9585.9856644698975</v>
      </c>
      <c r="M22" s="132">
        <f>IF(SER_hh_tes!M22=0,0,11630*1000*SER_hh_tes!M22/SER_hh_num!M22)</f>
        <v>10369.318095611401</v>
      </c>
      <c r="N22" s="132">
        <f>IF(SER_hh_tes!N22=0,0,11630*1000*SER_hh_tes!N22/SER_hh_num!N22)</f>
        <v>10543.42504727644</v>
      </c>
      <c r="O22" s="132">
        <f>IF(SER_hh_tes!O22=0,0,11630*1000*SER_hh_tes!O22/SER_hh_num!O22)</f>
        <v>9304.4593428331573</v>
      </c>
      <c r="P22" s="132">
        <f>IF(SER_hh_tes!P22=0,0,11630*1000*SER_hh_tes!P22/SER_hh_num!P22)</f>
        <v>8773.4012545112346</v>
      </c>
      <c r="Q22" s="132">
        <f>IF(SER_hh_tes!Q22=0,0,11630*1000*SER_hh_tes!Q22/SER_hh_num!Q22)</f>
        <v>10374.994825932732</v>
      </c>
      <c r="R22" s="132">
        <f>IF(SER_hh_tes!R22=0,0,11630*1000*SER_hh_tes!R22/SER_hh_num!R22)</f>
        <v>10854.3469674182</v>
      </c>
      <c r="S22" s="132">
        <f>IF(SER_hh_tes!S22=0,0,11630*1000*SER_hh_tes!S22/SER_hh_num!S22)</f>
        <v>10747.046667504068</v>
      </c>
      <c r="T22" s="132">
        <f>IF(SER_hh_tes!T22=0,0,11630*1000*SER_hh_tes!T22/SER_hh_num!T22)</f>
        <v>7955.8073094185002</v>
      </c>
      <c r="U22" s="132">
        <f>IF(SER_hh_tes!U22=0,0,11630*1000*SER_hh_tes!U22/SER_hh_num!U22)</f>
        <v>10779.895552764319</v>
      </c>
      <c r="V22" s="132">
        <f>IF(SER_hh_tes!V22=0,0,11630*1000*SER_hh_tes!V22/SER_hh_num!V22)</f>
        <v>9459.0127636066409</v>
      </c>
      <c r="W22" s="132">
        <f>IF(SER_hh_tes!W22=0,0,11630*1000*SER_hh_tes!W22/SER_hh_num!W22)</f>
        <v>8642.1339651795079</v>
      </c>
      <c r="X22" s="132">
        <f>IF(SER_hh_tes!X22=0,0,11630*1000*SER_hh_tes!X22/SER_hh_num!X22)</f>
        <v>9760.3623420069507</v>
      </c>
      <c r="Y22" s="132">
        <f>IF(SER_hh_tes!Y22=0,0,11630*1000*SER_hh_tes!Y22/SER_hh_num!Y22)</f>
        <v>12635.472132241899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8371.5989941120188</v>
      </c>
      <c r="C23" s="132">
        <f>IF(SER_hh_tes!C23=0,0,11630*1000*SER_hh_tes!C23/SER_hh_num!C23)</f>
        <v>9224.093008535925</v>
      </c>
      <c r="D23" s="132">
        <f>IF(SER_hh_tes!D23=0,0,11630*1000*SER_hh_tes!D23/SER_hh_num!D23)</f>
        <v>8318.2859778479833</v>
      </c>
      <c r="E23" s="132">
        <f>IF(SER_hh_tes!E23=0,0,11630*1000*SER_hh_tes!E23/SER_hh_num!E23)</f>
        <v>8828.181038982093</v>
      </c>
      <c r="F23" s="132">
        <f>IF(SER_hh_tes!F23=0,0,11630*1000*SER_hh_tes!F23/SER_hh_num!F23)</f>
        <v>8720.3551712376557</v>
      </c>
      <c r="G23" s="132">
        <f>IF(SER_hh_tes!G23=0,0,11630*1000*SER_hh_tes!G23/SER_hh_num!G23)</f>
        <v>8554.3666953205538</v>
      </c>
      <c r="H23" s="132">
        <f>IF(SER_hh_tes!H23=0,0,11630*1000*SER_hh_tes!H23/SER_hh_num!H23)</f>
        <v>8903.4350333097191</v>
      </c>
      <c r="I23" s="132">
        <f>IF(SER_hh_tes!I23=0,0,11630*1000*SER_hh_tes!I23/SER_hh_num!I23)</f>
        <v>9429.8625978535219</v>
      </c>
      <c r="J23" s="132">
        <f>IF(SER_hh_tes!J23=0,0,11630*1000*SER_hh_tes!J23/SER_hh_num!J23)</f>
        <v>9350.4809225713361</v>
      </c>
      <c r="K23" s="132">
        <f>IF(SER_hh_tes!K23=0,0,11630*1000*SER_hh_tes!K23/SER_hh_num!K23)</f>
        <v>9485.4608666957647</v>
      </c>
      <c r="L23" s="132">
        <f>IF(SER_hh_tes!L23=0,0,11630*1000*SER_hh_tes!L23/SER_hh_num!L23)</f>
        <v>9855.9176731142197</v>
      </c>
      <c r="M23" s="132">
        <f>IF(SER_hh_tes!M23=0,0,11630*1000*SER_hh_tes!M23/SER_hh_num!M23)</f>
        <v>9918.7889774097621</v>
      </c>
      <c r="N23" s="132">
        <f>IF(SER_hh_tes!N23=0,0,11630*1000*SER_hh_tes!N23/SER_hh_num!N23)</f>
        <v>9882.1765588801936</v>
      </c>
      <c r="O23" s="132">
        <f>IF(SER_hh_tes!O23=0,0,11630*1000*SER_hh_tes!O23/SER_hh_num!O23)</f>
        <v>9891.9160475671415</v>
      </c>
      <c r="P23" s="132">
        <f>IF(SER_hh_tes!P23=0,0,11630*1000*SER_hh_tes!P23/SER_hh_num!P23)</f>
        <v>9928.0152181445592</v>
      </c>
      <c r="Q23" s="132">
        <f>IF(SER_hh_tes!Q23=0,0,11630*1000*SER_hh_tes!Q23/SER_hh_num!Q23)</f>
        <v>10092.714942826207</v>
      </c>
      <c r="R23" s="132">
        <f>IF(SER_hh_tes!R23=0,0,11630*1000*SER_hh_tes!R23/SER_hh_num!R23)</f>
        <v>10145.675303123619</v>
      </c>
      <c r="S23" s="132">
        <f>IF(SER_hh_tes!S23=0,0,11630*1000*SER_hh_tes!S23/SER_hh_num!S23)</f>
        <v>10379.608674526593</v>
      </c>
      <c r="T23" s="132">
        <f>IF(SER_hh_tes!T23=0,0,11630*1000*SER_hh_tes!T23/SER_hh_num!T23)</f>
        <v>10695.006841784896</v>
      </c>
      <c r="U23" s="132">
        <f>IF(SER_hh_tes!U23=0,0,11630*1000*SER_hh_tes!U23/SER_hh_num!U23)</f>
        <v>10918.884024297278</v>
      </c>
      <c r="V23" s="132">
        <f>IF(SER_hh_tes!V23=0,0,11630*1000*SER_hh_tes!V23/SER_hh_num!V23)</f>
        <v>9646.2641804658324</v>
      </c>
      <c r="W23" s="132">
        <f>IF(SER_hh_tes!W23=0,0,11630*1000*SER_hh_tes!W23/SER_hh_num!W23)</f>
        <v>10630.832424975666</v>
      </c>
      <c r="X23" s="132">
        <f>IF(SER_hh_tes!X23=0,0,11630*1000*SER_hh_tes!X23/SER_hh_num!X23)</f>
        <v>9487.4701494622968</v>
      </c>
      <c r="Y23" s="132">
        <f>IF(SER_hh_tes!Y23=0,0,11630*1000*SER_hh_tes!Y23/SER_hh_num!Y23)</f>
        <v>11482.623078025925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0</v>
      </c>
      <c r="C24" s="132">
        <f>IF(SER_hh_tes!C24=0,0,11630*1000*SER_hh_tes!C24/SER_hh_num!C24)</f>
        <v>0</v>
      </c>
      <c r="D24" s="132">
        <f>IF(SER_hh_tes!D24=0,0,11630*1000*SER_hh_tes!D24/SER_hh_num!D24)</f>
        <v>0</v>
      </c>
      <c r="E24" s="132">
        <f>IF(SER_hh_tes!E24=0,0,11630*1000*SER_hh_tes!E24/SER_hh_num!E24)</f>
        <v>0</v>
      </c>
      <c r="F24" s="132">
        <f>IF(SER_hh_tes!F24=0,0,11630*1000*SER_hh_tes!F24/SER_hh_num!F24)</f>
        <v>0</v>
      </c>
      <c r="G24" s="132">
        <f>IF(SER_hh_tes!G24=0,0,11630*1000*SER_hh_tes!G24/SER_hh_num!G24)</f>
        <v>0</v>
      </c>
      <c r="H24" s="132">
        <f>IF(SER_hh_tes!H24=0,0,11630*1000*SER_hh_tes!H24/SER_hh_num!H24)</f>
        <v>0</v>
      </c>
      <c r="I24" s="132">
        <f>IF(SER_hh_tes!I24=0,0,11630*1000*SER_hh_tes!I24/SER_hh_num!I24)</f>
        <v>0</v>
      </c>
      <c r="J24" s="132">
        <f>IF(SER_hh_tes!J24=0,0,11630*1000*SER_hh_tes!J24/SER_hh_num!J24)</f>
        <v>0</v>
      </c>
      <c r="K24" s="132">
        <f>IF(SER_hh_tes!K24=0,0,11630*1000*SER_hh_tes!K24/SER_hh_num!K24)</f>
        <v>0</v>
      </c>
      <c r="L24" s="132">
        <f>IF(SER_hh_tes!L24=0,0,11630*1000*SER_hh_tes!L24/SER_hh_num!L24)</f>
        <v>0</v>
      </c>
      <c r="M24" s="132">
        <f>IF(SER_hh_tes!M24=0,0,11630*1000*SER_hh_tes!M24/SER_hh_num!M24)</f>
        <v>0</v>
      </c>
      <c r="N24" s="132">
        <f>IF(SER_hh_tes!N24=0,0,11630*1000*SER_hh_tes!N24/SER_hh_num!N24)</f>
        <v>0</v>
      </c>
      <c r="O24" s="132">
        <f>IF(SER_hh_tes!O24=0,0,11630*1000*SER_hh_tes!O24/SER_hh_num!O24)</f>
        <v>0</v>
      </c>
      <c r="P24" s="132">
        <f>IF(SER_hh_tes!P24=0,0,11630*1000*SER_hh_tes!P24/SER_hh_num!P24)</f>
        <v>0</v>
      </c>
      <c r="Q24" s="132">
        <f>IF(SER_hh_tes!Q24=0,0,11630*1000*SER_hh_tes!Q24/SER_hh_num!Q24)</f>
        <v>0</v>
      </c>
      <c r="R24" s="132">
        <f>IF(SER_hh_tes!R24=0,0,11630*1000*SER_hh_tes!R24/SER_hh_num!R24)</f>
        <v>0</v>
      </c>
      <c r="S24" s="132">
        <f>IF(SER_hh_tes!S24=0,0,11630*1000*SER_hh_tes!S24/SER_hh_num!S24)</f>
        <v>0</v>
      </c>
      <c r="T24" s="132">
        <f>IF(SER_hh_tes!T24=0,0,11630*1000*SER_hh_tes!T24/SER_hh_num!T24)</f>
        <v>0</v>
      </c>
      <c r="U24" s="132">
        <f>IF(SER_hh_tes!U24=0,0,11630*1000*SER_hh_tes!U24/SER_hh_num!U24)</f>
        <v>0</v>
      </c>
      <c r="V24" s="132">
        <f>IF(SER_hh_tes!V24=0,0,11630*1000*SER_hh_tes!V24/SER_hh_num!V24)</f>
        <v>0</v>
      </c>
      <c r="W24" s="132">
        <f>IF(SER_hh_tes!W24=0,0,11630*1000*SER_hh_tes!W24/SER_hh_num!W24)</f>
        <v>0</v>
      </c>
      <c r="X24" s="132">
        <f>IF(SER_hh_tes!X24=0,0,11630*1000*SER_hh_tes!X24/SER_hh_num!X24)</f>
        <v>0</v>
      </c>
      <c r="Y24" s="132">
        <f>IF(SER_hh_tes!Y24=0,0,11630*1000*SER_hh_tes!Y24/SER_hh_num!Y24)</f>
        <v>0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9266.7781945794159</v>
      </c>
      <c r="C25" s="132">
        <f>IF(SER_hh_tes!C25=0,0,11630*1000*SER_hh_tes!C25/SER_hh_num!C25)</f>
        <v>9207.232368522833</v>
      </c>
      <c r="D25" s="132">
        <f>IF(SER_hh_tes!D25=0,0,11630*1000*SER_hh_tes!D25/SER_hh_num!D25)</f>
        <v>9084.6754980189889</v>
      </c>
      <c r="E25" s="132">
        <f>IF(SER_hh_tes!E25=0,0,11630*1000*SER_hh_tes!E25/SER_hh_num!E25)</f>
        <v>9051.2137229107666</v>
      </c>
      <c r="F25" s="132">
        <f>IF(SER_hh_tes!F25=0,0,11630*1000*SER_hh_tes!F25/SER_hh_num!F25)</f>
        <v>8992.531698030456</v>
      </c>
      <c r="G25" s="132">
        <f>IF(SER_hh_tes!G25=0,0,11630*1000*SER_hh_tes!G25/SER_hh_num!G25)</f>
        <v>8974.8731270578373</v>
      </c>
      <c r="H25" s="132">
        <f>IF(SER_hh_tes!H25=0,0,11630*1000*SER_hh_tes!H25/SER_hh_num!H25)</f>
        <v>8974.7200317012739</v>
      </c>
      <c r="I25" s="132">
        <f>IF(SER_hh_tes!I25=0,0,11630*1000*SER_hh_tes!I25/SER_hh_num!I25)</f>
        <v>9037.0364186626139</v>
      </c>
      <c r="J25" s="132">
        <f>IF(SER_hh_tes!J25=0,0,11630*1000*SER_hh_tes!J25/SER_hh_num!J25)</f>
        <v>9201.1536263518938</v>
      </c>
      <c r="K25" s="132">
        <f>IF(SER_hh_tes!K25=0,0,11630*1000*SER_hh_tes!K25/SER_hh_num!K25)</f>
        <v>9383.6856910474489</v>
      </c>
      <c r="L25" s="132">
        <f>IF(SER_hh_tes!L25=0,0,11630*1000*SER_hh_tes!L25/SER_hh_num!L25)</f>
        <v>9626.3160115677874</v>
      </c>
      <c r="M25" s="132">
        <f>IF(SER_hh_tes!M25=0,0,11630*1000*SER_hh_tes!M25/SER_hh_num!M25)</f>
        <v>9834.541471535149</v>
      </c>
      <c r="N25" s="132">
        <f>IF(SER_hh_tes!N25=0,0,11630*1000*SER_hh_tes!N25/SER_hh_num!N25)</f>
        <v>9837.7982466867943</v>
      </c>
      <c r="O25" s="132">
        <f>IF(SER_hh_tes!O25=0,0,11630*1000*SER_hh_tes!O25/SER_hh_num!O25)</f>
        <v>9890.7676996641476</v>
      </c>
      <c r="P25" s="132">
        <f>IF(SER_hh_tes!P25=0,0,11630*1000*SER_hh_tes!P25/SER_hh_num!P25)</f>
        <v>9907.1066372083096</v>
      </c>
      <c r="Q25" s="132">
        <f>IF(SER_hh_tes!Q25=0,0,11630*1000*SER_hh_tes!Q25/SER_hh_num!Q25)</f>
        <v>10038.870717680129</v>
      </c>
      <c r="R25" s="132">
        <f>IF(SER_hh_tes!R25=0,0,11630*1000*SER_hh_tes!R25/SER_hh_num!R25)</f>
        <v>10186.866537672502</v>
      </c>
      <c r="S25" s="132">
        <f>IF(SER_hh_tes!S25=0,0,11630*1000*SER_hh_tes!S25/SER_hh_num!S25)</f>
        <v>10463.523843289631</v>
      </c>
      <c r="T25" s="132">
        <f>IF(SER_hh_tes!T25=0,0,11630*1000*SER_hh_tes!T25/SER_hh_num!T25)</f>
        <v>10589.184917264622</v>
      </c>
      <c r="U25" s="132">
        <f>IF(SER_hh_tes!U25=0,0,11630*1000*SER_hh_tes!U25/SER_hh_num!U25)</f>
        <v>10588.704896141182</v>
      </c>
      <c r="V25" s="132">
        <f>IF(SER_hh_tes!V25=0,0,11630*1000*SER_hh_tes!V25/SER_hh_num!V25)</f>
        <v>9550.7956429563128</v>
      </c>
      <c r="W25" s="132">
        <f>IF(SER_hh_tes!W25=0,0,11630*1000*SER_hh_tes!W25/SER_hh_num!W25)</f>
        <v>9931.1798744772186</v>
      </c>
      <c r="X25" s="132">
        <f>IF(SER_hh_tes!X25=0,0,11630*1000*SER_hh_tes!X25/SER_hh_num!X25)</f>
        <v>11541.017208674322</v>
      </c>
      <c r="Y25" s="132">
        <f>IF(SER_hh_tes!Y25=0,0,11630*1000*SER_hh_tes!Y25/SER_hh_num!Y25)</f>
        <v>10710.640520869625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9577.0103834969559</v>
      </c>
      <c r="C26" s="65">
        <f>IF(SER_hh_tes!C26=0,0,11630*1000*SER_hh_tes!C26/SER_hh_num!C26)</f>
        <v>9210.2252102900075</v>
      </c>
      <c r="D26" s="65">
        <f>IF(SER_hh_tes!D26=0,0,11630*1000*SER_hh_tes!D26/SER_hh_num!D26)</f>
        <v>9238.9270303154935</v>
      </c>
      <c r="E26" s="65">
        <f>IF(SER_hh_tes!E26=0,0,11630*1000*SER_hh_tes!E26/SER_hh_num!E26)</f>
        <v>8992.0242245568697</v>
      </c>
      <c r="F26" s="65">
        <f>IF(SER_hh_tes!F26=0,0,11630*1000*SER_hh_tes!F26/SER_hh_num!F26)</f>
        <v>8823.8669270067512</v>
      </c>
      <c r="G26" s="65">
        <f>IF(SER_hh_tes!G26=0,0,11630*1000*SER_hh_tes!G26/SER_hh_num!G26)</f>
        <v>8892.6764669188306</v>
      </c>
      <c r="H26" s="65">
        <f>IF(SER_hh_tes!H26=0,0,11630*1000*SER_hh_tes!H26/SER_hh_num!H26)</f>
        <v>9051.149083692555</v>
      </c>
      <c r="I26" s="65">
        <f>IF(SER_hh_tes!I26=0,0,11630*1000*SER_hh_tes!I26/SER_hh_num!I26)</f>
        <v>8924.2359050316609</v>
      </c>
      <c r="J26" s="65">
        <f>IF(SER_hh_tes!J26=0,0,11630*1000*SER_hh_tes!J26/SER_hh_num!J26)</f>
        <v>8865.6411685659768</v>
      </c>
      <c r="K26" s="65">
        <f>IF(SER_hh_tes!K26=0,0,11630*1000*SER_hh_tes!K26/SER_hh_num!K26)</f>
        <v>9319.231438634697</v>
      </c>
      <c r="L26" s="65">
        <f>IF(SER_hh_tes!L26=0,0,11630*1000*SER_hh_tes!L26/SER_hh_num!L26)</f>
        <v>9152.5763145241472</v>
      </c>
      <c r="M26" s="65">
        <f>IF(SER_hh_tes!M26=0,0,11630*1000*SER_hh_tes!M26/SER_hh_num!M26)</f>
        <v>8700.8575297572825</v>
      </c>
      <c r="N26" s="65">
        <f>IF(SER_hh_tes!N26=0,0,11630*1000*SER_hh_tes!N26/SER_hh_num!N26)</f>
        <v>8457.1188077499937</v>
      </c>
      <c r="O26" s="65">
        <f>IF(SER_hh_tes!O26=0,0,11630*1000*SER_hh_tes!O26/SER_hh_num!O26)</f>
        <v>8226.811851730803</v>
      </c>
      <c r="P26" s="65">
        <f>IF(SER_hh_tes!P26=0,0,11630*1000*SER_hh_tes!P26/SER_hh_num!P26)</f>
        <v>8044.367397650085</v>
      </c>
      <c r="Q26" s="65">
        <f>IF(SER_hh_tes!Q26=0,0,11630*1000*SER_hh_tes!Q26/SER_hh_num!Q26)</f>
        <v>7977.0542679983173</v>
      </c>
      <c r="R26" s="65">
        <f>IF(SER_hh_tes!R26=0,0,11630*1000*SER_hh_tes!R26/SER_hh_num!R26)</f>
        <v>8029.6689841597245</v>
      </c>
      <c r="S26" s="65">
        <f>IF(SER_hh_tes!S26=0,0,11630*1000*SER_hh_tes!S26/SER_hh_num!S26)</f>
        <v>8148.9718574969093</v>
      </c>
      <c r="T26" s="65">
        <f>IF(SER_hh_tes!T26=0,0,11630*1000*SER_hh_tes!T26/SER_hh_num!T26)</f>
        <v>8241.824782204767</v>
      </c>
      <c r="U26" s="65">
        <f>IF(SER_hh_tes!U26=0,0,11630*1000*SER_hh_tes!U26/SER_hh_num!U26)</f>
        <v>8431.6525285542848</v>
      </c>
      <c r="V26" s="65">
        <f>IF(SER_hh_tes!V26=0,0,11630*1000*SER_hh_tes!V26/SER_hh_num!V26)</f>
        <v>6897.3960983068155</v>
      </c>
      <c r="W26" s="65">
        <f>IF(SER_hh_tes!W26=0,0,11630*1000*SER_hh_tes!W26/SER_hh_num!W26)</f>
        <v>7828.0220332558929</v>
      </c>
      <c r="X26" s="65">
        <f>IF(SER_hh_tes!X26=0,0,11630*1000*SER_hh_tes!X26/SER_hh_num!X26)</f>
        <v>7802.4572246776188</v>
      </c>
      <c r="Y26" s="65">
        <f>IF(SER_hh_tes!Y26=0,0,11630*1000*SER_hh_tes!Y26/SER_hh_num!Y26)</f>
        <v>8032.5272540840506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0</v>
      </c>
      <c r="C27" s="145">
        <f>IF(SER_hh_tes!C27=0,0,11630*1000*SER_hh_tes!C27/SER_hh_num!C19)</f>
        <v>0</v>
      </c>
      <c r="D27" s="145">
        <f>IF(SER_hh_tes!D27=0,0,11630*1000*SER_hh_tes!D27/SER_hh_num!D19)</f>
        <v>0</v>
      </c>
      <c r="E27" s="145">
        <f>IF(SER_hh_tes!E27=0,0,11630*1000*SER_hh_tes!E27/SER_hh_num!E19)</f>
        <v>0</v>
      </c>
      <c r="F27" s="145">
        <f>IF(SER_hh_tes!F27=0,0,11630*1000*SER_hh_tes!F27/SER_hh_num!F19)</f>
        <v>0</v>
      </c>
      <c r="G27" s="145">
        <f>IF(SER_hh_tes!G27=0,0,11630*1000*SER_hh_tes!G27/SER_hh_num!G19)</f>
        <v>0</v>
      </c>
      <c r="H27" s="145">
        <f>IF(SER_hh_tes!H27=0,0,11630*1000*SER_hh_tes!H27/SER_hh_num!H19)</f>
        <v>0</v>
      </c>
      <c r="I27" s="145">
        <f>IF(SER_hh_tes!I27=0,0,11630*1000*SER_hh_tes!I27/SER_hh_num!I19)</f>
        <v>0</v>
      </c>
      <c r="J27" s="145">
        <f>IF(SER_hh_tes!J27=0,0,11630*1000*SER_hh_tes!J27/SER_hh_num!J19)</f>
        <v>0</v>
      </c>
      <c r="K27" s="145">
        <f>IF(SER_hh_tes!K27=0,0,11630*1000*SER_hh_tes!K27/SER_hh_num!K19)</f>
        <v>0</v>
      </c>
      <c r="L27" s="145">
        <f>IF(SER_hh_tes!L27=0,0,11630*1000*SER_hh_tes!L27/SER_hh_num!L19)</f>
        <v>516.84570657975542</v>
      </c>
      <c r="M27" s="145">
        <f>IF(SER_hh_tes!M27=0,0,11630*1000*SER_hh_tes!M27/SER_hh_num!M19)</f>
        <v>782.07345305296246</v>
      </c>
      <c r="N27" s="145">
        <f>IF(SER_hh_tes!N27=0,0,11630*1000*SER_hh_tes!N27/SER_hh_num!N19)</f>
        <v>940.32074248955132</v>
      </c>
      <c r="O27" s="145">
        <f>IF(SER_hh_tes!O27=0,0,11630*1000*SER_hh_tes!O27/SER_hh_num!O19)</f>
        <v>1305.761922165362</v>
      </c>
      <c r="P27" s="145">
        <f>IF(SER_hh_tes!P27=0,0,11630*1000*SER_hh_tes!P27/SER_hh_num!P19)</f>
        <v>1301.68476610623</v>
      </c>
      <c r="Q27" s="145">
        <f>IF(SER_hh_tes!Q27=0,0,11630*1000*SER_hh_tes!Q27/SER_hh_num!Q19)</f>
        <v>1508.7696280508321</v>
      </c>
      <c r="R27" s="145">
        <f>IF(SER_hh_tes!R27=0,0,11630*1000*SER_hh_tes!R27/SER_hh_num!R19)</f>
        <v>1561.0328845344263</v>
      </c>
      <c r="S27" s="145">
        <f>IF(SER_hh_tes!S27=0,0,11630*1000*SER_hh_tes!S27/SER_hh_num!S19)</f>
        <v>1632.8346538075298</v>
      </c>
      <c r="T27" s="145">
        <f>IF(SER_hh_tes!T27=0,0,11630*1000*SER_hh_tes!T27/SER_hh_num!T19)</f>
        <v>1725.3728852680526</v>
      </c>
      <c r="U27" s="145">
        <f>IF(SER_hh_tes!U27=0,0,11630*1000*SER_hh_tes!U27/SER_hh_num!U19)</f>
        <v>1781.8226935842513</v>
      </c>
      <c r="V27" s="145">
        <f>IF(SER_hh_tes!V27=0,0,11630*1000*SER_hh_tes!V27/SER_hh_num!V19)</f>
        <v>1851.1327454258735</v>
      </c>
      <c r="W27" s="145">
        <f>IF(SER_hh_tes!W27=0,0,11630*1000*SER_hh_tes!W27/SER_hh_num!W19)</f>
        <v>1950.5808913483454</v>
      </c>
      <c r="X27" s="145">
        <f>IF(SER_hh_tes!X27=0,0,11630*1000*SER_hh_tes!X27/SER_hh_num!X19)</f>
        <v>2121.7753454292047</v>
      </c>
      <c r="Y27" s="145">
        <f>IF(SER_hh_tes!Y27=0,0,11630*1000*SER_hh_tes!Y27/SER_hh_num!Y19)</f>
        <v>2185.2308374143299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0</v>
      </c>
      <c r="C28" s="146">
        <f>IF(SER_hh_tes!C27=0,0,11630*1000*SER_hh_tes!C27/SER_hh_num!C27)</f>
        <v>0</v>
      </c>
      <c r="D28" s="146">
        <f>IF(SER_hh_tes!D27=0,0,11630*1000*SER_hh_tes!D27/SER_hh_num!D27)</f>
        <v>0</v>
      </c>
      <c r="E28" s="146">
        <f>IF(SER_hh_tes!E27=0,0,11630*1000*SER_hh_tes!E27/SER_hh_num!E27)</f>
        <v>0</v>
      </c>
      <c r="F28" s="146">
        <f>IF(SER_hh_tes!F27=0,0,11630*1000*SER_hh_tes!F27/SER_hh_num!F27)</f>
        <v>0</v>
      </c>
      <c r="G28" s="146">
        <f>IF(SER_hh_tes!G27=0,0,11630*1000*SER_hh_tes!G27/SER_hh_num!G27)</f>
        <v>0</v>
      </c>
      <c r="H28" s="146">
        <f>IF(SER_hh_tes!H27=0,0,11630*1000*SER_hh_tes!H27/SER_hh_num!H27)</f>
        <v>0</v>
      </c>
      <c r="I28" s="146">
        <f>IF(SER_hh_tes!I27=0,0,11630*1000*SER_hh_tes!I27/SER_hh_num!I27)</f>
        <v>0</v>
      </c>
      <c r="J28" s="146">
        <f>IF(SER_hh_tes!J27=0,0,11630*1000*SER_hh_tes!J27/SER_hh_num!J27)</f>
        <v>0</v>
      </c>
      <c r="K28" s="146">
        <f>IF(SER_hh_tes!K27=0,0,11630*1000*SER_hh_tes!K27/SER_hh_num!K27)</f>
        <v>0</v>
      </c>
      <c r="L28" s="146">
        <f>IF(SER_hh_tes!L27=0,0,11630*1000*SER_hh_tes!L27/SER_hh_num!L27)</f>
        <v>6485.8382073608673</v>
      </c>
      <c r="M28" s="146">
        <f>IF(SER_hh_tes!M27=0,0,11630*1000*SER_hh_tes!M27/SER_hh_num!M27)</f>
        <v>6664.3049264554202</v>
      </c>
      <c r="N28" s="146">
        <f>IF(SER_hh_tes!N27=0,0,11630*1000*SER_hh_tes!N27/SER_hh_num!N27)</f>
        <v>6900.178706368778</v>
      </c>
      <c r="O28" s="146">
        <f>IF(SER_hh_tes!O27=0,0,11630*1000*SER_hh_tes!O27/SER_hh_num!O27)</f>
        <v>6814.9804548757602</v>
      </c>
      <c r="P28" s="146">
        <f>IF(SER_hh_tes!P27=0,0,11630*1000*SER_hh_tes!P27/SER_hh_num!P27)</f>
        <v>6603.7779227344363</v>
      </c>
      <c r="Q28" s="146">
        <f>IF(SER_hh_tes!Q27=0,0,11630*1000*SER_hh_tes!Q27/SER_hh_num!Q27)</f>
        <v>6990.6567081518333</v>
      </c>
      <c r="R28" s="146">
        <f>IF(SER_hh_tes!R27=0,0,11630*1000*SER_hh_tes!R27/SER_hh_num!R27)</f>
        <v>6810.5382242813939</v>
      </c>
      <c r="S28" s="146">
        <f>IF(SER_hh_tes!S27=0,0,11630*1000*SER_hh_tes!S27/SER_hh_num!S27)</f>
        <v>6715.8235183410925</v>
      </c>
      <c r="T28" s="146">
        <f>IF(SER_hh_tes!T27=0,0,11630*1000*SER_hh_tes!T27/SER_hh_num!T27)</f>
        <v>7045.7032541348317</v>
      </c>
      <c r="U28" s="146">
        <f>IF(SER_hh_tes!U27=0,0,11630*1000*SER_hh_tes!U27/SER_hh_num!U27)</f>
        <v>7191.2654123882676</v>
      </c>
      <c r="V28" s="146">
        <f>IF(SER_hh_tes!V27=0,0,11630*1000*SER_hh_tes!V27/SER_hh_num!V27)</f>
        <v>6267.5231824632738</v>
      </c>
      <c r="W28" s="146">
        <f>IF(SER_hh_tes!W27=0,0,11630*1000*SER_hh_tes!W27/SER_hh_num!W27)</f>
        <v>6789.5222883942124</v>
      </c>
      <c r="X28" s="146">
        <f>IF(SER_hh_tes!X27=0,0,11630*1000*SER_hh_tes!X27/SER_hh_num!X27)</f>
        <v>7085.1769986826566</v>
      </c>
      <c r="Y28" s="146">
        <f>IF(SER_hh_tes!Y27=0,0,11630*1000*SER_hh_tes!Y27/SER_hh_num!Y27)</f>
        <v>7296.2341425989407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11362.476760164796</v>
      </c>
      <c r="C29" s="130">
        <f>IF(SER_hh_tes!C29=0,0,11630*1000*SER_hh_tes!C29/SER_hh_num!C29)</f>
        <v>11563.301782374876</v>
      </c>
      <c r="D29" s="130">
        <f>IF(SER_hh_tes!D29=0,0,11630*1000*SER_hh_tes!D29/SER_hh_num!D29)</f>
        <v>11317.235859451717</v>
      </c>
      <c r="E29" s="130">
        <f>IF(SER_hh_tes!E29=0,0,11630*1000*SER_hh_tes!E29/SER_hh_num!E29)</f>
        <v>11200.749980401681</v>
      </c>
      <c r="F29" s="130">
        <f>IF(SER_hh_tes!F29=0,0,11630*1000*SER_hh_tes!F29/SER_hh_num!F29)</f>
        <v>11246.045856828148</v>
      </c>
      <c r="G29" s="130">
        <f>IF(SER_hh_tes!G29=0,0,11630*1000*SER_hh_tes!G29/SER_hh_num!G29)</f>
        <v>10930.515008282933</v>
      </c>
      <c r="H29" s="130">
        <f>IF(SER_hh_tes!H29=0,0,11630*1000*SER_hh_tes!H29/SER_hh_num!H29)</f>
        <v>10843.420376845848</v>
      </c>
      <c r="I29" s="130">
        <f>IF(SER_hh_tes!I29=0,0,11630*1000*SER_hh_tes!I29/SER_hh_num!I29)</f>
        <v>10713.584651427022</v>
      </c>
      <c r="J29" s="130">
        <f>IF(SER_hh_tes!J29=0,0,11630*1000*SER_hh_tes!J29/SER_hh_num!J29)</f>
        <v>10849.528705708972</v>
      </c>
      <c r="K29" s="130">
        <f>IF(SER_hh_tes!K29=0,0,11630*1000*SER_hh_tes!K29/SER_hh_num!K29)</f>
        <v>11098.384554634527</v>
      </c>
      <c r="L29" s="130">
        <f>IF(SER_hh_tes!L29=0,0,11630*1000*SER_hh_tes!L29/SER_hh_num!L29)</f>
        <v>11537.644450835058</v>
      </c>
      <c r="M29" s="130">
        <f>IF(SER_hh_tes!M29=0,0,11630*1000*SER_hh_tes!M29/SER_hh_num!M29)</f>
        <v>11443.91091640657</v>
      </c>
      <c r="N29" s="130">
        <f>IF(SER_hh_tes!N29=0,0,11630*1000*SER_hh_tes!N29/SER_hh_num!N29)</f>
        <v>11873.492658796727</v>
      </c>
      <c r="O29" s="130">
        <f>IF(SER_hh_tes!O29=0,0,11630*1000*SER_hh_tes!O29/SER_hh_num!O29)</f>
        <v>11823.480340006126</v>
      </c>
      <c r="P29" s="130">
        <f>IF(SER_hh_tes!P29=0,0,11630*1000*SER_hh_tes!P29/SER_hh_num!P29)</f>
        <v>11617.122480980435</v>
      </c>
      <c r="Q29" s="130">
        <f>IF(SER_hh_tes!Q29=0,0,11630*1000*SER_hh_tes!Q29/SER_hh_num!Q29)</f>
        <v>11691.926785356271</v>
      </c>
      <c r="R29" s="130">
        <f>IF(SER_hh_tes!R29=0,0,11630*1000*SER_hh_tes!R29/SER_hh_num!R29)</f>
        <v>11820.537778438174</v>
      </c>
      <c r="S29" s="130">
        <f>IF(SER_hh_tes!S29=0,0,11630*1000*SER_hh_tes!S29/SER_hh_num!S29)</f>
        <v>12232.580135259173</v>
      </c>
      <c r="T29" s="130">
        <f>IF(SER_hh_tes!T29=0,0,11630*1000*SER_hh_tes!T29/SER_hh_num!T29)</f>
        <v>12739.481718548826</v>
      </c>
      <c r="U29" s="130">
        <f>IF(SER_hh_tes!U29=0,0,11630*1000*SER_hh_tes!U29/SER_hh_num!U29)</f>
        <v>12911.441646921849</v>
      </c>
      <c r="V29" s="130">
        <f>IF(SER_hh_tes!V29=0,0,11630*1000*SER_hh_tes!V29/SER_hh_num!V29)</f>
        <v>10808.253294507089</v>
      </c>
      <c r="W29" s="130">
        <f>IF(SER_hh_tes!W29=0,0,11630*1000*SER_hh_tes!W29/SER_hh_num!W29)</f>
        <v>12213.382458745973</v>
      </c>
      <c r="X29" s="130">
        <f>IF(SER_hh_tes!X29=0,0,11630*1000*SER_hh_tes!X29/SER_hh_num!X29)</f>
        <v>12790.660993335568</v>
      </c>
      <c r="Y29" s="130">
        <f>IF(SER_hh_tes!Y29=0,0,11630*1000*SER_hh_tes!Y29/SER_hh_num!Y29)</f>
        <v>12529.619139762348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5743.1594264593496</v>
      </c>
      <c r="C30" s="132">
        <f>IF(SER_hh_tes!C30=0,0,11630*1000*SER_hh_tes!C30/SER_hh_num!C30)</f>
        <v>22922.400255540862</v>
      </c>
      <c r="D30" s="132">
        <f>IF(SER_hh_tes!D30=0,0,11630*1000*SER_hh_tes!D30/SER_hh_num!D30)</f>
        <v>6630.5860626604699</v>
      </c>
      <c r="E30" s="132">
        <f>IF(SER_hh_tes!E30=0,0,11630*1000*SER_hh_tes!E30/SER_hh_num!E30)</f>
        <v>7857.9671193635559</v>
      </c>
      <c r="F30" s="132">
        <f>IF(SER_hh_tes!F30=0,0,11630*1000*SER_hh_tes!F30/SER_hh_num!F30)</f>
        <v>20987.325349534985</v>
      </c>
      <c r="G30" s="132">
        <f>IF(SER_hh_tes!G30=0,0,11630*1000*SER_hh_tes!G30/SER_hh_num!G30)</f>
        <v>0</v>
      </c>
      <c r="H30" s="132">
        <f>IF(SER_hh_tes!H30=0,0,11630*1000*SER_hh_tes!H30/SER_hh_num!H30)</f>
        <v>0</v>
      </c>
      <c r="I30" s="132">
        <f>IF(SER_hh_tes!I30=0,0,11630*1000*SER_hh_tes!I30/SER_hh_num!I30)</f>
        <v>0</v>
      </c>
      <c r="J30" s="132">
        <f>IF(SER_hh_tes!J30=0,0,11630*1000*SER_hh_tes!J30/SER_hh_num!J30)</f>
        <v>0</v>
      </c>
      <c r="K30" s="132">
        <f>IF(SER_hh_tes!K30=0,0,11630*1000*SER_hh_tes!K30/SER_hh_num!K30)</f>
        <v>0</v>
      </c>
      <c r="L30" s="132">
        <f>IF(SER_hh_tes!L30=0,0,11630*1000*SER_hh_tes!L30/SER_hh_num!L30)</f>
        <v>13480.326011263878</v>
      </c>
      <c r="M30" s="132">
        <f>IF(SER_hh_tes!M30=0,0,11630*1000*SER_hh_tes!M30/SER_hh_num!M30)</f>
        <v>12549.614184744061</v>
      </c>
      <c r="N30" s="132">
        <f>IF(SER_hh_tes!N30=0,0,11630*1000*SER_hh_tes!N30/SER_hh_num!N30)</f>
        <v>19834.310233629702</v>
      </c>
      <c r="O30" s="132">
        <f>IF(SER_hh_tes!O30=0,0,11630*1000*SER_hh_tes!O30/SER_hh_num!O30)</f>
        <v>14135.545392267417</v>
      </c>
      <c r="P30" s="132">
        <f>IF(SER_hh_tes!P30=0,0,11630*1000*SER_hh_tes!P30/SER_hh_num!P30)</f>
        <v>8849.9569867193732</v>
      </c>
      <c r="Q30" s="132">
        <f>IF(SER_hh_tes!Q30=0,0,11630*1000*SER_hh_tes!Q30/SER_hh_num!Q30)</f>
        <v>8920.3535362447547</v>
      </c>
      <c r="R30" s="132">
        <f>IF(SER_hh_tes!R30=0,0,11630*1000*SER_hh_tes!R30/SER_hh_num!R30)</f>
        <v>10469.684014204897</v>
      </c>
      <c r="S30" s="132">
        <f>IF(SER_hh_tes!S30=0,0,11630*1000*SER_hh_tes!S30/SER_hh_num!S30)</f>
        <v>12451.837404642503</v>
      </c>
      <c r="T30" s="132">
        <f>IF(SER_hh_tes!T30=0,0,11630*1000*SER_hh_tes!T30/SER_hh_num!T30)</f>
        <v>13454.637200237121</v>
      </c>
      <c r="U30" s="132">
        <f>IF(SER_hh_tes!U30=0,0,11630*1000*SER_hh_tes!U30/SER_hh_num!U30)</f>
        <v>13089.325780159839</v>
      </c>
      <c r="V30" s="132">
        <f>IF(SER_hh_tes!V30=0,0,11630*1000*SER_hh_tes!V30/SER_hh_num!V30)</f>
        <v>10420.619145176053</v>
      </c>
      <c r="W30" s="132">
        <f>IF(SER_hh_tes!W30=0,0,11630*1000*SER_hh_tes!W30/SER_hh_num!W30)</f>
        <v>11756.548605119835</v>
      </c>
      <c r="X30" s="132">
        <f>IF(SER_hh_tes!X30=0,0,11630*1000*SER_hh_tes!X30/SER_hh_num!X30)</f>
        <v>12721.107934345599</v>
      </c>
      <c r="Y30" s="132">
        <f>IF(SER_hh_tes!Y30=0,0,11630*1000*SER_hh_tes!Y30/SER_hh_num!Y30)</f>
        <v>13090.711571115473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10848.379551129708</v>
      </c>
      <c r="C31" s="132">
        <f>IF(SER_hh_tes!C31=0,0,11630*1000*SER_hh_tes!C31/SER_hh_num!C31)</f>
        <v>11132.240907277335</v>
      </c>
      <c r="D31" s="132">
        <f>IF(SER_hh_tes!D31=0,0,11630*1000*SER_hh_tes!D31/SER_hh_num!D31)</f>
        <v>10353.612898892872</v>
      </c>
      <c r="E31" s="132">
        <f>IF(SER_hh_tes!E31=0,0,11630*1000*SER_hh_tes!E31/SER_hh_num!E31)</f>
        <v>10923.016968468062</v>
      </c>
      <c r="F31" s="132">
        <f>IF(SER_hh_tes!F31=0,0,11630*1000*SER_hh_tes!F31/SER_hh_num!F31)</f>
        <v>11086.525466058069</v>
      </c>
      <c r="G31" s="132">
        <f>IF(SER_hh_tes!G31=0,0,11630*1000*SER_hh_tes!G31/SER_hh_num!G31)</f>
        <v>10175.597680108836</v>
      </c>
      <c r="H31" s="132">
        <f>IF(SER_hh_tes!H31=0,0,11630*1000*SER_hh_tes!H31/SER_hh_num!H31)</f>
        <v>11239.369494566981</v>
      </c>
      <c r="I31" s="132">
        <f>IF(SER_hh_tes!I31=0,0,11630*1000*SER_hh_tes!I31/SER_hh_num!I31)</f>
        <v>11348.805107798407</v>
      </c>
      <c r="J31" s="132">
        <f>IF(SER_hh_tes!J31=0,0,11630*1000*SER_hh_tes!J31/SER_hh_num!J31)</f>
        <v>11226.367876254411</v>
      </c>
      <c r="K31" s="132">
        <f>IF(SER_hh_tes!K31=0,0,11630*1000*SER_hh_tes!K31/SER_hh_num!K31)</f>
        <v>11164.914517705933</v>
      </c>
      <c r="L31" s="132">
        <f>IF(SER_hh_tes!L31=0,0,11630*1000*SER_hh_tes!L31/SER_hh_num!L31)</f>
        <v>11407.795356229608</v>
      </c>
      <c r="M31" s="132">
        <f>IF(SER_hh_tes!M31=0,0,11630*1000*SER_hh_tes!M31/SER_hh_num!M31)</f>
        <v>11513.209372681265</v>
      </c>
      <c r="N31" s="132">
        <f>IF(SER_hh_tes!N31=0,0,11630*1000*SER_hh_tes!N31/SER_hh_num!N31)</f>
        <v>11716.898909163005</v>
      </c>
      <c r="O31" s="132">
        <f>IF(SER_hh_tes!O31=0,0,11630*1000*SER_hh_tes!O31/SER_hh_num!O31)</f>
        <v>11803.540582415422</v>
      </c>
      <c r="P31" s="132">
        <f>IF(SER_hh_tes!P31=0,0,11630*1000*SER_hh_tes!P31/SER_hh_num!P31)</f>
        <v>11804.80421043885</v>
      </c>
      <c r="Q31" s="132">
        <f>IF(SER_hh_tes!Q31=0,0,11630*1000*SER_hh_tes!Q31/SER_hh_num!Q31)</f>
        <v>11891.826809678518</v>
      </c>
      <c r="R31" s="132">
        <f>IF(SER_hh_tes!R31=0,0,11630*1000*SER_hh_tes!R31/SER_hh_num!R31)</f>
        <v>11896.770069657878</v>
      </c>
      <c r="S31" s="132">
        <f>IF(SER_hh_tes!S31=0,0,11630*1000*SER_hh_tes!S31/SER_hh_num!S31)</f>
        <v>12305.33112976393</v>
      </c>
      <c r="T31" s="132">
        <f>IF(SER_hh_tes!T31=0,0,11630*1000*SER_hh_tes!T31/SER_hh_num!T31)</f>
        <v>12656.03581073086</v>
      </c>
      <c r="U31" s="132">
        <f>IF(SER_hh_tes!U31=0,0,11630*1000*SER_hh_tes!U31/SER_hh_num!U31)</f>
        <v>12488.884108137121</v>
      </c>
      <c r="V31" s="132">
        <f>IF(SER_hh_tes!V31=0,0,11630*1000*SER_hh_tes!V31/SER_hh_num!V31)</f>
        <v>10898.064444857146</v>
      </c>
      <c r="W31" s="132">
        <f>IF(SER_hh_tes!W31=0,0,11630*1000*SER_hh_tes!W31/SER_hh_num!W31)</f>
        <v>12576.257460914436</v>
      </c>
      <c r="X31" s="132">
        <f>IF(SER_hh_tes!X31=0,0,11630*1000*SER_hh_tes!X31/SER_hh_num!X31)</f>
        <v>12554.124102227637</v>
      </c>
      <c r="Y31" s="132">
        <f>IF(SER_hh_tes!Y31=0,0,11630*1000*SER_hh_tes!Y31/SER_hh_num!Y31)</f>
        <v>12483.607640915059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15921.995698981402</v>
      </c>
      <c r="K32" s="132">
        <f>IF(SER_hh_tes!K32=0,0,11630*1000*SER_hh_tes!K32/SER_hh_num!K32)</f>
        <v>12670.987962767913</v>
      </c>
      <c r="L32" s="132">
        <f>IF(SER_hh_tes!L32=0,0,11630*1000*SER_hh_tes!L32/SER_hh_num!L32)</f>
        <v>11654.051521413321</v>
      </c>
      <c r="M32" s="132">
        <f>IF(SER_hh_tes!M32=0,0,11630*1000*SER_hh_tes!M32/SER_hh_num!M32)</f>
        <v>11662.437284206913</v>
      </c>
      <c r="N32" s="132">
        <f>IF(SER_hh_tes!N32=0,0,11630*1000*SER_hh_tes!N32/SER_hh_num!N32)</f>
        <v>11374.174733703261</v>
      </c>
      <c r="O32" s="132">
        <f>IF(SER_hh_tes!O32=0,0,11630*1000*SER_hh_tes!O32/SER_hh_num!O32)</f>
        <v>11472.731226824604</v>
      </c>
      <c r="P32" s="132">
        <f>IF(SER_hh_tes!P32=0,0,11630*1000*SER_hh_tes!P32/SER_hh_num!P32)</f>
        <v>11268.728829678517</v>
      </c>
      <c r="Q32" s="132">
        <f>IF(SER_hh_tes!Q32=0,0,11630*1000*SER_hh_tes!Q32/SER_hh_num!Q32)</f>
        <v>10002.751121247245</v>
      </c>
      <c r="R32" s="132">
        <f>IF(SER_hh_tes!R32=0,0,11630*1000*SER_hh_tes!R32/SER_hh_num!R32)</f>
        <v>8025.5700789490847</v>
      </c>
      <c r="S32" s="132">
        <f>IF(SER_hh_tes!S32=0,0,11630*1000*SER_hh_tes!S32/SER_hh_num!S32)</f>
        <v>11529.765288335142</v>
      </c>
      <c r="T32" s="132">
        <f>IF(SER_hh_tes!T32=0,0,11630*1000*SER_hh_tes!T32/SER_hh_num!T32)</f>
        <v>13712.240759740767</v>
      </c>
      <c r="U32" s="132">
        <f>IF(SER_hh_tes!U32=0,0,11630*1000*SER_hh_tes!U32/SER_hh_num!U32)</f>
        <v>13847.094839751424</v>
      </c>
      <c r="V32" s="132">
        <f>IF(SER_hh_tes!V32=0,0,11630*1000*SER_hh_tes!V32/SER_hh_num!V32)</f>
        <v>11393.23129526911</v>
      </c>
      <c r="W32" s="132">
        <f>IF(SER_hh_tes!W32=0,0,11630*1000*SER_hh_tes!W32/SER_hh_num!W32)</f>
        <v>10775.728209062132</v>
      </c>
      <c r="X32" s="132">
        <f>IF(SER_hh_tes!X32=0,0,11630*1000*SER_hh_tes!X32/SER_hh_num!X32)</f>
        <v>15683.902256279021</v>
      </c>
      <c r="Y32" s="132">
        <f>IF(SER_hh_tes!Y32=0,0,11630*1000*SER_hh_tes!Y32/SER_hh_num!Y32)</f>
        <v>11255.771943846108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11501.236923889641</v>
      </c>
      <c r="C33" s="68">
        <f>IF(SER_hh_tes!C33=0,0,11630*1000*SER_hh_tes!C33/SER_hh_num!C33)</f>
        <v>11335.511791625244</v>
      </c>
      <c r="D33" s="68">
        <f>IF(SER_hh_tes!D33=0,0,11630*1000*SER_hh_tes!D33/SER_hh_num!D33)</f>
        <v>11441.597452498747</v>
      </c>
      <c r="E33" s="68">
        <f>IF(SER_hh_tes!E33=0,0,11630*1000*SER_hh_tes!E33/SER_hh_num!E33)</f>
        <v>11263.908993729061</v>
      </c>
      <c r="F33" s="68">
        <f>IF(SER_hh_tes!F33=0,0,11630*1000*SER_hh_tes!F33/SER_hh_num!F33)</f>
        <v>11145.170842302678</v>
      </c>
      <c r="G33" s="68">
        <f>IF(SER_hh_tes!G33=0,0,11630*1000*SER_hh_tes!G33/SER_hh_num!G33)</f>
        <v>10994.535131963936</v>
      </c>
      <c r="H33" s="68">
        <f>IF(SER_hh_tes!H33=0,0,11630*1000*SER_hh_tes!H33/SER_hh_num!H33)</f>
        <v>10802.261063733755</v>
      </c>
      <c r="I33" s="68">
        <f>IF(SER_hh_tes!I33=0,0,11630*1000*SER_hh_tes!I33/SER_hh_num!I33)</f>
        <v>10639.468422513559</v>
      </c>
      <c r="J33" s="68">
        <f>IF(SER_hh_tes!J33=0,0,11630*1000*SER_hh_tes!J33/SER_hh_num!J33)</f>
        <v>10667.683869110988</v>
      </c>
      <c r="K33" s="68">
        <f>IF(SER_hh_tes!K33=0,0,11630*1000*SER_hh_tes!K33/SER_hh_num!K33)</f>
        <v>11038.403064456335</v>
      </c>
      <c r="L33" s="68">
        <f>IF(SER_hh_tes!L33=0,0,11630*1000*SER_hh_tes!L33/SER_hh_num!L33)</f>
        <v>11479.012196280368</v>
      </c>
      <c r="M33" s="68">
        <f>IF(SER_hh_tes!M33=0,0,11630*1000*SER_hh_tes!M33/SER_hh_num!M33)</f>
        <v>11377.179319975576</v>
      </c>
      <c r="N33" s="68">
        <f>IF(SER_hh_tes!N33=0,0,11630*1000*SER_hh_tes!N33/SER_hh_num!N33)</f>
        <v>11484.823052679118</v>
      </c>
      <c r="O33" s="68">
        <f>IF(SER_hh_tes!O33=0,0,11630*1000*SER_hh_tes!O33/SER_hh_num!O33)</f>
        <v>11711.577776227779</v>
      </c>
      <c r="P33" s="68">
        <f>IF(SER_hh_tes!P33=0,0,11630*1000*SER_hh_tes!P33/SER_hh_num!P33)</f>
        <v>11745.232515975627</v>
      </c>
      <c r="Q33" s="68">
        <f>IF(SER_hh_tes!Q33=0,0,11630*1000*SER_hh_tes!Q33/SER_hh_num!Q33)</f>
        <v>11849.198897230341</v>
      </c>
      <c r="R33" s="68">
        <f>IF(SER_hh_tes!R33=0,0,11630*1000*SER_hh_tes!R33/SER_hh_num!R33)</f>
        <v>12010.825711055795</v>
      </c>
      <c r="S33" s="68">
        <f>IF(SER_hh_tes!S33=0,0,11630*1000*SER_hh_tes!S33/SER_hh_num!S33)</f>
        <v>12250.419927957946</v>
      </c>
      <c r="T33" s="68">
        <f>IF(SER_hh_tes!T33=0,0,11630*1000*SER_hh_tes!T33/SER_hh_num!T33)</f>
        <v>12627.137713628499</v>
      </c>
      <c r="U33" s="68">
        <f>IF(SER_hh_tes!U33=0,0,11630*1000*SER_hh_tes!U33/SER_hh_num!U33)</f>
        <v>12853.88863040477</v>
      </c>
      <c r="V33" s="68">
        <f>IF(SER_hh_tes!V33=0,0,11630*1000*SER_hh_tes!V33/SER_hh_num!V33)</f>
        <v>10762.516279770562</v>
      </c>
      <c r="W33" s="68">
        <f>IF(SER_hh_tes!W33=0,0,11630*1000*SER_hh_tes!W33/SER_hh_num!W33)</f>
        <v>12379.449943410973</v>
      </c>
      <c r="X33" s="68">
        <f>IF(SER_hh_tes!X33=0,0,11630*1000*SER_hh_tes!X33/SER_hh_num!X33)</f>
        <v>12462.971490861473</v>
      </c>
      <c r="Y33" s="68">
        <f>IF(SER_hh_tes!Y33=0,0,11630*1000*SER_hh_tes!Y33/SER_hh_num!Y33)</f>
        <v>12642.891148144197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5709.2918747748708</v>
      </c>
      <c r="C3" s="125">
        <f>IF(SER_hh_emi!C3=0,0,1000000*SER_hh_emi!C3/SER_hh_num!C3)</f>
        <v>9706.3963574282243</v>
      </c>
      <c r="D3" s="125">
        <f>IF(SER_hh_emi!D3=0,0,1000000*SER_hh_emi!D3/SER_hh_num!D3)</f>
        <v>6360.6442915784601</v>
      </c>
      <c r="E3" s="125">
        <f>IF(SER_hh_emi!E3=0,0,1000000*SER_hh_emi!E3/SER_hh_num!E3)</f>
        <v>4381.4042136330854</v>
      </c>
      <c r="F3" s="125">
        <f>IF(SER_hh_emi!F3=0,0,1000000*SER_hh_emi!F3/SER_hh_num!F3)</f>
        <v>3003.5472529511276</v>
      </c>
      <c r="G3" s="125">
        <f>IF(SER_hh_emi!G3=0,0,1000000*SER_hh_emi!G3/SER_hh_num!G3)</f>
        <v>3221.5400589299297</v>
      </c>
      <c r="H3" s="125">
        <f>IF(SER_hh_emi!H3=0,0,1000000*SER_hh_emi!H3/SER_hh_num!H3)</f>
        <v>5038.4369653481781</v>
      </c>
      <c r="I3" s="125">
        <f>IF(SER_hh_emi!I3=0,0,1000000*SER_hh_emi!I3/SER_hh_num!I3)</f>
        <v>4093.6820552473973</v>
      </c>
      <c r="J3" s="125">
        <f>IF(SER_hh_emi!J3=0,0,1000000*SER_hh_emi!J3/SER_hh_num!J3)</f>
        <v>4894.2919603853334</v>
      </c>
      <c r="K3" s="125">
        <f>IF(SER_hh_emi!K3=0,0,1000000*SER_hh_emi!K3/SER_hh_num!K3)</f>
        <v>4521.9049992233022</v>
      </c>
      <c r="L3" s="125">
        <f>IF(SER_hh_emi!L3=0,0,1000000*SER_hh_emi!L3/SER_hh_num!L3)</f>
        <v>4072.9185587363368</v>
      </c>
      <c r="M3" s="125">
        <f>IF(SER_hh_emi!M3=0,0,1000000*SER_hh_emi!M3/SER_hh_num!M3)</f>
        <v>3688.1035216060577</v>
      </c>
      <c r="N3" s="125">
        <f>IF(SER_hh_emi!N3=0,0,1000000*SER_hh_emi!N3/SER_hh_num!N3)</f>
        <v>3539.6078908003315</v>
      </c>
      <c r="O3" s="125">
        <f>IF(SER_hh_emi!O3=0,0,1000000*SER_hh_emi!O3/SER_hh_num!O3)</f>
        <v>3036.7804747703003</v>
      </c>
      <c r="P3" s="125">
        <f>IF(SER_hh_emi!P3=0,0,1000000*SER_hh_emi!P3/SER_hh_num!P3)</f>
        <v>2765.9479737964311</v>
      </c>
      <c r="Q3" s="125">
        <f>IF(SER_hh_emi!Q3=0,0,1000000*SER_hh_emi!Q3/SER_hh_num!Q3)</f>
        <v>3765.7667762470642</v>
      </c>
      <c r="R3" s="125">
        <f>IF(SER_hh_emi!R3=0,0,1000000*SER_hh_emi!R3/SER_hh_num!R3)</f>
        <v>3748.0799321271247</v>
      </c>
      <c r="S3" s="125">
        <f>IF(SER_hh_emi!S3=0,0,1000000*SER_hh_emi!S3/SER_hh_num!S3)</f>
        <v>3607.8944083400934</v>
      </c>
      <c r="T3" s="125">
        <f>IF(SER_hh_emi!T3=0,0,1000000*SER_hh_emi!T3/SER_hh_num!T3)</f>
        <v>3257.1181640546956</v>
      </c>
      <c r="U3" s="125">
        <f>IF(SER_hh_emi!U3=0,0,1000000*SER_hh_emi!U3/SER_hh_num!U3)</f>
        <v>3204.7763362941623</v>
      </c>
      <c r="V3" s="125">
        <f>IF(SER_hh_emi!V3=0,0,1000000*SER_hh_emi!V3/SER_hh_num!V3)</f>
        <v>2911.4285945970646</v>
      </c>
      <c r="W3" s="125">
        <f>IF(SER_hh_emi!W3=0,0,1000000*SER_hh_emi!W3/SER_hh_num!W3)</f>
        <v>3392.3720885104963</v>
      </c>
      <c r="X3" s="125">
        <f>IF(SER_hh_emi!X3=0,0,1000000*SER_hh_emi!X3/SER_hh_num!X3)</f>
        <v>3339.3884136108363</v>
      </c>
      <c r="Y3" s="125">
        <f>IF(SER_hh_emi!Y3=0,0,1000000*SER_hh_emi!Y3/SER_hh_num!Y3)</f>
        <v>3452.9385843801865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4816.1970926755748</v>
      </c>
      <c r="C4" s="130">
        <f>IF(SER_hh_emi!C4=0,0,1000000*SER_hh_emi!C4/SER_hh_num!C4)</f>
        <v>8607.8348914991675</v>
      </c>
      <c r="D4" s="130">
        <f>IF(SER_hh_emi!D4=0,0,1000000*SER_hh_emi!D4/SER_hh_num!D4)</f>
        <v>5411.1774043074702</v>
      </c>
      <c r="E4" s="130">
        <f>IF(SER_hh_emi!E4=0,0,1000000*SER_hh_emi!E4/SER_hh_num!E4)</f>
        <v>3403.674721866023</v>
      </c>
      <c r="F4" s="130">
        <f>IF(SER_hh_emi!F4=0,0,1000000*SER_hh_emi!F4/SER_hh_num!F4)</f>
        <v>2002.5626417767335</v>
      </c>
      <c r="G4" s="130">
        <f>IF(SER_hh_emi!G4=0,0,1000000*SER_hh_emi!G4/SER_hh_num!G4)</f>
        <v>2276.0146950286844</v>
      </c>
      <c r="H4" s="130">
        <f>IF(SER_hh_emi!H4=0,0,1000000*SER_hh_emi!H4/SER_hh_num!H4)</f>
        <v>3939.9770972222668</v>
      </c>
      <c r="I4" s="130">
        <f>IF(SER_hh_emi!I4=0,0,1000000*SER_hh_emi!I4/SER_hh_num!I4)</f>
        <v>2888.4639458636766</v>
      </c>
      <c r="J4" s="130">
        <f>IF(SER_hh_emi!J4=0,0,1000000*SER_hh_emi!J4/SER_hh_num!J4)</f>
        <v>3657.4082158740034</v>
      </c>
      <c r="K4" s="130">
        <f>IF(SER_hh_emi!K4=0,0,1000000*SER_hh_emi!K4/SER_hh_num!K4)</f>
        <v>3267.698946403817</v>
      </c>
      <c r="L4" s="130">
        <f>IF(SER_hh_emi!L4=0,0,1000000*SER_hh_emi!L4/SER_hh_num!L4)</f>
        <v>2643.9906518714251</v>
      </c>
      <c r="M4" s="130">
        <f>IF(SER_hh_emi!M4=0,0,1000000*SER_hh_emi!M4/SER_hh_num!M4)</f>
        <v>2251.3576075483074</v>
      </c>
      <c r="N4" s="130">
        <f>IF(SER_hh_emi!N4=0,0,1000000*SER_hh_emi!N4/SER_hh_num!N4)</f>
        <v>1957.012068317561</v>
      </c>
      <c r="O4" s="130">
        <f>IF(SER_hh_emi!O4=0,0,1000000*SER_hh_emi!O4/SER_hh_num!O4)</f>
        <v>1624.1436437421094</v>
      </c>
      <c r="P4" s="130">
        <f>IF(SER_hh_emi!P4=0,0,1000000*SER_hh_emi!P4/SER_hh_num!P4)</f>
        <v>1497.5047646113687</v>
      </c>
      <c r="Q4" s="130">
        <f>IF(SER_hh_emi!Q4=0,0,1000000*SER_hh_emi!Q4/SER_hh_num!Q4)</f>
        <v>2542.0939928463085</v>
      </c>
      <c r="R4" s="130">
        <f>IF(SER_hh_emi!R4=0,0,1000000*SER_hh_emi!R4/SER_hh_num!R4)</f>
        <v>2567.4273278515552</v>
      </c>
      <c r="S4" s="130">
        <f>IF(SER_hh_emi!S4=0,0,1000000*SER_hh_emi!S4/SER_hh_num!S4)</f>
        <v>2367.2763753678041</v>
      </c>
      <c r="T4" s="130">
        <f>IF(SER_hh_emi!T4=0,0,1000000*SER_hh_emi!T4/SER_hh_num!T4)</f>
        <v>2035.0536403443898</v>
      </c>
      <c r="U4" s="130">
        <f>IF(SER_hh_emi!U4=0,0,1000000*SER_hh_emi!U4/SER_hh_num!U4)</f>
        <v>1995.1091630006767</v>
      </c>
      <c r="V4" s="130">
        <f>IF(SER_hh_emi!V4=0,0,1000000*SER_hh_emi!V4/SER_hh_num!V4)</f>
        <v>1917.3681291522314</v>
      </c>
      <c r="W4" s="130">
        <f>IF(SER_hh_emi!W4=0,0,1000000*SER_hh_emi!W4/SER_hh_num!W4)</f>
        <v>2298.8337443838932</v>
      </c>
      <c r="X4" s="130">
        <f>IF(SER_hh_emi!X4=0,0,1000000*SER_hh_emi!X4/SER_hh_num!X4)</f>
        <v>2279.886519359487</v>
      </c>
      <c r="Y4" s="130">
        <f>IF(SER_hh_emi!Y4=0,0,1000000*SER_hh_emi!Y4/SER_hh_num!Y4)</f>
        <v>2297.0184226201427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23397.030194596176</v>
      </c>
      <c r="C5" s="132">
        <f>IF(SER_hh_emi!C5=0,0,1000000*SER_hh_emi!C5/SER_hh_num!C5)</f>
        <v>22419.283595938639</v>
      </c>
      <c r="D5" s="132">
        <f>IF(SER_hh_emi!D5=0,0,1000000*SER_hh_emi!D5/SER_hh_num!D5)</f>
        <v>26217.670046393356</v>
      </c>
      <c r="E5" s="132">
        <f>IF(SER_hh_emi!E5=0,0,1000000*SER_hh_emi!E5/SER_hh_num!E5)</f>
        <v>28199.997017173697</v>
      </c>
      <c r="F5" s="132">
        <f>IF(SER_hh_emi!F5=0,0,1000000*SER_hh_emi!F5/SER_hh_num!F5)</f>
        <v>19632.676194958851</v>
      </c>
      <c r="G5" s="132">
        <f>IF(SER_hh_emi!G5=0,0,1000000*SER_hh_emi!G5/SER_hh_num!G5)</f>
        <v>27984.792269783804</v>
      </c>
      <c r="H5" s="132">
        <f>IF(SER_hh_emi!H5=0,0,1000000*SER_hh_emi!H5/SER_hh_num!H5)</f>
        <v>31836.736545017822</v>
      </c>
      <c r="I5" s="132">
        <f>IF(SER_hh_emi!I5=0,0,1000000*SER_hh_emi!I5/SER_hh_num!I5)</f>
        <v>16012.916756771652</v>
      </c>
      <c r="J5" s="132">
        <f>IF(SER_hh_emi!J5=0,0,1000000*SER_hh_emi!J5/SER_hh_num!J5)</f>
        <v>30691.502045652058</v>
      </c>
      <c r="K5" s="132">
        <f>IF(SER_hh_emi!K5=0,0,1000000*SER_hh_emi!K5/SER_hh_num!K5)</f>
        <v>26612.482041820484</v>
      </c>
      <c r="L5" s="132">
        <f>IF(SER_hh_emi!L5=0,0,1000000*SER_hh_emi!L5/SER_hh_num!L5)</f>
        <v>25580.488965037646</v>
      </c>
      <c r="M5" s="132">
        <f>IF(SER_hh_emi!M5=0,0,1000000*SER_hh_emi!M5/SER_hh_num!M5)</f>
        <v>28372.96693826155</v>
      </c>
      <c r="N5" s="132">
        <f>IF(SER_hh_emi!N5=0,0,1000000*SER_hh_emi!N5/SER_hh_num!N5)</f>
        <v>21517.704246979494</v>
      </c>
      <c r="O5" s="132">
        <f>IF(SER_hh_emi!O5=0,0,1000000*SER_hh_emi!O5/SER_hh_num!O5)</f>
        <v>28195.569276733673</v>
      </c>
      <c r="P5" s="132">
        <f>IF(SER_hh_emi!P5=0,0,1000000*SER_hh_emi!P5/SER_hh_num!P5)</f>
        <v>13007.423228000998</v>
      </c>
      <c r="Q5" s="132">
        <f>IF(SER_hh_emi!Q5=0,0,1000000*SER_hh_emi!Q5/SER_hh_num!Q5)</f>
        <v>32777.817823540077</v>
      </c>
      <c r="R5" s="132">
        <f>IF(SER_hh_emi!R5=0,0,1000000*SER_hh_emi!R5/SER_hh_num!R5)</f>
        <v>36517.901997357993</v>
      </c>
      <c r="S5" s="132">
        <f>IF(SER_hh_emi!S5=0,0,1000000*SER_hh_emi!S5/SER_hh_num!S5)</f>
        <v>26398.913228626312</v>
      </c>
      <c r="T5" s="132">
        <f>IF(SER_hh_emi!T5=0,0,1000000*SER_hh_emi!T5/SER_hh_num!T5)</f>
        <v>19457.405555801015</v>
      </c>
      <c r="U5" s="132">
        <f>IF(SER_hh_emi!U5=0,0,1000000*SER_hh_emi!U5/SER_hh_num!U5)</f>
        <v>30507.668394045908</v>
      </c>
      <c r="V5" s="132">
        <f>IF(SER_hh_emi!V5=0,0,1000000*SER_hh_emi!V5/SER_hh_num!V5)</f>
        <v>27309.668989761609</v>
      </c>
      <c r="W5" s="132">
        <f>IF(SER_hh_emi!W5=0,0,1000000*SER_hh_emi!W5/SER_hh_num!W5)</f>
        <v>27390.757525216861</v>
      </c>
      <c r="X5" s="132">
        <f>IF(SER_hh_emi!X5=0,0,1000000*SER_hh_emi!X5/SER_hh_num!X5)</f>
        <v>26486.283191537364</v>
      </c>
      <c r="Y5" s="132">
        <f>IF(SER_hh_emi!Y5=0,0,1000000*SER_hh_emi!Y5/SER_hh_num!Y5)</f>
        <v>32930.308796337245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15498.028704674343</v>
      </c>
      <c r="C7" s="132">
        <f>IF(SER_hh_emi!C7=0,0,1000000*SER_hh_emi!C7/SER_hh_num!C7)</f>
        <v>31333.095010269561</v>
      </c>
      <c r="D7" s="132">
        <f>IF(SER_hh_emi!D7=0,0,1000000*SER_hh_emi!D7/SER_hh_num!D7)</f>
        <v>24081.517860998891</v>
      </c>
      <c r="E7" s="132">
        <f>IF(SER_hh_emi!E7=0,0,1000000*SER_hh_emi!E7/SER_hh_num!E7)</f>
        <v>19029.980770961658</v>
      </c>
      <c r="F7" s="132">
        <f>IF(SER_hh_emi!F7=0,0,1000000*SER_hh_emi!F7/SER_hh_num!F7)</f>
        <v>13600.009967908476</v>
      </c>
      <c r="G7" s="132">
        <f>IF(SER_hh_emi!G7=0,0,1000000*SER_hh_emi!G7/SER_hh_num!G7)</f>
        <v>14896.136117208285</v>
      </c>
      <c r="H7" s="132">
        <f>IF(SER_hh_emi!H7=0,0,1000000*SER_hh_emi!H7/SER_hh_num!H7)</f>
        <v>32030.840273640821</v>
      </c>
      <c r="I7" s="132">
        <f>IF(SER_hh_emi!I7=0,0,1000000*SER_hh_emi!I7/SER_hh_num!I7)</f>
        <v>22245.864533643668</v>
      </c>
      <c r="J7" s="132">
        <f>IF(SER_hh_emi!J7=0,0,1000000*SER_hh_emi!J7/SER_hh_num!J7)</f>
        <v>29605.878532557937</v>
      </c>
      <c r="K7" s="132">
        <f>IF(SER_hh_emi!K7=0,0,1000000*SER_hh_emi!K7/SER_hh_num!K7)</f>
        <v>33828.73555380405</v>
      </c>
      <c r="L7" s="132">
        <f>IF(SER_hh_emi!L7=0,0,1000000*SER_hh_emi!L7/SER_hh_num!L7)</f>
        <v>23329.056115593605</v>
      </c>
      <c r="M7" s="132">
        <f>IF(SER_hh_emi!M7=0,0,1000000*SER_hh_emi!M7/SER_hh_num!M7)</f>
        <v>22066.700323863304</v>
      </c>
      <c r="N7" s="132">
        <f>IF(SER_hh_emi!N7=0,0,1000000*SER_hh_emi!N7/SER_hh_num!N7)</f>
        <v>24077.535087339187</v>
      </c>
      <c r="O7" s="132">
        <f>IF(SER_hh_emi!O7=0,0,1000000*SER_hh_emi!O7/SER_hh_num!O7)</f>
        <v>15259.947307710221</v>
      </c>
      <c r="P7" s="132">
        <f>IF(SER_hh_emi!P7=0,0,1000000*SER_hh_emi!P7/SER_hh_num!P7)</f>
        <v>9277.5468335950882</v>
      </c>
      <c r="Q7" s="132">
        <f>IF(SER_hh_emi!Q7=0,0,1000000*SER_hh_emi!Q7/SER_hh_num!Q7)</f>
        <v>25343.352437959191</v>
      </c>
      <c r="R7" s="132">
        <f>IF(SER_hh_emi!R7=0,0,1000000*SER_hh_emi!R7/SER_hh_num!R7)</f>
        <v>24049.261089933323</v>
      </c>
      <c r="S7" s="132">
        <f>IF(SER_hh_emi!S7=0,0,1000000*SER_hh_emi!S7/SER_hh_num!S7)</f>
        <v>21911.336223507242</v>
      </c>
      <c r="T7" s="132">
        <f>IF(SER_hh_emi!T7=0,0,1000000*SER_hh_emi!T7/SER_hh_num!T7)</f>
        <v>16616.115357916628</v>
      </c>
      <c r="U7" s="132">
        <f>IF(SER_hh_emi!U7=0,0,1000000*SER_hh_emi!U7/SER_hh_num!U7)</f>
        <v>23169.358645342556</v>
      </c>
      <c r="V7" s="132">
        <f>IF(SER_hh_emi!V7=0,0,1000000*SER_hh_emi!V7/SER_hh_num!V7)</f>
        <v>21624.95294260596</v>
      </c>
      <c r="W7" s="132">
        <f>IF(SER_hh_emi!W7=0,0,1000000*SER_hh_emi!W7/SER_hh_num!W7)</f>
        <v>21680.878787148071</v>
      </c>
      <c r="X7" s="132">
        <f>IF(SER_hh_emi!X7=0,0,1000000*SER_hh_emi!X7/SER_hh_num!X7)</f>
        <v>24443.294948093055</v>
      </c>
      <c r="Y7" s="132">
        <f>IF(SER_hh_emi!Y7=0,0,1000000*SER_hh_emi!Y7/SER_hh_num!Y7)</f>
        <v>28802.42893874929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0</v>
      </c>
      <c r="C8" s="132">
        <f>IF(SER_hh_emi!C8=0,0,1000000*SER_hh_emi!C8/SER_hh_num!C8)</f>
        <v>0</v>
      </c>
      <c r="D8" s="132">
        <f>IF(SER_hh_emi!D8=0,0,1000000*SER_hh_emi!D8/SER_hh_num!D8)</f>
        <v>0</v>
      </c>
      <c r="E8" s="132">
        <f>IF(SER_hh_emi!E8=0,0,1000000*SER_hh_emi!E8/SER_hh_num!E8)</f>
        <v>0</v>
      </c>
      <c r="F8" s="132">
        <f>IF(SER_hh_emi!F8=0,0,1000000*SER_hh_emi!F8/SER_hh_num!F8)</f>
        <v>0</v>
      </c>
      <c r="G8" s="132">
        <f>IF(SER_hh_emi!G8=0,0,1000000*SER_hh_emi!G8/SER_hh_num!G8)</f>
        <v>0</v>
      </c>
      <c r="H8" s="132">
        <f>IF(SER_hh_emi!H8=0,0,1000000*SER_hh_emi!H8/SER_hh_num!H8)</f>
        <v>0</v>
      </c>
      <c r="I8" s="132">
        <f>IF(SER_hh_emi!I8=0,0,1000000*SER_hh_emi!I8/SER_hh_num!I8)</f>
        <v>0</v>
      </c>
      <c r="J8" s="132">
        <f>IF(SER_hh_emi!J8=0,0,1000000*SER_hh_emi!J8/SER_hh_num!J8)</f>
        <v>0</v>
      </c>
      <c r="K8" s="132">
        <f>IF(SER_hh_emi!K8=0,0,1000000*SER_hh_emi!K8/SER_hh_num!K8)</f>
        <v>0</v>
      </c>
      <c r="L8" s="132">
        <f>IF(SER_hh_emi!L8=0,0,1000000*SER_hh_emi!L8/SER_hh_num!L8)</f>
        <v>0</v>
      </c>
      <c r="M8" s="132">
        <f>IF(SER_hh_emi!M8=0,0,1000000*SER_hh_emi!M8/SER_hh_num!M8)</f>
        <v>0</v>
      </c>
      <c r="N8" s="132">
        <f>IF(SER_hh_emi!N8=0,0,1000000*SER_hh_emi!N8/SER_hh_num!N8)</f>
        <v>0</v>
      </c>
      <c r="O8" s="132">
        <f>IF(SER_hh_emi!O8=0,0,1000000*SER_hh_emi!O8/SER_hh_num!O8)</f>
        <v>0</v>
      </c>
      <c r="P8" s="132">
        <f>IF(SER_hh_emi!P8=0,0,1000000*SER_hh_emi!P8/SER_hh_num!P8)</f>
        <v>0</v>
      </c>
      <c r="Q8" s="132">
        <f>IF(SER_hh_emi!Q8=0,0,1000000*SER_hh_emi!Q8/SER_hh_num!Q8)</f>
        <v>0</v>
      </c>
      <c r="R8" s="132">
        <f>IF(SER_hh_emi!R8=0,0,1000000*SER_hh_emi!R8/SER_hh_num!R8)</f>
        <v>0</v>
      </c>
      <c r="S8" s="132">
        <f>IF(SER_hh_emi!S8=0,0,1000000*SER_hh_emi!S8/SER_hh_num!S8)</f>
        <v>0</v>
      </c>
      <c r="T8" s="132">
        <f>IF(SER_hh_emi!T8=0,0,1000000*SER_hh_emi!T8/SER_hh_num!T8)</f>
        <v>0</v>
      </c>
      <c r="U8" s="132">
        <f>IF(SER_hh_emi!U8=0,0,1000000*SER_hh_emi!U8/SER_hh_num!U8)</f>
        <v>0</v>
      </c>
      <c r="V8" s="132">
        <f>IF(SER_hh_emi!V8=0,0,1000000*SER_hh_emi!V8/SER_hh_num!V8)</f>
        <v>0</v>
      </c>
      <c r="W8" s="132">
        <f>IF(SER_hh_emi!W8=0,0,1000000*SER_hh_emi!W8/SER_hh_num!W8)</f>
        <v>0</v>
      </c>
      <c r="X8" s="132">
        <f>IF(SER_hh_emi!X8=0,0,1000000*SER_hh_emi!X8/SER_hh_num!X8)</f>
        <v>0</v>
      </c>
      <c r="Y8" s="132">
        <f>IF(SER_hh_emi!Y8=0,0,1000000*SER_hh_emi!Y8/SER_hh_num!Y8)</f>
        <v>0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12191.655218518477</v>
      </c>
      <c r="C9" s="132">
        <f>IF(SER_hh_emi!C9=0,0,1000000*SER_hh_emi!C9/SER_hh_num!C9)</f>
        <v>16983.098303949708</v>
      </c>
      <c r="D9" s="132">
        <f>IF(SER_hh_emi!D9=0,0,1000000*SER_hh_emi!D9/SER_hh_num!D9)</f>
        <v>14000.251461346868</v>
      </c>
      <c r="E9" s="132">
        <f>IF(SER_hh_emi!E9=0,0,1000000*SER_hh_emi!E9/SER_hh_num!E9)</f>
        <v>15420.301491003882</v>
      </c>
      <c r="F9" s="132">
        <f>IF(SER_hh_emi!F9=0,0,1000000*SER_hh_emi!F9/SER_hh_num!F9)</f>
        <v>11802.419800192793</v>
      </c>
      <c r="G9" s="132">
        <f>IF(SER_hh_emi!G9=0,0,1000000*SER_hh_emi!G9/SER_hh_num!G9)</f>
        <v>14866.550327325229</v>
      </c>
      <c r="H9" s="132">
        <f>IF(SER_hh_emi!H9=0,0,1000000*SER_hh_emi!H9/SER_hh_num!H9)</f>
        <v>18674.349001735565</v>
      </c>
      <c r="I9" s="132">
        <f>IF(SER_hh_emi!I9=0,0,1000000*SER_hh_emi!I9/SER_hh_num!I9)</f>
        <v>16750.22855953679</v>
      </c>
      <c r="J9" s="132">
        <f>IF(SER_hh_emi!J9=0,0,1000000*SER_hh_emi!J9/SER_hh_num!J9)</f>
        <v>19877.711410650554</v>
      </c>
      <c r="K9" s="132">
        <f>IF(SER_hh_emi!K9=0,0,1000000*SER_hh_emi!K9/SER_hh_num!K9)</f>
        <v>12502.749151275853</v>
      </c>
      <c r="L9" s="132">
        <f>IF(SER_hh_emi!L9=0,0,1000000*SER_hh_emi!L9/SER_hh_num!L9)</f>
        <v>17034.877036404258</v>
      </c>
      <c r="M9" s="132">
        <f>IF(SER_hh_emi!M9=0,0,1000000*SER_hh_emi!M9/SER_hh_num!M9)</f>
        <v>17681.329223227258</v>
      </c>
      <c r="N9" s="132">
        <f>IF(SER_hh_emi!N9=0,0,1000000*SER_hh_emi!N9/SER_hh_num!N9)</f>
        <v>15779.046650619541</v>
      </c>
      <c r="O9" s="132">
        <f>IF(SER_hh_emi!O9=0,0,1000000*SER_hh_emi!O9/SER_hh_num!O9)</f>
        <v>13518.844388090609</v>
      </c>
      <c r="P9" s="132">
        <f>IF(SER_hh_emi!P9=0,0,1000000*SER_hh_emi!P9/SER_hh_num!P9)</f>
        <v>13620.215738752224</v>
      </c>
      <c r="Q9" s="132">
        <f>IF(SER_hh_emi!Q9=0,0,1000000*SER_hh_emi!Q9/SER_hh_num!Q9)</f>
        <v>14612.621873326258</v>
      </c>
      <c r="R9" s="132">
        <f>IF(SER_hh_emi!R9=0,0,1000000*SER_hh_emi!R9/SER_hh_num!R9)</f>
        <v>14803.760053270664</v>
      </c>
      <c r="S9" s="132">
        <f>IF(SER_hh_emi!S9=0,0,1000000*SER_hh_emi!S9/SER_hh_num!S9)</f>
        <v>15595.738158859023</v>
      </c>
      <c r="T9" s="132">
        <f>IF(SER_hh_emi!T9=0,0,1000000*SER_hh_emi!T9/SER_hh_num!T9)</f>
        <v>16623.116328698597</v>
      </c>
      <c r="U9" s="132">
        <f>IF(SER_hh_emi!U9=0,0,1000000*SER_hh_emi!U9/SER_hh_num!U9)</f>
        <v>14387.432833944898</v>
      </c>
      <c r="V9" s="132">
        <f>IF(SER_hh_emi!V9=0,0,1000000*SER_hh_emi!V9/SER_hh_num!V9)</f>
        <v>14353.097639263124</v>
      </c>
      <c r="W9" s="132">
        <f>IF(SER_hh_emi!W9=0,0,1000000*SER_hh_emi!W9/SER_hh_num!W9)</f>
        <v>18986.950205321162</v>
      </c>
      <c r="X9" s="132">
        <f>IF(SER_hh_emi!X9=0,0,1000000*SER_hh_emi!X9/SER_hh_num!X9)</f>
        <v>18902.157394975711</v>
      </c>
      <c r="Y9" s="132">
        <f>IF(SER_hh_emi!Y9=0,0,1000000*SER_hh_emi!Y9/SER_hh_num!Y9)</f>
        <v>16586.130014467013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0</v>
      </c>
      <c r="F10" s="132">
        <f>IF(SER_hh_emi!F10=0,0,1000000*SER_hh_emi!F10/SER_hh_num!F10)</f>
        <v>0</v>
      </c>
      <c r="G10" s="132">
        <f>IF(SER_hh_emi!G10=0,0,1000000*SER_hh_emi!G10/SER_hh_num!G10)</f>
        <v>0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0</v>
      </c>
      <c r="K10" s="132">
        <f>IF(SER_hh_emi!K10=0,0,1000000*SER_hh_emi!K10/SER_hh_num!K10)</f>
        <v>0</v>
      </c>
      <c r="L10" s="132">
        <f>IF(SER_hh_emi!L10=0,0,1000000*SER_hh_emi!L10/SER_hh_num!L10)</f>
        <v>0</v>
      </c>
      <c r="M10" s="132">
        <f>IF(SER_hh_emi!M10=0,0,1000000*SER_hh_emi!M10/SER_hh_num!M10)</f>
        <v>0</v>
      </c>
      <c r="N10" s="132">
        <f>IF(SER_hh_emi!N10=0,0,1000000*SER_hh_emi!N10/SER_hh_num!N10)</f>
        <v>0</v>
      </c>
      <c r="O10" s="132">
        <f>IF(SER_hh_emi!O10=0,0,1000000*SER_hh_emi!O10/SER_hh_num!O10)</f>
        <v>0</v>
      </c>
      <c r="P10" s="132">
        <f>IF(SER_hh_emi!P10=0,0,1000000*SER_hh_emi!P10/SER_hh_num!P10)</f>
        <v>0</v>
      </c>
      <c r="Q10" s="132">
        <f>IF(SER_hh_emi!Q10=0,0,1000000*SER_hh_emi!Q10/SER_hh_num!Q10)</f>
        <v>0</v>
      </c>
      <c r="R10" s="132">
        <f>IF(SER_hh_emi!R10=0,0,1000000*SER_hh_emi!R10/SER_hh_num!R10)</f>
        <v>0</v>
      </c>
      <c r="S10" s="132">
        <f>IF(SER_hh_emi!S10=0,0,1000000*SER_hh_emi!S10/SER_hh_num!S10)</f>
        <v>0</v>
      </c>
      <c r="T10" s="132">
        <f>IF(SER_hh_emi!T10=0,0,1000000*SER_hh_emi!T10/SER_hh_num!T10)</f>
        <v>0</v>
      </c>
      <c r="U10" s="132">
        <f>IF(SER_hh_emi!U10=0,0,1000000*SER_hh_emi!U10/SER_hh_num!U10)</f>
        <v>0</v>
      </c>
      <c r="V10" s="132">
        <f>IF(SER_hh_emi!V10=0,0,1000000*SER_hh_emi!V10/SER_hh_num!V10)</f>
        <v>0</v>
      </c>
      <c r="W10" s="132">
        <f>IF(SER_hh_emi!W10=0,0,1000000*SER_hh_emi!W10/SER_hh_num!W10)</f>
        <v>0</v>
      </c>
      <c r="X10" s="132">
        <f>IF(SER_hh_emi!X10=0,0,1000000*SER_hh_emi!X10/SER_hh_num!X10)</f>
        <v>0</v>
      </c>
      <c r="Y10" s="132">
        <f>IF(SER_hh_emi!Y10=0,0,1000000*SER_hh_emi!Y10/SER_hh_num!Y10)</f>
        <v>0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0</v>
      </c>
      <c r="C16" s="130">
        <f>IF(SER_hh_emi!C16=0,0,1000000*SER_hh_emi!C16/SER_hh_num!C16)</f>
        <v>0</v>
      </c>
      <c r="D16" s="130">
        <f>IF(SER_hh_emi!D16=0,0,1000000*SER_hh_emi!D16/SER_hh_num!D16)</f>
        <v>0</v>
      </c>
      <c r="E16" s="130">
        <f>IF(SER_hh_emi!E16=0,0,1000000*SER_hh_emi!E16/SER_hh_num!E16)</f>
        <v>0</v>
      </c>
      <c r="F16" s="130">
        <f>IF(SER_hh_emi!F16=0,0,1000000*SER_hh_emi!F16/SER_hh_num!F16)</f>
        <v>0</v>
      </c>
      <c r="G16" s="130">
        <f>IF(SER_hh_emi!G16=0,0,1000000*SER_hh_emi!G16/SER_hh_num!G16)</f>
        <v>0</v>
      </c>
      <c r="H16" s="130">
        <f>IF(SER_hh_emi!H16=0,0,1000000*SER_hh_emi!H16/SER_hh_num!H16)</f>
        <v>0</v>
      </c>
      <c r="I16" s="130">
        <f>IF(SER_hh_emi!I16=0,0,1000000*SER_hh_emi!I16/SER_hh_num!I16)</f>
        <v>0</v>
      </c>
      <c r="J16" s="130">
        <f>IF(SER_hh_emi!J16=0,0,1000000*SER_hh_emi!J16/SER_hh_num!J16)</f>
        <v>0</v>
      </c>
      <c r="K16" s="130">
        <f>IF(SER_hh_emi!K16=0,0,1000000*SER_hh_emi!K16/SER_hh_num!K16)</f>
        <v>0</v>
      </c>
      <c r="L16" s="130">
        <f>IF(SER_hh_emi!L16=0,0,1000000*SER_hh_emi!L16/SER_hh_num!L16)</f>
        <v>0</v>
      </c>
      <c r="M16" s="130">
        <f>IF(SER_hh_emi!M16=0,0,1000000*SER_hh_emi!M16/SER_hh_num!M16)</f>
        <v>0</v>
      </c>
      <c r="N16" s="130">
        <f>IF(SER_hh_emi!N16=0,0,1000000*SER_hh_emi!N16/SER_hh_num!N16)</f>
        <v>0</v>
      </c>
      <c r="O16" s="130">
        <f>IF(SER_hh_emi!O16=0,0,1000000*SER_hh_emi!O16/SER_hh_num!O16)</f>
        <v>0</v>
      </c>
      <c r="P16" s="130">
        <f>IF(SER_hh_emi!P16=0,0,1000000*SER_hh_emi!P16/SER_hh_num!P16)</f>
        <v>0</v>
      </c>
      <c r="Q16" s="130">
        <f>IF(SER_hh_emi!Q16=0,0,1000000*SER_hh_emi!Q16/SER_hh_num!Q16)</f>
        <v>0</v>
      </c>
      <c r="R16" s="130">
        <f>IF(SER_hh_emi!R16=0,0,1000000*SER_hh_emi!R16/SER_hh_num!R16)</f>
        <v>0</v>
      </c>
      <c r="S16" s="130">
        <f>IF(SER_hh_emi!S16=0,0,1000000*SER_hh_emi!S16/SER_hh_num!S16)</f>
        <v>0</v>
      </c>
      <c r="T16" s="130">
        <f>IF(SER_hh_emi!T16=0,0,1000000*SER_hh_emi!T16/SER_hh_num!T16)</f>
        <v>0</v>
      </c>
      <c r="U16" s="130">
        <f>IF(SER_hh_emi!U16=0,0,1000000*SER_hh_emi!U16/SER_hh_num!U16)</f>
        <v>0</v>
      </c>
      <c r="V16" s="130">
        <f>IF(SER_hh_emi!V16=0,0,1000000*SER_hh_emi!V16/SER_hh_num!V16)</f>
        <v>0</v>
      </c>
      <c r="W16" s="130">
        <f>IF(SER_hh_emi!W16=0,0,1000000*SER_hh_emi!W16/SER_hh_num!W16)</f>
        <v>0</v>
      </c>
      <c r="X16" s="130">
        <f>IF(SER_hh_emi!X16=0,0,1000000*SER_hh_emi!X16/SER_hh_num!X16)</f>
        <v>0</v>
      </c>
      <c r="Y16" s="130">
        <f>IF(SER_hh_emi!Y16=0,0,1000000*SER_hh_emi!Y16/SER_hh_num!Y16)</f>
        <v>0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0</v>
      </c>
      <c r="C17" s="132">
        <f>IF(SER_hh_emi!C17=0,0,1000000*SER_hh_emi!C17/SER_hh_num!C17)</f>
        <v>0</v>
      </c>
      <c r="D17" s="132">
        <f>IF(SER_hh_emi!D17=0,0,1000000*SER_hh_emi!D17/SER_hh_num!D17)</f>
        <v>0</v>
      </c>
      <c r="E17" s="132">
        <f>IF(SER_hh_emi!E17=0,0,1000000*SER_hh_emi!E17/SER_hh_num!E17)</f>
        <v>0</v>
      </c>
      <c r="F17" s="132">
        <f>IF(SER_hh_emi!F17=0,0,1000000*SER_hh_emi!F17/SER_hh_num!F17)</f>
        <v>0</v>
      </c>
      <c r="G17" s="132">
        <f>IF(SER_hh_emi!G17=0,0,1000000*SER_hh_emi!G17/SER_hh_num!G17)</f>
        <v>0</v>
      </c>
      <c r="H17" s="132">
        <f>IF(SER_hh_emi!H17=0,0,1000000*SER_hh_emi!H17/SER_hh_num!H17)</f>
        <v>0</v>
      </c>
      <c r="I17" s="132">
        <f>IF(SER_hh_emi!I17=0,0,1000000*SER_hh_emi!I17/SER_hh_num!I17)</f>
        <v>0</v>
      </c>
      <c r="J17" s="132">
        <f>IF(SER_hh_emi!J17=0,0,1000000*SER_hh_emi!J17/SER_hh_num!J17)</f>
        <v>0</v>
      </c>
      <c r="K17" s="132">
        <f>IF(SER_hh_emi!K17=0,0,1000000*SER_hh_emi!K17/SER_hh_num!K17)</f>
        <v>0</v>
      </c>
      <c r="L17" s="132">
        <f>IF(SER_hh_emi!L17=0,0,1000000*SER_hh_emi!L17/SER_hh_num!L17)</f>
        <v>0</v>
      </c>
      <c r="M17" s="132">
        <f>IF(SER_hh_emi!M17=0,0,1000000*SER_hh_emi!M17/SER_hh_num!M17)</f>
        <v>0</v>
      </c>
      <c r="N17" s="132">
        <f>IF(SER_hh_emi!N17=0,0,1000000*SER_hh_emi!N17/SER_hh_num!N17)</f>
        <v>0</v>
      </c>
      <c r="O17" s="132">
        <f>IF(SER_hh_emi!O17=0,0,1000000*SER_hh_emi!O17/SER_hh_num!O17)</f>
        <v>0</v>
      </c>
      <c r="P17" s="132">
        <f>IF(SER_hh_emi!P17=0,0,1000000*SER_hh_emi!P17/SER_hh_num!P17)</f>
        <v>0</v>
      </c>
      <c r="Q17" s="132">
        <f>IF(SER_hh_emi!Q17=0,0,1000000*SER_hh_emi!Q17/SER_hh_num!Q17)</f>
        <v>0</v>
      </c>
      <c r="R17" s="132">
        <f>IF(SER_hh_emi!R17=0,0,1000000*SER_hh_emi!R17/SER_hh_num!R17)</f>
        <v>0</v>
      </c>
      <c r="S17" s="132">
        <f>IF(SER_hh_emi!S17=0,0,1000000*SER_hh_emi!S17/SER_hh_num!S17)</f>
        <v>0</v>
      </c>
      <c r="T17" s="132">
        <f>IF(SER_hh_emi!T17=0,0,1000000*SER_hh_emi!T17/SER_hh_num!T17)</f>
        <v>0</v>
      </c>
      <c r="U17" s="132">
        <f>IF(SER_hh_emi!U17=0,0,1000000*SER_hh_emi!U17/SER_hh_num!U17)</f>
        <v>0</v>
      </c>
      <c r="V17" s="132">
        <f>IF(SER_hh_emi!V17=0,0,1000000*SER_hh_emi!V17/SER_hh_num!V17)</f>
        <v>0</v>
      </c>
      <c r="W17" s="132">
        <f>IF(SER_hh_emi!W17=0,0,1000000*SER_hh_emi!W17/SER_hh_num!W17)</f>
        <v>0</v>
      </c>
      <c r="X17" s="132">
        <f>IF(SER_hh_emi!X17=0,0,1000000*SER_hh_emi!X17/SER_hh_num!X17)</f>
        <v>0</v>
      </c>
      <c r="Y17" s="132">
        <f>IF(SER_hh_emi!Y17=0,0,1000000*SER_hh_emi!Y17/SER_hh_num!Y17)</f>
        <v>0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726.90251785976113</v>
      </c>
      <c r="C19" s="130">
        <f>IF(SER_hh_emi!C19=0,0,1000000*SER_hh_emi!C19/SER_hh_num!C19)</f>
        <v>773.28196564913196</v>
      </c>
      <c r="D19" s="130">
        <f>IF(SER_hh_emi!D19=0,0,1000000*SER_hh_emi!D19/SER_hh_num!D19)</f>
        <v>748.08114036124255</v>
      </c>
      <c r="E19" s="130">
        <f>IF(SER_hh_emi!E19=0,0,1000000*SER_hh_emi!E19/SER_hh_num!E19)</f>
        <v>728.58046364171491</v>
      </c>
      <c r="F19" s="130">
        <f>IF(SER_hh_emi!F19=0,0,1000000*SER_hh_emi!F19/SER_hh_num!F19)</f>
        <v>646.32119460482397</v>
      </c>
      <c r="G19" s="130">
        <f>IF(SER_hh_emi!G19=0,0,1000000*SER_hh_emi!G19/SER_hh_num!G19)</f>
        <v>653.34597992670854</v>
      </c>
      <c r="H19" s="130">
        <f>IF(SER_hh_emi!H19=0,0,1000000*SER_hh_emi!H19/SER_hh_num!H19)</f>
        <v>710.3593027645876</v>
      </c>
      <c r="I19" s="130">
        <f>IF(SER_hh_emi!I19=0,0,1000000*SER_hh_emi!I19/SER_hh_num!I19)</f>
        <v>770.90276230107213</v>
      </c>
      <c r="J19" s="130">
        <f>IF(SER_hh_emi!J19=0,0,1000000*SER_hh_emi!J19/SER_hh_num!J19)</f>
        <v>789.31328628235633</v>
      </c>
      <c r="K19" s="130">
        <f>IF(SER_hh_emi!K19=0,0,1000000*SER_hh_emi!K19/SER_hh_num!K19)</f>
        <v>805.26165557311833</v>
      </c>
      <c r="L19" s="130">
        <f>IF(SER_hh_emi!L19=0,0,1000000*SER_hh_emi!L19/SER_hh_num!L19)</f>
        <v>811.2295075833531</v>
      </c>
      <c r="M19" s="130">
        <f>IF(SER_hh_emi!M19=0,0,1000000*SER_hh_emi!M19/SER_hh_num!M19)</f>
        <v>797.87585847791217</v>
      </c>
      <c r="N19" s="130">
        <f>IF(SER_hh_emi!N19=0,0,1000000*SER_hh_emi!N19/SER_hh_num!N19)</f>
        <v>771.2748983184905</v>
      </c>
      <c r="O19" s="130">
        <f>IF(SER_hh_emi!O19=0,0,1000000*SER_hh_emi!O19/SER_hh_num!O19)</f>
        <v>701.11188441123625</v>
      </c>
      <c r="P19" s="130">
        <f>IF(SER_hh_emi!P19=0,0,1000000*SER_hh_emi!P19/SER_hh_num!P19)</f>
        <v>660.1296438130347</v>
      </c>
      <c r="Q19" s="130">
        <f>IF(SER_hh_emi!Q19=0,0,1000000*SER_hh_emi!Q19/SER_hh_num!Q19)</f>
        <v>642.03046613268566</v>
      </c>
      <c r="R19" s="130">
        <f>IF(SER_hh_emi!R19=0,0,1000000*SER_hh_emi!R19/SER_hh_num!R19)</f>
        <v>602.07765714831419</v>
      </c>
      <c r="S19" s="130">
        <f>IF(SER_hh_emi!S19=0,0,1000000*SER_hh_emi!S19/SER_hh_num!S19)</f>
        <v>604.69830897462123</v>
      </c>
      <c r="T19" s="130">
        <f>IF(SER_hh_emi!T19=0,0,1000000*SER_hh_emi!T19/SER_hh_num!T19)</f>
        <v>560.30811441153401</v>
      </c>
      <c r="U19" s="130">
        <f>IF(SER_hh_emi!U19=0,0,1000000*SER_hh_emi!U19/SER_hh_num!U19)</f>
        <v>564.50178937149838</v>
      </c>
      <c r="V19" s="130">
        <f>IF(SER_hh_emi!V19=0,0,1000000*SER_hh_emi!V19/SER_hh_num!V19)</f>
        <v>461.97342273800007</v>
      </c>
      <c r="W19" s="130">
        <f>IF(SER_hh_emi!W19=0,0,1000000*SER_hh_emi!W19/SER_hh_num!W19)</f>
        <v>476.61008690432857</v>
      </c>
      <c r="X19" s="130">
        <f>IF(SER_hh_emi!X19=0,0,1000000*SER_hh_emi!X19/SER_hh_num!X19)</f>
        <v>414.62506616913225</v>
      </c>
      <c r="Y19" s="130">
        <f>IF(SER_hh_emi!Y19=0,0,1000000*SER_hh_emi!Y19/SER_hh_num!Y19)</f>
        <v>491.99520970646859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0</v>
      </c>
      <c r="C21" s="132">
        <f>IF(SER_hh_emi!C21=0,0,1000000*SER_hh_emi!C21/SER_hh_num!C21)</f>
        <v>0</v>
      </c>
      <c r="D21" s="132">
        <f>IF(SER_hh_emi!D21=0,0,1000000*SER_hh_emi!D21/SER_hh_num!D21)</f>
        <v>0</v>
      </c>
      <c r="E21" s="132">
        <f>IF(SER_hh_emi!E21=0,0,1000000*SER_hh_emi!E21/SER_hh_num!E21)</f>
        <v>0</v>
      </c>
      <c r="F21" s="132">
        <f>IF(SER_hh_emi!F21=0,0,1000000*SER_hh_emi!F21/SER_hh_num!F21)</f>
        <v>0</v>
      </c>
      <c r="G21" s="132">
        <f>IF(SER_hh_emi!G21=0,0,1000000*SER_hh_emi!G21/SER_hh_num!G21)</f>
        <v>0</v>
      </c>
      <c r="H21" s="132">
        <f>IF(SER_hh_emi!H21=0,0,1000000*SER_hh_emi!H21/SER_hh_num!H21)</f>
        <v>0</v>
      </c>
      <c r="I21" s="132">
        <f>IF(SER_hh_emi!I21=0,0,1000000*SER_hh_emi!I21/SER_hh_num!I21)</f>
        <v>0</v>
      </c>
      <c r="J21" s="132">
        <f>IF(SER_hh_emi!J21=0,0,1000000*SER_hh_emi!J21/SER_hh_num!J21)</f>
        <v>0</v>
      </c>
      <c r="K21" s="132">
        <f>IF(SER_hh_emi!K21=0,0,1000000*SER_hh_emi!K21/SER_hh_num!K21)</f>
        <v>0</v>
      </c>
      <c r="L21" s="132">
        <f>IF(SER_hh_emi!L21=0,0,1000000*SER_hh_emi!L21/SER_hh_num!L21)</f>
        <v>0</v>
      </c>
      <c r="M21" s="132">
        <f>IF(SER_hh_emi!M21=0,0,1000000*SER_hh_emi!M21/SER_hh_num!M21)</f>
        <v>0</v>
      </c>
      <c r="N21" s="132">
        <f>IF(SER_hh_emi!N21=0,0,1000000*SER_hh_emi!N21/SER_hh_num!N21)</f>
        <v>0</v>
      </c>
      <c r="O21" s="132">
        <f>IF(SER_hh_emi!O21=0,0,1000000*SER_hh_emi!O21/SER_hh_num!O21)</f>
        <v>0</v>
      </c>
      <c r="P21" s="132">
        <f>IF(SER_hh_emi!P21=0,0,1000000*SER_hh_emi!P21/SER_hh_num!P21)</f>
        <v>0</v>
      </c>
      <c r="Q21" s="132">
        <f>IF(SER_hh_emi!Q21=0,0,1000000*SER_hh_emi!Q21/SER_hh_num!Q21)</f>
        <v>0</v>
      </c>
      <c r="R21" s="132">
        <f>IF(SER_hh_emi!R21=0,0,1000000*SER_hh_emi!R21/SER_hh_num!R21)</f>
        <v>0</v>
      </c>
      <c r="S21" s="132">
        <f>IF(SER_hh_emi!S21=0,0,1000000*SER_hh_emi!S21/SER_hh_num!S21)</f>
        <v>0</v>
      </c>
      <c r="T21" s="132">
        <f>IF(SER_hh_emi!T21=0,0,1000000*SER_hh_emi!T21/SER_hh_num!T21)</f>
        <v>0</v>
      </c>
      <c r="U21" s="132">
        <f>IF(SER_hh_emi!U21=0,0,1000000*SER_hh_emi!U21/SER_hh_num!U21)</f>
        <v>0</v>
      </c>
      <c r="V21" s="132">
        <f>IF(SER_hh_emi!V21=0,0,1000000*SER_hh_emi!V21/SER_hh_num!V21)</f>
        <v>0</v>
      </c>
      <c r="W21" s="132">
        <f>IF(SER_hh_emi!W21=0,0,1000000*SER_hh_emi!W21/SER_hh_num!W21)</f>
        <v>0</v>
      </c>
      <c r="X21" s="132">
        <f>IF(SER_hh_emi!X21=0,0,1000000*SER_hh_emi!X21/SER_hh_num!X21)</f>
        <v>0</v>
      </c>
      <c r="Y21" s="132">
        <f>IF(SER_hh_emi!Y21=0,0,1000000*SER_hh_emi!Y21/SER_hh_num!Y21)</f>
        <v>0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5300.4081508101344</v>
      </c>
      <c r="C22" s="132">
        <f>IF(SER_hh_emi!C22=0,0,1000000*SER_hh_emi!C22/SER_hh_num!C22)</f>
        <v>5757.3407250533064</v>
      </c>
      <c r="D22" s="132">
        <f>IF(SER_hh_emi!D22=0,0,1000000*SER_hh_emi!D22/SER_hh_num!D22)</f>
        <v>5813.6060309386457</v>
      </c>
      <c r="E22" s="132">
        <f>IF(SER_hh_emi!E22=0,0,1000000*SER_hh_emi!E22/SER_hh_num!E22)</f>
        <v>5738.8864194856505</v>
      </c>
      <c r="F22" s="132">
        <f>IF(SER_hh_emi!F22=0,0,1000000*SER_hh_emi!F22/SER_hh_num!F22)</f>
        <v>5082.8354125995857</v>
      </c>
      <c r="G22" s="132">
        <f>IF(SER_hh_emi!G22=0,0,1000000*SER_hh_emi!G22/SER_hh_num!G22)</f>
        <v>5180.9725876229086</v>
      </c>
      <c r="H22" s="132">
        <f>IF(SER_hh_emi!H22=0,0,1000000*SER_hh_emi!H22/SER_hh_num!H22)</f>
        <v>5443.658441374334</v>
      </c>
      <c r="I22" s="132">
        <f>IF(SER_hh_emi!I22=0,0,1000000*SER_hh_emi!I22/SER_hh_num!I22)</f>
        <v>5482.9808134722607</v>
      </c>
      <c r="J22" s="132">
        <f>IF(SER_hh_emi!J22=0,0,1000000*SER_hh_emi!J22/SER_hh_num!J22)</f>
        <v>5563.2943156706806</v>
      </c>
      <c r="K22" s="132">
        <f>IF(SER_hh_emi!K22=0,0,1000000*SER_hh_emi!K22/SER_hh_num!K22)</f>
        <v>5560.0569964863553</v>
      </c>
      <c r="L22" s="132">
        <f>IF(SER_hh_emi!L22=0,0,1000000*SER_hh_emi!L22/SER_hh_num!L22)</f>
        <v>5606.3896742969073</v>
      </c>
      <c r="M22" s="132">
        <f>IF(SER_hh_emi!M22=0,0,1000000*SER_hh_emi!M22/SER_hh_num!M22)</f>
        <v>6004.6671143624135</v>
      </c>
      <c r="N22" s="132">
        <f>IF(SER_hh_emi!N22=0,0,1000000*SER_hh_emi!N22/SER_hh_num!N22)</f>
        <v>6047.7493660514692</v>
      </c>
      <c r="O22" s="132">
        <f>IF(SER_hh_emi!O22=0,0,1000000*SER_hh_emi!O22/SER_hh_num!O22)</f>
        <v>5200.0674131576925</v>
      </c>
      <c r="P22" s="132">
        <f>IF(SER_hh_emi!P22=0,0,1000000*SER_hh_emi!P22/SER_hh_num!P22)</f>
        <v>4871.5019584665824</v>
      </c>
      <c r="Q22" s="132">
        <f>IF(SER_hh_emi!Q22=0,0,1000000*SER_hh_emi!Q22/SER_hh_num!Q22)</f>
        <v>5879.6525454734292</v>
      </c>
      <c r="R22" s="132">
        <f>IF(SER_hh_emi!R22=0,0,1000000*SER_hh_emi!R22/SER_hh_num!R22)</f>
        <v>6109.1922989801469</v>
      </c>
      <c r="S22" s="132">
        <f>IF(SER_hh_emi!S22=0,0,1000000*SER_hh_emi!S22/SER_hh_num!S22)</f>
        <v>6016.8913371024437</v>
      </c>
      <c r="T22" s="132">
        <f>IF(SER_hh_emi!T22=0,0,1000000*SER_hh_emi!T22/SER_hh_num!T22)</f>
        <v>4384.3693316066747</v>
      </c>
      <c r="U22" s="132">
        <f>IF(SER_hh_emi!U22=0,0,1000000*SER_hh_emi!U22/SER_hh_num!U22)</f>
        <v>5918.0024876438556</v>
      </c>
      <c r="V22" s="132">
        <f>IF(SER_hh_emi!V22=0,0,1000000*SER_hh_emi!V22/SER_hh_num!V22)</f>
        <v>5191.3792612304123</v>
      </c>
      <c r="W22" s="132">
        <f>IF(SER_hh_emi!W22=0,0,1000000*SER_hh_emi!W22/SER_hh_num!W22)</f>
        <v>4483.8318909352638</v>
      </c>
      <c r="X22" s="132">
        <f>IF(SER_hh_emi!X22=0,0,1000000*SER_hh_emi!X22/SER_hh_num!X22)</f>
        <v>4663.0354273597095</v>
      </c>
      <c r="Y22" s="132">
        <f>IF(SER_hh_emi!Y22=0,0,1000000*SER_hh_emi!Y22/SER_hh_num!Y22)</f>
        <v>5438.4021853995164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3754.4234631268037</v>
      </c>
      <c r="C23" s="132">
        <f>IF(SER_hh_emi!C23=0,0,1000000*SER_hh_emi!C23/SER_hh_num!C23)</f>
        <v>4044.4396080377451</v>
      </c>
      <c r="D23" s="132">
        <f>IF(SER_hh_emi!D23=0,0,1000000*SER_hh_emi!D23/SER_hh_num!D23)</f>
        <v>3542.378053860406</v>
      </c>
      <c r="E23" s="132">
        <f>IF(SER_hh_emi!E23=0,0,1000000*SER_hh_emi!E23/SER_hh_num!E23)</f>
        <v>3675.8020994759759</v>
      </c>
      <c r="F23" s="132">
        <f>IF(SER_hh_emi!F23=0,0,1000000*SER_hh_emi!F23/SER_hh_num!F23)</f>
        <v>3566.1679126043273</v>
      </c>
      <c r="G23" s="132">
        <f>IF(SER_hh_emi!G23=0,0,1000000*SER_hh_emi!G23/SER_hh_num!G23)</f>
        <v>3445.515206998823</v>
      </c>
      <c r="H23" s="132">
        <f>IF(SER_hh_emi!H23=0,0,1000000*SER_hh_emi!H23/SER_hh_num!H23)</f>
        <v>3539.178807514726</v>
      </c>
      <c r="I23" s="132">
        <f>IF(SER_hh_emi!I23=0,0,1000000*SER_hh_emi!I23/SER_hh_num!I23)</f>
        <v>3706.6721585973701</v>
      </c>
      <c r="J23" s="132">
        <f>IF(SER_hh_emi!J23=0,0,1000000*SER_hh_emi!J23/SER_hh_num!J23)</f>
        <v>3643.8573316124362</v>
      </c>
      <c r="K23" s="132">
        <f>IF(SER_hh_emi!K23=0,0,1000000*SER_hh_emi!K23/SER_hh_num!K23)</f>
        <v>3663.0417062863662</v>
      </c>
      <c r="L23" s="132">
        <f>IF(SER_hh_emi!L23=0,0,1000000*SER_hh_emi!L23/SER_hh_num!L23)</f>
        <v>3748.2829082076664</v>
      </c>
      <c r="M23" s="132">
        <f>IF(SER_hh_emi!M23=0,0,1000000*SER_hh_emi!M23/SER_hh_num!M23)</f>
        <v>3737.7688785685709</v>
      </c>
      <c r="N23" s="132">
        <f>IF(SER_hh_emi!N23=0,0,1000000*SER_hh_emi!N23/SER_hh_num!N23)</f>
        <v>3751.0086447803728</v>
      </c>
      <c r="O23" s="132">
        <f>IF(SER_hh_emi!O23=0,0,1000000*SER_hh_emi!O23/SER_hh_num!O23)</f>
        <v>3707.6590485544539</v>
      </c>
      <c r="P23" s="132">
        <f>IF(SER_hh_emi!P23=0,0,1000000*SER_hh_emi!P23/SER_hh_num!P23)</f>
        <v>3660.8576396123085</v>
      </c>
      <c r="Q23" s="132">
        <f>IF(SER_hh_emi!Q23=0,0,1000000*SER_hh_emi!Q23/SER_hh_num!Q23)</f>
        <v>3535.4835703985764</v>
      </c>
      <c r="R23" s="132">
        <f>IF(SER_hh_emi!R23=0,0,1000000*SER_hh_emi!R23/SER_hh_num!R23)</f>
        <v>3354.9688895738045</v>
      </c>
      <c r="S23" s="132">
        <f>IF(SER_hh_emi!S23=0,0,1000000*SER_hh_emi!S23/SER_hh_num!S23)</f>
        <v>3507.8332823470855</v>
      </c>
      <c r="T23" s="132">
        <f>IF(SER_hh_emi!T23=0,0,1000000*SER_hh_emi!T23/SER_hh_num!T23)</f>
        <v>3460.8687916428789</v>
      </c>
      <c r="U23" s="132">
        <f>IF(SER_hh_emi!U23=0,0,1000000*SER_hh_emi!U23/SER_hh_num!U23)</f>
        <v>3463.2346136826091</v>
      </c>
      <c r="V23" s="132">
        <f>IF(SER_hh_emi!V23=0,0,1000000*SER_hh_emi!V23/SER_hh_num!V23)</f>
        <v>2931.4097824549026</v>
      </c>
      <c r="W23" s="132">
        <f>IF(SER_hh_emi!W23=0,0,1000000*SER_hh_emi!W23/SER_hh_num!W23)</f>
        <v>3197.1332932472842</v>
      </c>
      <c r="X23" s="132">
        <f>IF(SER_hh_emi!X23=0,0,1000000*SER_hh_emi!X23/SER_hh_num!X23)</f>
        <v>2768.9356074451662</v>
      </c>
      <c r="Y23" s="132">
        <f>IF(SER_hh_emi!Y23=0,0,1000000*SER_hh_emi!Y23/SER_hh_num!Y23)</f>
        <v>3265.1084439418478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166.19226423953495</v>
      </c>
      <c r="C29" s="130">
        <f>IF(SER_hh_emi!C29=0,0,1000000*SER_hh_emi!C29/SER_hh_num!C29)</f>
        <v>325.27950027992597</v>
      </c>
      <c r="D29" s="130">
        <f>IF(SER_hh_emi!D29=0,0,1000000*SER_hh_emi!D29/SER_hh_num!D29)</f>
        <v>201.38574690974664</v>
      </c>
      <c r="E29" s="130">
        <f>IF(SER_hh_emi!E29=0,0,1000000*SER_hh_emi!E29/SER_hh_num!E29)</f>
        <v>249.14902812534746</v>
      </c>
      <c r="F29" s="130">
        <f>IF(SER_hh_emi!F29=0,0,1000000*SER_hh_emi!F29/SER_hh_num!F29)</f>
        <v>354.6634165695699</v>
      </c>
      <c r="G29" s="130">
        <f>IF(SER_hh_emi!G29=0,0,1000000*SER_hh_emi!G29/SER_hh_num!G29)</f>
        <v>292.17938397453668</v>
      </c>
      <c r="H29" s="130">
        <f>IF(SER_hh_emi!H29=0,0,1000000*SER_hh_emi!H29/SER_hh_num!H29)</f>
        <v>388.10056536132424</v>
      </c>
      <c r="I29" s="130">
        <f>IF(SER_hh_emi!I29=0,0,1000000*SER_hh_emi!I29/SER_hh_num!I29)</f>
        <v>434.31534708264763</v>
      </c>
      <c r="J29" s="130">
        <f>IF(SER_hh_emi!J29=0,0,1000000*SER_hh_emi!J29/SER_hh_num!J29)</f>
        <v>447.57045822897345</v>
      </c>
      <c r="K29" s="130">
        <f>IF(SER_hh_emi!K29=0,0,1000000*SER_hh_emi!K29/SER_hh_num!K29)</f>
        <v>448.94439724636766</v>
      </c>
      <c r="L29" s="130">
        <f>IF(SER_hh_emi!L29=0,0,1000000*SER_hh_emi!L29/SER_hh_num!L29)</f>
        <v>617.69839928155807</v>
      </c>
      <c r="M29" s="130">
        <f>IF(SER_hh_emi!M29=0,0,1000000*SER_hh_emi!M29/SER_hh_num!M29)</f>
        <v>638.87005557983787</v>
      </c>
      <c r="N29" s="130">
        <f>IF(SER_hh_emi!N29=0,0,1000000*SER_hh_emi!N29/SER_hh_num!N29)</f>
        <v>811.3209241642794</v>
      </c>
      <c r="O29" s="130">
        <f>IF(SER_hh_emi!O29=0,0,1000000*SER_hh_emi!O29/SER_hh_num!O29)</f>
        <v>711.52494661695482</v>
      </c>
      <c r="P29" s="130">
        <f>IF(SER_hh_emi!P29=0,0,1000000*SER_hh_emi!P29/SER_hh_num!P29)</f>
        <v>608.3135653720276</v>
      </c>
      <c r="Q29" s="130">
        <f>IF(SER_hh_emi!Q29=0,0,1000000*SER_hh_emi!Q29/SER_hh_num!Q29)</f>
        <v>581.6423172680702</v>
      </c>
      <c r="R29" s="130">
        <f>IF(SER_hh_emi!R29=0,0,1000000*SER_hh_emi!R29/SER_hh_num!R29)</f>
        <v>578.57494712725486</v>
      </c>
      <c r="S29" s="130">
        <f>IF(SER_hh_emi!S29=0,0,1000000*SER_hh_emi!S29/SER_hh_num!S29)</f>
        <v>635.91972399766792</v>
      </c>
      <c r="T29" s="130">
        <f>IF(SER_hh_emi!T29=0,0,1000000*SER_hh_emi!T29/SER_hh_num!T29)</f>
        <v>661.75640929877136</v>
      </c>
      <c r="U29" s="130">
        <f>IF(SER_hh_emi!U29=0,0,1000000*SER_hh_emi!U29/SER_hh_num!U29)</f>
        <v>645.16538392198731</v>
      </c>
      <c r="V29" s="130">
        <f>IF(SER_hh_emi!V29=0,0,1000000*SER_hh_emi!V29/SER_hh_num!V29)</f>
        <v>532.08704270683336</v>
      </c>
      <c r="W29" s="130">
        <f>IF(SER_hh_emi!W29=0,0,1000000*SER_hh_emi!W29/SER_hh_num!W29)</f>
        <v>616.92825722227462</v>
      </c>
      <c r="X29" s="130">
        <f>IF(SER_hh_emi!X29=0,0,1000000*SER_hh_emi!X29/SER_hh_num!X29)</f>
        <v>644.87682808221768</v>
      </c>
      <c r="Y29" s="130">
        <f>IF(SER_hh_emi!Y29=0,0,1000000*SER_hh_emi!Y29/SER_hh_num!Y29)</f>
        <v>663.92495205357523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2432.9129294976265</v>
      </c>
      <c r="C30" s="132">
        <f>IF(SER_hh_emi!C30=0,0,1000000*SER_hh_emi!C30/SER_hh_num!C30)</f>
        <v>9698.5766118703577</v>
      </c>
      <c r="D30" s="132">
        <f>IF(SER_hh_emi!D30=0,0,1000000*SER_hh_emi!D30/SER_hh_num!D30)</f>
        <v>2805.0392770193657</v>
      </c>
      <c r="E30" s="132">
        <f>IF(SER_hh_emi!E30=0,0,1000000*SER_hh_emi!E30/SER_hh_num!E30)</f>
        <v>3323.843403088008</v>
      </c>
      <c r="F30" s="132">
        <f>IF(SER_hh_emi!F30=0,0,1000000*SER_hh_emi!F30/SER_hh_num!F30)</f>
        <v>8876.4099232592089</v>
      </c>
      <c r="G30" s="132">
        <f>IF(SER_hh_emi!G30=0,0,1000000*SER_hh_emi!G30/SER_hh_num!G30)</f>
        <v>0</v>
      </c>
      <c r="H30" s="132">
        <f>IF(SER_hh_emi!H30=0,0,1000000*SER_hh_emi!H30/SER_hh_num!H30)</f>
        <v>0</v>
      </c>
      <c r="I30" s="132">
        <f>IF(SER_hh_emi!I30=0,0,1000000*SER_hh_emi!I30/SER_hh_num!I30)</f>
        <v>0</v>
      </c>
      <c r="J30" s="132">
        <f>IF(SER_hh_emi!J30=0,0,1000000*SER_hh_emi!J30/SER_hh_num!J30)</f>
        <v>0</v>
      </c>
      <c r="K30" s="132">
        <f>IF(SER_hh_emi!K30=0,0,1000000*SER_hh_emi!K30/SER_hh_num!K30)</f>
        <v>0</v>
      </c>
      <c r="L30" s="132">
        <f>IF(SER_hh_emi!L30=0,0,1000000*SER_hh_emi!L30/SER_hh_num!L30)</f>
        <v>5578.4437353015237</v>
      </c>
      <c r="M30" s="132">
        <f>IF(SER_hh_emi!M30=0,0,1000000*SER_hh_emi!M30/SER_hh_num!M30)</f>
        <v>5192.1199377346675</v>
      </c>
      <c r="N30" s="132">
        <f>IF(SER_hh_emi!N30=0,0,1000000*SER_hh_emi!N30/SER_hh_num!N30)</f>
        <v>8204.4418812539407</v>
      </c>
      <c r="O30" s="132">
        <f>IF(SER_hh_emi!O30=0,0,1000000*SER_hh_emi!O30/SER_hh_num!O30)</f>
        <v>5846.8942909963534</v>
      </c>
      <c r="P30" s="132">
        <f>IF(SER_hh_emi!P30=0,0,1000000*SER_hh_emi!P30/SER_hh_num!P30)</f>
        <v>3660.4649707075187</v>
      </c>
      <c r="Q30" s="132">
        <f>IF(SER_hh_emi!Q30=0,0,1000000*SER_hh_emi!Q30/SER_hh_num!Q30)</f>
        <v>3689.0716969310765</v>
      </c>
      <c r="R30" s="132">
        <f>IF(SER_hh_emi!R30=0,0,1000000*SER_hh_emi!R30/SER_hh_num!R30)</f>
        <v>4325.1572430717342</v>
      </c>
      <c r="S30" s="132">
        <f>IF(SER_hh_emi!S30=0,0,1000000*SER_hh_emi!S30/SER_hh_num!S30)</f>
        <v>5124.707670871534</v>
      </c>
      <c r="T30" s="132">
        <f>IF(SER_hh_emi!T30=0,0,1000000*SER_hh_emi!T30/SER_hh_num!T30)</f>
        <v>5495.9649420116448</v>
      </c>
      <c r="U30" s="132">
        <f>IF(SER_hh_emi!U30=0,0,1000000*SER_hh_emi!U30/SER_hh_num!U30)</f>
        <v>5305.3322283857224</v>
      </c>
      <c r="V30" s="132">
        <f>IF(SER_hh_emi!V30=0,0,1000000*SER_hh_emi!V30/SER_hh_num!V30)</f>
        <v>4184.4466952440189</v>
      </c>
      <c r="W30" s="132">
        <f>IF(SER_hh_emi!W30=0,0,1000000*SER_hh_emi!W30/SER_hh_num!W30)</f>
        <v>4664.6823374143578</v>
      </c>
      <c r="X30" s="132">
        <f>IF(SER_hh_emi!X30=0,0,1000000*SER_hh_emi!X30/SER_hh_num!X30)</f>
        <v>4981.8368582358689</v>
      </c>
      <c r="Y30" s="132">
        <f>IF(SER_hh_emi!Y30=0,0,1000000*SER_hh_emi!Y30/SER_hh_num!Y30)</f>
        <v>5099.5962488244777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4035.8600561810563</v>
      </c>
      <c r="C31" s="132">
        <f>IF(SER_hh_emi!C31=0,0,1000000*SER_hh_emi!C31/SER_hh_num!C31)</f>
        <v>4131.6219202236389</v>
      </c>
      <c r="D31" s="132">
        <f>IF(SER_hh_emi!D31=0,0,1000000*SER_hh_emi!D31/SER_hh_num!D31)</f>
        <v>3829.0436109956408</v>
      </c>
      <c r="E31" s="132">
        <f>IF(SER_hh_emi!E31=0,0,1000000*SER_hh_emi!E31/SER_hh_num!E31)</f>
        <v>4028.636641685518</v>
      </c>
      <c r="F31" s="132">
        <f>IF(SER_hh_emi!F31=0,0,1000000*SER_hh_emi!F31/SER_hh_num!F31)</f>
        <v>4079.6270194639806</v>
      </c>
      <c r="G31" s="132">
        <f>IF(SER_hh_emi!G31=0,0,1000000*SER_hh_emi!G31/SER_hh_num!G31)</f>
        <v>3737.5223045329449</v>
      </c>
      <c r="H31" s="132">
        <f>IF(SER_hh_emi!H31=0,0,1000000*SER_hh_emi!H31/SER_hh_num!H31)</f>
        <v>4121.5952430637617</v>
      </c>
      <c r="I31" s="132">
        <f>IF(SER_hh_emi!I31=0,0,1000000*SER_hh_emi!I31/SER_hh_num!I31)</f>
        <v>4156.6579031921319</v>
      </c>
      <c r="J31" s="132">
        <f>IF(SER_hh_emi!J31=0,0,1000000*SER_hh_emi!J31/SER_hh_num!J31)</f>
        <v>4107.9880889728429</v>
      </c>
      <c r="K31" s="132">
        <f>IF(SER_hh_emi!K31=0,0,1000000*SER_hh_emi!K31/SER_hh_num!K31)</f>
        <v>4073.4809679122159</v>
      </c>
      <c r="L31" s="132">
        <f>IF(SER_hh_emi!L31=0,0,1000000*SER_hh_emi!L31/SER_hh_num!L31)</f>
        <v>4113.2693589362161</v>
      </c>
      <c r="M31" s="132">
        <f>IF(SER_hh_emi!M31=0,0,1000000*SER_hh_emi!M31/SER_hh_num!M31)</f>
        <v>4137.4094597344038</v>
      </c>
      <c r="N31" s="132">
        <f>IF(SER_hh_emi!N31=0,0,1000000*SER_hh_emi!N31/SER_hh_num!N31)</f>
        <v>4274.0419556258139</v>
      </c>
      <c r="O31" s="132">
        <f>IF(SER_hh_emi!O31=0,0,1000000*SER_hh_emi!O31/SER_hh_num!O31)</f>
        <v>4286.3302944984625</v>
      </c>
      <c r="P31" s="132">
        <f>IF(SER_hh_emi!P31=0,0,1000000*SER_hh_emi!P31/SER_hh_num!P31)</f>
        <v>4268.8435814986105</v>
      </c>
      <c r="Q31" s="132">
        <f>IF(SER_hh_emi!Q31=0,0,1000000*SER_hh_emi!Q31/SER_hh_num!Q31)</f>
        <v>4146.0225388455519</v>
      </c>
      <c r="R31" s="132">
        <f>IF(SER_hh_emi!R31=0,0,1000000*SER_hh_emi!R31/SER_hh_num!R31)</f>
        <v>3991.3976199386707</v>
      </c>
      <c r="S31" s="132">
        <f>IF(SER_hh_emi!S31=0,0,1000000*SER_hh_emi!S31/SER_hh_num!S31)</f>
        <v>4321.0477666481411</v>
      </c>
      <c r="T31" s="132">
        <f>IF(SER_hh_emi!T31=0,0,1000000*SER_hh_emi!T31/SER_hh_num!T31)</f>
        <v>4372.9743844633831</v>
      </c>
      <c r="U31" s="132">
        <f>IF(SER_hh_emi!U31=0,0,1000000*SER_hh_emi!U31/SER_hh_num!U31)</f>
        <v>4341.8667127396129</v>
      </c>
      <c r="V31" s="132">
        <f>IF(SER_hh_emi!V31=0,0,1000000*SER_hh_emi!V31/SER_hh_num!V31)</f>
        <v>3700.7241415286662</v>
      </c>
      <c r="W31" s="132">
        <f>IF(SER_hh_emi!W31=0,0,1000000*SER_hh_emi!W31/SER_hh_num!W31)</f>
        <v>4319.5054142154322</v>
      </c>
      <c r="X31" s="132">
        <f>IF(SER_hh_emi!X31=0,0,1000000*SER_hh_emi!X31/SER_hh_num!X31)</f>
        <v>4269.4428661182665</v>
      </c>
      <c r="Y31" s="132">
        <f>IF(SER_hh_emi!Y31=0,0,1000000*SER_hh_emi!Y31/SER_hh_num!Y31)</f>
        <v>4202.2997210646463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96.211188519945466</v>
      </c>
      <c r="C3" s="125">
        <f>IF(SER_hh_fech!C3=0,0,SER_hh_fech!C3/SER_summary!C$26)</f>
        <v>115.27352682098903</v>
      </c>
      <c r="D3" s="125">
        <f>IF(SER_hh_fech!D3=0,0,SER_hh_fech!D3/SER_summary!D$26)</f>
        <v>103.08377590148505</v>
      </c>
      <c r="E3" s="125">
        <f>IF(SER_hh_fech!E3=0,0,SER_hh_fech!E3/SER_summary!E$26)</f>
        <v>99.001206493412383</v>
      </c>
      <c r="F3" s="125">
        <f>IF(SER_hh_fech!F3=0,0,SER_hh_fech!F3/SER_summary!F$26)</f>
        <v>81.370179207788013</v>
      </c>
      <c r="G3" s="125">
        <f>IF(SER_hh_fech!G3=0,0,SER_hh_fech!G3/SER_summary!G$26)</f>
        <v>96.645752166473073</v>
      </c>
      <c r="H3" s="125">
        <f>IF(SER_hh_fech!H3=0,0,SER_hh_fech!H3/SER_summary!H$26)</f>
        <v>109.20675174618302</v>
      </c>
      <c r="I3" s="125">
        <f>IF(SER_hh_fech!I3=0,0,SER_hh_fech!I3/SER_summary!I$26)</f>
        <v>93.896882649330649</v>
      </c>
      <c r="J3" s="125">
        <f>IF(SER_hh_fech!J3=0,0,SER_hh_fech!J3/SER_summary!J$26)</f>
        <v>98.024124780712597</v>
      </c>
      <c r="K3" s="125">
        <f>IF(SER_hh_fech!K3=0,0,SER_hh_fech!K3/SER_summary!K$26)</f>
        <v>93.256068912312813</v>
      </c>
      <c r="L3" s="125">
        <f>IF(SER_hh_fech!L3=0,0,SER_hh_fech!L3/SER_summary!L$26)</f>
        <v>98.421745288215831</v>
      </c>
      <c r="M3" s="125">
        <f>IF(SER_hh_fech!M3=0,0,SER_hh_fech!M3/SER_summary!M$26)</f>
        <v>103.1955236645782</v>
      </c>
      <c r="N3" s="125">
        <f>IF(SER_hh_fech!N3=0,0,SER_hh_fech!N3/SER_summary!N$26)</f>
        <v>96.778759205561599</v>
      </c>
      <c r="O3" s="125">
        <f>IF(SER_hh_fech!O3=0,0,SER_hh_fech!O3/SER_summary!O$26)</f>
        <v>85.580697979491461</v>
      </c>
      <c r="P3" s="125">
        <f>IF(SER_hh_fech!P3=0,0,SER_hh_fech!P3/SER_summary!P$26)</f>
        <v>77.766890904343342</v>
      </c>
      <c r="Q3" s="125">
        <f>IF(SER_hh_fech!Q3=0,0,SER_hh_fech!Q3/SER_summary!Q$26)</f>
        <v>84.408295151785182</v>
      </c>
      <c r="R3" s="125">
        <f>IF(SER_hh_fech!R3=0,0,SER_hh_fech!R3/SER_summary!R$26)</f>
        <v>92.411297878202632</v>
      </c>
      <c r="S3" s="125">
        <f>IF(SER_hh_fech!S3=0,0,SER_hh_fech!S3/SER_summary!S$26)</f>
        <v>91.656869449227017</v>
      </c>
      <c r="T3" s="125">
        <f>IF(SER_hh_fech!T3=0,0,SER_hh_fech!T3/SER_summary!T$26)</f>
        <v>98.35705760597709</v>
      </c>
      <c r="U3" s="125">
        <f>IF(SER_hh_fech!U3=0,0,SER_hh_fech!U3/SER_summary!U$26)</f>
        <v>101.58531150902013</v>
      </c>
      <c r="V3" s="125">
        <f>IF(SER_hh_fech!V3=0,0,SER_hh_fech!V3/SER_summary!V$26)</f>
        <v>79.997224204669848</v>
      </c>
      <c r="W3" s="125">
        <f>IF(SER_hh_fech!W3=0,0,SER_hh_fech!W3/SER_summary!W$26)</f>
        <v>102.72269211834154</v>
      </c>
      <c r="X3" s="125">
        <f>IF(SER_hh_fech!X3=0,0,SER_hh_fech!X3/SER_summary!X$26)</f>
        <v>105.15247127934427</v>
      </c>
      <c r="Y3" s="125">
        <f>IF(SER_hh_fech!Y3=0,0,SER_hh_fech!Y3/SER_summary!Y$26)</f>
        <v>95.848190068905097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57.415135644096992</v>
      </c>
      <c r="C4" s="130">
        <f>IF(SER_hh_fech!C4=0,0,SER_hh_fech!C4/SER_summary!C$26)</f>
        <v>76.286213836239241</v>
      </c>
      <c r="D4" s="130">
        <f>IF(SER_hh_fech!D4=0,0,SER_hh_fech!D4/SER_summary!D$26)</f>
        <v>65.532129465154682</v>
      </c>
      <c r="E4" s="130">
        <f>IF(SER_hh_fech!E4=0,0,SER_hh_fech!E4/SER_summary!E$26)</f>
        <v>61.653676908742845</v>
      </c>
      <c r="F4" s="130">
        <f>IF(SER_hh_fech!F4=0,0,SER_hh_fech!F4/SER_summary!F$26)</f>
        <v>44.755021109932393</v>
      </c>
      <c r="G4" s="130">
        <f>IF(SER_hh_fech!G4=0,0,SER_hh_fech!G4/SER_summary!G$26)</f>
        <v>60.564831590880956</v>
      </c>
      <c r="H4" s="130">
        <f>IF(SER_hh_fech!H4=0,0,SER_hh_fech!H4/SER_summary!H$26)</f>
        <v>72.53374976458602</v>
      </c>
      <c r="I4" s="130">
        <f>IF(SER_hh_fech!I4=0,0,SER_hh_fech!I4/SER_summary!I$26)</f>
        <v>55.142661802380324</v>
      </c>
      <c r="J4" s="130">
        <f>IF(SER_hh_fech!J4=0,0,SER_hh_fech!J4/SER_summary!J$26)</f>
        <v>60.566464446557426</v>
      </c>
      <c r="K4" s="130">
        <f>IF(SER_hh_fech!K4=0,0,SER_hh_fech!K4/SER_summary!K$26)</f>
        <v>55.241995996412584</v>
      </c>
      <c r="L4" s="130">
        <f>IF(SER_hh_fech!L4=0,0,SER_hh_fech!L4/SER_summary!L$26)</f>
        <v>58.277662876927785</v>
      </c>
      <c r="M4" s="130">
        <f>IF(SER_hh_fech!M4=0,0,SER_hh_fech!M4/SER_summary!M$26)</f>
        <v>63.917986123878045</v>
      </c>
      <c r="N4" s="130">
        <f>IF(SER_hh_fech!N4=0,0,SER_hh_fech!N4/SER_summary!N$26)</f>
        <v>53.931076018119199</v>
      </c>
      <c r="O4" s="130">
        <f>IF(SER_hh_fech!O4=0,0,SER_hh_fech!O4/SER_summary!O$26)</f>
        <v>46.152293639876625</v>
      </c>
      <c r="P4" s="130">
        <f>IF(SER_hh_fech!P4=0,0,SER_hh_fech!P4/SER_summary!P$26)</f>
        <v>39.510565592476468</v>
      </c>
      <c r="Q4" s="130">
        <f>IF(SER_hh_fech!Q4=0,0,SER_hh_fech!Q4/SER_summary!Q$26)</f>
        <v>44.995959532354611</v>
      </c>
      <c r="R4" s="130">
        <f>IF(SER_hh_fech!R4=0,0,SER_hh_fech!R4/SER_summary!R$26)</f>
        <v>53.278394383088134</v>
      </c>
      <c r="S4" s="130">
        <f>IF(SER_hh_fech!S4=0,0,SER_hh_fech!S4/SER_summary!S$26)</f>
        <v>51.74002047472581</v>
      </c>
      <c r="T4" s="130">
        <f>IF(SER_hh_fech!T4=0,0,SER_hh_fech!T4/SER_summary!T$26)</f>
        <v>58.625929783938126</v>
      </c>
      <c r="U4" s="130">
        <f>IF(SER_hh_fech!U4=0,0,SER_hh_fech!U4/SER_summary!U$26)</f>
        <v>61.513675173206913</v>
      </c>
      <c r="V4" s="130">
        <f>IF(SER_hh_fech!V4=0,0,SER_hh_fech!V4/SER_summary!V$26)</f>
        <v>45.884442037577195</v>
      </c>
      <c r="W4" s="130">
        <f>IF(SER_hh_fech!W4=0,0,SER_hh_fech!W4/SER_summary!W$26)</f>
        <v>64.766772645649482</v>
      </c>
      <c r="X4" s="130">
        <f>IF(SER_hh_fech!X4=0,0,SER_hh_fech!X4/SER_summary!X$26)</f>
        <v>66.259479104879972</v>
      </c>
      <c r="Y4" s="130">
        <f>IF(SER_hh_fech!Y4=0,0,SER_hh_fech!Y4/SER_summary!Y$26)</f>
        <v>56.886666966990248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70.496854331893871</v>
      </c>
      <c r="C5" s="132">
        <f>IF(SER_hh_fech!C5=0,0,SER_hh_fech!C5/SER_summary!C$26)</f>
        <v>68.580859286340882</v>
      </c>
      <c r="D5" s="132">
        <f>IF(SER_hh_fech!D5=0,0,SER_hh_fech!D5/SER_summary!D$26)</f>
        <v>81.224556986489546</v>
      </c>
      <c r="E5" s="132">
        <f>IF(SER_hh_fech!E5=0,0,SER_hh_fech!E5/SER_summary!E$26)</f>
        <v>87.65497670504395</v>
      </c>
      <c r="F5" s="132">
        <f>IF(SER_hh_fech!F5=0,0,SER_hh_fech!F5/SER_summary!F$26)</f>
        <v>60.59135613067469</v>
      </c>
      <c r="G5" s="132">
        <f>IF(SER_hh_fech!G5=0,0,SER_hh_fech!G5/SER_summary!G$26)</f>
        <v>86.269948555444486</v>
      </c>
      <c r="H5" s="132">
        <f>IF(SER_hh_fech!H5=0,0,SER_hh_fech!H5/SER_summary!H$26)</f>
        <v>98.521189504586431</v>
      </c>
      <c r="I5" s="132">
        <f>IF(SER_hh_fech!I5=0,0,SER_hh_fech!I5/SER_summary!I$26)</f>
        <v>49.2809264052066</v>
      </c>
      <c r="J5" s="132">
        <f>IF(SER_hh_fech!J5=0,0,SER_hh_fech!J5/SER_summary!J$26)</f>
        <v>94.286184946942413</v>
      </c>
      <c r="K5" s="132">
        <f>IF(SER_hh_fech!K5=0,0,SER_hh_fech!K5/SER_summary!K$26)</f>
        <v>80.561322127133906</v>
      </c>
      <c r="L5" s="132">
        <f>IF(SER_hh_fech!L5=0,0,SER_hh_fech!L5/SER_summary!L$26)</f>
        <v>78.474684911579217</v>
      </c>
      <c r="M5" s="132">
        <f>IF(SER_hh_fech!M5=0,0,SER_hh_fech!M5/SER_summary!M$26)</f>
        <v>87.727510824982204</v>
      </c>
      <c r="N5" s="132">
        <f>IF(SER_hh_fech!N5=0,0,SER_hh_fech!N5/SER_summary!N$26)</f>
        <v>66.123414745281394</v>
      </c>
      <c r="O5" s="132">
        <f>IF(SER_hh_fech!O5=0,0,SER_hh_fech!O5/SER_summary!O$26)</f>
        <v>87.34206680193509</v>
      </c>
      <c r="P5" s="132">
        <f>IF(SER_hh_fech!P5=0,0,SER_hh_fech!P5/SER_summary!P$26)</f>
        <v>39.975779911074831</v>
      </c>
      <c r="Q5" s="132">
        <f>IF(SER_hh_fech!Q5=0,0,SER_hh_fech!Q5/SER_summary!Q$26)</f>
        <v>103.62141553719351</v>
      </c>
      <c r="R5" s="132">
        <f>IF(SER_hh_fech!R5=0,0,SER_hh_fech!R5/SER_summary!R$26)</f>
        <v>113.70042877214658</v>
      </c>
      <c r="S5" s="132">
        <f>IF(SER_hh_fech!S5=0,0,SER_hh_fech!S5/SER_summary!S$26)</f>
        <v>80.876863293786812</v>
      </c>
      <c r="T5" s="132">
        <f>IF(SER_hh_fech!T5=0,0,SER_hh_fech!T5/SER_summary!T$26)</f>
        <v>60.304808771223186</v>
      </c>
      <c r="U5" s="132">
        <f>IF(SER_hh_fech!U5=0,0,SER_hh_fech!U5/SER_summary!U$26)</f>
        <v>97.233096502680866</v>
      </c>
      <c r="V5" s="132">
        <f>IF(SER_hh_fech!V5=0,0,SER_hh_fech!V5/SER_summary!V$26)</f>
        <v>91.66958557752551</v>
      </c>
      <c r="W5" s="132">
        <f>IF(SER_hh_fech!W5=0,0,SER_hh_fech!W5/SER_summary!W$26)</f>
        <v>89.736040003660619</v>
      </c>
      <c r="X5" s="132">
        <f>IF(SER_hh_fech!X5=0,0,SER_hh_fech!X5/SER_summary!X$26)</f>
        <v>82.76861482507897</v>
      </c>
      <c r="Y5" s="132">
        <f>IF(SER_hh_fech!Y5=0,0,SER_hh_fech!Y5/SER_summary!Y$26)</f>
        <v>108.15666901501875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63.992560993359547</v>
      </c>
      <c r="C7" s="132">
        <f>IF(SER_hh_fech!C7=0,0,SER_hh_fech!C7/SER_summary!C$26)</f>
        <v>130.07801464398858</v>
      </c>
      <c r="D7" s="132">
        <f>IF(SER_hh_fech!D7=0,0,SER_hh_fech!D7/SER_summary!D$26)</f>
        <v>99.703394753958889</v>
      </c>
      <c r="E7" s="132">
        <f>IF(SER_hh_fech!E7=0,0,SER_hh_fech!E7/SER_summary!E$26)</f>
        <v>78.511788050447535</v>
      </c>
      <c r="F7" s="132">
        <f>IF(SER_hh_fech!F7=0,0,SER_hh_fech!F7/SER_summary!F$26)</f>
        <v>55.760390414072219</v>
      </c>
      <c r="G7" s="132">
        <f>IF(SER_hh_fech!G7=0,0,SER_hh_fech!G7/SER_summary!G$26)</f>
        <v>61.045776626481121</v>
      </c>
      <c r="H7" s="132">
        <f>IF(SER_hh_fech!H7=0,0,SER_hh_fech!H7/SER_summary!H$26)</f>
        <v>129.51947896947894</v>
      </c>
      <c r="I7" s="132">
        <f>IF(SER_hh_fech!I7=0,0,SER_hh_fech!I7/SER_summary!I$26)</f>
        <v>91.434565156383414</v>
      </c>
      <c r="J7" s="132">
        <f>IF(SER_hh_fech!J7=0,0,SER_hh_fech!J7/SER_summary!J$26)</f>
        <v>121.86243563115802</v>
      </c>
      <c r="K7" s="132">
        <f>IF(SER_hh_fech!K7=0,0,SER_hh_fech!K7/SER_summary!K$26)</f>
        <v>139.89746901908094</v>
      </c>
      <c r="L7" s="132">
        <f>IF(SER_hh_fech!L7=0,0,SER_hh_fech!L7/SER_summary!L$26)</f>
        <v>96.452726771591358</v>
      </c>
      <c r="M7" s="132">
        <f>IF(SER_hh_fech!M7=0,0,SER_hh_fech!M7/SER_summary!M$26)</f>
        <v>90.833246759055996</v>
      </c>
      <c r="N7" s="132">
        <f>IF(SER_hh_fech!N7=0,0,SER_hh_fech!N7/SER_summary!N$26)</f>
        <v>98.341291112414069</v>
      </c>
      <c r="O7" s="132">
        <f>IF(SER_hh_fech!O7=0,0,SER_hh_fech!O7/SER_summary!O$26)</f>
        <v>63.024575108149918</v>
      </c>
      <c r="P7" s="132">
        <f>IF(SER_hh_fech!P7=0,0,SER_hh_fech!P7/SER_summary!P$26)</f>
        <v>38.494814002942782</v>
      </c>
      <c r="Q7" s="132">
        <f>IF(SER_hh_fech!Q7=0,0,SER_hh_fech!Q7/SER_summary!Q$26)</f>
        <v>102.92638686434385</v>
      </c>
      <c r="R7" s="132">
        <f>IF(SER_hh_fech!R7=0,0,SER_hh_fech!R7/SER_summary!R$26)</f>
        <v>98.112648839673085</v>
      </c>
      <c r="S7" s="132">
        <f>IF(SER_hh_fech!S7=0,0,SER_hh_fech!S7/SER_summary!S$26)</f>
        <v>89.518488792971439</v>
      </c>
      <c r="T7" s="132">
        <f>IF(SER_hh_fech!T7=0,0,SER_hh_fech!T7/SER_summary!T$26)</f>
        <v>68.813430745232637</v>
      </c>
      <c r="U7" s="132">
        <f>IF(SER_hh_fech!U7=0,0,SER_hh_fech!U7/SER_summary!U$26)</f>
        <v>96.279125805841687</v>
      </c>
      <c r="V7" s="132">
        <f>IF(SER_hh_fech!V7=0,0,SER_hh_fech!V7/SER_summary!V$26)</f>
        <v>89.87913563691022</v>
      </c>
      <c r="W7" s="132">
        <f>IF(SER_hh_fech!W7=0,0,SER_hh_fech!W7/SER_summary!W$26)</f>
        <v>90.16177607718285</v>
      </c>
      <c r="X7" s="132">
        <f>IF(SER_hh_fech!X7=0,0,SER_hh_fech!X7/SER_summary!X$26)</f>
        <v>101.63241608232376</v>
      </c>
      <c r="Y7" s="132">
        <f>IF(SER_hh_fech!Y7=0,0,SER_hh_fech!Y7/SER_summary!Y$26)</f>
        <v>120.69978290476051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0</v>
      </c>
      <c r="C8" s="132">
        <f>IF(SER_hh_fech!C8=0,0,SER_hh_fech!C8/SER_summary!C$26)</f>
        <v>0</v>
      </c>
      <c r="D8" s="132">
        <f>IF(SER_hh_fech!D8=0,0,SER_hh_fech!D8/SER_summary!D$26)</f>
        <v>0</v>
      </c>
      <c r="E8" s="132">
        <f>IF(SER_hh_fech!E8=0,0,SER_hh_fech!E8/SER_summary!E$26)</f>
        <v>0</v>
      </c>
      <c r="F8" s="132">
        <f>IF(SER_hh_fech!F8=0,0,SER_hh_fech!F8/SER_summary!F$26)</f>
        <v>0</v>
      </c>
      <c r="G8" s="132">
        <f>IF(SER_hh_fech!G8=0,0,SER_hh_fech!G8/SER_summary!G$26)</f>
        <v>0</v>
      </c>
      <c r="H8" s="132">
        <f>IF(SER_hh_fech!H8=0,0,SER_hh_fech!H8/SER_summary!H$26)</f>
        <v>0</v>
      </c>
      <c r="I8" s="132">
        <f>IF(SER_hh_fech!I8=0,0,SER_hh_fech!I8/SER_summary!I$26)</f>
        <v>0</v>
      </c>
      <c r="J8" s="132">
        <f>IF(SER_hh_fech!J8=0,0,SER_hh_fech!J8/SER_summary!J$26)</f>
        <v>0</v>
      </c>
      <c r="K8" s="132">
        <f>IF(SER_hh_fech!K8=0,0,SER_hh_fech!K8/SER_summary!K$26)</f>
        <v>0</v>
      </c>
      <c r="L8" s="132">
        <f>IF(SER_hh_fech!L8=0,0,SER_hh_fech!L8/SER_summary!L$26)</f>
        <v>0</v>
      </c>
      <c r="M8" s="132">
        <f>IF(SER_hh_fech!M8=0,0,SER_hh_fech!M8/SER_summary!M$26)</f>
        <v>0</v>
      </c>
      <c r="N8" s="132">
        <f>IF(SER_hh_fech!N8=0,0,SER_hh_fech!N8/SER_summary!N$26)</f>
        <v>0</v>
      </c>
      <c r="O8" s="132">
        <f>IF(SER_hh_fech!O8=0,0,SER_hh_fech!O8/SER_summary!O$26)</f>
        <v>0</v>
      </c>
      <c r="P8" s="132">
        <f>IF(SER_hh_fech!P8=0,0,SER_hh_fech!P8/SER_summary!P$26)</f>
        <v>0</v>
      </c>
      <c r="Q8" s="132">
        <f>IF(SER_hh_fech!Q8=0,0,SER_hh_fech!Q8/SER_summary!Q$26)</f>
        <v>0</v>
      </c>
      <c r="R8" s="132">
        <f>IF(SER_hh_fech!R8=0,0,SER_hh_fech!R8/SER_summary!R$26)</f>
        <v>0</v>
      </c>
      <c r="S8" s="132">
        <f>IF(SER_hh_fech!S8=0,0,SER_hh_fech!S8/SER_summary!S$26)</f>
        <v>0</v>
      </c>
      <c r="T8" s="132">
        <f>IF(SER_hh_fech!T8=0,0,SER_hh_fech!T8/SER_summary!T$26)</f>
        <v>0</v>
      </c>
      <c r="U8" s="132">
        <f>IF(SER_hh_fech!U8=0,0,SER_hh_fech!U8/SER_summary!U$26)</f>
        <v>0</v>
      </c>
      <c r="V8" s="132">
        <f>IF(SER_hh_fech!V8=0,0,SER_hh_fech!V8/SER_summary!V$26)</f>
        <v>0</v>
      </c>
      <c r="W8" s="132">
        <f>IF(SER_hh_fech!W8=0,0,SER_hh_fech!W8/SER_summary!W$26)</f>
        <v>0</v>
      </c>
      <c r="X8" s="132">
        <f>IF(SER_hh_fech!X8=0,0,SER_hh_fech!X8/SER_summary!X$26)</f>
        <v>0</v>
      </c>
      <c r="Y8" s="132">
        <f>IF(SER_hh_fech!Y8=0,0,SER_hh_fech!Y8/SER_summary!Y$26)</f>
        <v>0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67.074091781202398</v>
      </c>
      <c r="C9" s="132">
        <f>IF(SER_hh_fech!C9=0,0,SER_hh_fech!C9/SER_summary!C$26)</f>
        <v>93.43488426723502</v>
      </c>
      <c r="D9" s="132">
        <f>IF(SER_hh_fech!D9=0,0,SER_hh_fech!D9/SER_summary!D$26)</f>
        <v>77.02433628962207</v>
      </c>
      <c r="E9" s="132">
        <f>IF(SER_hh_fech!E9=0,0,SER_hh_fech!E9/SER_summary!E$26)</f>
        <v>84.836939608524673</v>
      </c>
      <c r="F9" s="132">
        <f>IF(SER_hh_fech!F9=0,0,SER_hh_fech!F9/SER_summary!F$26)</f>
        <v>64.932658833392694</v>
      </c>
      <c r="G9" s="132">
        <f>IF(SER_hh_fech!G9=0,0,SER_hh_fech!G9/SER_summary!G$26)</f>
        <v>81.790400339589951</v>
      </c>
      <c r="H9" s="132">
        <f>IF(SER_hh_fech!H9=0,0,SER_hh_fech!H9/SER_summary!H$26)</f>
        <v>102.73953589124118</v>
      </c>
      <c r="I9" s="132">
        <f>IF(SER_hh_fech!I9=0,0,SER_hh_fech!I9/SER_summary!I$26)</f>
        <v>92.153718885680291</v>
      </c>
      <c r="J9" s="132">
        <f>IF(SER_hh_fech!J9=0,0,SER_hh_fech!J9/SER_summary!J$26)</f>
        <v>109.36000203918569</v>
      </c>
      <c r="K9" s="132">
        <f>IF(SER_hh_fech!K9=0,0,SER_hh_fech!K9/SER_summary!K$26)</f>
        <v>68.934923424400012</v>
      </c>
      <c r="L9" s="132">
        <f>IF(SER_hh_fech!L9=0,0,SER_hh_fech!L9/SER_summary!L$26)</f>
        <v>94.976708276302745</v>
      </c>
      <c r="M9" s="132">
        <f>IF(SER_hh_fech!M9=0,0,SER_hh_fech!M9/SER_summary!M$26)</f>
        <v>98.852174967897412</v>
      </c>
      <c r="N9" s="132">
        <f>IF(SER_hh_fech!N9=0,0,SER_hh_fech!N9/SER_summary!N$26)</f>
        <v>86.836036282232541</v>
      </c>
      <c r="O9" s="132">
        <f>IF(SER_hh_fech!O9=0,0,SER_hh_fech!O9/SER_summary!O$26)</f>
        <v>74.649117455065038</v>
      </c>
      <c r="P9" s="132">
        <f>IF(SER_hh_fech!P9=0,0,SER_hh_fech!P9/SER_summary!P$26)</f>
        <v>75.428469771734569</v>
      </c>
      <c r="Q9" s="132">
        <f>IF(SER_hh_fech!Q9=0,0,SER_hh_fech!Q9/SER_summary!Q$26)</f>
        <v>83.799927226307958</v>
      </c>
      <c r="R9" s="132">
        <f>IF(SER_hh_fech!R9=0,0,SER_hh_fech!R9/SER_summary!R$26)</f>
        <v>88.000340815187485</v>
      </c>
      <c r="S9" s="132">
        <f>IF(SER_hh_fech!S9=0,0,SER_hh_fech!S9/SER_summary!S$26)</f>
        <v>88.264711772935897</v>
      </c>
      <c r="T9" s="132">
        <f>IF(SER_hh_fech!T9=0,0,SER_hh_fech!T9/SER_summary!T$26)</f>
        <v>95.180127992800365</v>
      </c>
      <c r="U9" s="132">
        <f>IF(SER_hh_fech!U9=0,0,SER_hh_fech!U9/SER_summary!U$26)</f>
        <v>81.455882036181649</v>
      </c>
      <c r="V9" s="132">
        <f>IF(SER_hh_fech!V9=0,0,SER_hh_fech!V9/SER_summary!V$26)</f>
        <v>82.710217380111544</v>
      </c>
      <c r="W9" s="132">
        <f>IF(SER_hh_fech!W9=0,0,SER_hh_fech!W9/SER_summary!W$26)</f>
        <v>107.55055333761156</v>
      </c>
      <c r="X9" s="132">
        <f>IF(SER_hh_fech!X9=0,0,SER_hh_fech!X9/SER_summary!X$26)</f>
        <v>107.54210348952313</v>
      </c>
      <c r="Y9" s="132">
        <f>IF(SER_hh_fech!Y9=0,0,SER_hh_fech!Y9/SER_summary!Y$26)</f>
        <v>94.679278780733938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90.141940725189912</v>
      </c>
      <c r="C10" s="132">
        <f>IF(SER_hh_fech!C10=0,0,SER_hh_fech!C10/SER_summary!C$26)</f>
        <v>94.662309346811867</v>
      </c>
      <c r="D10" s="132">
        <f>IF(SER_hh_fech!D10=0,0,SER_hh_fech!D10/SER_summary!D$26)</f>
        <v>78.353201759224106</v>
      </c>
      <c r="E10" s="132">
        <f>IF(SER_hh_fech!E10=0,0,SER_hh_fech!E10/SER_summary!E$26)</f>
        <v>109.46400225385527</v>
      </c>
      <c r="F10" s="132">
        <f>IF(SER_hh_fech!F10=0,0,SER_hh_fech!F10/SER_summary!F$26)</f>
        <v>69.586046827518317</v>
      </c>
      <c r="G10" s="132">
        <f>IF(SER_hh_fech!G10=0,0,SER_hh_fech!G10/SER_summary!G$26)</f>
        <v>95.025990172700318</v>
      </c>
      <c r="H10" s="132">
        <f>IF(SER_hh_fech!H10=0,0,SER_hh_fech!H10/SER_summary!H$26)</f>
        <v>117.2432427186998</v>
      </c>
      <c r="I10" s="132">
        <f>IF(SER_hh_fech!I10=0,0,SER_hh_fech!I10/SER_summary!I$26)</f>
        <v>94.004116653860251</v>
      </c>
      <c r="J10" s="132">
        <f>IF(SER_hh_fech!J10=0,0,SER_hh_fech!J10/SER_summary!J$26)</f>
        <v>110.71516383549279</v>
      </c>
      <c r="K10" s="132">
        <f>IF(SER_hh_fech!K10=0,0,SER_hh_fech!K10/SER_summary!K$26)</f>
        <v>88.779912210473384</v>
      </c>
      <c r="L10" s="132">
        <f>IF(SER_hh_fech!L10=0,0,SER_hh_fech!L10/SER_summary!L$26)</f>
        <v>45.86440242213272</v>
      </c>
      <c r="M10" s="132">
        <f>IF(SER_hh_fech!M10=0,0,SER_hh_fech!M10/SER_summary!M$26)</f>
        <v>36.386510662317768</v>
      </c>
      <c r="N10" s="132">
        <f>IF(SER_hh_fech!N10=0,0,SER_hh_fech!N10/SER_summary!N$26)</f>
        <v>204.94821962236043</v>
      </c>
      <c r="O10" s="132">
        <f>IF(SER_hh_fech!O10=0,0,SER_hh_fech!O10/SER_summary!O$26)</f>
        <v>102.4297256959487</v>
      </c>
      <c r="P10" s="132">
        <f>IF(SER_hh_fech!P10=0,0,SER_hh_fech!P10/SER_summary!P$26)</f>
        <v>11.837690784630807</v>
      </c>
      <c r="Q10" s="132">
        <f>IF(SER_hh_fech!Q10=0,0,SER_hh_fech!Q10/SER_summary!Q$26)</f>
        <v>50.033920855236204</v>
      </c>
      <c r="R10" s="132">
        <f>IF(SER_hh_fech!R10=0,0,SER_hh_fech!R10/SER_summary!R$26)</f>
        <v>19.701396946477022</v>
      </c>
      <c r="S10" s="132">
        <f>IF(SER_hh_fech!S10=0,0,SER_hh_fech!S10/SER_summary!S$26)</f>
        <v>110.14554910243925</v>
      </c>
      <c r="T10" s="132">
        <f>IF(SER_hh_fech!T10=0,0,SER_hh_fech!T10/SER_summary!T$26)</f>
        <v>129.41954789195196</v>
      </c>
      <c r="U10" s="132">
        <f>IF(SER_hh_fech!U10=0,0,SER_hh_fech!U10/SER_summary!U$26)</f>
        <v>127.35616944025323</v>
      </c>
      <c r="V10" s="132">
        <f>IF(SER_hh_fech!V10=0,0,SER_hh_fech!V10/SER_summary!V$26)</f>
        <v>90.711330148416678</v>
      </c>
      <c r="W10" s="132">
        <f>IF(SER_hh_fech!W10=0,0,SER_hh_fech!W10/SER_summary!W$26)</f>
        <v>129.66186686547013</v>
      </c>
      <c r="X10" s="132">
        <f>IF(SER_hh_fech!X10=0,0,SER_hh_fech!X10/SER_summary!X$26)</f>
        <v>164.99934540486609</v>
      </c>
      <c r="Y10" s="132">
        <f>IF(SER_hh_fech!Y10=0,0,SER_hh_fech!Y10/SER_summary!Y$26)</f>
        <v>111.19626184163675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0</v>
      </c>
      <c r="D11" s="132">
        <f>IF(SER_hh_fech!D11=0,0,SER_hh_fech!D11/SER_summary!D$26)</f>
        <v>0</v>
      </c>
      <c r="E11" s="132">
        <f>IF(SER_hh_fech!E11=0,0,SER_hh_fech!E11/SER_summary!E$26)</f>
        <v>0</v>
      </c>
      <c r="F11" s="132">
        <f>IF(SER_hh_fech!F11=0,0,SER_hh_fech!F11/SER_summary!F$26)</f>
        <v>0</v>
      </c>
      <c r="G11" s="132">
        <f>IF(SER_hh_fech!G11=0,0,SER_hh_fech!G11/SER_summary!G$26)</f>
        <v>78.578696715588478</v>
      </c>
      <c r="H11" s="132">
        <f>IF(SER_hh_fech!H11=0,0,SER_hh_fech!H11/SER_summary!H$26)</f>
        <v>62.116052097577395</v>
      </c>
      <c r="I11" s="132">
        <f>IF(SER_hh_fech!I11=0,0,SER_hh_fech!I11/SER_summary!I$26)</f>
        <v>52.93425327943946</v>
      </c>
      <c r="J11" s="132">
        <f>IF(SER_hh_fech!J11=0,0,SER_hh_fech!J11/SER_summary!J$26)</f>
        <v>52.999901665053393</v>
      </c>
      <c r="K11" s="132">
        <f>IF(SER_hh_fech!K11=0,0,SER_hh_fech!K11/SER_summary!K$26)</f>
        <v>53.159984287805266</v>
      </c>
      <c r="L11" s="132">
        <f>IF(SER_hh_fech!L11=0,0,SER_hh_fech!L11/SER_summary!L$26)</f>
        <v>55.261232471684941</v>
      </c>
      <c r="M11" s="132">
        <f>IF(SER_hh_fech!M11=0,0,SER_hh_fech!M11/SER_summary!M$26)</f>
        <v>55.960539864390967</v>
      </c>
      <c r="N11" s="132">
        <f>IF(SER_hh_fech!N11=0,0,SER_hh_fech!N11/SER_summary!N$26)</f>
        <v>54.597894289592425</v>
      </c>
      <c r="O11" s="132">
        <f>IF(SER_hh_fech!O11=0,0,SER_hh_fech!O11/SER_summary!O$26)</f>
        <v>52.310387054412018</v>
      </c>
      <c r="P11" s="132">
        <f>IF(SER_hh_fech!P11=0,0,SER_hh_fech!P11/SER_summary!P$26)</f>
        <v>52.010353996880035</v>
      </c>
      <c r="Q11" s="132">
        <f>IF(SER_hh_fech!Q11=0,0,SER_hh_fech!Q11/SER_summary!Q$26)</f>
        <v>52.811743932196961</v>
      </c>
      <c r="R11" s="132">
        <f>IF(SER_hh_fech!R11=0,0,SER_hh_fech!R11/SER_summary!R$26)</f>
        <v>57.973958485701402</v>
      </c>
      <c r="S11" s="132">
        <f>IF(SER_hh_fech!S11=0,0,SER_hh_fech!S11/SER_summary!S$26)</f>
        <v>60.509124789935683</v>
      </c>
      <c r="T11" s="132">
        <f>IF(SER_hh_fech!T11=0,0,SER_hh_fech!T11/SER_summary!T$26)</f>
        <v>62.15881137610279</v>
      </c>
      <c r="U11" s="132">
        <f>IF(SER_hh_fech!U11=0,0,SER_hh_fech!U11/SER_summary!U$26)</f>
        <v>63.877403826525082</v>
      </c>
      <c r="V11" s="132">
        <f>IF(SER_hh_fech!V11=0,0,SER_hh_fech!V11/SER_summary!V$26)</f>
        <v>66.869060636531572</v>
      </c>
      <c r="W11" s="132">
        <f>IF(SER_hh_fech!W11=0,0,SER_hh_fech!W11/SER_summary!W$26)</f>
        <v>69.331325494113628</v>
      </c>
      <c r="X11" s="132">
        <f>IF(SER_hh_fech!X11=0,0,SER_hh_fech!X11/SER_summary!X$26)</f>
        <v>73.008334376593623</v>
      </c>
      <c r="Y11" s="132">
        <f>IF(SER_hh_fech!Y11=0,0,SER_hh_fech!Y11/SER_summary!Y$26)</f>
        <v>75.11965727920763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49.715178228315672</v>
      </c>
      <c r="C12" s="132">
        <f>IF(SER_hh_fech!C12=0,0,SER_hh_fech!C12/SER_summary!C$26)</f>
        <v>61.641171781180361</v>
      </c>
      <c r="D12" s="132">
        <f>IF(SER_hh_fech!D12=0,0,SER_hh_fech!D12/SER_summary!D$26)</f>
        <v>53.932838509221845</v>
      </c>
      <c r="E12" s="132">
        <f>IF(SER_hh_fech!E12=0,0,SER_hh_fech!E12/SER_summary!E$26)</f>
        <v>55.007795991695431</v>
      </c>
      <c r="F12" s="132">
        <f>IF(SER_hh_fech!F12=0,0,SER_hh_fech!F12/SER_summary!F$26)</f>
        <v>45.488367962940856</v>
      </c>
      <c r="G12" s="132">
        <f>IF(SER_hh_fech!G12=0,0,SER_hh_fech!G12/SER_summary!G$26)</f>
        <v>72.538457162881855</v>
      </c>
      <c r="H12" s="132">
        <f>IF(SER_hh_fech!H12=0,0,SER_hh_fech!H12/SER_summary!H$26)</f>
        <v>72.880782398944447</v>
      </c>
      <c r="I12" s="132">
        <f>IF(SER_hh_fech!I12=0,0,SER_hh_fech!I12/SER_summary!I$26)</f>
        <v>55.28200630625053</v>
      </c>
      <c r="J12" s="132">
        <f>IF(SER_hh_fech!J12=0,0,SER_hh_fech!J12/SER_summary!J$26)</f>
        <v>52.585791574762872</v>
      </c>
      <c r="K12" s="132">
        <f>IF(SER_hh_fech!K12=0,0,SER_hh_fech!K12/SER_summary!K$26)</f>
        <v>57.779987659559097</v>
      </c>
      <c r="L12" s="132">
        <f>IF(SER_hh_fech!L12=0,0,SER_hh_fech!L12/SER_summary!L$26)</f>
        <v>59.862141984291462</v>
      </c>
      <c r="M12" s="132">
        <f>IF(SER_hh_fech!M12=0,0,SER_hh_fech!M12/SER_summary!M$26)</f>
        <v>80.725470170602961</v>
      </c>
      <c r="N12" s="132">
        <f>IF(SER_hh_fech!N12=0,0,SER_hh_fech!N12/SER_summary!N$26)</f>
        <v>56.0555259284858</v>
      </c>
      <c r="O12" s="132">
        <f>IF(SER_hh_fech!O12=0,0,SER_hh_fech!O12/SER_summary!O$26)</f>
        <v>54.677333364476247</v>
      </c>
      <c r="P12" s="132">
        <f>IF(SER_hh_fech!P12=0,0,SER_hh_fech!P12/SER_summary!P$26)</f>
        <v>54.931595471811022</v>
      </c>
      <c r="Q12" s="132">
        <f>IF(SER_hh_fech!Q12=0,0,SER_hh_fech!Q12/SER_summary!Q$26)</f>
        <v>61.422135252902876</v>
      </c>
      <c r="R12" s="132">
        <f>IF(SER_hh_fech!R12=0,0,SER_hh_fech!R12/SER_summary!R$26)</f>
        <v>83.504912049362417</v>
      </c>
      <c r="S12" s="132">
        <f>IF(SER_hh_fech!S12=0,0,SER_hh_fech!S12/SER_summary!S$26)</f>
        <v>61.431687101747507</v>
      </c>
      <c r="T12" s="132">
        <f>IF(SER_hh_fech!T12=0,0,SER_hh_fech!T12/SER_summary!T$26)</f>
        <v>80.522844195079671</v>
      </c>
      <c r="U12" s="132">
        <f>IF(SER_hh_fech!U12=0,0,SER_hh_fech!U12/SER_summary!U$26)</f>
        <v>76.448849888428356</v>
      </c>
      <c r="V12" s="132">
        <f>IF(SER_hh_fech!V12=0,0,SER_hh_fech!V12/SER_summary!V$26)</f>
        <v>59.191983522677795</v>
      </c>
      <c r="W12" s="132">
        <f>IF(SER_hh_fech!W12=0,0,SER_hh_fech!W12/SER_summary!W$26)</f>
        <v>81.955285998392952</v>
      </c>
      <c r="X12" s="132">
        <f>IF(SER_hh_fech!X12=0,0,SER_hh_fech!X12/SER_summary!X$26)</f>
        <v>75.638876760660295</v>
      </c>
      <c r="Y12" s="132">
        <f>IF(SER_hh_fech!Y12=0,0,SER_hh_fech!Y12/SER_summary!Y$26)</f>
        <v>84.741050519075429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25.314681911686385</v>
      </c>
      <c r="C13" s="132">
        <f>IF(SER_hh_fech!C13=0,0,SER_hh_fech!C13/SER_summary!C$26)</f>
        <v>20.621894608676104</v>
      </c>
      <c r="D13" s="132">
        <f>IF(SER_hh_fech!D13=0,0,SER_hh_fech!D13/SER_summary!D$26)</f>
        <v>23.625299681247633</v>
      </c>
      <c r="E13" s="132">
        <f>IF(SER_hh_fech!E13=0,0,SER_hh_fech!E13/SER_summary!E$26)</f>
        <v>25.542909041925316</v>
      </c>
      <c r="F13" s="132">
        <f>IF(SER_hh_fech!F13=0,0,SER_hh_fech!F13/SER_summary!F$26)</f>
        <v>22.81750993026866</v>
      </c>
      <c r="G13" s="132">
        <f>IF(SER_hh_fech!G13=0,0,SER_hh_fech!G13/SER_summary!G$26)</f>
        <v>24.969081845389162</v>
      </c>
      <c r="H13" s="132">
        <f>IF(SER_hh_fech!H13=0,0,SER_hh_fech!H13/SER_summary!H$26)</f>
        <v>28.151371679435904</v>
      </c>
      <c r="I13" s="132">
        <f>IF(SER_hh_fech!I13=0,0,SER_hh_fech!I13/SER_summary!I$26)</f>
        <v>24.991381130055903</v>
      </c>
      <c r="J13" s="132">
        <f>IF(SER_hh_fech!J13=0,0,SER_hh_fech!J13/SER_summary!J$26)</f>
        <v>22.726251744260939</v>
      </c>
      <c r="K13" s="132">
        <f>IF(SER_hh_fech!K13=0,0,SER_hh_fech!K13/SER_summary!K$26)</f>
        <v>24.144395583674406</v>
      </c>
      <c r="L13" s="132">
        <f>IF(SER_hh_fech!L13=0,0,SER_hh_fech!L13/SER_summary!L$26)</f>
        <v>25.633729970451927</v>
      </c>
      <c r="M13" s="132">
        <f>IF(SER_hh_fech!M13=0,0,SER_hh_fech!M13/SER_summary!M$26)</f>
        <v>23.6384660629043</v>
      </c>
      <c r="N13" s="132">
        <f>IF(SER_hh_fech!N13=0,0,SER_hh_fech!N13/SER_summary!N$26)</f>
        <v>20.765329966977411</v>
      </c>
      <c r="O13" s="132">
        <f>IF(SER_hh_fech!O13=0,0,SER_hh_fech!O13/SER_summary!O$26)</f>
        <v>21.930383009697511</v>
      </c>
      <c r="P13" s="132">
        <f>IF(SER_hh_fech!P13=0,0,SER_hh_fech!P13/SER_summary!P$26)</f>
        <v>18.847744420296959</v>
      </c>
      <c r="Q13" s="132">
        <f>IF(SER_hh_fech!Q13=0,0,SER_hh_fech!Q13/SER_summary!Q$26)</f>
        <v>19.751541938600564</v>
      </c>
      <c r="R13" s="132">
        <f>IF(SER_hh_fech!R13=0,0,SER_hh_fech!R13/SER_summary!R$26)</f>
        <v>20.008533120918869</v>
      </c>
      <c r="S13" s="132">
        <f>IF(SER_hh_fech!S13=0,0,SER_hh_fech!S13/SER_summary!S$26)</f>
        <v>19.891546249540955</v>
      </c>
      <c r="T13" s="132">
        <f>IF(SER_hh_fech!T13=0,0,SER_hh_fech!T13/SER_summary!T$26)</f>
        <v>19.075979078552145</v>
      </c>
      <c r="U13" s="132">
        <f>IF(SER_hh_fech!U13=0,0,SER_hh_fech!U13/SER_summary!U$26)</f>
        <v>19.54616325616367</v>
      </c>
      <c r="V13" s="132">
        <f>IF(SER_hh_fech!V13=0,0,SER_hh_fech!V13/SER_summary!V$26)</f>
        <v>19.422815880889587</v>
      </c>
      <c r="W13" s="132">
        <f>IF(SER_hh_fech!W13=0,0,SER_hh_fech!W13/SER_summary!W$26)</f>
        <v>21.304860505086477</v>
      </c>
      <c r="X13" s="132">
        <f>IF(SER_hh_fech!X13=0,0,SER_hh_fech!X13/SER_summary!X$26)</f>
        <v>23.017269325066053</v>
      </c>
      <c r="Y13" s="132">
        <f>IF(SER_hh_fech!Y13=0,0,SER_hh_fech!Y13/SER_summary!Y$26)</f>
        <v>22.24348791972141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59.598232078523182</v>
      </c>
      <c r="C14" s="65">
        <f>IF(SER_hh_fech!C14=0,0,SER_hh_fech!C14/SER_summary!C$26)</f>
        <v>52.702223527331981</v>
      </c>
      <c r="D14" s="65">
        <f>IF(SER_hh_fech!D14=0,0,SER_hh_fech!D14/SER_summary!D$26)</f>
        <v>67.586901406325637</v>
      </c>
      <c r="E14" s="65">
        <f>IF(SER_hh_fech!E14=0,0,SER_hh_fech!E14/SER_summary!E$26)</f>
        <v>72.324715001515301</v>
      </c>
      <c r="F14" s="65">
        <f>IF(SER_hh_fech!F14=0,0,SER_hh_fech!F14/SER_summary!F$26)</f>
        <v>47.64965618393763</v>
      </c>
      <c r="G14" s="65">
        <f>IF(SER_hh_fech!G14=0,0,SER_hh_fech!G14/SER_summary!G$26)</f>
        <v>55.806826027224986</v>
      </c>
      <c r="H14" s="65">
        <f>IF(SER_hh_fech!H14=0,0,SER_hh_fech!H14/SER_summary!H$26)</f>
        <v>82.391386970495518</v>
      </c>
      <c r="I14" s="65">
        <f>IF(SER_hh_fech!I14=0,0,SER_hh_fech!I14/SER_summary!I$26)</f>
        <v>58.990985092884699</v>
      </c>
      <c r="J14" s="65">
        <f>IF(SER_hh_fech!J14=0,0,SER_hh_fech!J14/SER_summary!J$26)</f>
        <v>74.031940825939984</v>
      </c>
      <c r="K14" s="65">
        <f>IF(SER_hh_fech!K14=0,0,SER_hh_fech!K14/SER_summary!K$26)</f>
        <v>57.270169203993319</v>
      </c>
      <c r="L14" s="65">
        <f>IF(SER_hh_fech!L14=0,0,SER_hh_fech!L14/SER_summary!L$26)</f>
        <v>74.469542526769175</v>
      </c>
      <c r="M14" s="65">
        <f>IF(SER_hh_fech!M14=0,0,SER_hh_fech!M14/SER_summary!M$26)</f>
        <v>88.36045240371152</v>
      </c>
      <c r="N14" s="65">
        <f>IF(SER_hh_fech!N14=0,0,SER_hh_fech!N14/SER_summary!N$26)</f>
        <v>63.726701855793998</v>
      </c>
      <c r="O14" s="65">
        <f>IF(SER_hh_fech!O14=0,0,SER_hh_fech!O14/SER_summary!O$26)</f>
        <v>59.913180169558636</v>
      </c>
      <c r="P14" s="65">
        <f>IF(SER_hh_fech!P14=0,0,SER_hh_fech!P14/SER_summary!P$26)</f>
        <v>56.962689370964682</v>
      </c>
      <c r="Q14" s="65">
        <f>IF(SER_hh_fech!Q14=0,0,SER_hh_fech!Q14/SER_summary!Q$26)</f>
        <v>50.026832456180642</v>
      </c>
      <c r="R14" s="65">
        <f>IF(SER_hh_fech!R14=0,0,SER_hh_fech!R14/SER_summary!R$26)</f>
        <v>85.009724681772596</v>
      </c>
      <c r="S14" s="65">
        <f>IF(SER_hh_fech!S14=0,0,SER_hh_fech!S14/SER_summary!S$26)</f>
        <v>74.23861876824968</v>
      </c>
      <c r="T14" s="65">
        <f>IF(SER_hh_fech!T14=0,0,SER_hh_fech!T14/SER_summary!T$26)</f>
        <v>88.400816661853639</v>
      </c>
      <c r="U14" s="65">
        <f>IF(SER_hh_fech!U14=0,0,SER_hh_fech!U14/SER_summary!U$26)</f>
        <v>121.52567279280787</v>
      </c>
      <c r="V14" s="65">
        <f>IF(SER_hh_fech!V14=0,0,SER_hh_fech!V14/SER_summary!V$26)</f>
        <v>37.643660705149976</v>
      </c>
      <c r="W14" s="65">
        <f>IF(SER_hh_fech!W14=0,0,SER_hh_fech!W14/SER_summary!W$26)</f>
        <v>109.75541741040989</v>
      </c>
      <c r="X14" s="65">
        <f>IF(SER_hh_fech!X14=0,0,SER_hh_fech!X14/SER_summary!X$26)</f>
        <v>98.640108240794447</v>
      </c>
      <c r="Y14" s="65">
        <f>IF(SER_hh_fech!Y14=0,0,SER_hh_fech!Y14/SER_summary!Y$26)</f>
        <v>76.45777320037341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0.33450220208460274</v>
      </c>
      <c r="C15" s="134">
        <f>IF(SER_hh_fech!C15=0,0,SER_hh_fech!C15/SER_summary!C$26)</f>
        <v>0.55105745970628228</v>
      </c>
      <c r="D15" s="134">
        <f>IF(SER_hh_fech!D15=0,0,SER_hh_fech!D15/SER_summary!D$26)</f>
        <v>0.39789067931802602</v>
      </c>
      <c r="E15" s="134">
        <f>IF(SER_hh_fech!E15=0,0,SER_hh_fech!E15/SER_summary!E$26)</f>
        <v>0.32184291981195395</v>
      </c>
      <c r="F15" s="134">
        <f>IF(SER_hh_fech!F15=0,0,SER_hh_fech!F15/SER_summary!F$26)</f>
        <v>0.23264917175556002</v>
      </c>
      <c r="G15" s="134">
        <f>IF(SER_hh_fech!G15=0,0,SER_hh_fech!G15/SER_summary!G$26)</f>
        <v>0.32341033713909784</v>
      </c>
      <c r="H15" s="134">
        <f>IF(SER_hh_fech!H15=0,0,SER_hh_fech!H15/SER_summary!H$26)</f>
        <v>0.41649809137559263</v>
      </c>
      <c r="I15" s="134">
        <f>IF(SER_hh_fech!I15=0,0,SER_hh_fech!I15/SER_summary!I$26)</f>
        <v>0.33184358731027996</v>
      </c>
      <c r="J15" s="134">
        <f>IF(SER_hh_fech!J15=0,0,SER_hh_fech!J15/SER_summary!J$26)</f>
        <v>0.39272718064046025</v>
      </c>
      <c r="K15" s="134">
        <f>IF(SER_hh_fech!K15=0,0,SER_hh_fech!K15/SER_summary!K$26)</f>
        <v>0.35911368300328206</v>
      </c>
      <c r="L15" s="134">
        <f>IF(SER_hh_fech!L15=0,0,SER_hh_fech!L15/SER_summary!L$26)</f>
        <v>0.34714489009752569</v>
      </c>
      <c r="M15" s="134">
        <f>IF(SER_hh_fech!M15=0,0,SER_hh_fech!M15/SER_summary!M$26)</f>
        <v>0.36193485533118347</v>
      </c>
      <c r="N15" s="134">
        <f>IF(SER_hh_fech!N15=0,0,SER_hh_fech!N15/SER_summary!N$26)</f>
        <v>0.35479738851518683</v>
      </c>
      <c r="O15" s="134">
        <f>IF(SER_hh_fech!O15=0,0,SER_hh_fech!O15/SER_summary!O$26)</f>
        <v>0.30054095312569357</v>
      </c>
      <c r="P15" s="134">
        <f>IF(SER_hh_fech!P15=0,0,SER_hh_fech!P15/SER_summary!P$26)</f>
        <v>0.27043541024485546</v>
      </c>
      <c r="Q15" s="134">
        <f>IF(SER_hh_fech!Q15=0,0,SER_hh_fech!Q15/SER_summary!Q$26)</f>
        <v>0.37181212649044015</v>
      </c>
      <c r="R15" s="134">
        <f>IF(SER_hh_fech!R15=0,0,SER_hh_fech!R15/SER_summary!R$26)</f>
        <v>0.4005983905884154</v>
      </c>
      <c r="S15" s="134">
        <f>IF(SER_hh_fech!S15=0,0,SER_hh_fech!S15/SER_summary!S$26)</f>
        <v>0.40249759711846156</v>
      </c>
      <c r="T15" s="134">
        <f>IF(SER_hh_fech!T15=0,0,SER_hh_fech!T15/SER_summary!T$26)</f>
        <v>0.43764558975555512</v>
      </c>
      <c r="U15" s="134">
        <f>IF(SER_hh_fech!U15=0,0,SER_hh_fech!U15/SER_summary!U$26)</f>
        <v>0.43313933687858536</v>
      </c>
      <c r="V15" s="134">
        <f>IF(SER_hh_fech!V15=0,0,SER_hh_fech!V15/SER_summary!V$26)</f>
        <v>0.38943702902823923</v>
      </c>
      <c r="W15" s="134">
        <f>IF(SER_hh_fech!W15=0,0,SER_hh_fech!W15/SER_summary!W$26)</f>
        <v>0.50698487945826909</v>
      </c>
      <c r="X15" s="134">
        <f>IF(SER_hh_fech!X15=0,0,SER_hh_fech!X15/SER_summary!X$26)</f>
        <v>0.53254610729984242</v>
      </c>
      <c r="Y15" s="134">
        <f>IF(SER_hh_fech!Y15=0,0,SER_hh_fech!Y15/SER_summary!Y$26)</f>
        <v>0.50123713374014001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20.683155888551283</v>
      </c>
      <c r="C16" s="130">
        <f>IF(SER_hh_fech!C16=0,0,SER_hh_fech!C16/SER_summary!C$26)</f>
        <v>18.087659928091099</v>
      </c>
      <c r="D16" s="130">
        <f>IF(SER_hh_fech!D16=0,0,SER_hh_fech!D16/SER_summary!D$26)</f>
        <v>12.733449783565451</v>
      </c>
      <c r="E16" s="130">
        <f>IF(SER_hh_fech!E16=0,0,SER_hh_fech!E16/SER_summary!E$26)</f>
        <v>13.315751931866492</v>
      </c>
      <c r="F16" s="130">
        <f>IF(SER_hh_fech!F16=0,0,SER_hh_fech!F16/SER_summary!F$26)</f>
        <v>9.8370832578467322</v>
      </c>
      <c r="G16" s="130">
        <f>IF(SER_hh_fech!G16=0,0,SER_hh_fech!G16/SER_summary!G$26)</f>
        <v>9.466876600123296</v>
      </c>
      <c r="H16" s="130">
        <f>IF(SER_hh_fech!H16=0,0,SER_hh_fech!H16/SER_summary!H$26)</f>
        <v>10.422192747016123</v>
      </c>
      <c r="I16" s="130">
        <f>IF(SER_hh_fech!I16=0,0,SER_hh_fech!I16/SER_summary!I$26)</f>
        <v>17.691866776338799</v>
      </c>
      <c r="J16" s="130">
        <f>IF(SER_hh_fech!J16=0,0,SER_hh_fech!J16/SER_summary!J$26)</f>
        <v>10.736222052506143</v>
      </c>
      <c r="K16" s="130">
        <f>IF(SER_hh_fech!K16=0,0,SER_hh_fech!K16/SER_summary!K$26)</f>
        <v>9.115804514943834</v>
      </c>
      <c r="L16" s="130">
        <f>IF(SER_hh_fech!L16=0,0,SER_hh_fech!L16/SER_summary!L$26)</f>
        <v>11.127221934551127</v>
      </c>
      <c r="M16" s="130">
        <f>IF(SER_hh_fech!M16=0,0,SER_hh_fech!M16/SER_summary!M$26)</f>
        <v>8.8895798945697013</v>
      </c>
      <c r="N16" s="130">
        <f>IF(SER_hh_fech!N16=0,0,SER_hh_fech!N16/SER_summary!N$26)</f>
        <v>17.93562203695658</v>
      </c>
      <c r="O16" s="130">
        <f>IF(SER_hh_fech!O16=0,0,SER_hh_fech!O16/SER_summary!O$26)</f>
        <v>8.4013212163362212</v>
      </c>
      <c r="P16" s="130">
        <f>IF(SER_hh_fech!P16=0,0,SER_hh_fech!P16/SER_summary!P$26)</f>
        <v>7.4671613999870656</v>
      </c>
      <c r="Q16" s="130">
        <f>IF(SER_hh_fech!Q16=0,0,SER_hh_fech!Q16/SER_summary!Q$26)</f>
        <v>10.320060291844609</v>
      </c>
      <c r="R16" s="130">
        <f>IF(SER_hh_fech!R16=0,0,SER_hh_fech!R16/SER_summary!R$26)</f>
        <v>9.1902040541294543</v>
      </c>
      <c r="S16" s="130">
        <f>IF(SER_hh_fech!S16=0,0,SER_hh_fech!S16/SER_summary!S$26)</f>
        <v>9.4218673966170954</v>
      </c>
      <c r="T16" s="130">
        <f>IF(SER_hh_fech!T16=0,0,SER_hh_fech!T16/SER_summary!T$26)</f>
        <v>6.876869634272861</v>
      </c>
      <c r="U16" s="130">
        <f>IF(SER_hh_fech!U16=0,0,SER_hh_fech!U16/SER_summary!U$26)</f>
        <v>7.4306254135389267</v>
      </c>
      <c r="V16" s="130">
        <f>IF(SER_hh_fech!V16=0,0,SER_hh_fech!V16/SER_summary!V$26)</f>
        <v>7.1092125760980087</v>
      </c>
      <c r="W16" s="130">
        <f>IF(SER_hh_fech!W16=0,0,SER_hh_fech!W16/SER_summary!W$26)</f>
        <v>9.7810635213446329</v>
      </c>
      <c r="X16" s="130">
        <f>IF(SER_hh_fech!X16=0,0,SER_hh_fech!X16/SER_summary!X$26)</f>
        <v>8.9242918214563076</v>
      </c>
      <c r="Y16" s="130">
        <f>IF(SER_hh_fech!Y16=0,0,SER_hh_fech!Y16/SER_summary!Y$26)</f>
        <v>10.83741013641964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0</v>
      </c>
      <c r="C17" s="132">
        <f>IF(SER_hh_fech!C17=0,0,SER_hh_fech!C17/SER_summary!C$26)</f>
        <v>0</v>
      </c>
      <c r="D17" s="132">
        <f>IF(SER_hh_fech!D17=0,0,SER_hh_fech!D17/SER_summary!D$26)</f>
        <v>0</v>
      </c>
      <c r="E17" s="132">
        <f>IF(SER_hh_fech!E17=0,0,SER_hh_fech!E17/SER_summary!E$26)</f>
        <v>0</v>
      </c>
      <c r="F17" s="132">
        <f>IF(SER_hh_fech!F17=0,0,SER_hh_fech!F17/SER_summary!F$26)</f>
        <v>0</v>
      </c>
      <c r="G17" s="132">
        <f>IF(SER_hh_fech!G17=0,0,SER_hh_fech!G17/SER_summary!G$26)</f>
        <v>0</v>
      </c>
      <c r="H17" s="132">
        <f>IF(SER_hh_fech!H17=0,0,SER_hh_fech!H17/SER_summary!H$26)</f>
        <v>0</v>
      </c>
      <c r="I17" s="132">
        <f>IF(SER_hh_fech!I17=0,0,SER_hh_fech!I17/SER_summary!I$26)</f>
        <v>0</v>
      </c>
      <c r="J17" s="132">
        <f>IF(SER_hh_fech!J17=0,0,SER_hh_fech!J17/SER_summary!J$26)</f>
        <v>0</v>
      </c>
      <c r="K17" s="132">
        <f>IF(SER_hh_fech!K17=0,0,SER_hh_fech!K17/SER_summary!K$26)</f>
        <v>0</v>
      </c>
      <c r="L17" s="132">
        <f>IF(SER_hh_fech!L17=0,0,SER_hh_fech!L17/SER_summary!L$26)</f>
        <v>0</v>
      </c>
      <c r="M17" s="132">
        <f>IF(SER_hh_fech!M17=0,0,SER_hh_fech!M17/SER_summary!M$26)</f>
        <v>0</v>
      </c>
      <c r="N17" s="132">
        <f>IF(SER_hh_fech!N17=0,0,SER_hh_fech!N17/SER_summary!N$26)</f>
        <v>0</v>
      </c>
      <c r="O17" s="132">
        <f>IF(SER_hh_fech!O17=0,0,SER_hh_fech!O17/SER_summary!O$26)</f>
        <v>0</v>
      </c>
      <c r="P17" s="132">
        <f>IF(SER_hh_fech!P17=0,0,SER_hh_fech!P17/SER_summary!P$26)</f>
        <v>0</v>
      </c>
      <c r="Q17" s="132">
        <f>IF(SER_hh_fech!Q17=0,0,SER_hh_fech!Q17/SER_summary!Q$26)</f>
        <v>0</v>
      </c>
      <c r="R17" s="132">
        <f>IF(SER_hh_fech!R17=0,0,SER_hh_fech!R17/SER_summary!R$26)</f>
        <v>0</v>
      </c>
      <c r="S17" s="132">
        <f>IF(SER_hh_fech!S17=0,0,SER_hh_fech!S17/SER_summary!S$26)</f>
        <v>0</v>
      </c>
      <c r="T17" s="132">
        <f>IF(SER_hh_fech!T17=0,0,SER_hh_fech!T17/SER_summary!T$26)</f>
        <v>0</v>
      </c>
      <c r="U17" s="132">
        <f>IF(SER_hh_fech!U17=0,0,SER_hh_fech!U17/SER_summary!U$26)</f>
        <v>0</v>
      </c>
      <c r="V17" s="132">
        <f>IF(SER_hh_fech!V17=0,0,SER_hh_fech!V17/SER_summary!V$26)</f>
        <v>0</v>
      </c>
      <c r="W17" s="132">
        <f>IF(SER_hh_fech!W17=0,0,SER_hh_fech!W17/SER_summary!W$26)</f>
        <v>0</v>
      </c>
      <c r="X17" s="132">
        <f>IF(SER_hh_fech!X17=0,0,SER_hh_fech!X17/SER_summary!X$26)</f>
        <v>0</v>
      </c>
      <c r="Y17" s="132">
        <f>IF(SER_hh_fech!Y17=0,0,SER_hh_fech!Y17/SER_summary!Y$26)</f>
        <v>0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20.683155888551283</v>
      </c>
      <c r="C18" s="132">
        <f>IF(SER_hh_fech!C18=0,0,SER_hh_fech!C18/SER_summary!C$26)</f>
        <v>18.087659928091099</v>
      </c>
      <c r="D18" s="132">
        <f>IF(SER_hh_fech!D18=0,0,SER_hh_fech!D18/SER_summary!D$26)</f>
        <v>12.733449783565451</v>
      </c>
      <c r="E18" s="132">
        <f>IF(SER_hh_fech!E18=0,0,SER_hh_fech!E18/SER_summary!E$26)</f>
        <v>13.315751931866492</v>
      </c>
      <c r="F18" s="132">
        <f>IF(SER_hh_fech!F18=0,0,SER_hh_fech!F18/SER_summary!F$26)</f>
        <v>9.8370832578467322</v>
      </c>
      <c r="G18" s="132">
        <f>IF(SER_hh_fech!G18=0,0,SER_hh_fech!G18/SER_summary!G$26)</f>
        <v>9.466876600123296</v>
      </c>
      <c r="H18" s="132">
        <f>IF(SER_hh_fech!H18=0,0,SER_hh_fech!H18/SER_summary!H$26)</f>
        <v>10.422192747016123</v>
      </c>
      <c r="I18" s="132">
        <f>IF(SER_hh_fech!I18=0,0,SER_hh_fech!I18/SER_summary!I$26)</f>
        <v>17.691866776338799</v>
      </c>
      <c r="J18" s="132">
        <f>IF(SER_hh_fech!J18=0,0,SER_hh_fech!J18/SER_summary!J$26)</f>
        <v>10.736222052506143</v>
      </c>
      <c r="K18" s="132">
        <f>IF(SER_hh_fech!K18=0,0,SER_hh_fech!K18/SER_summary!K$26)</f>
        <v>9.115804514943834</v>
      </c>
      <c r="L18" s="132">
        <f>IF(SER_hh_fech!L18=0,0,SER_hh_fech!L18/SER_summary!L$26)</f>
        <v>11.127221934551127</v>
      </c>
      <c r="M18" s="132">
        <f>IF(SER_hh_fech!M18=0,0,SER_hh_fech!M18/SER_summary!M$26)</f>
        <v>8.8895798945697013</v>
      </c>
      <c r="N18" s="132">
        <f>IF(SER_hh_fech!N18=0,0,SER_hh_fech!N18/SER_summary!N$26)</f>
        <v>17.93562203695658</v>
      </c>
      <c r="O18" s="132">
        <f>IF(SER_hh_fech!O18=0,0,SER_hh_fech!O18/SER_summary!O$26)</f>
        <v>8.4013212163362212</v>
      </c>
      <c r="P18" s="132">
        <f>IF(SER_hh_fech!P18=0,0,SER_hh_fech!P18/SER_summary!P$26)</f>
        <v>7.4671613999870656</v>
      </c>
      <c r="Q18" s="132">
        <f>IF(SER_hh_fech!Q18=0,0,SER_hh_fech!Q18/SER_summary!Q$26)</f>
        <v>10.320060291844609</v>
      </c>
      <c r="R18" s="132">
        <f>IF(SER_hh_fech!R18=0,0,SER_hh_fech!R18/SER_summary!R$26)</f>
        <v>9.1902040541294543</v>
      </c>
      <c r="S18" s="132">
        <f>IF(SER_hh_fech!S18=0,0,SER_hh_fech!S18/SER_summary!S$26)</f>
        <v>9.4218673966170954</v>
      </c>
      <c r="T18" s="132">
        <f>IF(SER_hh_fech!T18=0,0,SER_hh_fech!T18/SER_summary!T$26)</f>
        <v>6.876869634272861</v>
      </c>
      <c r="U18" s="132">
        <f>IF(SER_hh_fech!U18=0,0,SER_hh_fech!U18/SER_summary!U$26)</f>
        <v>7.4306254135389267</v>
      </c>
      <c r="V18" s="132">
        <f>IF(SER_hh_fech!V18=0,0,SER_hh_fech!V18/SER_summary!V$26)</f>
        <v>7.1092125760980087</v>
      </c>
      <c r="W18" s="132">
        <f>IF(SER_hh_fech!W18=0,0,SER_hh_fech!W18/SER_summary!W$26)</f>
        <v>9.7810635213446329</v>
      </c>
      <c r="X18" s="132">
        <f>IF(SER_hh_fech!X18=0,0,SER_hh_fech!X18/SER_summary!X$26)</f>
        <v>8.9242918214563076</v>
      </c>
      <c r="Y18" s="132">
        <f>IF(SER_hh_fech!Y18=0,0,SER_hh_fech!Y18/SER_summary!Y$26)</f>
        <v>10.83741013641964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18.082735072239721</v>
      </c>
      <c r="C19" s="130">
        <f>IF(SER_hh_fech!C19=0,0,SER_hh_fech!C19/SER_summary!C$26)</f>
        <v>17.92173336417304</v>
      </c>
      <c r="D19" s="130">
        <f>IF(SER_hh_fech!D19=0,0,SER_hh_fech!D19/SER_summary!D$26)</f>
        <v>17.706175569489297</v>
      </c>
      <c r="E19" s="130">
        <f>IF(SER_hh_fech!E19=0,0,SER_hh_fech!E19/SER_summary!E$26)</f>
        <v>17.349413230840952</v>
      </c>
      <c r="F19" s="130">
        <f>IF(SER_hh_fech!F19=0,0,SER_hh_fech!F19/SER_summary!F$26)</f>
        <v>16.801651066606254</v>
      </c>
      <c r="G19" s="130">
        <f>IF(SER_hh_fech!G19=0,0,SER_hh_fech!G19/SER_summary!G$26)</f>
        <v>16.7939523494022</v>
      </c>
      <c r="H19" s="130">
        <f>IF(SER_hh_fech!H19=0,0,SER_hh_fech!H19/SER_summary!H$26)</f>
        <v>17.039507908879617</v>
      </c>
      <c r="I19" s="130">
        <f>IF(SER_hh_fech!I19=0,0,SER_hh_fech!I19/SER_summary!I$26)</f>
        <v>17.094956926330308</v>
      </c>
      <c r="J19" s="130">
        <f>IF(SER_hh_fech!J19=0,0,SER_hh_fech!J19/SER_summary!J$26)</f>
        <v>17.076035602567245</v>
      </c>
      <c r="K19" s="130">
        <f>IF(SER_hh_fech!K19=0,0,SER_hh_fech!K19/SER_summary!K$26)</f>
        <v>17.609713808923814</v>
      </c>
      <c r="L19" s="130">
        <f>IF(SER_hh_fech!L19=0,0,SER_hh_fech!L19/SER_summary!L$26)</f>
        <v>18.203455391585496</v>
      </c>
      <c r="M19" s="130">
        <f>IF(SER_hh_fech!M19=0,0,SER_hh_fech!M19/SER_summary!M$26)</f>
        <v>18.080254395198107</v>
      </c>
      <c r="N19" s="130">
        <f>IF(SER_hh_fech!N19=0,0,SER_hh_fech!N19/SER_summary!N$26)</f>
        <v>17.816847328793283</v>
      </c>
      <c r="O19" s="130">
        <f>IF(SER_hh_fech!O19=0,0,SER_hh_fech!O19/SER_summary!O$26)</f>
        <v>17.725042975653263</v>
      </c>
      <c r="P19" s="130">
        <f>IF(SER_hh_fech!P19=0,0,SER_hh_fech!P19/SER_summary!P$26)</f>
        <v>17.349638692190833</v>
      </c>
      <c r="Q19" s="130">
        <f>IF(SER_hh_fech!Q19=0,0,SER_hh_fech!Q19/SER_summary!Q$26)</f>
        <v>17.49204035128415</v>
      </c>
      <c r="R19" s="130">
        <f>IF(SER_hh_fech!R19=0,0,SER_hh_fech!R19/SER_summary!R$26)</f>
        <v>17.452178365426931</v>
      </c>
      <c r="S19" s="130">
        <f>IF(SER_hh_fech!S19=0,0,SER_hh_fech!S19/SER_summary!S$26)</f>
        <v>17.509304351590742</v>
      </c>
      <c r="T19" s="130">
        <f>IF(SER_hh_fech!T19=0,0,SER_hh_fech!T19/SER_summary!T$26)</f>
        <v>17.419648432798638</v>
      </c>
      <c r="U19" s="130">
        <f>IF(SER_hh_fech!U19=0,0,SER_hh_fech!U19/SER_summary!U$26)</f>
        <v>17.449826599963995</v>
      </c>
      <c r="V19" s="130">
        <f>IF(SER_hh_fech!V19=0,0,SER_hh_fech!V19/SER_summary!V$26)</f>
        <v>15.024158974552485</v>
      </c>
      <c r="W19" s="130">
        <f>IF(SER_hh_fech!W19=0,0,SER_hh_fech!W19/SER_summary!W$26)</f>
        <v>16.063768838486393</v>
      </c>
      <c r="X19" s="130">
        <f>IF(SER_hh_fech!X19=0,0,SER_hh_fech!X19/SER_summary!X$26)</f>
        <v>16.381804493011582</v>
      </c>
      <c r="Y19" s="130">
        <f>IF(SER_hh_fech!Y19=0,0,SER_hh_fech!Y19/SER_summary!Y$26)</f>
        <v>16.5517304742297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0</v>
      </c>
      <c r="C21" s="132">
        <f>IF(SER_hh_fech!C21=0,0,SER_hh_fech!C21/SER_summary!C$26)</f>
        <v>0</v>
      </c>
      <c r="D21" s="132">
        <f>IF(SER_hh_fech!D21=0,0,SER_hh_fech!D21/SER_summary!D$26)</f>
        <v>0</v>
      </c>
      <c r="E21" s="132">
        <f>IF(SER_hh_fech!E21=0,0,SER_hh_fech!E21/SER_summary!E$26)</f>
        <v>0</v>
      </c>
      <c r="F21" s="132">
        <f>IF(SER_hh_fech!F21=0,0,SER_hh_fech!F21/SER_summary!F$26)</f>
        <v>0</v>
      </c>
      <c r="G21" s="132">
        <f>IF(SER_hh_fech!G21=0,0,SER_hh_fech!G21/SER_summary!G$26)</f>
        <v>0</v>
      </c>
      <c r="H21" s="132">
        <f>IF(SER_hh_fech!H21=0,0,SER_hh_fech!H21/SER_summary!H$26)</f>
        <v>0</v>
      </c>
      <c r="I21" s="132">
        <f>IF(SER_hh_fech!I21=0,0,SER_hh_fech!I21/SER_summary!I$26)</f>
        <v>0</v>
      </c>
      <c r="J21" s="132">
        <f>IF(SER_hh_fech!J21=0,0,SER_hh_fech!J21/SER_summary!J$26)</f>
        <v>0</v>
      </c>
      <c r="K21" s="132">
        <f>IF(SER_hh_fech!K21=0,0,SER_hh_fech!K21/SER_summary!K$26)</f>
        <v>0</v>
      </c>
      <c r="L21" s="132">
        <f>IF(SER_hh_fech!L21=0,0,SER_hh_fech!L21/SER_summary!L$26)</f>
        <v>0</v>
      </c>
      <c r="M21" s="132">
        <f>IF(SER_hh_fech!M21=0,0,SER_hh_fech!M21/SER_summary!M$26)</f>
        <v>0</v>
      </c>
      <c r="N21" s="132">
        <f>IF(SER_hh_fech!N21=0,0,SER_hh_fech!N21/SER_summary!N$26)</f>
        <v>0</v>
      </c>
      <c r="O21" s="132">
        <f>IF(SER_hh_fech!O21=0,0,SER_hh_fech!O21/SER_summary!O$26)</f>
        <v>0</v>
      </c>
      <c r="P21" s="132">
        <f>IF(SER_hh_fech!P21=0,0,SER_hh_fech!P21/SER_summary!P$26)</f>
        <v>0</v>
      </c>
      <c r="Q21" s="132">
        <f>IF(SER_hh_fech!Q21=0,0,SER_hh_fech!Q21/SER_summary!Q$26)</f>
        <v>0</v>
      </c>
      <c r="R21" s="132">
        <f>IF(SER_hh_fech!R21=0,0,SER_hh_fech!R21/SER_summary!R$26)</f>
        <v>0</v>
      </c>
      <c r="S21" s="132">
        <f>IF(SER_hh_fech!S21=0,0,SER_hh_fech!S21/SER_summary!S$26)</f>
        <v>0</v>
      </c>
      <c r="T21" s="132">
        <f>IF(SER_hh_fech!T21=0,0,SER_hh_fech!T21/SER_summary!T$26)</f>
        <v>0</v>
      </c>
      <c r="U21" s="132">
        <f>IF(SER_hh_fech!U21=0,0,SER_hh_fech!U21/SER_summary!U$26)</f>
        <v>0</v>
      </c>
      <c r="V21" s="132">
        <f>IF(SER_hh_fech!V21=0,0,SER_hh_fech!V21/SER_summary!V$26)</f>
        <v>0</v>
      </c>
      <c r="W21" s="132">
        <f>IF(SER_hh_fech!W21=0,0,SER_hh_fech!W21/SER_summary!W$26)</f>
        <v>0</v>
      </c>
      <c r="X21" s="132">
        <f>IF(SER_hh_fech!X21=0,0,SER_hh_fech!X21/SER_summary!X$26)</f>
        <v>0</v>
      </c>
      <c r="Y21" s="132">
        <f>IF(SER_hh_fech!Y21=0,0,SER_hh_fech!Y21/SER_summary!Y$26)</f>
        <v>0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21.885795822414234</v>
      </c>
      <c r="C22" s="132">
        <f>IF(SER_hh_fech!C22=0,0,SER_hh_fech!C22/SER_summary!C$26)</f>
        <v>23.901355767710136</v>
      </c>
      <c r="D22" s="132">
        <f>IF(SER_hh_fech!D22=0,0,SER_hh_fech!D22/SER_summary!D$26)</f>
        <v>24.069755917894994</v>
      </c>
      <c r="E22" s="132">
        <f>IF(SER_hh_fech!E22=0,0,SER_hh_fech!E22/SER_summary!E$26)</f>
        <v>23.676862296139888</v>
      </c>
      <c r="F22" s="132">
        <f>IF(SER_hh_fech!F22=0,0,SER_hh_fech!F22/SER_summary!F$26)</f>
        <v>20.839755830018085</v>
      </c>
      <c r="G22" s="132">
        <f>IF(SER_hh_fech!G22=0,0,SER_hh_fech!G22/SER_summary!G$26)</f>
        <v>21.232116355769708</v>
      </c>
      <c r="H22" s="132">
        <f>IF(SER_hh_fech!H22=0,0,SER_hh_fech!H22/SER_summary!H$26)</f>
        <v>22.011904745278418</v>
      </c>
      <c r="I22" s="132">
        <f>IF(SER_hh_fech!I22=0,0,SER_hh_fech!I22/SER_summary!I$26)</f>
        <v>22.536052293334528</v>
      </c>
      <c r="J22" s="132">
        <f>IF(SER_hh_fech!J22=0,0,SER_hh_fech!J22/SER_summary!J$26)</f>
        <v>22.899391237285826</v>
      </c>
      <c r="K22" s="132">
        <f>IF(SER_hh_fech!K22=0,0,SER_hh_fech!K22/SER_summary!K$26)</f>
        <v>22.993407488528078</v>
      </c>
      <c r="L22" s="132">
        <f>IF(SER_hh_fech!L22=0,0,SER_hh_fech!L22/SER_summary!L$26)</f>
        <v>23.179316331987447</v>
      </c>
      <c r="M22" s="132">
        <f>IF(SER_hh_fech!M22=0,0,SER_hh_fech!M22/SER_summary!M$26)</f>
        <v>24.717035247677686</v>
      </c>
      <c r="N22" s="132">
        <f>IF(SER_hh_fech!N22=0,0,SER_hh_fech!N22/SER_summary!N$26)</f>
        <v>24.701178041041342</v>
      </c>
      <c r="O22" s="132">
        <f>IF(SER_hh_fech!O22=0,0,SER_hh_fech!O22/SER_summary!O$26)</f>
        <v>21.476616703808038</v>
      </c>
      <c r="P22" s="132">
        <f>IF(SER_hh_fech!P22=0,0,SER_hh_fech!P22/SER_summary!P$26)</f>
        <v>20.213054719064658</v>
      </c>
      <c r="Q22" s="132">
        <f>IF(SER_hh_fech!Q22=0,0,SER_hh_fech!Q22/SER_summary!Q$26)</f>
        <v>23.878900552118697</v>
      </c>
      <c r="R22" s="132">
        <f>IF(SER_hh_fech!R22=0,0,SER_hh_fech!R22/SER_summary!R$26)</f>
        <v>24.923386896688065</v>
      </c>
      <c r="S22" s="132">
        <f>IF(SER_hh_fech!S22=0,0,SER_hh_fech!S22/SER_summary!S$26)</f>
        <v>24.581933946642586</v>
      </c>
      <c r="T22" s="132">
        <f>IF(SER_hh_fech!T22=0,0,SER_hh_fech!T22/SER_summary!T$26)</f>
        <v>18.157282184388141</v>
      </c>
      <c r="U22" s="132">
        <f>IF(SER_hh_fech!U22=0,0,SER_hh_fech!U22/SER_summary!U$26)</f>
        <v>24.591967121268699</v>
      </c>
      <c r="V22" s="132">
        <f>IF(SER_hh_fech!V22=0,0,SER_hh_fech!V22/SER_summary!V$26)</f>
        <v>21.576772074424809</v>
      </c>
      <c r="W22" s="132">
        <f>IF(SER_hh_fech!W22=0,0,SER_hh_fech!W22/SER_summary!W$26)</f>
        <v>18.646395788987974</v>
      </c>
      <c r="X22" s="132">
        <f>IF(SER_hh_fech!X22=0,0,SER_hh_fech!X22/SER_summary!X$26)</f>
        <v>19.388366329761574</v>
      </c>
      <c r="Y22" s="132">
        <f>IF(SER_hh_fech!Y22=0,0,SER_hh_fech!Y22/SER_summary!Y$26)</f>
        <v>22.79022941163797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20.655484381543111</v>
      </c>
      <c r="C23" s="132">
        <f>IF(SER_hh_fech!C23=0,0,SER_hh_fech!C23/SER_summary!C$26)</f>
        <v>22.251048656707294</v>
      </c>
      <c r="D23" s="132">
        <f>IF(SER_hh_fech!D23=0,0,SER_hh_fech!D23/SER_summary!D$26)</f>
        <v>19.488886984553627</v>
      </c>
      <c r="E23" s="132">
        <f>IF(SER_hh_fech!E23=0,0,SER_hh_fech!E23/SER_summary!E$26)</f>
        <v>20.222937982636694</v>
      </c>
      <c r="F23" s="132">
        <f>IF(SER_hh_fech!F23=0,0,SER_hh_fech!F23/SER_summary!F$26)</f>
        <v>19.619770210846632</v>
      </c>
      <c r="G23" s="132">
        <f>IF(SER_hh_fech!G23=0,0,SER_hh_fech!G23/SER_summary!G$26)</f>
        <v>18.95598252128487</v>
      </c>
      <c r="H23" s="132">
        <f>IF(SER_hh_fech!H23=0,0,SER_hh_fech!H23/SER_summary!H$26)</f>
        <v>19.471285884524576</v>
      </c>
      <c r="I23" s="132">
        <f>IF(SER_hh_fech!I23=0,0,SER_hh_fech!I23/SER_summary!I$26)</f>
        <v>20.392773918913367</v>
      </c>
      <c r="J23" s="132">
        <f>IF(SER_hh_fech!J23=0,0,SER_hh_fech!J23/SER_summary!J$26)</f>
        <v>20.047189386305515</v>
      </c>
      <c r="K23" s="132">
        <f>IF(SER_hh_fech!K23=0,0,SER_hh_fech!K23/SER_summary!K$26)</f>
        <v>20.196478107974077</v>
      </c>
      <c r="L23" s="132">
        <f>IF(SER_hh_fech!L23=0,0,SER_hh_fech!L23/SER_summary!L$26)</f>
        <v>20.898276609165123</v>
      </c>
      <c r="M23" s="132">
        <f>IF(SER_hh_fech!M23=0,0,SER_hh_fech!M23/SER_summary!M$26)</f>
        <v>20.896991312646456</v>
      </c>
      <c r="N23" s="132">
        <f>IF(SER_hh_fech!N23=0,0,SER_hh_fech!N23/SER_summary!N$26)</f>
        <v>20.642737801927179</v>
      </c>
      <c r="O23" s="132">
        <f>IF(SER_hh_fech!O23=0,0,SER_hh_fech!O23/SER_summary!O$26)</f>
        <v>20.473160860013969</v>
      </c>
      <c r="P23" s="132">
        <f>IF(SER_hh_fech!P23=0,0,SER_hh_fech!P23/SER_summary!P$26)</f>
        <v>20.273753008365908</v>
      </c>
      <c r="Q23" s="132">
        <f>IF(SER_hh_fech!Q23=0,0,SER_hh_fech!Q23/SER_summary!Q$26)</f>
        <v>20.275161328168114</v>
      </c>
      <c r="R23" s="132">
        <f>IF(SER_hh_fech!R23=0,0,SER_hh_fech!R23/SER_summary!R$26)</f>
        <v>19.943474133898672</v>
      </c>
      <c r="S23" s="132">
        <f>IF(SER_hh_fech!S23=0,0,SER_hh_fech!S23/SER_summary!S$26)</f>
        <v>19.85272453667103</v>
      </c>
      <c r="T23" s="132">
        <f>IF(SER_hh_fech!T23=0,0,SER_hh_fech!T23/SER_summary!T$26)</f>
        <v>19.816136038593566</v>
      </c>
      <c r="U23" s="132">
        <f>IF(SER_hh_fech!U23=0,0,SER_hh_fech!U23/SER_summary!U$26)</f>
        <v>19.607447236186495</v>
      </c>
      <c r="V23" s="132">
        <f>IF(SER_hh_fech!V23=0,0,SER_hh_fech!V23/SER_summary!V$26)</f>
        <v>16.892349402945886</v>
      </c>
      <c r="W23" s="132">
        <f>IF(SER_hh_fech!W23=0,0,SER_hh_fech!W23/SER_summary!W$26)</f>
        <v>18.109988758830763</v>
      </c>
      <c r="X23" s="132">
        <f>IF(SER_hh_fech!X23=0,0,SER_hh_fech!X23/SER_summary!X$26)</f>
        <v>15.753607031694925</v>
      </c>
      <c r="Y23" s="132">
        <f>IF(SER_hh_fech!Y23=0,0,SER_hh_fech!Y23/SER_summary!Y$26)</f>
        <v>18.63835098022609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0</v>
      </c>
      <c r="C24" s="132">
        <f>IF(SER_hh_fech!C24=0,0,SER_hh_fech!C24/SER_summary!C$26)</f>
        <v>0</v>
      </c>
      <c r="D24" s="132">
        <f>IF(SER_hh_fech!D24=0,0,SER_hh_fech!D24/SER_summary!D$26)</f>
        <v>0</v>
      </c>
      <c r="E24" s="132">
        <f>IF(SER_hh_fech!E24=0,0,SER_hh_fech!E24/SER_summary!E$26)</f>
        <v>0</v>
      </c>
      <c r="F24" s="132">
        <f>IF(SER_hh_fech!F24=0,0,SER_hh_fech!F24/SER_summary!F$26)</f>
        <v>0</v>
      </c>
      <c r="G24" s="132">
        <f>IF(SER_hh_fech!G24=0,0,SER_hh_fech!G24/SER_summary!G$26)</f>
        <v>0</v>
      </c>
      <c r="H24" s="132">
        <f>IF(SER_hh_fech!H24=0,0,SER_hh_fech!H24/SER_summary!H$26)</f>
        <v>0</v>
      </c>
      <c r="I24" s="132">
        <f>IF(SER_hh_fech!I24=0,0,SER_hh_fech!I24/SER_summary!I$26)</f>
        <v>0</v>
      </c>
      <c r="J24" s="132">
        <f>IF(SER_hh_fech!J24=0,0,SER_hh_fech!J24/SER_summary!J$26)</f>
        <v>0</v>
      </c>
      <c r="K24" s="132">
        <f>IF(SER_hh_fech!K24=0,0,SER_hh_fech!K24/SER_summary!K$26)</f>
        <v>0</v>
      </c>
      <c r="L24" s="132">
        <f>IF(SER_hh_fech!L24=0,0,SER_hh_fech!L24/SER_summary!L$26)</f>
        <v>0</v>
      </c>
      <c r="M24" s="132">
        <f>IF(SER_hh_fech!M24=0,0,SER_hh_fech!M24/SER_summary!M$26)</f>
        <v>0</v>
      </c>
      <c r="N24" s="132">
        <f>IF(SER_hh_fech!N24=0,0,SER_hh_fech!N24/SER_summary!N$26)</f>
        <v>0</v>
      </c>
      <c r="O24" s="132">
        <f>IF(SER_hh_fech!O24=0,0,SER_hh_fech!O24/SER_summary!O$26)</f>
        <v>0</v>
      </c>
      <c r="P24" s="132">
        <f>IF(SER_hh_fech!P24=0,0,SER_hh_fech!P24/SER_summary!P$26)</f>
        <v>0</v>
      </c>
      <c r="Q24" s="132">
        <f>IF(SER_hh_fech!Q24=0,0,SER_hh_fech!Q24/SER_summary!Q$26)</f>
        <v>0</v>
      </c>
      <c r="R24" s="132">
        <f>IF(SER_hh_fech!R24=0,0,SER_hh_fech!R24/SER_summary!R$26)</f>
        <v>0</v>
      </c>
      <c r="S24" s="132">
        <f>IF(SER_hh_fech!S24=0,0,SER_hh_fech!S24/SER_summary!S$26)</f>
        <v>0</v>
      </c>
      <c r="T24" s="132">
        <f>IF(SER_hh_fech!T24=0,0,SER_hh_fech!T24/SER_summary!T$26)</f>
        <v>0</v>
      </c>
      <c r="U24" s="132">
        <f>IF(SER_hh_fech!U24=0,0,SER_hh_fech!U24/SER_summary!U$26)</f>
        <v>0</v>
      </c>
      <c r="V24" s="132">
        <f>IF(SER_hh_fech!V24=0,0,SER_hh_fech!V24/SER_summary!V$26)</f>
        <v>0</v>
      </c>
      <c r="W24" s="132">
        <f>IF(SER_hh_fech!W24=0,0,SER_hh_fech!W24/SER_summary!W$26)</f>
        <v>0</v>
      </c>
      <c r="X24" s="132">
        <f>IF(SER_hh_fech!X24=0,0,SER_hh_fech!X24/SER_summary!X$26)</f>
        <v>0</v>
      </c>
      <c r="Y24" s="132">
        <f>IF(SER_hh_fech!Y24=0,0,SER_hh_fech!Y24/SER_summary!Y$26)</f>
        <v>0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15.321973450309756</v>
      </c>
      <c r="C25" s="132">
        <f>IF(SER_hh_fech!C25=0,0,SER_hh_fech!C25/SER_summary!C$26)</f>
        <v>15.177051280701244</v>
      </c>
      <c r="D25" s="132">
        <f>IF(SER_hh_fech!D25=0,0,SER_hh_fech!D25/SER_summary!D$26)</f>
        <v>14.916158730547716</v>
      </c>
      <c r="E25" s="132">
        <f>IF(SER_hh_fech!E25=0,0,SER_hh_fech!E25/SER_summary!E$26)</f>
        <v>14.8003477606951</v>
      </c>
      <c r="F25" s="132">
        <f>IF(SER_hh_fech!F25=0,0,SER_hh_fech!F25/SER_summary!F$26)</f>
        <v>14.645123033880674</v>
      </c>
      <c r="G25" s="132">
        <f>IF(SER_hh_fech!G25=0,0,SER_hh_fech!G25/SER_summary!G$26)</f>
        <v>14.562779070870347</v>
      </c>
      <c r="H25" s="132">
        <f>IF(SER_hh_fech!H25=0,0,SER_hh_fech!H25/SER_summary!H$26)</f>
        <v>14.512120890850355</v>
      </c>
      <c r="I25" s="132">
        <f>IF(SER_hh_fech!I25=0,0,SER_hh_fech!I25/SER_summary!I$26)</f>
        <v>14.561176928866479</v>
      </c>
      <c r="J25" s="132">
        <f>IF(SER_hh_fech!J25=0,0,SER_hh_fech!J25/SER_summary!J$26)</f>
        <v>14.770675070598811</v>
      </c>
      <c r="K25" s="132">
        <f>IF(SER_hh_fech!K25=0,0,SER_hh_fech!K25/SER_summary!K$26)</f>
        <v>15.00545445382315</v>
      </c>
      <c r="L25" s="132">
        <f>IF(SER_hh_fech!L25=0,0,SER_hh_fech!L25/SER_summary!L$26)</f>
        <v>15.339489947325136</v>
      </c>
      <c r="M25" s="132">
        <f>IF(SER_hh_fech!M25=0,0,SER_hh_fech!M25/SER_summary!M$26)</f>
        <v>15.584325470770789</v>
      </c>
      <c r="N25" s="132">
        <f>IF(SER_hh_fech!N25=0,0,SER_hh_fech!N25/SER_summary!N$26)</f>
        <v>15.477354145705645</v>
      </c>
      <c r="O25" s="132">
        <f>IF(SER_hh_fech!O25=0,0,SER_hh_fech!O25/SER_summary!O$26)</f>
        <v>15.451887544615778</v>
      </c>
      <c r="P25" s="132">
        <f>IF(SER_hh_fech!P25=0,0,SER_hh_fech!P25/SER_summary!P$26)</f>
        <v>15.418094503581473</v>
      </c>
      <c r="Q25" s="132">
        <f>IF(SER_hh_fech!Q25=0,0,SER_hh_fech!Q25/SER_summary!Q$26)</f>
        <v>15.546271296771431</v>
      </c>
      <c r="R25" s="132">
        <f>IF(SER_hh_fech!R25=0,0,SER_hh_fech!R25/SER_summary!R$26)</f>
        <v>15.670882837948973</v>
      </c>
      <c r="S25" s="132">
        <f>IF(SER_hh_fech!S25=0,0,SER_hh_fech!S25/SER_summary!S$26)</f>
        <v>15.965191962172089</v>
      </c>
      <c r="T25" s="132">
        <f>IF(SER_hh_fech!T25=0,0,SER_hh_fech!T25/SER_summary!T$26)</f>
        <v>16.015170257441792</v>
      </c>
      <c r="U25" s="132">
        <f>IF(SER_hh_fech!U25=0,0,SER_hh_fech!U25/SER_summary!U$26)</f>
        <v>15.881310410661014</v>
      </c>
      <c r="V25" s="132">
        <f>IF(SER_hh_fech!V25=0,0,SER_hh_fech!V25/SER_summary!V$26)</f>
        <v>14.215730104444987</v>
      </c>
      <c r="W25" s="132">
        <f>IF(SER_hh_fech!W25=0,0,SER_hh_fech!W25/SER_summary!W$26)</f>
        <v>14.665040736238154</v>
      </c>
      <c r="X25" s="132">
        <f>IF(SER_hh_fech!X25=0,0,SER_hh_fech!X25/SER_summary!X$26)</f>
        <v>16.917638669854824</v>
      </c>
      <c r="Y25" s="132">
        <f>IF(SER_hh_fech!Y25=0,0,SER_hh_fech!Y25/SER_summary!Y$26)</f>
        <v>15.597539946753546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19.040907415000639</v>
      </c>
      <c r="C26" s="65">
        <f>IF(SER_hh_fech!C26=0,0,SER_hh_fech!C26/SER_summary!C$26)</f>
        <v>18.239280490758095</v>
      </c>
      <c r="D26" s="65">
        <f>IF(SER_hh_fech!D26=0,0,SER_hh_fech!D26/SER_summary!D$26)</f>
        <v>18.225561794528922</v>
      </c>
      <c r="E26" s="65">
        <f>IF(SER_hh_fech!E26=0,0,SER_hh_fech!E26/SER_summary!E$26)</f>
        <v>17.663450365600667</v>
      </c>
      <c r="F26" s="65">
        <f>IF(SER_hh_fech!F26=0,0,SER_hh_fech!F26/SER_summary!F$26)</f>
        <v>17.254770061183109</v>
      </c>
      <c r="G26" s="65">
        <f>IF(SER_hh_fech!G26=0,0,SER_hh_fech!G26/SER_summary!G$26)</f>
        <v>17.311633551800259</v>
      </c>
      <c r="H26" s="65">
        <f>IF(SER_hh_fech!H26=0,0,SER_hh_fech!H26/SER_summary!H$26)</f>
        <v>17.537932750722174</v>
      </c>
      <c r="I26" s="65">
        <f>IF(SER_hh_fech!I26=0,0,SER_hh_fech!I26/SER_summary!I$26)</f>
        <v>17.203317516387575</v>
      </c>
      <c r="J26" s="65">
        <f>IF(SER_hh_fech!J26=0,0,SER_hh_fech!J26/SER_summary!J$26)</f>
        <v>17.002268239500069</v>
      </c>
      <c r="K26" s="65">
        <f>IF(SER_hh_fech!K26=0,0,SER_hh_fech!K26/SER_summary!K$26)</f>
        <v>17.786244600240614</v>
      </c>
      <c r="L26" s="65">
        <f>IF(SER_hh_fech!L26=0,0,SER_hh_fech!L26/SER_summary!L$26)</f>
        <v>17.405096669320841</v>
      </c>
      <c r="M26" s="65">
        <f>IF(SER_hh_fech!M26=0,0,SER_hh_fech!M26/SER_summary!M$26)</f>
        <v>16.434951252935285</v>
      </c>
      <c r="N26" s="65">
        <f>IF(SER_hh_fech!N26=0,0,SER_hh_fech!N26/SER_summary!N$26)</f>
        <v>15.83781507217866</v>
      </c>
      <c r="O26" s="65">
        <f>IF(SER_hh_fech!O26=0,0,SER_hh_fech!O26/SER_summary!O$26)</f>
        <v>15.278091598785011</v>
      </c>
      <c r="P26" s="65">
        <f>IF(SER_hh_fech!P26=0,0,SER_hh_fech!P26/SER_summary!P$26)</f>
        <v>14.803409440001783</v>
      </c>
      <c r="Q26" s="65">
        <f>IF(SER_hh_fech!Q26=0,0,SER_hh_fech!Q26/SER_summary!Q$26)</f>
        <v>14.51151376936299</v>
      </c>
      <c r="R26" s="65">
        <f>IF(SER_hh_fech!R26=0,0,SER_hh_fech!R26/SER_summary!R$26)</f>
        <v>14.387273542148604</v>
      </c>
      <c r="S26" s="65">
        <f>IF(SER_hh_fech!S26=0,0,SER_hh_fech!S26/SER_summary!S$26)</f>
        <v>14.306357160058651</v>
      </c>
      <c r="T26" s="65">
        <f>IF(SER_hh_fech!T26=0,0,SER_hh_fech!T26/SER_summary!T$26)</f>
        <v>14.139152322009027</v>
      </c>
      <c r="U26" s="65">
        <f>IF(SER_hh_fech!U26=0,0,SER_hh_fech!U26/SER_summary!U$26)</f>
        <v>14.112478062095688</v>
      </c>
      <c r="V26" s="65">
        <f>IF(SER_hh_fech!V26=0,0,SER_hh_fech!V26/SER_summary!V$26)</f>
        <v>11.331268550988572</v>
      </c>
      <c r="W26" s="65">
        <f>IF(SER_hh_fech!W26=0,0,SER_hh_fech!W26/SER_summary!W$26)</f>
        <v>12.502827416622074</v>
      </c>
      <c r="X26" s="65">
        <f>IF(SER_hh_fech!X26=0,0,SER_hh_fech!X26/SER_summary!X$26)</f>
        <v>12.171204188558805</v>
      </c>
      <c r="Y26" s="65">
        <f>IF(SER_hh_fech!Y26=0,0,SER_hh_fech!Y26/SER_summary!Y$26)</f>
        <v>12.218804113858079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</v>
      </c>
      <c r="C27" s="145">
        <f>IF(SER_hh_fech!C27=0,0,SER_hh_fech!C27/SER_summary!C$26)</f>
        <v>0</v>
      </c>
      <c r="D27" s="145">
        <f>IF(SER_hh_fech!D27=0,0,SER_hh_fech!D27/SER_summary!D$26)</f>
        <v>0</v>
      </c>
      <c r="E27" s="145">
        <f>IF(SER_hh_fech!E27=0,0,SER_hh_fech!E27/SER_summary!E$26)</f>
        <v>0</v>
      </c>
      <c r="F27" s="145">
        <f>IF(SER_hh_fech!F27=0,0,SER_hh_fech!F27/SER_summary!F$26)</f>
        <v>0</v>
      </c>
      <c r="G27" s="145">
        <f>IF(SER_hh_fech!G27=0,0,SER_hh_fech!G27/SER_summary!G$26)</f>
        <v>0</v>
      </c>
      <c r="H27" s="145">
        <f>IF(SER_hh_fech!H27=0,0,SER_hh_fech!H27/SER_summary!H$26)</f>
        <v>0</v>
      </c>
      <c r="I27" s="145">
        <f>IF(SER_hh_fech!I27=0,0,SER_hh_fech!I27/SER_summary!I$26)</f>
        <v>0</v>
      </c>
      <c r="J27" s="145">
        <f>IF(SER_hh_fech!J27=0,0,SER_hh_fech!J27/SER_summary!J$26)</f>
        <v>0</v>
      </c>
      <c r="K27" s="145">
        <f>IF(SER_hh_fech!K27=0,0,SER_hh_fech!K27/SER_summary!K$26)</f>
        <v>0</v>
      </c>
      <c r="L27" s="145">
        <f>IF(SER_hh_fech!L27=0,0,SER_hh_fech!L27/SER_summary!L$26)</f>
        <v>0.57427300731083941</v>
      </c>
      <c r="M27" s="145">
        <f>IF(SER_hh_fech!M27=0,0,SER_hh_fech!M27/SER_summary!M$26)</f>
        <v>0.86897050339218074</v>
      </c>
      <c r="N27" s="145">
        <f>IF(SER_hh_fech!N27=0,0,SER_hh_fech!N27/SER_summary!N$26)</f>
        <v>1.0448008249883902</v>
      </c>
      <c r="O27" s="145">
        <f>IF(SER_hh_fech!O27=0,0,SER_hh_fech!O27/SER_summary!O$26)</f>
        <v>1.4508465801837354</v>
      </c>
      <c r="P27" s="145">
        <f>IF(SER_hh_fech!P27=0,0,SER_hh_fech!P27/SER_summary!P$26)</f>
        <v>1.4463164067846999</v>
      </c>
      <c r="Q27" s="145">
        <f>IF(SER_hh_fech!Q27=0,0,SER_hh_fech!Q27/SER_summary!Q$26)</f>
        <v>1.6764106978342579</v>
      </c>
      <c r="R27" s="145">
        <f>IF(SER_hh_fech!R27=0,0,SER_hh_fech!R27/SER_summary!R$26)</f>
        <v>1.7344809828160292</v>
      </c>
      <c r="S27" s="145">
        <f>IF(SER_hh_fech!S27=0,0,SER_hh_fech!S27/SER_summary!S$26)</f>
        <v>1.8142607264528108</v>
      </c>
      <c r="T27" s="145">
        <f>IF(SER_hh_fech!T27=0,0,SER_hh_fech!T27/SER_summary!T$26)</f>
        <v>1.9170809836311693</v>
      </c>
      <c r="U27" s="145">
        <f>IF(SER_hh_fech!U27=0,0,SER_hh_fech!U27/SER_summary!U$26)</f>
        <v>1.9798029928713905</v>
      </c>
      <c r="V27" s="145">
        <f>IF(SER_hh_fech!V27=0,0,SER_hh_fech!V27/SER_summary!V$26)</f>
        <v>2.0568141615843039</v>
      </c>
      <c r="W27" s="145">
        <f>IF(SER_hh_fech!W27=0,0,SER_hh_fech!W27/SER_summary!W$26)</f>
        <v>2.1673121014981618</v>
      </c>
      <c r="X27" s="145">
        <f>IF(SER_hh_fech!X27=0,0,SER_hh_fech!X27/SER_summary!X$26)</f>
        <v>2.357528161588005</v>
      </c>
      <c r="Y27" s="145">
        <f>IF(SER_hh_fech!Y27=0,0,SER_hh_fech!Y27/SER_summary!Y$26)</f>
        <v>2.4280342637937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0</v>
      </c>
      <c r="C28" s="146">
        <f>IF(SER_hh_fech!C28=0,0,SER_hh_fech!C28/SER_summary!C$26)</f>
        <v>0</v>
      </c>
      <c r="D28" s="146">
        <f>IF(SER_hh_fech!D28=0,0,SER_hh_fech!D28/SER_summary!D$26)</f>
        <v>0</v>
      </c>
      <c r="E28" s="146">
        <f>IF(SER_hh_fech!E28=0,0,SER_hh_fech!E28/SER_summary!E$26)</f>
        <v>0</v>
      </c>
      <c r="F28" s="146">
        <f>IF(SER_hh_fech!F28=0,0,SER_hh_fech!F28/SER_summary!F$26)</f>
        <v>0</v>
      </c>
      <c r="G28" s="146">
        <f>IF(SER_hh_fech!G28=0,0,SER_hh_fech!G28/SER_summary!G$26)</f>
        <v>0</v>
      </c>
      <c r="H28" s="146">
        <f>IF(SER_hh_fech!H28=0,0,SER_hh_fech!H28/SER_summary!H$26)</f>
        <v>0</v>
      </c>
      <c r="I28" s="146">
        <f>IF(SER_hh_fech!I28=0,0,SER_hh_fech!I28/SER_summary!I$26)</f>
        <v>0</v>
      </c>
      <c r="J28" s="146">
        <f>IF(SER_hh_fech!J28=0,0,SER_hh_fech!J28/SER_summary!J$26)</f>
        <v>0</v>
      </c>
      <c r="K28" s="146">
        <f>IF(SER_hh_fech!K28=0,0,SER_hh_fech!K28/SER_summary!K$26)</f>
        <v>0</v>
      </c>
      <c r="L28" s="146">
        <f>IF(SER_hh_fech!L28=0,0,SER_hh_fech!L28/SER_summary!L$26)</f>
        <v>7.2064868970676308</v>
      </c>
      <c r="M28" s="146">
        <f>IF(SER_hh_fech!M28=0,0,SER_hh_fech!M28/SER_summary!M$26)</f>
        <v>7.4047832516171352</v>
      </c>
      <c r="N28" s="146">
        <f>IF(SER_hh_fech!N28=0,0,SER_hh_fech!N28/SER_summary!N$26)</f>
        <v>7.666865229298641</v>
      </c>
      <c r="O28" s="146">
        <f>IF(SER_hh_fech!O28=0,0,SER_hh_fech!O28/SER_summary!O$26)</f>
        <v>7.5722005054175101</v>
      </c>
      <c r="P28" s="146">
        <f>IF(SER_hh_fech!P28=0,0,SER_hh_fech!P28/SER_summary!P$26)</f>
        <v>7.3375310252604837</v>
      </c>
      <c r="Q28" s="146">
        <f>IF(SER_hh_fech!Q28=0,0,SER_hh_fech!Q28/SER_summary!Q$26)</f>
        <v>7.767396342390926</v>
      </c>
      <c r="R28" s="146">
        <f>IF(SER_hh_fech!R28=0,0,SER_hh_fech!R28/SER_summary!R$26)</f>
        <v>7.5672646936459929</v>
      </c>
      <c r="S28" s="146">
        <f>IF(SER_hh_fech!S28=0,0,SER_hh_fech!S28/SER_summary!S$26)</f>
        <v>7.4620261314901031</v>
      </c>
      <c r="T28" s="146">
        <f>IF(SER_hh_fech!T28=0,0,SER_hh_fech!T28/SER_summary!T$26)</f>
        <v>7.828559171260923</v>
      </c>
      <c r="U28" s="146">
        <f>IF(SER_hh_fech!U28=0,0,SER_hh_fech!U28/SER_summary!U$26)</f>
        <v>7.9902949026536314</v>
      </c>
      <c r="V28" s="146">
        <f>IF(SER_hh_fech!V28=0,0,SER_hh_fech!V28/SER_summary!V$26)</f>
        <v>6.9639146471814151</v>
      </c>
      <c r="W28" s="146">
        <f>IF(SER_hh_fech!W28=0,0,SER_hh_fech!W28/SER_summary!W$26)</f>
        <v>7.5439136537713471</v>
      </c>
      <c r="X28" s="146">
        <f>IF(SER_hh_fech!X28=0,0,SER_hh_fech!X28/SER_summary!X$26)</f>
        <v>7.8724188874251739</v>
      </c>
      <c r="Y28" s="146">
        <f>IF(SER_hh_fech!Y28=0,0,SER_hh_fech!Y28/SER_summary!Y$26)</f>
        <v>8.1069268251099338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18.00287777331296</v>
      </c>
      <c r="C29" s="130">
        <f>IF(SER_hh_fech!C29=0,0,SER_hh_fech!C29/SER_summary!C$26)</f>
        <v>18.468011929603332</v>
      </c>
      <c r="D29" s="130">
        <f>IF(SER_hh_fech!D29=0,0,SER_hh_fech!D29/SER_summary!D$26)</f>
        <v>17.893016716933442</v>
      </c>
      <c r="E29" s="130">
        <f>IF(SER_hh_fech!E29=0,0,SER_hh_fech!E29/SER_summary!E$26)</f>
        <v>17.727359548810025</v>
      </c>
      <c r="F29" s="130">
        <f>IF(SER_hh_fech!F29=0,0,SER_hh_fech!F29/SER_summary!F$26)</f>
        <v>17.884262535516577</v>
      </c>
      <c r="G29" s="130">
        <f>IF(SER_hh_fech!G29=0,0,SER_hh_fech!G29/SER_summary!G$26)</f>
        <v>17.273214392534804</v>
      </c>
      <c r="H29" s="130">
        <f>IF(SER_hh_fech!H29=0,0,SER_hh_fech!H29/SER_summary!H$26)</f>
        <v>17.217186335064458</v>
      </c>
      <c r="I29" s="130">
        <f>IF(SER_hh_fech!I29=0,0,SER_hh_fech!I29/SER_summary!I$26)</f>
        <v>17.028679245519957</v>
      </c>
      <c r="J29" s="130">
        <f>IF(SER_hh_fech!J29=0,0,SER_hh_fech!J29/SER_summary!J$26)</f>
        <v>17.378883144801264</v>
      </c>
      <c r="K29" s="130">
        <f>IF(SER_hh_fech!K29=0,0,SER_hh_fech!K29/SER_summary!K$26)</f>
        <v>17.70686984554839</v>
      </c>
      <c r="L29" s="130">
        <f>IF(SER_hh_fech!L29=0,0,SER_hh_fech!L29/SER_summary!L$26)</f>
        <v>18.538891626138614</v>
      </c>
      <c r="M29" s="130">
        <f>IF(SER_hh_fech!M29=0,0,SER_hh_fech!M29/SER_summary!M$26)</f>
        <v>18.377236297499305</v>
      </c>
      <c r="N29" s="130">
        <f>IF(SER_hh_fech!N29=0,0,SER_hh_fech!N29/SER_summary!N$26)</f>
        <v>19.173771576555954</v>
      </c>
      <c r="O29" s="130">
        <f>IF(SER_hh_fech!O29=0,0,SER_hh_fech!O29/SER_summary!O$26)</f>
        <v>18.90414312400797</v>
      </c>
      <c r="P29" s="130">
        <f>IF(SER_hh_fech!P29=0,0,SER_hh_fech!P29/SER_summary!P$26)</f>
        <v>18.378186255683008</v>
      </c>
      <c r="Q29" s="130">
        <f>IF(SER_hh_fech!Q29=0,0,SER_hh_fech!Q29/SER_summary!Q$26)</f>
        <v>18.372690855831785</v>
      </c>
      <c r="R29" s="130">
        <f>IF(SER_hh_fech!R29=0,0,SER_hh_fech!R29/SER_summary!R$26)</f>
        <v>18.467950088772046</v>
      </c>
      <c r="S29" s="130">
        <f>IF(SER_hh_fech!S29=0,0,SER_hh_fech!S29/SER_summary!S$26)</f>
        <v>19.125467273805899</v>
      </c>
      <c r="T29" s="130">
        <f>IF(SER_hh_fech!T29=0,0,SER_hh_fech!T29/SER_summary!T$26)</f>
        <v>19.915310933453149</v>
      </c>
      <c r="U29" s="130">
        <f>IF(SER_hh_fech!U29=0,0,SER_hh_fech!U29/SER_summary!U$26)</f>
        <v>20.029148485746557</v>
      </c>
      <c r="V29" s="130">
        <f>IF(SER_hh_fech!V29=0,0,SER_hh_fech!V29/SER_summary!V$26)</f>
        <v>16.622400499847743</v>
      </c>
      <c r="W29" s="130">
        <f>IF(SER_hh_fech!W29=0,0,SER_hh_fech!W29/SER_summary!W$26)</f>
        <v>18.525276972318441</v>
      </c>
      <c r="X29" s="130">
        <f>IF(SER_hh_fech!X29=0,0,SER_hh_fech!X29/SER_summary!X$26)</f>
        <v>19.442168332886109</v>
      </c>
      <c r="Y29" s="130">
        <f>IF(SER_hh_fech!Y29=0,0,SER_hh_fech!Y29/SER_summary!Y$26)</f>
        <v>18.65503296166861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11.900143459811124</v>
      </c>
      <c r="C30" s="132">
        <f>IF(SER_hh_fech!C30=0,0,SER_hh_fech!C30/SER_summary!C$26)</f>
        <v>47.438793077176918</v>
      </c>
      <c r="D30" s="132">
        <f>IF(SER_hh_fech!D30=0,0,SER_hh_fech!D30/SER_summary!D$26)</f>
        <v>13.7203306383135</v>
      </c>
      <c r="E30" s="132">
        <f>IF(SER_hh_fech!E30=0,0,SER_hh_fech!E30/SER_summary!E$26)</f>
        <v>16.257965032419673</v>
      </c>
      <c r="F30" s="132">
        <f>IF(SER_hh_fech!F30=0,0,SER_hh_fech!F30/SER_summary!F$26)</f>
        <v>43.417316836195774</v>
      </c>
      <c r="G30" s="132">
        <f>IF(SER_hh_fech!G30=0,0,SER_hh_fech!G30/SER_summary!G$26)</f>
        <v>0</v>
      </c>
      <c r="H30" s="132">
        <f>IF(SER_hh_fech!H30=0,0,SER_hh_fech!H30/SER_summary!H$26)</f>
        <v>0</v>
      </c>
      <c r="I30" s="132">
        <f>IF(SER_hh_fech!I30=0,0,SER_hh_fech!I30/SER_summary!I$26)</f>
        <v>0</v>
      </c>
      <c r="J30" s="132">
        <f>IF(SER_hh_fech!J30=0,0,SER_hh_fech!J30/SER_summary!J$26)</f>
        <v>0</v>
      </c>
      <c r="K30" s="132">
        <f>IF(SER_hh_fech!K30=0,0,SER_hh_fech!K30/SER_summary!K$26)</f>
        <v>0</v>
      </c>
      <c r="L30" s="132">
        <f>IF(SER_hh_fech!L30=0,0,SER_hh_fech!L30/SER_summary!L$26)</f>
        <v>27.285925413812699</v>
      </c>
      <c r="M30" s="132">
        <f>IF(SER_hh_fech!M30=0,0,SER_hh_fech!M30/SER_summary!M$26)</f>
        <v>25.396294035210953</v>
      </c>
      <c r="N30" s="132">
        <f>IF(SER_hh_fech!N30=0,0,SER_hh_fech!N30/SER_summary!N$26)</f>
        <v>40.130509485501847</v>
      </c>
      <c r="O30" s="132">
        <f>IF(SER_hh_fech!O30=0,0,SER_hh_fech!O30/SER_summary!O$26)</f>
        <v>28.599001638572677</v>
      </c>
      <c r="P30" s="132">
        <f>IF(SER_hh_fech!P30=0,0,SER_hh_fech!P30/SER_summary!P$26)</f>
        <v>17.904487149084922</v>
      </c>
      <c r="Q30" s="132">
        <f>IF(SER_hh_fech!Q30=0,0,SER_hh_fech!Q30/SER_summary!Q$26)</f>
        <v>18.044411657622998</v>
      </c>
      <c r="R30" s="132">
        <f>IF(SER_hh_fech!R30=0,0,SER_hh_fech!R30/SER_summary!R$26)</f>
        <v>21.15570641873439</v>
      </c>
      <c r="S30" s="132">
        <f>IF(SER_hh_fech!S30=0,0,SER_hh_fech!S30/SER_summary!S$26)</f>
        <v>25.066559404392077</v>
      </c>
      <c r="T30" s="132">
        <f>IF(SER_hh_fech!T30=0,0,SER_hh_fech!T30/SER_summary!T$26)</f>
        <v>26.882495656569251</v>
      </c>
      <c r="U30" s="132">
        <f>IF(SER_hh_fech!U30=0,0,SER_hh_fech!U30/SER_summary!U$26)</f>
        <v>25.95005100851931</v>
      </c>
      <c r="V30" s="132">
        <f>IF(SER_hh_fech!V30=0,0,SER_hh_fech!V30/SER_summary!V$26)</f>
        <v>20.467446808143151</v>
      </c>
      <c r="W30" s="132">
        <f>IF(SER_hh_fech!W30=0,0,SER_hh_fech!W30/SER_summary!W$26)</f>
        <v>22.816430599158483</v>
      </c>
      <c r="X30" s="132">
        <f>IF(SER_hh_fech!X30=0,0,SER_hh_fech!X30/SER_summary!X$26)</f>
        <v>24.367733258182525</v>
      </c>
      <c r="Y30" s="132">
        <f>IF(SER_hh_fech!Y30=0,0,SER_hh_fech!Y30/SER_summary!Y$26)</f>
        <v>24.943731529536091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22.203847055418315</v>
      </c>
      <c r="C31" s="132">
        <f>IF(SER_hh_fech!C31=0,0,SER_hh_fech!C31/SER_summary!C$26)</f>
        <v>22.730694308133835</v>
      </c>
      <c r="D31" s="132">
        <f>IF(SER_hh_fech!D31=0,0,SER_hh_fech!D31/SER_summary!D$26)</f>
        <v>21.066017533701068</v>
      </c>
      <c r="E31" s="132">
        <f>IF(SER_hh_fech!E31=0,0,SER_hh_fech!E31/SER_summary!E$26)</f>
        <v>22.164106432987378</v>
      </c>
      <c r="F31" s="132">
        <f>IF(SER_hh_fech!F31=0,0,SER_hh_fech!F31/SER_summary!F$26)</f>
        <v>22.444637108910349</v>
      </c>
      <c r="G31" s="132">
        <f>IF(SER_hh_fech!G31=0,0,SER_hh_fech!G31/SER_summary!G$26)</f>
        <v>20.562500300020602</v>
      </c>
      <c r="H31" s="132">
        <f>IF(SER_hh_fech!H31=0,0,SER_hh_fech!H31/SER_summary!H$26)</f>
        <v>22.675531145131934</v>
      </c>
      <c r="I31" s="132">
        <f>IF(SER_hh_fech!I31=0,0,SER_hh_fech!I31/SER_summary!I$26)</f>
        <v>22.868433260668404</v>
      </c>
      <c r="J31" s="132">
        <f>IF(SER_hh_fech!J31=0,0,SER_hh_fech!J31/SER_summary!J$26)</f>
        <v>22.600669488858312</v>
      </c>
      <c r="K31" s="132">
        <f>IF(SER_hh_fech!K31=0,0,SER_hh_fech!K31/SER_summary!K$26)</f>
        <v>22.459468329421334</v>
      </c>
      <c r="L31" s="132">
        <f>IF(SER_hh_fech!L31=0,0,SER_hh_fech!L31/SER_summary!L$26)</f>
        <v>22.933231812044934</v>
      </c>
      <c r="M31" s="132">
        <f>IF(SER_hh_fech!M31=0,0,SER_hh_fech!M31/SER_summary!M$26)</f>
        <v>23.13128830213866</v>
      </c>
      <c r="N31" s="132">
        <f>IF(SER_hh_fech!N31=0,0,SER_hh_fech!N31/SER_summary!N$26)</f>
        <v>23.521120796986494</v>
      </c>
      <c r="O31" s="132">
        <f>IF(SER_hh_fech!O31=0,0,SER_hh_fech!O31/SER_summary!O$26)</f>
        <v>23.668500385069656</v>
      </c>
      <c r="P31" s="132">
        <f>IF(SER_hh_fech!P31=0,0,SER_hh_fech!P31/SER_summary!P$26)</f>
        <v>23.640766433030777</v>
      </c>
      <c r="Q31" s="132">
        <f>IF(SER_hh_fech!Q31=0,0,SER_hh_fech!Q31/SER_summary!Q$26)</f>
        <v>23.776457780523071</v>
      </c>
      <c r="R31" s="132">
        <f>IF(SER_hh_fech!R31=0,0,SER_hh_fech!R31/SER_summary!R$26)</f>
        <v>23.72669846171474</v>
      </c>
      <c r="S31" s="132">
        <f>IF(SER_hh_fech!S31=0,0,SER_hh_fech!S31/SER_summary!S$26)</f>
        <v>24.4551448476094</v>
      </c>
      <c r="T31" s="132">
        <f>IF(SER_hh_fech!T31=0,0,SER_hh_fech!T31/SER_summary!T$26)</f>
        <v>25.038642177092161</v>
      </c>
      <c r="U31" s="132">
        <f>IF(SER_hh_fech!U31=0,0,SER_hh_fech!U31/SER_summary!U$26)</f>
        <v>24.581910258188056</v>
      </c>
      <c r="V31" s="132">
        <f>IF(SER_hh_fech!V31=0,0,SER_hh_fech!V31/SER_summary!V$26)</f>
        <v>21.325549780442856</v>
      </c>
      <c r="W31" s="132">
        <f>IF(SER_hh_fech!W31=0,0,SER_hh_fech!W31/SER_summary!W$26)</f>
        <v>24.467604982367448</v>
      </c>
      <c r="X31" s="132">
        <f>IF(SER_hh_fech!X31=0,0,SER_hh_fech!X31/SER_summary!X$26)</f>
        <v>24.290606461288899</v>
      </c>
      <c r="Y31" s="132">
        <f>IF(SER_hh_fech!Y31=0,0,SER_hh_fech!Y31/SER_summary!Y$26)</f>
        <v>23.988157964747838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31.791321991252818</v>
      </c>
      <c r="K32" s="132">
        <f>IF(SER_hh_fech!K32=0,0,SER_hh_fech!K32/SER_summary!K$26)</f>
        <v>25.297626739845995</v>
      </c>
      <c r="L32" s="132">
        <f>IF(SER_hh_fech!L32=0,0,SER_hh_fech!L32/SER_summary!L$26)</f>
        <v>23.266434155794094</v>
      </c>
      <c r="M32" s="132">
        <f>IF(SER_hh_fech!M32=0,0,SER_hh_fech!M32/SER_summary!M$26)</f>
        <v>23.283155747214543</v>
      </c>
      <c r="N32" s="132">
        <f>IF(SER_hh_fech!N32=0,0,SER_hh_fech!N32/SER_summary!N$26)</f>
        <v>22.707661817780533</v>
      </c>
      <c r="O32" s="132">
        <f>IF(SER_hh_fech!O32=0,0,SER_hh_fech!O32/SER_summary!O$26)</f>
        <v>22.904422248153942</v>
      </c>
      <c r="P32" s="132">
        <f>IF(SER_hh_fech!P32=0,0,SER_hh_fech!P32/SER_summary!P$26)</f>
        <v>22.497147210371789</v>
      </c>
      <c r="Q32" s="132">
        <f>IF(SER_hh_fech!Q32=0,0,SER_hh_fech!Q32/SER_summary!Q$26)</f>
        <v>19.962171330583782</v>
      </c>
      <c r="R32" s="132">
        <f>IF(SER_hh_fech!R32=0,0,SER_hh_fech!R32/SER_summary!R$26)</f>
        <v>15.986353653166116</v>
      </c>
      <c r="S32" s="132">
        <f>IF(SER_hh_fech!S32=0,0,SER_hh_fech!S32/SER_summary!S$26)</f>
        <v>22.865438125447042</v>
      </c>
      <c r="T32" s="132">
        <f>IF(SER_hh_fech!T32=0,0,SER_hh_fech!T32/SER_summary!T$26)</f>
        <v>27.070637433303087</v>
      </c>
      <c r="U32" s="132">
        <f>IF(SER_hh_fech!U32=0,0,SER_hh_fech!U32/SER_summary!U$26)</f>
        <v>27.236286353013178</v>
      </c>
      <c r="V32" s="132">
        <f>IF(SER_hh_fech!V32=0,0,SER_hh_fech!V32/SER_summary!V$26)</f>
        <v>22.340209571991142</v>
      </c>
      <c r="W32" s="132">
        <f>IF(SER_hh_fech!W32=0,0,SER_hh_fech!W32/SER_summary!W$26)</f>
        <v>21.099038408089896</v>
      </c>
      <c r="X32" s="132">
        <f>IF(SER_hh_fech!X32=0,0,SER_hh_fech!X32/SER_summary!X$26)</f>
        <v>30.682708603729541</v>
      </c>
      <c r="Y32" s="132">
        <f>IF(SER_hh_fech!Y32=0,0,SER_hh_fech!Y32/SER_summary!Y$26)</f>
        <v>22.005711043113685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18.010340949503316</v>
      </c>
      <c r="C33" s="68">
        <f>IF(SER_hh_fech!C33=0,0,SER_hh_fech!C33/SER_summary!C$26)</f>
        <v>17.710142865144757</v>
      </c>
      <c r="D33" s="68">
        <f>IF(SER_hh_fech!D33=0,0,SER_hh_fech!D33/SER_summary!D$26)</f>
        <v>17.83128629177456</v>
      </c>
      <c r="E33" s="68">
        <f>IF(SER_hh_fech!E33=0,0,SER_hh_fech!E33/SER_summary!E$26)</f>
        <v>17.50796535623002</v>
      </c>
      <c r="F33" s="68">
        <f>IF(SER_hh_fech!F33=0,0,SER_hh_fech!F33/SER_summary!F$26)</f>
        <v>17.2766426049863</v>
      </c>
      <c r="G33" s="68">
        <f>IF(SER_hh_fech!G33=0,0,SER_hh_fech!G33/SER_summary!G$26)</f>
        <v>16.994269291183457</v>
      </c>
      <c r="H33" s="68">
        <f>IF(SER_hh_fech!H33=0,0,SER_hh_fech!H33/SER_summary!H$26)</f>
        <v>16.649785845818851</v>
      </c>
      <c r="I33" s="68">
        <f>IF(SER_hh_fech!I33=0,0,SER_hh_fech!I33/SER_summary!I$26)</f>
        <v>16.347308642536717</v>
      </c>
      <c r="J33" s="68">
        <f>IF(SER_hh_fech!J33=0,0,SER_hh_fech!J33/SER_summary!J$26)</f>
        <v>16.341179011420703</v>
      </c>
      <c r="K33" s="68">
        <f>IF(SER_hh_fech!K33=0,0,SER_hh_fech!K33/SER_summary!K$26)</f>
        <v>16.850488739419813</v>
      </c>
      <c r="L33" s="68">
        <f>IF(SER_hh_fech!L33=0,0,SER_hh_fech!L33/SER_summary!L$26)</f>
        <v>17.478893299643975</v>
      </c>
      <c r="M33" s="68">
        <f>IF(SER_hh_fech!M33=0,0,SER_hh_fech!M33/SER_summary!M$26)</f>
        <v>17.293274964875955</v>
      </c>
      <c r="N33" s="68">
        <f>IF(SER_hh_fech!N33=0,0,SER_hh_fech!N33/SER_summary!N$26)</f>
        <v>17.413431045252228</v>
      </c>
      <c r="O33" s="68">
        <f>IF(SER_hh_fech!O33=0,0,SER_hh_fech!O33/SER_summary!O$26)</f>
        <v>17.684258262408367</v>
      </c>
      <c r="P33" s="68">
        <f>IF(SER_hh_fech!P33=0,0,SER_hh_fech!P33/SER_summary!P$26)</f>
        <v>17.643306156755685</v>
      </c>
      <c r="Q33" s="68">
        <f>IF(SER_hh_fech!Q33=0,0,SER_hh_fech!Q33/SER_summary!Q$26)</f>
        <v>17.683276132106204</v>
      </c>
      <c r="R33" s="68">
        <f>IF(SER_hh_fech!R33=0,0,SER_hh_fech!R33/SER_summary!R$26)</f>
        <v>17.788819532893662</v>
      </c>
      <c r="S33" s="68">
        <f>IF(SER_hh_fech!S33=0,0,SER_hh_fech!S33/SER_summary!S$26)</f>
        <v>17.982310655946552</v>
      </c>
      <c r="T33" s="68">
        <f>IF(SER_hh_fech!T33=0,0,SER_hh_fech!T33/SER_summary!T$26)</f>
        <v>18.346536954716303</v>
      </c>
      <c r="U33" s="68">
        <f>IF(SER_hh_fech!U33=0,0,SER_hh_fech!U33/SER_summary!U$26)</f>
        <v>18.444534471177306</v>
      </c>
      <c r="V33" s="68">
        <f>IF(SER_hh_fech!V33=0,0,SER_hh_fech!V33/SER_summary!V$26)</f>
        <v>15.237661189861322</v>
      </c>
      <c r="W33" s="68">
        <f>IF(SER_hh_fech!W33=0,0,SER_hh_fech!W33/SER_summary!W$26)</f>
        <v>17.282107412374522</v>
      </c>
      <c r="X33" s="68">
        <f>IF(SER_hh_fech!X33=0,0,SER_hh_fech!X33/SER_summary!X$26)</f>
        <v>17.15855271000942</v>
      </c>
      <c r="Y33" s="68">
        <f>IF(SER_hh_fech!Y33=0,0,SER_hh_fech!Y33/SER_summary!Y$26)</f>
        <v>17.144531683379292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59.374653418210961</v>
      </c>
      <c r="C3" s="125">
        <f>IF(SER_hh_tesh!C3=0,0,SER_hh_tesh!C3/SER_summary!C$26)</f>
        <v>68.445038714648632</v>
      </c>
      <c r="D3" s="125">
        <f>IF(SER_hh_tesh!D3=0,0,SER_hh_tesh!D3/SER_summary!D$26)</f>
        <v>64.725383662119981</v>
      </c>
      <c r="E3" s="125">
        <f>IF(SER_hh_tesh!E3=0,0,SER_hh_tesh!E3/SER_summary!E$26)</f>
        <v>66.128182579595133</v>
      </c>
      <c r="F3" s="125">
        <f>IF(SER_hh_tesh!F3=0,0,SER_hh_tesh!F3/SER_summary!F$26)</f>
        <v>57.054892625296091</v>
      </c>
      <c r="G3" s="125">
        <f>IF(SER_hh_tesh!G3=0,0,SER_hh_tesh!G3/SER_summary!G$26)</f>
        <v>69.089980542898658</v>
      </c>
      <c r="H3" s="125">
        <f>IF(SER_hh_tesh!H3=0,0,SER_hh_tesh!H3/SER_summary!H$26)</f>
        <v>77.327471553344751</v>
      </c>
      <c r="I3" s="125">
        <f>IF(SER_hh_tesh!I3=0,0,SER_hh_tesh!I3/SER_summary!I$26)</f>
        <v>72.498873612537579</v>
      </c>
      <c r="J3" s="125">
        <f>IF(SER_hh_tesh!J3=0,0,SER_hh_tesh!J3/SER_summary!J$26)</f>
        <v>72.332991611880786</v>
      </c>
      <c r="K3" s="125">
        <f>IF(SER_hh_tesh!K3=0,0,SER_hh_tesh!K3/SER_summary!K$26)</f>
        <v>70.54744072280856</v>
      </c>
      <c r="L3" s="125">
        <f>IF(SER_hh_tesh!L3=0,0,SER_hh_tesh!L3/SER_summary!L$26)</f>
        <v>77.556763245054569</v>
      </c>
      <c r="M3" s="125">
        <f>IF(SER_hh_tesh!M3=0,0,SER_hh_tesh!M3/SER_summary!M$26)</f>
        <v>81.449527792349627</v>
      </c>
      <c r="N3" s="125">
        <f>IF(SER_hh_tesh!N3=0,0,SER_hh_tesh!N3/SER_summary!N$26)</f>
        <v>83.783084022344951</v>
      </c>
      <c r="O3" s="125">
        <f>IF(SER_hh_tesh!O3=0,0,SER_hh_tesh!O3/SER_summary!O$26)</f>
        <v>74.780764433899591</v>
      </c>
      <c r="P3" s="125">
        <f>IF(SER_hh_tesh!P3=0,0,SER_hh_tesh!P3/SER_summary!P$26)</f>
        <v>69.919901849053204</v>
      </c>
      <c r="Q3" s="125">
        <f>IF(SER_hh_tesh!Q3=0,0,SER_hh_tesh!Q3/SER_summary!Q$26)</f>
        <v>78.271582220214128</v>
      </c>
      <c r="R3" s="125">
        <f>IF(SER_hh_tesh!R3=0,0,SER_hh_tesh!R3/SER_summary!R$26)</f>
        <v>84.82421897664733</v>
      </c>
      <c r="S3" s="125">
        <f>IF(SER_hh_tesh!S3=0,0,SER_hh_tesh!S3/SER_summary!S$26)</f>
        <v>84.661471790252108</v>
      </c>
      <c r="T3" s="125">
        <f>IF(SER_hh_tesh!T3=0,0,SER_hh_tesh!T3/SER_summary!T$26)</f>
        <v>87.436056608062358</v>
      </c>
      <c r="U3" s="125">
        <f>IF(SER_hh_tesh!U3=0,0,SER_hh_tesh!U3/SER_summary!U$26)</f>
        <v>92.394891123551233</v>
      </c>
      <c r="V3" s="125">
        <f>IF(SER_hh_tesh!V3=0,0,SER_hh_tesh!V3/SER_summary!V$26)</f>
        <v>79.113186563468346</v>
      </c>
      <c r="W3" s="125">
        <f>IF(SER_hh_tesh!W3=0,0,SER_hh_tesh!W3/SER_summary!W$26)</f>
        <v>100.53322765569362</v>
      </c>
      <c r="X3" s="125">
        <f>IF(SER_hh_tesh!X3=0,0,SER_hh_tesh!X3/SER_summary!X$26)</f>
        <v>104.54043985994842</v>
      </c>
      <c r="Y3" s="125">
        <f>IF(SER_hh_tesh!Y3=0,0,SER_hh_tesh!Y3/SER_summary!Y$26)</f>
        <v>104.30654885206482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32.124973389984376</v>
      </c>
      <c r="C4" s="130">
        <f>IF(SER_hh_tesh!C4=0,0,SER_hh_tesh!C4/SER_summary!C$26)</f>
        <v>41.014123466540369</v>
      </c>
      <c r="D4" s="130">
        <f>IF(SER_hh_tesh!D4=0,0,SER_hh_tesh!D4/SER_summary!D$26)</f>
        <v>38.541410944721662</v>
      </c>
      <c r="E4" s="130">
        <f>IF(SER_hh_tesh!E4=0,0,SER_hh_tesh!E4/SER_summary!E$26)</f>
        <v>39.419518939064098</v>
      </c>
      <c r="F4" s="130">
        <f>IF(SER_hh_tesh!F4=0,0,SER_hh_tesh!F4/SER_summary!F$26)</f>
        <v>30.923834314111978</v>
      </c>
      <c r="G4" s="130">
        <f>IF(SER_hh_tesh!G4=0,0,SER_hh_tesh!G4/SER_summary!G$26)</f>
        <v>42.906219644912284</v>
      </c>
      <c r="H4" s="130">
        <f>IF(SER_hh_tesh!H4=0,0,SER_hh_tesh!H4/SER_summary!H$26)</f>
        <v>49.98611091341099</v>
      </c>
      <c r="I4" s="130">
        <f>IF(SER_hh_tesh!I4=0,0,SER_hh_tesh!I4/SER_summary!I$26)</f>
        <v>39.814014575138103</v>
      </c>
      <c r="J4" s="130">
        <f>IF(SER_hh_tesh!J4=0,0,SER_hh_tesh!J4/SER_summary!J$26)</f>
        <v>42.901417778659926</v>
      </c>
      <c r="K4" s="130">
        <f>IF(SER_hh_tesh!K4=0,0,SER_hh_tesh!K4/SER_summary!K$26)</f>
        <v>41.093165544140071</v>
      </c>
      <c r="L4" s="130">
        <f>IF(SER_hh_tesh!L4=0,0,SER_hh_tesh!L4/SER_summary!L$26)</f>
        <v>45.024630056271526</v>
      </c>
      <c r="M4" s="130">
        <f>IF(SER_hh_tesh!M4=0,0,SER_hh_tesh!M4/SER_summary!M$26)</f>
        <v>50.117686975555628</v>
      </c>
      <c r="N4" s="130">
        <f>IF(SER_hh_tesh!N4=0,0,SER_hh_tesh!N4/SER_summary!N$26)</f>
        <v>43.323998609986347</v>
      </c>
      <c r="O4" s="130">
        <f>IF(SER_hh_tesh!O4=0,0,SER_hh_tesh!O4/SER_summary!O$26)</f>
        <v>42.254684568584075</v>
      </c>
      <c r="P4" s="130">
        <f>IF(SER_hh_tesh!P4=0,0,SER_hh_tesh!P4/SER_summary!P$26)</f>
        <v>38.213931837786781</v>
      </c>
      <c r="Q4" s="130">
        <f>IF(SER_hh_tesh!Q4=0,0,SER_hh_tesh!Q4/SER_summary!Q$26)</f>
        <v>42.710988173283987</v>
      </c>
      <c r="R4" s="130">
        <f>IF(SER_hh_tesh!R4=0,0,SER_hh_tesh!R4/SER_summary!R$26)</f>
        <v>49.58946726397425</v>
      </c>
      <c r="S4" s="130">
        <f>IF(SER_hh_tesh!S4=0,0,SER_hh_tesh!S4/SER_summary!S$26)</f>
        <v>48.076023206062423</v>
      </c>
      <c r="T4" s="130">
        <f>IF(SER_hh_tesh!T4=0,0,SER_hh_tesh!T4/SER_summary!T$26)</f>
        <v>52.811270914133239</v>
      </c>
      <c r="U4" s="130">
        <f>IF(SER_hh_tesh!U4=0,0,SER_hh_tesh!U4/SER_summary!U$26)</f>
        <v>56.412862105345162</v>
      </c>
      <c r="V4" s="130">
        <f>IF(SER_hh_tesh!V4=0,0,SER_hh_tesh!V4/SER_summary!V$26)</f>
        <v>47.149492852346739</v>
      </c>
      <c r="W4" s="130">
        <f>IF(SER_hh_tesh!W4=0,0,SER_hh_tesh!W4/SER_summary!W$26)</f>
        <v>62.483601185028647</v>
      </c>
      <c r="X4" s="130">
        <f>IF(SER_hh_tesh!X4=0,0,SER_hh_tesh!X4/SER_summary!X$26)</f>
        <v>66.239456303080829</v>
      </c>
      <c r="Y4" s="130">
        <f>IF(SER_hh_tesh!Y4=0,0,SER_hh_tesh!Y4/SER_summary!Y$26)</f>
        <v>63.179481003174182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33.049895141106525</v>
      </c>
      <c r="C5" s="132">
        <f>IF(SER_hh_tesh!C5=0,0,SER_hh_tesh!C5/SER_summary!C$26)</f>
        <v>32.935823166502573</v>
      </c>
      <c r="D5" s="132">
        <f>IF(SER_hh_tesh!D5=0,0,SER_hh_tesh!D5/SER_summary!D$26)</f>
        <v>40.592016582617525</v>
      </c>
      <c r="E5" s="132">
        <f>IF(SER_hh_tesh!E5=0,0,SER_hh_tesh!E5/SER_summary!E$26)</f>
        <v>44.715531192769873</v>
      </c>
      <c r="F5" s="132">
        <f>IF(SER_hh_tesh!F5=0,0,SER_hh_tesh!F5/SER_summary!F$26)</f>
        <v>31.210616463840982</v>
      </c>
      <c r="G5" s="132">
        <f>IF(SER_hh_tesh!G5=0,0,SER_hh_tesh!G5/SER_summary!G$26)</f>
        <v>44.624169507450965</v>
      </c>
      <c r="H5" s="132">
        <f>IF(SER_hh_tesh!H5=0,0,SER_hh_tesh!H5/SER_summary!H$26)</f>
        <v>51.153272323857884</v>
      </c>
      <c r="I5" s="132">
        <f>IF(SER_hh_tesh!I5=0,0,SER_hh_tesh!I5/SER_summary!I$26)</f>
        <v>25.662794865633852</v>
      </c>
      <c r="J5" s="132">
        <f>IF(SER_hh_tesh!J5=0,0,SER_hh_tesh!J5/SER_summary!J$26)</f>
        <v>49.518423605442294</v>
      </c>
      <c r="K5" s="132">
        <f>IF(SER_hh_tesh!K5=0,0,SER_hh_tesh!K5/SER_summary!K$26)</f>
        <v>42.726088067402152</v>
      </c>
      <c r="L5" s="132">
        <f>IF(SER_hh_tesh!L5=0,0,SER_hh_tesh!L5/SER_summary!L$26)</f>
        <v>42.034104975721625</v>
      </c>
      <c r="M5" s="132">
        <f>IF(SER_hh_tesh!M5=0,0,SER_hh_tesh!M5/SER_summary!M$26)</f>
        <v>47.868909514696355</v>
      </c>
      <c r="N5" s="132">
        <f>IF(SER_hh_tesh!N5=0,0,SER_hh_tesh!N5/SER_summary!N$26)</f>
        <v>36.863095745100601</v>
      </c>
      <c r="O5" s="132">
        <f>IF(SER_hh_tesh!O5=0,0,SER_hh_tesh!O5/SER_summary!O$26)</f>
        <v>49.790218468997971</v>
      </c>
      <c r="P5" s="132">
        <f>IF(SER_hh_tesh!P5=0,0,SER_hh_tesh!P5/SER_summary!P$26)</f>
        <v>22.978274979736796</v>
      </c>
      <c r="Q5" s="132">
        <f>IF(SER_hh_tesh!Q5=0,0,SER_hh_tesh!Q5/SER_summary!Q$26)</f>
        <v>60.453420214616472</v>
      </c>
      <c r="R5" s="132">
        <f>IF(SER_hh_tesh!R5=0,0,SER_hh_tesh!R5/SER_summary!R$26)</f>
        <v>67.484265275276968</v>
      </c>
      <c r="S5" s="132">
        <f>IF(SER_hh_tesh!S5=0,0,SER_hh_tesh!S5/SER_summary!S$26)</f>
        <v>48.959481011910256</v>
      </c>
      <c r="T5" s="132">
        <f>IF(SER_hh_tesh!T5=0,0,SER_hh_tesh!T5/SER_summary!T$26)</f>
        <v>37.194093717268515</v>
      </c>
      <c r="U5" s="132">
        <f>IF(SER_hh_tesh!U5=0,0,SER_hh_tesh!U5/SER_summary!U$26)</f>
        <v>60.813715867417152</v>
      </c>
      <c r="V5" s="132">
        <f>IF(SER_hh_tesh!V5=0,0,SER_hh_tesh!V5/SER_summary!V$26)</f>
        <v>57.560104018530922</v>
      </c>
      <c r="W5" s="132">
        <f>IF(SER_hh_tesh!W5=0,0,SER_hh_tesh!W5/SER_summary!W$26)</f>
        <v>56.390905217361386</v>
      </c>
      <c r="X5" s="132">
        <f>IF(SER_hh_tesh!X5=0,0,SER_hh_tesh!X5/SER_summary!X$26)</f>
        <v>52.023064400662356</v>
      </c>
      <c r="Y5" s="132">
        <f>IF(SER_hh_tesh!Y5=0,0,SER_hh_tesh!Y5/SER_summary!Y$26)</f>
        <v>68.000839404933615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25.364810206138124</v>
      </c>
      <c r="C7" s="132">
        <f>IF(SER_hh_tesh!C7=0,0,SER_hh_tesh!C7/SER_summary!C$26)</f>
        <v>51.662540270487945</v>
      </c>
      <c r="D7" s="132">
        <f>IF(SER_hh_tesh!D7=0,0,SER_hh_tesh!D7/SER_summary!D$26)</f>
        <v>39.605955546819914</v>
      </c>
      <c r="E7" s="132">
        <f>IF(SER_hh_tesh!E7=0,0,SER_hh_tesh!E7/SER_summary!E$26)</f>
        <v>31.187848669554988</v>
      </c>
      <c r="F7" s="132">
        <f>IF(SER_hh_tesh!F7=0,0,SER_hh_tesh!F7/SER_summary!F$26)</f>
        <v>22.150133899281077</v>
      </c>
      <c r="G7" s="132">
        <f>IF(SER_hh_tesh!G7=0,0,SER_hh_tesh!G7/SER_summary!G$26)</f>
        <v>24.249689003628522</v>
      </c>
      <c r="H7" s="132">
        <f>IF(SER_hh_tesh!H7=0,0,SER_hh_tesh!H7/SER_summary!H$26)</f>
        <v>51.565271348783746</v>
      </c>
      <c r="I7" s="132">
        <f>IF(SER_hh_tesh!I7=0,0,SER_hh_tesh!I7/SER_summary!I$26)</f>
        <v>36.402598748835352</v>
      </c>
      <c r="J7" s="132">
        <f>IF(SER_hh_tesh!J7=0,0,SER_hh_tesh!J7/SER_summary!J$26)</f>
        <v>48.516765396648438</v>
      </c>
      <c r="K7" s="132">
        <f>IF(SER_hh_tesh!K7=0,0,SER_hh_tesh!K7/SER_summary!K$26)</f>
        <v>56.18174932877934</v>
      </c>
      <c r="L7" s="132">
        <f>IF(SER_hh_tesh!L7=0,0,SER_hh_tesh!L7/SER_summary!L$26)</f>
        <v>39.518041853114077</v>
      </c>
      <c r="M7" s="132">
        <f>IF(SER_hh_tesh!M7=0,0,SER_hh_tesh!M7/SER_summary!M$26)</f>
        <v>37.733804026216148</v>
      </c>
      <c r="N7" s="132">
        <f>IF(SER_hh_tesh!N7=0,0,SER_hh_tesh!N7/SER_summary!N$26)</f>
        <v>43.823549274862842</v>
      </c>
      <c r="O7" s="132">
        <f>IF(SER_hh_tesh!O7=0,0,SER_hh_tesh!O7/SER_summary!O$26)</f>
        <v>32.765495965327531</v>
      </c>
      <c r="P7" s="132">
        <f>IF(SER_hh_tesh!P7=0,0,SER_hh_tesh!P7/SER_summary!P$26)</f>
        <v>20.393801208226311</v>
      </c>
      <c r="Q7" s="132">
        <f>IF(SER_hh_tesh!Q7=0,0,SER_hh_tesh!Q7/SER_summary!Q$26)</f>
        <v>57.102597194907197</v>
      </c>
      <c r="R7" s="132">
        <f>IF(SER_hh_tesh!R7=0,0,SER_hh_tesh!R7/SER_summary!R$26)</f>
        <v>54.99305493233026</v>
      </c>
      <c r="S7" s="132">
        <f>IF(SER_hh_tesh!S7=0,0,SER_hh_tesh!S7/SER_summary!S$26)</f>
        <v>50.447779266206297</v>
      </c>
      <c r="T7" s="132">
        <f>IF(SER_hh_tesh!T7=0,0,SER_hh_tesh!T7/SER_summary!T$26)</f>
        <v>38.792881889998114</v>
      </c>
      <c r="U7" s="132">
        <f>IF(SER_hh_tesh!U7=0,0,SER_hh_tesh!U7/SER_summary!U$26)</f>
        <v>54.276392201489585</v>
      </c>
      <c r="V7" s="132">
        <f>IF(SER_hh_tesh!V7=0,0,SER_hh_tesh!V7/SER_summary!V$26)</f>
        <v>50.697140166761635</v>
      </c>
      <c r="W7" s="132">
        <f>IF(SER_hh_tesh!W7=0,0,SER_hh_tesh!W7/SER_summary!W$26)</f>
        <v>51.076768397456853</v>
      </c>
      <c r="X7" s="132">
        <f>IF(SER_hh_tesh!X7=0,0,SER_hh_tesh!X7/SER_summary!X$26)</f>
        <v>58.359490117556746</v>
      </c>
      <c r="Y7" s="132">
        <f>IF(SER_hh_tesh!Y7=0,0,SER_hh_tesh!Y7/SER_summary!Y$26)</f>
        <v>71.29039876332655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0</v>
      </c>
      <c r="C8" s="132">
        <f>IF(SER_hh_tesh!C8=0,0,SER_hh_tesh!C8/SER_summary!C$26)</f>
        <v>0</v>
      </c>
      <c r="D8" s="132">
        <f>IF(SER_hh_tesh!D8=0,0,SER_hh_tesh!D8/SER_summary!D$26)</f>
        <v>0</v>
      </c>
      <c r="E8" s="132">
        <f>IF(SER_hh_tesh!E8=0,0,SER_hh_tesh!E8/SER_summary!E$26)</f>
        <v>0</v>
      </c>
      <c r="F8" s="132">
        <f>IF(SER_hh_tesh!F8=0,0,SER_hh_tesh!F8/SER_summary!F$26)</f>
        <v>0</v>
      </c>
      <c r="G8" s="132">
        <f>IF(SER_hh_tesh!G8=0,0,SER_hh_tesh!G8/SER_summary!G$26)</f>
        <v>0</v>
      </c>
      <c r="H8" s="132">
        <f>IF(SER_hh_tesh!H8=0,0,SER_hh_tesh!H8/SER_summary!H$26)</f>
        <v>0</v>
      </c>
      <c r="I8" s="132">
        <f>IF(SER_hh_tesh!I8=0,0,SER_hh_tesh!I8/SER_summary!I$26)</f>
        <v>0</v>
      </c>
      <c r="J8" s="132">
        <f>IF(SER_hh_tesh!J8=0,0,SER_hh_tesh!J8/SER_summary!J$26)</f>
        <v>0</v>
      </c>
      <c r="K8" s="132">
        <f>IF(SER_hh_tesh!K8=0,0,SER_hh_tesh!K8/SER_summary!K$26)</f>
        <v>0</v>
      </c>
      <c r="L8" s="132">
        <f>IF(SER_hh_tesh!L8=0,0,SER_hh_tesh!L8/SER_summary!L$26)</f>
        <v>0</v>
      </c>
      <c r="M8" s="132">
        <f>IF(SER_hh_tesh!M8=0,0,SER_hh_tesh!M8/SER_summary!M$26)</f>
        <v>0</v>
      </c>
      <c r="N8" s="132">
        <f>IF(SER_hh_tesh!N8=0,0,SER_hh_tesh!N8/SER_summary!N$26)</f>
        <v>0</v>
      </c>
      <c r="O8" s="132">
        <f>IF(SER_hh_tesh!O8=0,0,SER_hh_tesh!O8/SER_summary!O$26)</f>
        <v>0</v>
      </c>
      <c r="P8" s="132">
        <f>IF(SER_hh_tesh!P8=0,0,SER_hh_tesh!P8/SER_summary!P$26)</f>
        <v>0</v>
      </c>
      <c r="Q8" s="132">
        <f>IF(SER_hh_tesh!Q8=0,0,SER_hh_tesh!Q8/SER_summary!Q$26)</f>
        <v>0</v>
      </c>
      <c r="R8" s="132">
        <f>IF(SER_hh_tesh!R8=0,0,SER_hh_tesh!R8/SER_summary!R$26)</f>
        <v>0</v>
      </c>
      <c r="S8" s="132">
        <f>IF(SER_hh_tesh!S8=0,0,SER_hh_tesh!S8/SER_summary!S$26)</f>
        <v>0</v>
      </c>
      <c r="T8" s="132">
        <f>IF(SER_hh_tesh!T8=0,0,SER_hh_tesh!T8/SER_summary!T$26)</f>
        <v>0</v>
      </c>
      <c r="U8" s="132">
        <f>IF(SER_hh_tesh!U8=0,0,SER_hh_tesh!U8/SER_summary!U$26)</f>
        <v>0</v>
      </c>
      <c r="V8" s="132">
        <f>IF(SER_hh_tesh!V8=0,0,SER_hh_tesh!V8/SER_summary!V$26)</f>
        <v>0</v>
      </c>
      <c r="W8" s="132">
        <f>IF(SER_hh_tesh!W8=0,0,SER_hh_tesh!W8/SER_summary!W$26)</f>
        <v>0</v>
      </c>
      <c r="X8" s="132">
        <f>IF(SER_hh_tesh!X8=0,0,SER_hh_tesh!X8/SER_summary!X$26)</f>
        <v>0</v>
      </c>
      <c r="Y8" s="132">
        <f>IF(SER_hh_tesh!Y8=0,0,SER_hh_tesh!Y8/SER_summary!Y$26)</f>
        <v>0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28.736918432128018</v>
      </c>
      <c r="C9" s="132">
        <f>IF(SER_hh_tesh!C9=0,0,SER_hh_tesh!C9/SER_summary!C$26)</f>
        <v>40.794422754399186</v>
      </c>
      <c r="D9" s="132">
        <f>IF(SER_hh_tesh!D9=0,0,SER_hh_tesh!D9/SER_summary!D$26)</f>
        <v>34.455822029568054</v>
      </c>
      <c r="E9" s="132">
        <f>IF(SER_hh_tesh!E9=0,0,SER_hh_tesh!E9/SER_summary!E$26)</f>
        <v>38.697374144325209</v>
      </c>
      <c r="F9" s="132">
        <f>IF(SER_hh_tesh!F9=0,0,SER_hh_tesh!F9/SER_summary!F$26)</f>
        <v>30.091950744937904</v>
      </c>
      <c r="G9" s="132">
        <f>IF(SER_hh_tesh!G9=0,0,SER_hh_tesh!G9/SER_summary!G$26)</f>
        <v>38.424014428815177</v>
      </c>
      <c r="H9" s="132">
        <f>IF(SER_hh_tesh!H9=0,0,SER_hh_tesh!H9/SER_summary!H$26)</f>
        <v>48.873697436693469</v>
      </c>
      <c r="I9" s="132">
        <f>IF(SER_hh_tesh!I9=0,0,SER_hh_tesh!I9/SER_summary!I$26)</f>
        <v>44.162561703713791</v>
      </c>
      <c r="J9" s="132">
        <f>IF(SER_hh_tesh!J9=0,0,SER_hh_tesh!J9/SER_summary!J$26)</f>
        <v>52.632549034079325</v>
      </c>
      <c r="K9" s="132">
        <f>IF(SER_hh_tesh!K9=0,0,SER_hh_tesh!K9/SER_summary!K$26)</f>
        <v>33.348868887029738</v>
      </c>
      <c r="L9" s="132">
        <f>IF(SER_hh_tesh!L9=0,0,SER_hh_tesh!L9/SER_summary!L$26)</f>
        <v>46.243159576999929</v>
      </c>
      <c r="M9" s="132">
        <f>IF(SER_hh_tesh!M9=0,0,SER_hh_tesh!M9/SER_summary!M$26)</f>
        <v>48.405376228587301</v>
      </c>
      <c r="N9" s="132">
        <f>IF(SER_hh_tesh!N9=0,0,SER_hh_tesh!N9/SER_summary!N$26)</f>
        <v>43.116354353052884</v>
      </c>
      <c r="O9" s="132">
        <f>IF(SER_hh_tesh!O9=0,0,SER_hh_tesh!O9/SER_summary!O$26)</f>
        <v>37.672106695726605</v>
      </c>
      <c r="P9" s="132">
        <f>IF(SER_hh_tesh!P9=0,0,SER_hh_tesh!P9/SER_summary!P$26)</f>
        <v>39.025919780932966</v>
      </c>
      <c r="Q9" s="132">
        <f>IF(SER_hh_tesh!Q9=0,0,SER_hh_tesh!Q9/SER_summary!Q$26)</f>
        <v>44.403088133726982</v>
      </c>
      <c r="R9" s="132">
        <f>IF(SER_hh_tesh!R9=0,0,SER_hh_tesh!R9/SER_summary!R$26)</f>
        <v>47.606280590611753</v>
      </c>
      <c r="S9" s="132">
        <f>IF(SER_hh_tesh!S9=0,0,SER_hh_tesh!S9/SER_summary!S$26)</f>
        <v>48.761226272058643</v>
      </c>
      <c r="T9" s="132">
        <f>IF(SER_hh_tesh!T9=0,0,SER_hh_tesh!T9/SER_summary!T$26)</f>
        <v>53.768294152060754</v>
      </c>
      <c r="U9" s="132">
        <f>IF(SER_hh_tesh!U9=0,0,SER_hh_tesh!U9/SER_summary!U$26)</f>
        <v>47.185131861292433</v>
      </c>
      <c r="V9" s="132">
        <f>IF(SER_hh_tesh!V9=0,0,SER_hh_tesh!V9/SER_summary!V$26)</f>
        <v>49.258313153487656</v>
      </c>
      <c r="W9" s="132">
        <f>IF(SER_hh_tesh!W9=0,0,SER_hh_tesh!W9/SER_summary!W$26)</f>
        <v>65.538468884972431</v>
      </c>
      <c r="X9" s="132">
        <f>IF(SER_hh_tesh!X9=0,0,SER_hh_tesh!X9/SER_summary!X$26)</f>
        <v>66.599369296314563</v>
      </c>
      <c r="Y9" s="132">
        <f>IF(SER_hh_tesh!Y9=0,0,SER_hh_tesh!Y9/SER_summary!Y$26)</f>
        <v>59.222243269748354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35.211346879968133</v>
      </c>
      <c r="C10" s="132">
        <f>IF(SER_hh_tesh!C10=0,0,SER_hh_tesh!C10/SER_summary!C$26)</f>
        <v>36.977098385657364</v>
      </c>
      <c r="D10" s="132">
        <f>IF(SER_hh_tesh!D10=0,0,SER_hh_tesh!D10/SER_summary!D$26)</f>
        <v>31.200945281440045</v>
      </c>
      <c r="E10" s="132">
        <f>IF(SER_hh_tesh!E10=0,0,SER_hh_tesh!E10/SER_summary!E$26)</f>
        <v>45.169272393918554</v>
      </c>
      <c r="F10" s="132">
        <f>IF(SER_hh_tesh!F10=0,0,SER_hh_tesh!F10/SER_summary!F$26)</f>
        <v>29.379987439208136</v>
      </c>
      <c r="G10" s="132">
        <f>IF(SER_hh_tesh!G10=0,0,SER_hh_tesh!G10/SER_summary!G$26)</f>
        <v>41.018862507545954</v>
      </c>
      <c r="H10" s="132">
        <f>IF(SER_hh_tesh!H10=0,0,SER_hh_tesh!H10/SER_summary!H$26)</f>
        <v>51.531719017450961</v>
      </c>
      <c r="I10" s="132">
        <f>IF(SER_hh_tesh!I10=0,0,SER_hh_tesh!I10/SER_summary!I$26)</f>
        <v>41.830889119523071</v>
      </c>
      <c r="J10" s="132">
        <f>IF(SER_hh_tesh!J10=0,0,SER_hh_tesh!J10/SER_summary!J$26)</f>
        <v>49.643845550154076</v>
      </c>
      <c r="K10" s="132">
        <f>IF(SER_hh_tesh!K10=0,0,SER_hh_tesh!K10/SER_summary!K$26)</f>
        <v>40.136951447644115</v>
      </c>
      <c r="L10" s="132">
        <f>IF(SER_hh_tesh!L10=0,0,SER_hh_tesh!L10/SER_summary!L$26)</f>
        <v>20.92456724192953</v>
      </c>
      <c r="M10" s="132">
        <f>IF(SER_hh_tesh!M10=0,0,SER_hh_tesh!M10/SER_summary!M$26)</f>
        <v>16.978368626345478</v>
      </c>
      <c r="N10" s="132">
        <f>IF(SER_hh_tesh!N10=0,0,SER_hh_tesh!N10/SER_summary!N$26)</f>
        <v>96.89748303234694</v>
      </c>
      <c r="O10" s="132">
        <f>IF(SER_hh_tesh!O10=0,0,SER_hh_tesh!O10/SER_summary!O$26)</f>
        <v>48.770196737661415</v>
      </c>
      <c r="P10" s="132">
        <f>IF(SER_hh_tesh!P10=0,0,SER_hh_tesh!P10/SER_summary!P$26)</f>
        <v>5.6365929803711667</v>
      </c>
      <c r="Q10" s="132">
        <f>IF(SER_hh_tesh!Q10=0,0,SER_hh_tesh!Q10/SER_summary!Q$26)</f>
        <v>23.826023251709678</v>
      </c>
      <c r="R10" s="132">
        <f>IF(SER_hh_tesh!R10=0,0,SER_hh_tesh!R10/SER_summary!R$26)</f>
        <v>9.3876777202417863</v>
      </c>
      <c r="S10" s="132">
        <f>IF(SER_hh_tesh!S10=0,0,SER_hh_tesh!S10/SER_summary!S$26)</f>
        <v>52.554155407186101</v>
      </c>
      <c r="T10" s="132">
        <f>IF(SER_hh_tesh!T10=0,0,SER_hh_tesh!T10/SER_summary!T$26)</f>
        <v>61.796803171818503</v>
      </c>
      <c r="U10" s="132">
        <f>IF(SER_hh_tesh!U10=0,0,SER_hh_tesh!U10/SER_summary!U$26)</f>
        <v>60.836531342108835</v>
      </c>
      <c r="V10" s="132">
        <f>IF(SER_hh_tesh!V10=0,0,SER_hh_tesh!V10/SER_summary!V$26)</f>
        <v>43.340218045389484</v>
      </c>
      <c r="W10" s="132">
        <f>IF(SER_hh_tesh!W10=0,0,SER_hh_tesh!W10/SER_summary!W$26)</f>
        <v>61.959614679580724</v>
      </c>
      <c r="X10" s="132">
        <f>IF(SER_hh_tesh!X10=0,0,SER_hh_tesh!X10/SER_summary!X$26)</f>
        <v>78.859552402863059</v>
      </c>
      <c r="Y10" s="132">
        <f>IF(SER_hh_tesh!Y10=0,0,SER_hh_tesh!Y10/SER_summary!Y$26)</f>
        <v>53.148250496757591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0</v>
      </c>
      <c r="D11" s="132">
        <f>IF(SER_hh_tesh!D11=0,0,SER_hh_tesh!D11/SER_summary!D$26)</f>
        <v>0</v>
      </c>
      <c r="E11" s="132">
        <f>IF(SER_hh_tesh!E11=0,0,SER_hh_tesh!E11/SER_summary!E$26)</f>
        <v>0</v>
      </c>
      <c r="F11" s="132">
        <f>IF(SER_hh_tesh!F11=0,0,SER_hh_tesh!F11/SER_summary!F$26)</f>
        <v>0</v>
      </c>
      <c r="G11" s="132">
        <f>IF(SER_hh_tesh!G11=0,0,SER_hh_tesh!G11/SER_summary!G$26)</f>
        <v>62.812918822939572</v>
      </c>
      <c r="H11" s="132">
        <f>IF(SER_hh_tesh!H11=0,0,SER_hh_tesh!H11/SER_summary!H$26)</f>
        <v>49.711933371313719</v>
      </c>
      <c r="I11" s="132">
        <f>IF(SER_hh_tesh!I11=0,0,SER_hh_tesh!I11/SER_summary!I$26)</f>
        <v>42.426937429440464</v>
      </c>
      <c r="J11" s="132">
        <f>IF(SER_hh_tesh!J11=0,0,SER_hh_tesh!J11/SER_summary!J$26)</f>
        <v>42.481194437088611</v>
      </c>
      <c r="K11" s="132">
        <f>IF(SER_hh_tesh!K11=0,0,SER_hh_tesh!K11/SER_summary!K$26)</f>
        <v>42.613553810865788</v>
      </c>
      <c r="L11" s="132">
        <f>IF(SER_hh_tesh!L11=0,0,SER_hh_tesh!L11/SER_summary!L$26)</f>
        <v>44.298739172057047</v>
      </c>
      <c r="M11" s="132">
        <f>IF(SER_hh_tesh!M11=0,0,SER_hh_tesh!M11/SER_summary!M$26)</f>
        <v>44.859320874726265</v>
      </c>
      <c r="N11" s="132">
        <f>IF(SER_hh_tesh!N11=0,0,SER_hh_tesh!N11/SER_summary!N$26)</f>
        <v>43.857447645413295</v>
      </c>
      <c r="O11" s="132">
        <f>IF(SER_hh_tesh!O11=0,0,SER_hh_tesh!O11/SER_summary!O$26)</f>
        <v>42.150506497395646</v>
      </c>
      <c r="P11" s="132">
        <f>IF(SER_hh_tesh!P11=0,0,SER_hh_tesh!P11/SER_summary!P$26)</f>
        <v>42.007117090443636</v>
      </c>
      <c r="Q11" s="132">
        <f>IF(SER_hh_tesh!Q11=0,0,SER_hh_tesh!Q11/SER_summary!Q$26)</f>
        <v>42.753260443261404</v>
      </c>
      <c r="R11" s="132">
        <f>IF(SER_hh_tesh!R11=0,0,SER_hh_tesh!R11/SER_summary!R$26)</f>
        <v>47.006866588462522</v>
      </c>
      <c r="S11" s="132">
        <f>IF(SER_hh_tesh!S11=0,0,SER_hh_tesh!S11/SER_summary!S$26)</f>
        <v>49.246240396268803</v>
      </c>
      <c r="T11" s="132">
        <f>IF(SER_hh_tesh!T11=0,0,SER_hh_tesh!T11/SER_summary!T$26)</f>
        <v>50.908507762282809</v>
      </c>
      <c r="U11" s="132">
        <f>IF(SER_hh_tesh!U11=0,0,SER_hh_tesh!U11/SER_summary!U$26)</f>
        <v>52.791223900071472</v>
      </c>
      <c r="V11" s="132">
        <f>IF(SER_hh_tesh!V11=0,0,SER_hh_tesh!V11/SER_summary!V$26)</f>
        <v>55.890621763160659</v>
      </c>
      <c r="W11" s="132">
        <f>IF(SER_hh_tesh!W11=0,0,SER_hh_tesh!W11/SER_summary!W$26)</f>
        <v>58.835653092753418</v>
      </c>
      <c r="X11" s="132">
        <f>IF(SER_hh_tesh!X11=0,0,SER_hh_tesh!X11/SER_summary!X$26)</f>
        <v>62.266638359151663</v>
      </c>
      <c r="Y11" s="132">
        <f>IF(SER_hh_tesh!Y11=0,0,SER_hh_tesh!Y11/SER_summary!Y$26)</f>
        <v>64.269763145619592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33.738605416535378</v>
      </c>
      <c r="C12" s="132">
        <f>IF(SER_hh_tesh!C12=0,0,SER_hh_tesh!C12/SER_summary!C$26)</f>
        <v>42.074001272812815</v>
      </c>
      <c r="D12" s="132">
        <f>IF(SER_hh_tesh!D12=0,0,SER_hh_tesh!D12/SER_summary!D$26)</f>
        <v>36.964443165339596</v>
      </c>
      <c r="E12" s="132">
        <f>IF(SER_hh_tesh!E12=0,0,SER_hh_tesh!E12/SER_summary!E$26)</f>
        <v>37.91623603181575</v>
      </c>
      <c r="F12" s="132">
        <f>IF(SER_hh_tesh!F12=0,0,SER_hh_tesh!F12/SER_summary!F$26)</f>
        <v>31.477516590842853</v>
      </c>
      <c r="G12" s="132">
        <f>IF(SER_hh_tesh!G12=0,0,SER_hh_tesh!G12/SER_summary!G$26)</f>
        <v>50.252222090878156</v>
      </c>
      <c r="H12" s="132">
        <f>IF(SER_hh_tesh!H12=0,0,SER_hh_tesh!H12/SER_summary!H$26)</f>
        <v>50.540692080538193</v>
      </c>
      <c r="I12" s="132">
        <f>IF(SER_hh_tesh!I12=0,0,SER_hh_tesh!I12/SER_summary!I$26)</f>
        <v>38.406511134461589</v>
      </c>
      <c r="J12" s="132">
        <f>IF(SER_hh_tesh!J12=0,0,SER_hh_tesh!J12/SER_summary!J$26)</f>
        <v>36.594614633694071</v>
      </c>
      <c r="K12" s="132">
        <f>IF(SER_hh_tesh!K12=0,0,SER_hh_tesh!K12/SER_summary!K$26)</f>
        <v>40.32421335169591</v>
      </c>
      <c r="L12" s="132">
        <f>IF(SER_hh_tesh!L12=0,0,SER_hh_tesh!L12/SER_summary!L$26)</f>
        <v>41.950091130362203</v>
      </c>
      <c r="M12" s="132">
        <f>IF(SER_hh_tesh!M12=0,0,SER_hh_tesh!M12/SER_summary!M$26)</f>
        <v>56.989609207619253</v>
      </c>
      <c r="N12" s="132">
        <f>IF(SER_hh_tesh!N12=0,0,SER_hh_tesh!N12/SER_summary!N$26)</f>
        <v>39.862813301012686</v>
      </c>
      <c r="O12" s="132">
        <f>IF(SER_hh_tesh!O12=0,0,SER_hh_tesh!O12/SER_summary!O$26)</f>
        <v>39.131428324260867</v>
      </c>
      <c r="P12" s="132">
        <f>IF(SER_hh_tesh!P12=0,0,SER_hh_tesh!P12/SER_summary!P$26)</f>
        <v>39.450310299846898</v>
      </c>
      <c r="Q12" s="132">
        <f>IF(SER_hh_tesh!Q12=0,0,SER_hh_tesh!Q12/SER_summary!Q$26)</f>
        <v>44.410113605494551</v>
      </c>
      <c r="R12" s="132">
        <f>IF(SER_hh_tesh!R12=0,0,SER_hh_tesh!R12/SER_summary!R$26)</f>
        <v>60.944916144066234</v>
      </c>
      <c r="S12" s="132">
        <f>IF(SER_hh_tesh!S12=0,0,SER_hh_tesh!S12/SER_summary!S$26)</f>
        <v>45.198866360825541</v>
      </c>
      <c r="T12" s="132">
        <f>IF(SER_hh_tesh!T12=0,0,SER_hh_tesh!T12/SER_summary!T$26)</f>
        <v>59.730891535315834</v>
      </c>
      <c r="U12" s="132">
        <f>IF(SER_hh_tesh!U12=0,0,SER_hh_tesh!U12/SER_summary!U$26)</f>
        <v>57.03611380285956</v>
      </c>
      <c r="V12" s="132">
        <f>IF(SER_hh_tesh!V12=0,0,SER_hh_tesh!V12/SER_summary!V$26)</f>
        <v>44.437158005640313</v>
      </c>
      <c r="W12" s="132">
        <f>IF(SER_hh_tesh!W12=0,0,SER_hh_tesh!W12/SER_summary!W$26)</f>
        <v>61.622708898217383</v>
      </c>
      <c r="X12" s="132">
        <f>IF(SER_hh_tesh!X12=0,0,SER_hh_tesh!X12/SER_summary!X$26)</f>
        <v>57.156392848798937</v>
      </c>
      <c r="Y12" s="132">
        <f>IF(SER_hh_tesh!Y12=0,0,SER_hh_tesh!Y12/SER_summary!Y$26)</f>
        <v>64.158948661802356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33.585996268358578</v>
      </c>
      <c r="C13" s="132">
        <f>IF(SER_hh_tesh!C13=0,0,SER_hh_tesh!C13/SER_summary!C$26)</f>
        <v>28.372301949614034</v>
      </c>
      <c r="D13" s="132">
        <f>IF(SER_hh_tesh!D13=0,0,SER_hh_tesh!D13/SER_summary!D$26)</f>
        <v>34.952039995355463</v>
      </c>
      <c r="E13" s="132">
        <f>IF(SER_hh_tesh!E13=0,0,SER_hh_tesh!E13/SER_summary!E$26)</f>
        <v>39.334382666628507</v>
      </c>
      <c r="F13" s="132">
        <f>IF(SER_hh_tesh!F13=0,0,SER_hh_tesh!F13/SER_summary!F$26)</f>
        <v>36.285106968549464</v>
      </c>
      <c r="G13" s="132">
        <f>IF(SER_hh_tesh!G13=0,0,SER_hh_tesh!G13/SER_summary!G$26)</f>
        <v>40.476740031554527</v>
      </c>
      <c r="H13" s="132">
        <f>IF(SER_hh_tesh!H13=0,0,SER_hh_tesh!H13/SER_summary!H$26)</f>
        <v>46.607268937395432</v>
      </c>
      <c r="I13" s="132">
        <f>IF(SER_hh_tesh!I13=0,0,SER_hh_tesh!I13/SER_summary!I$26)</f>
        <v>42.47500436312577</v>
      </c>
      <c r="J13" s="132">
        <f>IF(SER_hh_tesh!J13=0,0,SER_hh_tesh!J13/SER_summary!J$26)</f>
        <v>39.714732314025802</v>
      </c>
      <c r="K13" s="132">
        <f>IF(SER_hh_tesh!K13=0,0,SER_hh_tesh!K13/SER_summary!K$26)</f>
        <v>42.936996900307491</v>
      </c>
      <c r="L13" s="132">
        <f>IF(SER_hh_tesh!L13=0,0,SER_hh_tesh!L13/SER_summary!L$26)</f>
        <v>46.487209664512605</v>
      </c>
      <c r="M13" s="132">
        <f>IF(SER_hh_tesh!M13=0,0,SER_hh_tesh!M13/SER_summary!M$26)</f>
        <v>44.421943797588078</v>
      </c>
      <c r="N13" s="132">
        <f>IF(SER_hh_tesh!N13=0,0,SER_hh_tesh!N13/SER_summary!N$26)</f>
        <v>40.783653591537906</v>
      </c>
      <c r="O13" s="132">
        <f>IF(SER_hh_tesh!O13=0,0,SER_hh_tesh!O13/SER_summary!O$26)</f>
        <v>45.37429329878784</v>
      </c>
      <c r="P13" s="132">
        <f>IF(SER_hh_tesh!P13=0,0,SER_hh_tesh!P13/SER_summary!P$26)</f>
        <v>40.463565515179049</v>
      </c>
      <c r="Q13" s="132">
        <f>IF(SER_hh_tesh!Q13=0,0,SER_hh_tesh!Q13/SER_summary!Q$26)</f>
        <v>43.695048965957952</v>
      </c>
      <c r="R13" s="132">
        <f>IF(SER_hh_tesh!R13=0,0,SER_hh_tesh!R13/SER_summary!R$26)</f>
        <v>45.635945238776671</v>
      </c>
      <c r="S13" s="132">
        <f>IF(SER_hh_tesh!S13=0,0,SER_hh_tesh!S13/SER_summary!S$26)</f>
        <v>47.130153791983155</v>
      </c>
      <c r="T13" s="132">
        <f>IF(SER_hh_tesh!T13=0,0,SER_hh_tesh!T13/SER_summary!T$26)</f>
        <v>47.253940995622834</v>
      </c>
      <c r="U13" s="132">
        <f>IF(SER_hh_tesh!U13=0,0,SER_hh_tesh!U13/SER_summary!U$26)</f>
        <v>50.535583525037069</v>
      </c>
      <c r="V13" s="132">
        <f>IF(SER_hh_tesh!V13=0,0,SER_hh_tesh!V13/SER_summary!V$26)</f>
        <v>51.878833462284895</v>
      </c>
      <c r="W13" s="132">
        <f>IF(SER_hh_tesh!W13=0,0,SER_hh_tesh!W13/SER_summary!W$26)</f>
        <v>58.625445745557272</v>
      </c>
      <c r="X13" s="132">
        <f>IF(SER_hh_tesh!X13=0,0,SER_hh_tesh!X13/SER_summary!X$26)</f>
        <v>65.354758261091206</v>
      </c>
      <c r="Y13" s="132">
        <f>IF(SER_hh_tesh!Y13=0,0,SER_hh_tesh!Y13/SER_summary!Y$26)</f>
        <v>65.424299335718402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35.756925570793491</v>
      </c>
      <c r="C14" s="65">
        <f>IF(SER_hh_tesh!C14=0,0,SER_hh_tesh!C14/SER_summary!C$26)</f>
        <v>31.761995055892694</v>
      </c>
      <c r="D14" s="65">
        <f>IF(SER_hh_tesh!D14=0,0,SER_hh_tesh!D14/SER_summary!D$26)</f>
        <v>41.028714462831566</v>
      </c>
      <c r="E14" s="65">
        <f>IF(SER_hh_tesh!E14=0,0,SER_hh_tesh!E14/SER_summary!E$26)</f>
        <v>44.136171040358349</v>
      </c>
      <c r="F14" s="65">
        <f>IF(SER_hh_tesh!F14=0,0,SER_hh_tesh!F14/SER_summary!F$26)</f>
        <v>29.259144061469939</v>
      </c>
      <c r="G14" s="65">
        <f>IF(SER_hh_tesh!G14=0,0,SER_hh_tesh!G14/SER_summary!G$26)</f>
        <v>34.331497400192362</v>
      </c>
      <c r="H14" s="65">
        <f>IF(SER_hh_tesh!H14=0,0,SER_hh_tesh!H14/SER_summary!H$26)</f>
        <v>50.965571978894644</v>
      </c>
      <c r="I14" s="65">
        <f>IF(SER_hh_tesh!I14=0,0,SER_hh_tesh!I14/SER_summary!I$26)</f>
        <v>36.87622944832875</v>
      </c>
      <c r="J14" s="65">
        <f>IF(SER_hh_tesh!J14=0,0,SER_hh_tesh!J14/SER_summary!J$26)</f>
        <v>46.978747281691682</v>
      </c>
      <c r="K14" s="65">
        <f>IF(SER_hh_tesh!K14=0,0,SER_hh_tesh!K14/SER_summary!K$26)</f>
        <v>36.744678268472839</v>
      </c>
      <c r="L14" s="65">
        <f>IF(SER_hh_tesh!L14=0,0,SER_hh_tesh!L14/SER_summary!L$26)</f>
        <v>48.369509026096907</v>
      </c>
      <c r="M14" s="65">
        <f>IF(SER_hh_tesh!M14=0,0,SER_hh_tesh!M14/SER_summary!M$26)</f>
        <v>57.865115791405188</v>
      </c>
      <c r="N14" s="65">
        <f>IF(SER_hh_tesh!N14=0,0,SER_hh_tesh!N14/SER_summary!N$26)</f>
        <v>42.018133585203593</v>
      </c>
      <c r="O14" s="65">
        <f>IF(SER_hh_tesh!O14=0,0,SER_hh_tesh!O14/SER_summary!O$26)</f>
        <v>39.759106590715405</v>
      </c>
      <c r="P14" s="65">
        <f>IF(SER_hh_tesh!P14=0,0,SER_hh_tesh!P14/SER_summary!P$26)</f>
        <v>37.809988919559395</v>
      </c>
      <c r="Q14" s="65">
        <f>IF(SER_hh_tesh!Q14=0,0,SER_hh_tesh!Q14/SER_summary!Q$26)</f>
        <v>33.220468345047657</v>
      </c>
      <c r="R14" s="65">
        <f>IF(SER_hh_tesh!R14=0,0,SER_hh_tesh!R14/SER_summary!R$26)</f>
        <v>56.594406533218113</v>
      </c>
      <c r="S14" s="65">
        <f>IF(SER_hh_tesh!S14=0,0,SER_hh_tesh!S14/SER_summary!S$26)</f>
        <v>49.893591741075902</v>
      </c>
      <c r="T14" s="65">
        <f>IF(SER_hh_tesh!T14=0,0,SER_hh_tesh!T14/SER_summary!T$26)</f>
        <v>59.904076812891461</v>
      </c>
      <c r="U14" s="65">
        <f>IF(SER_hh_tesh!U14=0,0,SER_hh_tesh!U14/SER_summary!U$26)</f>
        <v>83.136795012625413</v>
      </c>
      <c r="V14" s="65">
        <f>IF(SER_hh_tesh!V14=0,0,SER_hh_tesh!V14/SER_summary!V$26)</f>
        <v>26.26006084229353</v>
      </c>
      <c r="W14" s="65">
        <f>IF(SER_hh_tesh!W14=0,0,SER_hh_tesh!W14/SER_summary!W$26)</f>
        <v>78.649051488105172</v>
      </c>
      <c r="X14" s="65">
        <f>IF(SER_hh_tesh!X14=0,0,SER_hh_tesh!X14/SER_summary!X$26)</f>
        <v>72.524213459834499</v>
      </c>
      <c r="Y14" s="65">
        <f>IF(SER_hh_tesh!Y14=0,0,SER_hh_tesh!Y14/SER_summary!Y$26)</f>
        <v>57.952884360833075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0.33450220208460274</v>
      </c>
      <c r="C15" s="134">
        <f>IF(SER_hh_tesh!C15=0,0,SER_hh_tesh!C15/SER_summary!C$26)</f>
        <v>0.55105745970628228</v>
      </c>
      <c r="D15" s="134">
        <f>IF(SER_hh_tesh!D15=0,0,SER_hh_tesh!D15/SER_summary!D$26)</f>
        <v>0.39789067931802602</v>
      </c>
      <c r="E15" s="134">
        <f>IF(SER_hh_tesh!E15=0,0,SER_hh_tesh!E15/SER_summary!E$26)</f>
        <v>0.32184291981195395</v>
      </c>
      <c r="F15" s="134">
        <f>IF(SER_hh_tesh!F15=0,0,SER_hh_tesh!F15/SER_summary!F$26)</f>
        <v>0.23264917175556002</v>
      </c>
      <c r="G15" s="134">
        <f>IF(SER_hh_tesh!G15=0,0,SER_hh_tesh!G15/SER_summary!G$26)</f>
        <v>0.32341033713909784</v>
      </c>
      <c r="H15" s="134">
        <f>IF(SER_hh_tesh!H15=0,0,SER_hh_tesh!H15/SER_summary!H$26)</f>
        <v>0.41649809137559263</v>
      </c>
      <c r="I15" s="134">
        <f>IF(SER_hh_tesh!I15=0,0,SER_hh_tesh!I15/SER_summary!I$26)</f>
        <v>0.33184358731027996</v>
      </c>
      <c r="J15" s="134">
        <f>IF(SER_hh_tesh!J15=0,0,SER_hh_tesh!J15/SER_summary!J$26)</f>
        <v>0.39272718064046025</v>
      </c>
      <c r="K15" s="134">
        <f>IF(SER_hh_tesh!K15=0,0,SER_hh_tesh!K15/SER_summary!K$26)</f>
        <v>0.35911368300328206</v>
      </c>
      <c r="L15" s="134">
        <f>IF(SER_hh_tesh!L15=0,0,SER_hh_tesh!L15/SER_summary!L$26)</f>
        <v>0.34714489009752569</v>
      </c>
      <c r="M15" s="134">
        <f>IF(SER_hh_tesh!M15=0,0,SER_hh_tesh!M15/SER_summary!M$26)</f>
        <v>0.36193485533118347</v>
      </c>
      <c r="N15" s="134">
        <f>IF(SER_hh_tesh!N15=0,0,SER_hh_tesh!N15/SER_summary!N$26)</f>
        <v>0.35479738851518683</v>
      </c>
      <c r="O15" s="134">
        <f>IF(SER_hh_tesh!O15=0,0,SER_hh_tesh!O15/SER_summary!O$26)</f>
        <v>0.30054095312569357</v>
      </c>
      <c r="P15" s="134">
        <f>IF(SER_hh_tesh!P15=0,0,SER_hh_tesh!P15/SER_summary!P$26)</f>
        <v>0.27043541024485546</v>
      </c>
      <c r="Q15" s="134">
        <f>IF(SER_hh_tesh!Q15=0,0,SER_hh_tesh!Q15/SER_summary!Q$26)</f>
        <v>0.37181212649044015</v>
      </c>
      <c r="R15" s="134">
        <f>IF(SER_hh_tesh!R15=0,0,SER_hh_tesh!R15/SER_summary!R$26)</f>
        <v>0.4005983905884154</v>
      </c>
      <c r="S15" s="134">
        <f>IF(SER_hh_tesh!S15=0,0,SER_hh_tesh!S15/SER_summary!S$26)</f>
        <v>0.40249759711846156</v>
      </c>
      <c r="T15" s="134">
        <f>IF(SER_hh_tesh!T15=0,0,SER_hh_tesh!T15/SER_summary!T$26)</f>
        <v>0.43764558975555512</v>
      </c>
      <c r="U15" s="134">
        <f>IF(SER_hh_tesh!U15=0,0,SER_hh_tesh!U15/SER_summary!U$26)</f>
        <v>0.43313933687858536</v>
      </c>
      <c r="V15" s="134">
        <f>IF(SER_hh_tesh!V15=0,0,SER_hh_tesh!V15/SER_summary!V$26)</f>
        <v>0.38943702902823923</v>
      </c>
      <c r="W15" s="134">
        <f>IF(SER_hh_tesh!W15=0,0,SER_hh_tesh!W15/SER_summary!W$26)</f>
        <v>0.50698487945826909</v>
      </c>
      <c r="X15" s="134">
        <f>IF(SER_hh_tesh!X15=0,0,SER_hh_tesh!X15/SER_summary!X$26)</f>
        <v>0.53254610729984242</v>
      </c>
      <c r="Y15" s="134">
        <f>IF(SER_hh_tesh!Y15=0,0,SER_hh_tesh!Y15/SER_summary!Y$26)</f>
        <v>0.50123713374014001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32.541107137611576</v>
      </c>
      <c r="C16" s="130">
        <f>IF(SER_hh_tesh!C16=0,0,SER_hh_tesh!C16/SER_summary!C$26)</f>
        <v>30.04863604648612</v>
      </c>
      <c r="D16" s="130">
        <f>IF(SER_hh_tesh!D16=0,0,SER_hh_tesh!D16/SER_summary!D$26)</f>
        <v>22.276780887406943</v>
      </c>
      <c r="E16" s="130">
        <f>IF(SER_hh_tesh!E16=0,0,SER_hh_tesh!E16/SER_summary!E$26)</f>
        <v>24.738049132128669</v>
      </c>
      <c r="F16" s="130">
        <f>IF(SER_hh_tesh!F16=0,0,SER_hh_tesh!F16/SER_summary!F$26)</f>
        <v>19.466715130756043</v>
      </c>
      <c r="G16" s="130">
        <f>IF(SER_hh_tesh!G16=0,0,SER_hh_tesh!G16/SER_summary!G$26)</f>
        <v>19.713946714007385</v>
      </c>
      <c r="H16" s="130">
        <f>IF(SER_hh_tesh!H16=0,0,SER_hh_tesh!H16/SER_summary!H$26)</f>
        <v>22.854820991649824</v>
      </c>
      <c r="I16" s="130">
        <f>IF(SER_hh_tesh!I16=0,0,SER_hh_tesh!I16/SER_summary!I$26)</f>
        <v>41.054196679303914</v>
      </c>
      <c r="J16" s="130">
        <f>IF(SER_hh_tesh!J16=0,0,SER_hh_tesh!J16/SER_summary!J$26)</f>
        <v>26.165032521322217</v>
      </c>
      <c r="K16" s="130">
        <f>IF(SER_hh_tesh!K16=0,0,SER_hh_tesh!K16/SER_summary!K$26)</f>
        <v>22.692052893578829</v>
      </c>
      <c r="L16" s="130">
        <f>IF(SER_hh_tesh!L16=0,0,SER_hh_tesh!L16/SER_summary!L$26)</f>
        <v>28.418861687060623</v>
      </c>
      <c r="M16" s="130">
        <f>IF(SER_hh_tesh!M16=0,0,SER_hh_tesh!M16/SER_summary!M$26)</f>
        <v>23.570689178143347</v>
      </c>
      <c r="N16" s="130">
        <f>IF(SER_hh_tesh!N16=0,0,SER_hh_tesh!N16/SER_summary!N$26)</f>
        <v>49.346964284009019</v>
      </c>
      <c r="O16" s="130">
        <f>IF(SER_hh_tesh!O16=0,0,SER_hh_tesh!O16/SER_summary!O$26)</f>
        <v>24.058982943931067</v>
      </c>
      <c r="P16" s="130">
        <f>IF(SER_hh_tesh!P16=0,0,SER_hh_tesh!P16/SER_summary!P$26)</f>
        <v>22.311502546002021</v>
      </c>
      <c r="Q16" s="130">
        <f>IF(SER_hh_tesh!Q16=0,0,SER_hh_tesh!Q16/SER_summary!Q$26)</f>
        <v>32.138882929724097</v>
      </c>
      <c r="R16" s="130">
        <f>IF(SER_hh_tesh!R16=0,0,SER_hh_tesh!R16/SER_summary!R$26)</f>
        <v>29.843418599246306</v>
      </c>
      <c r="S16" s="130">
        <f>IF(SER_hh_tesh!S16=0,0,SER_hh_tesh!S16/SER_summary!S$26)</f>
        <v>31.757700797377154</v>
      </c>
      <c r="T16" s="130">
        <f>IF(SER_hh_tesh!T16=0,0,SER_hh_tesh!T16/SER_summary!T$26)</f>
        <v>23.904336127210495</v>
      </c>
      <c r="U16" s="130">
        <f>IF(SER_hh_tesh!U16=0,0,SER_hh_tesh!U16/SER_summary!U$26)</f>
        <v>26.499945457233576</v>
      </c>
      <c r="V16" s="130">
        <f>IF(SER_hh_tesh!V16=0,0,SER_hh_tesh!V16/SER_summary!V$26)</f>
        <v>25.95593242213706</v>
      </c>
      <c r="W16" s="130">
        <f>IF(SER_hh_tesh!W16=0,0,SER_hh_tesh!W16/SER_summary!W$26)</f>
        <v>36.499772814888964</v>
      </c>
      <c r="X16" s="130">
        <f>IF(SER_hh_tesh!X16=0,0,SER_hh_tesh!X16/SER_summary!X$26)</f>
        <v>33.891708153804238</v>
      </c>
      <c r="Y16" s="130">
        <f>IF(SER_hh_tesh!Y16=0,0,SER_hh_tesh!Y16/SER_summary!Y$26)</f>
        <v>41.758795681963228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0</v>
      </c>
      <c r="C17" s="132">
        <f>IF(SER_hh_tesh!C17=0,0,SER_hh_tesh!C17/SER_summary!C$26)</f>
        <v>0</v>
      </c>
      <c r="D17" s="132">
        <f>IF(SER_hh_tesh!D17=0,0,SER_hh_tesh!D17/SER_summary!D$26)</f>
        <v>0</v>
      </c>
      <c r="E17" s="132">
        <f>IF(SER_hh_tesh!E17=0,0,SER_hh_tesh!E17/SER_summary!E$26)</f>
        <v>0</v>
      </c>
      <c r="F17" s="132">
        <f>IF(SER_hh_tesh!F17=0,0,SER_hh_tesh!F17/SER_summary!F$26)</f>
        <v>0</v>
      </c>
      <c r="G17" s="132">
        <f>IF(SER_hh_tesh!G17=0,0,SER_hh_tesh!G17/SER_summary!G$26)</f>
        <v>0</v>
      </c>
      <c r="H17" s="132">
        <f>IF(SER_hh_tesh!H17=0,0,SER_hh_tesh!H17/SER_summary!H$26)</f>
        <v>0</v>
      </c>
      <c r="I17" s="132">
        <f>IF(SER_hh_tesh!I17=0,0,SER_hh_tesh!I17/SER_summary!I$26)</f>
        <v>0</v>
      </c>
      <c r="J17" s="132">
        <f>IF(SER_hh_tesh!J17=0,0,SER_hh_tesh!J17/SER_summary!J$26)</f>
        <v>0</v>
      </c>
      <c r="K17" s="132">
        <f>IF(SER_hh_tesh!K17=0,0,SER_hh_tesh!K17/SER_summary!K$26)</f>
        <v>0</v>
      </c>
      <c r="L17" s="132">
        <f>IF(SER_hh_tesh!L17=0,0,SER_hh_tesh!L17/SER_summary!L$26)</f>
        <v>0</v>
      </c>
      <c r="M17" s="132">
        <f>IF(SER_hh_tesh!M17=0,0,SER_hh_tesh!M17/SER_summary!M$26)</f>
        <v>0</v>
      </c>
      <c r="N17" s="132">
        <f>IF(SER_hh_tesh!N17=0,0,SER_hh_tesh!N17/SER_summary!N$26)</f>
        <v>0</v>
      </c>
      <c r="O17" s="132">
        <f>IF(SER_hh_tesh!O17=0,0,SER_hh_tesh!O17/SER_summary!O$26)</f>
        <v>0</v>
      </c>
      <c r="P17" s="132">
        <f>IF(SER_hh_tesh!P17=0,0,SER_hh_tesh!P17/SER_summary!P$26)</f>
        <v>0</v>
      </c>
      <c r="Q17" s="132">
        <f>IF(SER_hh_tesh!Q17=0,0,SER_hh_tesh!Q17/SER_summary!Q$26)</f>
        <v>0</v>
      </c>
      <c r="R17" s="132">
        <f>IF(SER_hh_tesh!R17=0,0,SER_hh_tesh!R17/SER_summary!R$26)</f>
        <v>0</v>
      </c>
      <c r="S17" s="132">
        <f>IF(SER_hh_tesh!S17=0,0,SER_hh_tesh!S17/SER_summary!S$26)</f>
        <v>0</v>
      </c>
      <c r="T17" s="132">
        <f>IF(SER_hh_tesh!T17=0,0,SER_hh_tesh!T17/SER_summary!T$26)</f>
        <v>0</v>
      </c>
      <c r="U17" s="132">
        <f>IF(SER_hh_tesh!U17=0,0,SER_hh_tesh!U17/SER_summary!U$26)</f>
        <v>0</v>
      </c>
      <c r="V17" s="132">
        <f>IF(SER_hh_tesh!V17=0,0,SER_hh_tesh!V17/SER_summary!V$26)</f>
        <v>0</v>
      </c>
      <c r="W17" s="132">
        <f>IF(SER_hh_tesh!W17=0,0,SER_hh_tesh!W17/SER_summary!W$26)</f>
        <v>0</v>
      </c>
      <c r="X17" s="132">
        <f>IF(SER_hh_tesh!X17=0,0,SER_hh_tesh!X17/SER_summary!X$26)</f>
        <v>0</v>
      </c>
      <c r="Y17" s="132">
        <f>IF(SER_hh_tesh!Y17=0,0,SER_hh_tesh!Y17/SER_summary!Y$26)</f>
        <v>0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32.541107137611576</v>
      </c>
      <c r="C18" s="132">
        <f>IF(SER_hh_tesh!C18=0,0,SER_hh_tesh!C18/SER_summary!C$26)</f>
        <v>30.04863604648612</v>
      </c>
      <c r="D18" s="132">
        <f>IF(SER_hh_tesh!D18=0,0,SER_hh_tesh!D18/SER_summary!D$26)</f>
        <v>22.276780887406943</v>
      </c>
      <c r="E18" s="132">
        <f>IF(SER_hh_tesh!E18=0,0,SER_hh_tesh!E18/SER_summary!E$26)</f>
        <v>24.738049132128669</v>
      </c>
      <c r="F18" s="132">
        <f>IF(SER_hh_tesh!F18=0,0,SER_hh_tesh!F18/SER_summary!F$26)</f>
        <v>19.466715130756043</v>
      </c>
      <c r="G18" s="132">
        <f>IF(SER_hh_tesh!G18=0,0,SER_hh_tesh!G18/SER_summary!G$26)</f>
        <v>19.713946714007385</v>
      </c>
      <c r="H18" s="132">
        <f>IF(SER_hh_tesh!H18=0,0,SER_hh_tesh!H18/SER_summary!H$26)</f>
        <v>22.854820991649824</v>
      </c>
      <c r="I18" s="132">
        <f>IF(SER_hh_tesh!I18=0,0,SER_hh_tesh!I18/SER_summary!I$26)</f>
        <v>41.054196679303914</v>
      </c>
      <c r="J18" s="132">
        <f>IF(SER_hh_tesh!J18=0,0,SER_hh_tesh!J18/SER_summary!J$26)</f>
        <v>26.165032521322217</v>
      </c>
      <c r="K18" s="132">
        <f>IF(SER_hh_tesh!K18=0,0,SER_hh_tesh!K18/SER_summary!K$26)</f>
        <v>22.692052893578829</v>
      </c>
      <c r="L18" s="132">
        <f>IF(SER_hh_tesh!L18=0,0,SER_hh_tesh!L18/SER_summary!L$26)</f>
        <v>28.418861687060623</v>
      </c>
      <c r="M18" s="132">
        <f>IF(SER_hh_tesh!M18=0,0,SER_hh_tesh!M18/SER_summary!M$26)</f>
        <v>23.570689178143347</v>
      </c>
      <c r="N18" s="132">
        <f>IF(SER_hh_tesh!N18=0,0,SER_hh_tesh!N18/SER_summary!N$26)</f>
        <v>49.346964284009019</v>
      </c>
      <c r="O18" s="132">
        <f>IF(SER_hh_tesh!O18=0,0,SER_hh_tesh!O18/SER_summary!O$26)</f>
        <v>24.058982943931067</v>
      </c>
      <c r="P18" s="132">
        <f>IF(SER_hh_tesh!P18=0,0,SER_hh_tesh!P18/SER_summary!P$26)</f>
        <v>22.311502546002021</v>
      </c>
      <c r="Q18" s="132">
        <f>IF(SER_hh_tesh!Q18=0,0,SER_hh_tesh!Q18/SER_summary!Q$26)</f>
        <v>32.138882929724097</v>
      </c>
      <c r="R18" s="132">
        <f>IF(SER_hh_tesh!R18=0,0,SER_hh_tesh!R18/SER_summary!R$26)</f>
        <v>29.843418599246306</v>
      </c>
      <c r="S18" s="132">
        <f>IF(SER_hh_tesh!S18=0,0,SER_hh_tesh!S18/SER_summary!S$26)</f>
        <v>31.757700797377154</v>
      </c>
      <c r="T18" s="132">
        <f>IF(SER_hh_tesh!T18=0,0,SER_hh_tesh!T18/SER_summary!T$26)</f>
        <v>23.904336127210495</v>
      </c>
      <c r="U18" s="132">
        <f>IF(SER_hh_tesh!U18=0,0,SER_hh_tesh!U18/SER_summary!U$26)</f>
        <v>26.499945457233576</v>
      </c>
      <c r="V18" s="132">
        <f>IF(SER_hh_tesh!V18=0,0,SER_hh_tesh!V18/SER_summary!V$26)</f>
        <v>25.95593242213706</v>
      </c>
      <c r="W18" s="132">
        <f>IF(SER_hh_tesh!W18=0,0,SER_hh_tesh!W18/SER_summary!W$26)</f>
        <v>36.499772814888964</v>
      </c>
      <c r="X18" s="132">
        <f>IF(SER_hh_tesh!X18=0,0,SER_hh_tesh!X18/SER_summary!X$26)</f>
        <v>33.891708153804238</v>
      </c>
      <c r="Y18" s="132">
        <f>IF(SER_hh_tesh!Y18=0,0,SER_hh_tesh!Y18/SER_summary!Y$26)</f>
        <v>41.758795681963228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10.360331501825552</v>
      </c>
      <c r="C19" s="130">
        <f>IF(SER_hh_tesh!C19=0,0,SER_hh_tesh!C19/SER_summary!C$26)</f>
        <v>10.267519446574026</v>
      </c>
      <c r="D19" s="130">
        <f>IF(SER_hh_tesh!D19=0,0,SER_hh_tesh!D19/SER_summary!D$26)</f>
        <v>10.19350739608795</v>
      </c>
      <c r="E19" s="130">
        <f>IF(SER_hh_tesh!E19=0,0,SER_hh_tesh!E19/SER_summary!E$26)</f>
        <v>10.044766185311717</v>
      </c>
      <c r="F19" s="130">
        <f>IF(SER_hh_tesh!F19=0,0,SER_hh_tesh!F19/SER_summary!F$26)</f>
        <v>9.8176480876378829</v>
      </c>
      <c r="G19" s="130">
        <f>IF(SER_hh_tesh!G19=0,0,SER_hh_tesh!G19/SER_summary!G$26)</f>
        <v>9.8452770999942665</v>
      </c>
      <c r="H19" s="130">
        <f>IF(SER_hh_tesh!H19=0,0,SER_hh_tesh!H19/SER_summary!H$26)</f>
        <v>9.9943958101306318</v>
      </c>
      <c r="I19" s="130">
        <f>IF(SER_hh_tesh!I19=0,0,SER_hh_tesh!I19/SER_summary!I$26)</f>
        <v>10.035546816904487</v>
      </c>
      <c r="J19" s="130">
        <f>IF(SER_hh_tesh!J19=0,0,SER_hh_tesh!J19/SER_summary!J$26)</f>
        <v>10.058620336966998</v>
      </c>
      <c r="K19" s="130">
        <f>IF(SER_hh_tesh!K19=0,0,SER_hh_tesh!K19/SER_summary!K$26)</f>
        <v>10.407852881641659</v>
      </c>
      <c r="L19" s="130">
        <f>IF(SER_hh_tesh!L19=0,0,SER_hh_tesh!L19/SER_summary!L$26)</f>
        <v>11.024515349060952</v>
      </c>
      <c r="M19" s="130">
        <f>IF(SER_hh_tesh!M19=0,0,SER_hh_tesh!M19/SER_summary!M$26)</f>
        <v>11.139040149090743</v>
      </c>
      <c r="N19" s="130">
        <f>IF(SER_hh_tesh!N19=0,0,SER_hh_tesh!N19/SER_summary!N$26)</f>
        <v>11.151550363095721</v>
      </c>
      <c r="O19" s="130">
        <f>IF(SER_hh_tesh!O19=0,0,SER_hh_tesh!O19/SER_summary!O$26)</f>
        <v>11.372718438905586</v>
      </c>
      <c r="P19" s="130">
        <f>IF(SER_hh_tesh!P19=0,0,SER_hh_tesh!P19/SER_summary!P$26)</f>
        <v>11.243024279742748</v>
      </c>
      <c r="Q19" s="130">
        <f>IF(SER_hh_tesh!Q19=0,0,SER_hh_tesh!Q19/SER_summary!Q$26)</f>
        <v>11.521562659070895</v>
      </c>
      <c r="R19" s="130">
        <f>IF(SER_hh_tesh!R19=0,0,SER_hh_tesh!R19/SER_summary!R$26)</f>
        <v>11.667952344874305</v>
      </c>
      <c r="S19" s="130">
        <f>IF(SER_hh_tesh!S19=0,0,SER_hh_tesh!S19/SER_summary!S$26)</f>
        <v>11.930999458978441</v>
      </c>
      <c r="T19" s="130">
        <f>IF(SER_hh_tesh!T19=0,0,SER_hh_tesh!T19/SER_summary!T$26)</f>
        <v>12.140606933415885</v>
      </c>
      <c r="U19" s="130">
        <f>IF(SER_hh_tesh!U19=0,0,SER_hh_tesh!U19/SER_summary!U$26)</f>
        <v>12.389737926875327</v>
      </c>
      <c r="V19" s="130">
        <f>IF(SER_hh_tesh!V19=0,0,SER_hh_tesh!V19/SER_summary!V$26)</f>
        <v>10.950275886118728</v>
      </c>
      <c r="W19" s="130">
        <f>IF(SER_hh_tesh!W19=0,0,SER_hh_tesh!W19/SER_summary!W$26)</f>
        <v>11.915115465211773</v>
      </c>
      <c r="X19" s="130">
        <f>IF(SER_hh_tesh!X19=0,0,SER_hh_tesh!X19/SER_summary!X$26)</f>
        <v>12.43394898521132</v>
      </c>
      <c r="Y19" s="130">
        <f>IF(SER_hh_tesh!Y19=0,0,SER_hh_tesh!Y19/SER_summary!Y$26)</f>
        <v>12.737398736644158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0</v>
      </c>
      <c r="C21" s="132">
        <f>IF(SER_hh_tesh!C21=0,0,SER_hh_tesh!C21/SER_summary!C$26)</f>
        <v>0</v>
      </c>
      <c r="D21" s="132">
        <f>IF(SER_hh_tesh!D21=0,0,SER_hh_tesh!D21/SER_summary!D$26)</f>
        <v>0</v>
      </c>
      <c r="E21" s="132">
        <f>IF(SER_hh_tesh!E21=0,0,SER_hh_tesh!E21/SER_summary!E$26)</f>
        <v>0</v>
      </c>
      <c r="F21" s="132">
        <f>IF(SER_hh_tesh!F21=0,0,SER_hh_tesh!F21/SER_summary!F$26)</f>
        <v>0</v>
      </c>
      <c r="G21" s="132">
        <f>IF(SER_hh_tesh!G21=0,0,SER_hh_tesh!G21/SER_summary!G$26)</f>
        <v>0</v>
      </c>
      <c r="H21" s="132">
        <f>IF(SER_hh_tesh!H21=0,0,SER_hh_tesh!H21/SER_summary!H$26)</f>
        <v>0</v>
      </c>
      <c r="I21" s="132">
        <f>IF(SER_hh_tesh!I21=0,0,SER_hh_tesh!I21/SER_summary!I$26)</f>
        <v>0</v>
      </c>
      <c r="J21" s="132">
        <f>IF(SER_hh_tesh!J21=0,0,SER_hh_tesh!J21/SER_summary!J$26)</f>
        <v>0</v>
      </c>
      <c r="K21" s="132">
        <f>IF(SER_hh_tesh!K21=0,0,SER_hh_tesh!K21/SER_summary!K$26)</f>
        <v>0</v>
      </c>
      <c r="L21" s="132">
        <f>IF(SER_hh_tesh!L21=0,0,SER_hh_tesh!L21/SER_summary!L$26)</f>
        <v>0</v>
      </c>
      <c r="M21" s="132">
        <f>IF(SER_hh_tesh!M21=0,0,SER_hh_tesh!M21/SER_summary!M$26)</f>
        <v>0</v>
      </c>
      <c r="N21" s="132">
        <f>IF(SER_hh_tesh!N21=0,0,SER_hh_tesh!N21/SER_summary!N$26)</f>
        <v>0</v>
      </c>
      <c r="O21" s="132">
        <f>IF(SER_hh_tesh!O21=0,0,SER_hh_tesh!O21/SER_summary!O$26)</f>
        <v>0</v>
      </c>
      <c r="P21" s="132">
        <f>IF(SER_hh_tesh!P21=0,0,SER_hh_tesh!P21/SER_summary!P$26)</f>
        <v>0</v>
      </c>
      <c r="Q21" s="132">
        <f>IF(SER_hh_tesh!Q21=0,0,SER_hh_tesh!Q21/SER_summary!Q$26)</f>
        <v>0</v>
      </c>
      <c r="R21" s="132">
        <f>IF(SER_hh_tesh!R21=0,0,SER_hh_tesh!R21/SER_summary!R$26)</f>
        <v>0</v>
      </c>
      <c r="S21" s="132">
        <f>IF(SER_hh_tesh!S21=0,0,SER_hh_tesh!S21/SER_summary!S$26)</f>
        <v>0</v>
      </c>
      <c r="T21" s="132">
        <f>IF(SER_hh_tesh!T21=0,0,SER_hh_tesh!T21/SER_summary!T$26)</f>
        <v>0</v>
      </c>
      <c r="U21" s="132">
        <f>IF(SER_hh_tesh!U21=0,0,SER_hh_tesh!U21/SER_summary!U$26)</f>
        <v>0</v>
      </c>
      <c r="V21" s="132">
        <f>IF(SER_hh_tesh!V21=0,0,SER_hh_tesh!V21/SER_summary!V$26)</f>
        <v>0</v>
      </c>
      <c r="W21" s="132">
        <f>IF(SER_hh_tesh!W21=0,0,SER_hh_tesh!W21/SER_summary!W$26)</f>
        <v>0</v>
      </c>
      <c r="X21" s="132">
        <f>IF(SER_hh_tesh!X21=0,0,SER_hh_tesh!X21/SER_summary!X$26)</f>
        <v>0</v>
      </c>
      <c r="Y21" s="132">
        <f>IF(SER_hh_tesh!Y21=0,0,SER_hh_tesh!Y21/SER_summary!Y$26)</f>
        <v>0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9.6392537385576205</v>
      </c>
      <c r="C22" s="132">
        <f>IF(SER_hh_tesh!C22=0,0,SER_hh_tesh!C22/SER_summary!C$26)</f>
        <v>10.550934265015414</v>
      </c>
      <c r="D22" s="132">
        <f>IF(SER_hh_tesh!D22=0,0,SER_hh_tesh!D22/SER_summary!D$26)</f>
        <v>10.64226294955518</v>
      </c>
      <c r="E22" s="132">
        <f>IF(SER_hh_tesh!E22=0,0,SER_hh_tesh!E22/SER_summary!E$26)</f>
        <v>10.47384499690706</v>
      </c>
      <c r="F22" s="132">
        <f>IF(SER_hh_tesh!F22=0,0,SER_hh_tesh!F22/SER_summary!F$26)</f>
        <v>9.2227265867475801</v>
      </c>
      <c r="G22" s="132">
        <f>IF(SER_hh_tesh!G22=0,0,SER_hh_tesh!G22/SER_summary!G$26)</f>
        <v>9.3995964689909819</v>
      </c>
      <c r="H22" s="132">
        <f>IF(SER_hh_tesh!H22=0,0,SER_hh_tesh!H22/SER_summary!H$26)</f>
        <v>9.7643256422883322</v>
      </c>
      <c r="I22" s="132">
        <f>IF(SER_hh_tesh!I22=0,0,SER_hh_tesh!I22/SER_summary!I$26)</f>
        <v>10.075579591146015</v>
      </c>
      <c r="J22" s="132">
        <f>IF(SER_hh_tesh!J22=0,0,SER_hh_tesh!J22/SER_summary!J$26)</f>
        <v>10.330752600291069</v>
      </c>
      <c r="K22" s="132">
        <f>IF(SER_hh_tesh!K22=0,0,SER_hh_tesh!K22/SER_summary!K$26)</f>
        <v>10.475389154380959</v>
      </c>
      <c r="L22" s="132">
        <f>IF(SER_hh_tesh!L22=0,0,SER_hh_tesh!L22/SER_summary!L$26)</f>
        <v>10.651095182744331</v>
      </c>
      <c r="M22" s="132">
        <f>IF(SER_hh_tesh!M22=0,0,SER_hh_tesh!M22/SER_summary!M$26)</f>
        <v>11.521464550679337</v>
      </c>
      <c r="N22" s="132">
        <f>IF(SER_hh_tesh!N22=0,0,SER_hh_tesh!N22/SER_summary!N$26)</f>
        <v>11.714916719196042</v>
      </c>
      <c r="O22" s="132">
        <f>IF(SER_hh_tesh!O22=0,0,SER_hh_tesh!O22/SER_summary!O$26)</f>
        <v>10.338288158703508</v>
      </c>
      <c r="P22" s="132">
        <f>IF(SER_hh_tesh!P22=0,0,SER_hh_tesh!P22/SER_summary!P$26)</f>
        <v>9.7482236161235924</v>
      </c>
      <c r="Q22" s="132">
        <f>IF(SER_hh_tesh!Q22=0,0,SER_hh_tesh!Q22/SER_summary!Q$26)</f>
        <v>11.527772028814146</v>
      </c>
      <c r="R22" s="132">
        <f>IF(SER_hh_tesh!R22=0,0,SER_hh_tesh!R22/SER_summary!R$26)</f>
        <v>12.060385519353556</v>
      </c>
      <c r="S22" s="132">
        <f>IF(SER_hh_tesh!S22=0,0,SER_hh_tesh!S22/SER_summary!S$26)</f>
        <v>11.941162963893408</v>
      </c>
      <c r="T22" s="132">
        <f>IF(SER_hh_tesh!T22=0,0,SER_hh_tesh!T22/SER_summary!T$26)</f>
        <v>8.8397858993538883</v>
      </c>
      <c r="U22" s="132">
        <f>IF(SER_hh_tesh!U22=0,0,SER_hh_tesh!U22/SER_summary!U$26)</f>
        <v>11.977661725293689</v>
      </c>
      <c r="V22" s="132">
        <f>IF(SER_hh_tesh!V22=0,0,SER_hh_tesh!V22/SER_summary!V$26)</f>
        <v>10.510014181785156</v>
      </c>
      <c r="W22" s="132">
        <f>IF(SER_hh_tesh!W22=0,0,SER_hh_tesh!W22/SER_summary!W$26)</f>
        <v>9.6023710724216755</v>
      </c>
      <c r="X22" s="132">
        <f>IF(SER_hh_tesh!X22=0,0,SER_hh_tesh!X22/SER_summary!X$26)</f>
        <v>10.84484704667439</v>
      </c>
      <c r="Y22" s="132">
        <f>IF(SER_hh_tesh!Y22=0,0,SER_hh_tesh!Y22/SER_summary!Y$26)</f>
        <v>14.039413480268777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9.3017766601244638</v>
      </c>
      <c r="C23" s="132">
        <f>IF(SER_hh_tesh!C23=0,0,SER_hh_tesh!C23/SER_summary!C$26)</f>
        <v>10.248992231706584</v>
      </c>
      <c r="D23" s="132">
        <f>IF(SER_hh_tesh!D23=0,0,SER_hh_tesh!D23/SER_summary!D$26)</f>
        <v>9.2425399753866486</v>
      </c>
      <c r="E23" s="132">
        <f>IF(SER_hh_tesh!E23=0,0,SER_hh_tesh!E23/SER_summary!E$26)</f>
        <v>9.8090900433134376</v>
      </c>
      <c r="F23" s="132">
        <f>IF(SER_hh_tesh!F23=0,0,SER_hh_tesh!F23/SER_summary!F$26)</f>
        <v>9.6892835235973944</v>
      </c>
      <c r="G23" s="132">
        <f>IF(SER_hh_tesh!G23=0,0,SER_hh_tesh!G23/SER_summary!G$26)</f>
        <v>9.504851883689506</v>
      </c>
      <c r="H23" s="132">
        <f>IF(SER_hh_tesh!H23=0,0,SER_hh_tesh!H23/SER_summary!H$26)</f>
        <v>9.8927055925663527</v>
      </c>
      <c r="I23" s="132">
        <f>IF(SER_hh_tesh!I23=0,0,SER_hh_tesh!I23/SER_summary!I$26)</f>
        <v>10.477625108726137</v>
      </c>
      <c r="J23" s="132">
        <f>IF(SER_hh_tesh!J23=0,0,SER_hh_tesh!J23/SER_summary!J$26)</f>
        <v>10.389423247301485</v>
      </c>
      <c r="K23" s="132">
        <f>IF(SER_hh_tesh!K23=0,0,SER_hh_tesh!K23/SER_summary!K$26)</f>
        <v>10.539400962995295</v>
      </c>
      <c r="L23" s="132">
        <f>IF(SER_hh_tesh!L23=0,0,SER_hh_tesh!L23/SER_summary!L$26)</f>
        <v>10.951019636793578</v>
      </c>
      <c r="M23" s="132">
        <f>IF(SER_hh_tesh!M23=0,0,SER_hh_tesh!M23/SER_summary!M$26)</f>
        <v>11.020876641566405</v>
      </c>
      <c r="N23" s="132">
        <f>IF(SER_hh_tesh!N23=0,0,SER_hh_tesh!N23/SER_summary!N$26)</f>
        <v>10.980196176533546</v>
      </c>
      <c r="O23" s="132">
        <f>IF(SER_hh_tesh!O23=0,0,SER_hh_tesh!O23/SER_summary!O$26)</f>
        <v>10.991017830630156</v>
      </c>
      <c r="P23" s="132">
        <f>IF(SER_hh_tesh!P23=0,0,SER_hh_tesh!P23/SER_summary!P$26)</f>
        <v>11.031128020160621</v>
      </c>
      <c r="Q23" s="132">
        <f>IF(SER_hh_tesh!Q23=0,0,SER_hh_tesh!Q23/SER_summary!Q$26)</f>
        <v>11.214127714251342</v>
      </c>
      <c r="R23" s="132">
        <f>IF(SER_hh_tesh!R23=0,0,SER_hh_tesh!R23/SER_summary!R$26)</f>
        <v>11.272972559026243</v>
      </c>
      <c r="S23" s="132">
        <f>IF(SER_hh_tesh!S23=0,0,SER_hh_tesh!S23/SER_summary!S$26)</f>
        <v>11.532898527251771</v>
      </c>
      <c r="T23" s="132">
        <f>IF(SER_hh_tesh!T23=0,0,SER_hh_tesh!T23/SER_summary!T$26)</f>
        <v>11.88334093531655</v>
      </c>
      <c r="U23" s="132">
        <f>IF(SER_hh_tesh!U23=0,0,SER_hh_tesh!U23/SER_summary!U$26)</f>
        <v>12.132093360330311</v>
      </c>
      <c r="V23" s="132">
        <f>IF(SER_hh_tesh!V23=0,0,SER_hh_tesh!V23/SER_summary!V$26)</f>
        <v>10.718071311628703</v>
      </c>
      <c r="W23" s="132">
        <f>IF(SER_hh_tesh!W23=0,0,SER_hh_tesh!W23/SER_summary!W$26)</f>
        <v>11.812036027750739</v>
      </c>
      <c r="X23" s="132">
        <f>IF(SER_hh_tesh!X23=0,0,SER_hh_tesh!X23/SER_summary!X$26)</f>
        <v>10.541633499402552</v>
      </c>
      <c r="Y23" s="132">
        <f>IF(SER_hh_tesh!Y23=0,0,SER_hh_tesh!Y23/SER_summary!Y$26)</f>
        <v>12.758470086695471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0</v>
      </c>
      <c r="C24" s="132">
        <f>IF(SER_hh_tesh!C24=0,0,SER_hh_tesh!C24/SER_summary!C$26)</f>
        <v>0</v>
      </c>
      <c r="D24" s="132">
        <f>IF(SER_hh_tesh!D24=0,0,SER_hh_tesh!D24/SER_summary!D$26)</f>
        <v>0</v>
      </c>
      <c r="E24" s="132">
        <f>IF(SER_hh_tesh!E24=0,0,SER_hh_tesh!E24/SER_summary!E$26)</f>
        <v>0</v>
      </c>
      <c r="F24" s="132">
        <f>IF(SER_hh_tesh!F24=0,0,SER_hh_tesh!F24/SER_summary!F$26)</f>
        <v>0</v>
      </c>
      <c r="G24" s="132">
        <f>IF(SER_hh_tesh!G24=0,0,SER_hh_tesh!G24/SER_summary!G$26)</f>
        <v>0</v>
      </c>
      <c r="H24" s="132">
        <f>IF(SER_hh_tesh!H24=0,0,SER_hh_tesh!H24/SER_summary!H$26)</f>
        <v>0</v>
      </c>
      <c r="I24" s="132">
        <f>IF(SER_hh_tesh!I24=0,0,SER_hh_tesh!I24/SER_summary!I$26)</f>
        <v>0</v>
      </c>
      <c r="J24" s="132">
        <f>IF(SER_hh_tesh!J24=0,0,SER_hh_tesh!J24/SER_summary!J$26)</f>
        <v>0</v>
      </c>
      <c r="K24" s="132">
        <f>IF(SER_hh_tesh!K24=0,0,SER_hh_tesh!K24/SER_summary!K$26)</f>
        <v>0</v>
      </c>
      <c r="L24" s="132">
        <f>IF(SER_hh_tesh!L24=0,0,SER_hh_tesh!L24/SER_summary!L$26)</f>
        <v>0</v>
      </c>
      <c r="M24" s="132">
        <f>IF(SER_hh_tesh!M24=0,0,SER_hh_tesh!M24/SER_summary!M$26)</f>
        <v>0</v>
      </c>
      <c r="N24" s="132">
        <f>IF(SER_hh_tesh!N24=0,0,SER_hh_tesh!N24/SER_summary!N$26)</f>
        <v>0</v>
      </c>
      <c r="O24" s="132">
        <f>IF(SER_hh_tesh!O24=0,0,SER_hh_tesh!O24/SER_summary!O$26)</f>
        <v>0</v>
      </c>
      <c r="P24" s="132">
        <f>IF(SER_hh_tesh!P24=0,0,SER_hh_tesh!P24/SER_summary!P$26)</f>
        <v>0</v>
      </c>
      <c r="Q24" s="132">
        <f>IF(SER_hh_tesh!Q24=0,0,SER_hh_tesh!Q24/SER_summary!Q$26)</f>
        <v>0</v>
      </c>
      <c r="R24" s="132">
        <f>IF(SER_hh_tesh!R24=0,0,SER_hh_tesh!R24/SER_summary!R$26)</f>
        <v>0</v>
      </c>
      <c r="S24" s="132">
        <f>IF(SER_hh_tesh!S24=0,0,SER_hh_tesh!S24/SER_summary!S$26)</f>
        <v>0</v>
      </c>
      <c r="T24" s="132">
        <f>IF(SER_hh_tesh!T24=0,0,SER_hh_tesh!T24/SER_summary!T$26)</f>
        <v>0</v>
      </c>
      <c r="U24" s="132">
        <f>IF(SER_hh_tesh!U24=0,0,SER_hh_tesh!U24/SER_summary!U$26)</f>
        <v>0</v>
      </c>
      <c r="V24" s="132">
        <f>IF(SER_hh_tesh!V24=0,0,SER_hh_tesh!V24/SER_summary!V$26)</f>
        <v>0</v>
      </c>
      <c r="W24" s="132">
        <f>IF(SER_hh_tesh!W24=0,0,SER_hh_tesh!W24/SER_summary!W$26)</f>
        <v>0</v>
      </c>
      <c r="X24" s="132">
        <f>IF(SER_hh_tesh!X24=0,0,SER_hh_tesh!X24/SER_summary!X$26)</f>
        <v>0</v>
      </c>
      <c r="Y24" s="132">
        <f>IF(SER_hh_tesh!Y24=0,0,SER_hh_tesh!Y24/SER_summary!Y$26)</f>
        <v>0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10.296420216199349</v>
      </c>
      <c r="C25" s="132">
        <f>IF(SER_hh_tesh!C25=0,0,SER_hh_tesh!C25/SER_summary!C$26)</f>
        <v>10.230258187247593</v>
      </c>
      <c r="D25" s="132">
        <f>IF(SER_hh_tesh!D25=0,0,SER_hh_tesh!D25/SER_summary!D$26)</f>
        <v>10.094083886687766</v>
      </c>
      <c r="E25" s="132">
        <f>IF(SER_hh_tesh!E25=0,0,SER_hh_tesh!E25/SER_summary!E$26)</f>
        <v>10.056904136567519</v>
      </c>
      <c r="F25" s="132">
        <f>IF(SER_hh_tesh!F25=0,0,SER_hh_tesh!F25/SER_summary!F$26)</f>
        <v>9.9917018867005059</v>
      </c>
      <c r="G25" s="132">
        <f>IF(SER_hh_tesh!G25=0,0,SER_hh_tesh!G25/SER_summary!G$26)</f>
        <v>9.9720812522864879</v>
      </c>
      <c r="H25" s="132">
        <f>IF(SER_hh_tesh!H25=0,0,SER_hh_tesh!H25/SER_summary!H$26)</f>
        <v>9.9719111463347474</v>
      </c>
      <c r="I25" s="132">
        <f>IF(SER_hh_tesh!I25=0,0,SER_hh_tesh!I25/SER_summary!I$26)</f>
        <v>10.041151576291794</v>
      </c>
      <c r="J25" s="132">
        <f>IF(SER_hh_tesh!J25=0,0,SER_hh_tesh!J25/SER_summary!J$26)</f>
        <v>10.223504029279882</v>
      </c>
      <c r="K25" s="132">
        <f>IF(SER_hh_tesh!K25=0,0,SER_hh_tesh!K25/SER_summary!K$26)</f>
        <v>10.426317434497166</v>
      </c>
      <c r="L25" s="132">
        <f>IF(SER_hh_tesh!L25=0,0,SER_hh_tesh!L25/SER_summary!L$26)</f>
        <v>10.695906679519766</v>
      </c>
      <c r="M25" s="132">
        <f>IF(SER_hh_tesh!M25=0,0,SER_hh_tesh!M25/SER_summary!M$26)</f>
        <v>10.927268301705723</v>
      </c>
      <c r="N25" s="132">
        <f>IF(SER_hh_tesh!N25=0,0,SER_hh_tesh!N25/SER_summary!N$26)</f>
        <v>10.930886940763104</v>
      </c>
      <c r="O25" s="132">
        <f>IF(SER_hh_tesh!O25=0,0,SER_hh_tesh!O25/SER_summary!O$26)</f>
        <v>10.989741888515718</v>
      </c>
      <c r="P25" s="132">
        <f>IF(SER_hh_tesh!P25=0,0,SER_hh_tesh!P25/SER_summary!P$26)</f>
        <v>11.007896263564787</v>
      </c>
      <c r="Q25" s="132">
        <f>IF(SER_hh_tesh!Q25=0,0,SER_hh_tesh!Q25/SER_summary!Q$26)</f>
        <v>11.154300797422366</v>
      </c>
      <c r="R25" s="132">
        <f>IF(SER_hh_tesh!R25=0,0,SER_hh_tesh!R25/SER_summary!R$26)</f>
        <v>11.318740597413891</v>
      </c>
      <c r="S25" s="132">
        <f>IF(SER_hh_tesh!S25=0,0,SER_hh_tesh!S25/SER_summary!S$26)</f>
        <v>11.626137603655145</v>
      </c>
      <c r="T25" s="132">
        <f>IF(SER_hh_tesh!T25=0,0,SER_hh_tesh!T25/SER_summary!T$26)</f>
        <v>11.765761019182911</v>
      </c>
      <c r="U25" s="132">
        <f>IF(SER_hh_tesh!U25=0,0,SER_hh_tesh!U25/SER_summary!U$26)</f>
        <v>11.765227662379093</v>
      </c>
      <c r="V25" s="132">
        <f>IF(SER_hh_tesh!V25=0,0,SER_hh_tesh!V25/SER_summary!V$26)</f>
        <v>10.611995158840347</v>
      </c>
      <c r="W25" s="132">
        <f>IF(SER_hh_tesh!W25=0,0,SER_hh_tesh!W25/SER_summary!W$26)</f>
        <v>11.034644304974687</v>
      </c>
      <c r="X25" s="132">
        <f>IF(SER_hh_tesh!X25=0,0,SER_hh_tesh!X25/SER_summary!X$26)</f>
        <v>12.823352454082581</v>
      </c>
      <c r="Y25" s="132">
        <f>IF(SER_hh_tesh!Y25=0,0,SER_hh_tesh!Y25/SER_summary!Y$26)</f>
        <v>11.900711689855139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10.641122648329949</v>
      </c>
      <c r="C26" s="65">
        <f>IF(SER_hh_tesh!C26=0,0,SER_hh_tesh!C26/SER_summary!C$26)</f>
        <v>10.233583566988898</v>
      </c>
      <c r="D26" s="65">
        <f>IF(SER_hh_tesh!D26=0,0,SER_hh_tesh!D26/SER_summary!D$26)</f>
        <v>10.265474478128326</v>
      </c>
      <c r="E26" s="65">
        <f>IF(SER_hh_tesh!E26=0,0,SER_hh_tesh!E26/SER_summary!E$26)</f>
        <v>9.9911380272854124</v>
      </c>
      <c r="F26" s="65">
        <f>IF(SER_hh_tesh!F26=0,0,SER_hh_tesh!F26/SER_summary!F$26)</f>
        <v>9.8042965855630566</v>
      </c>
      <c r="G26" s="65">
        <f>IF(SER_hh_tesh!G26=0,0,SER_hh_tesh!G26/SER_summary!G$26)</f>
        <v>9.8807516299098133</v>
      </c>
      <c r="H26" s="65">
        <f>IF(SER_hh_tesh!H26=0,0,SER_hh_tesh!H26/SER_summary!H$26)</f>
        <v>10.056832315213949</v>
      </c>
      <c r="I26" s="65">
        <f>IF(SER_hh_tesh!I26=0,0,SER_hh_tesh!I26/SER_summary!I$26)</f>
        <v>9.9158176722574023</v>
      </c>
      <c r="J26" s="65">
        <f>IF(SER_hh_tesh!J26=0,0,SER_hh_tesh!J26/SER_summary!J$26)</f>
        <v>9.8507124095177527</v>
      </c>
      <c r="K26" s="65">
        <f>IF(SER_hh_tesh!K26=0,0,SER_hh_tesh!K26/SER_summary!K$26)</f>
        <v>10.354701598482997</v>
      </c>
      <c r="L26" s="65">
        <f>IF(SER_hh_tesh!L26=0,0,SER_hh_tesh!L26/SER_summary!L$26)</f>
        <v>10.169529238360164</v>
      </c>
      <c r="M26" s="65">
        <f>IF(SER_hh_tesh!M26=0,0,SER_hh_tesh!M26/SER_summary!M$26)</f>
        <v>9.6676194775080937</v>
      </c>
      <c r="N26" s="65">
        <f>IF(SER_hh_tesh!N26=0,0,SER_hh_tesh!N26/SER_summary!N$26)</f>
        <v>9.3967986752777701</v>
      </c>
      <c r="O26" s="65">
        <f>IF(SER_hh_tesh!O26=0,0,SER_hh_tesh!O26/SER_summary!O$26)</f>
        <v>9.1409020574786695</v>
      </c>
      <c r="P26" s="65">
        <f>IF(SER_hh_tesh!P26=0,0,SER_hh_tesh!P26/SER_summary!P$26)</f>
        <v>8.9381859973889828</v>
      </c>
      <c r="Q26" s="65">
        <f>IF(SER_hh_tesh!Q26=0,0,SER_hh_tesh!Q26/SER_summary!Q$26)</f>
        <v>8.8633936311092416</v>
      </c>
      <c r="R26" s="65">
        <f>IF(SER_hh_tesh!R26=0,0,SER_hh_tesh!R26/SER_summary!R$26)</f>
        <v>8.9218544268441384</v>
      </c>
      <c r="S26" s="65">
        <f>IF(SER_hh_tesh!S26=0,0,SER_hh_tesh!S26/SER_summary!S$26)</f>
        <v>9.0544131749965651</v>
      </c>
      <c r="T26" s="65">
        <f>IF(SER_hh_tesh!T26=0,0,SER_hh_tesh!T26/SER_summary!T$26)</f>
        <v>9.157583091338628</v>
      </c>
      <c r="U26" s="65">
        <f>IF(SER_hh_tesh!U26=0,0,SER_hh_tesh!U26/SER_summary!U$26)</f>
        <v>9.3685028095047613</v>
      </c>
      <c r="V26" s="65">
        <f>IF(SER_hh_tesh!V26=0,0,SER_hh_tesh!V26/SER_summary!V$26)</f>
        <v>7.6637734425631283</v>
      </c>
      <c r="W26" s="65">
        <f>IF(SER_hh_tesh!W26=0,0,SER_hh_tesh!W26/SER_summary!W$26)</f>
        <v>8.6978022591732138</v>
      </c>
      <c r="X26" s="65">
        <f>IF(SER_hh_tesh!X26=0,0,SER_hh_tesh!X26/SER_summary!X$26)</f>
        <v>8.6693969163084645</v>
      </c>
      <c r="Y26" s="65">
        <f>IF(SER_hh_tesh!Y26=0,0,SER_hh_tesh!Y26/SER_summary!Y$26)</f>
        <v>8.9250302823156122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</v>
      </c>
      <c r="C27" s="145">
        <f>IF(SER_hh_tesh!C27=0,0,SER_hh_tesh!C27/SER_summary!C$26)</f>
        <v>0</v>
      </c>
      <c r="D27" s="145">
        <f>IF(SER_hh_tesh!D27=0,0,SER_hh_tesh!D27/SER_summary!D$26)</f>
        <v>0</v>
      </c>
      <c r="E27" s="145">
        <f>IF(SER_hh_tesh!E27=0,0,SER_hh_tesh!E27/SER_summary!E$26)</f>
        <v>0</v>
      </c>
      <c r="F27" s="145">
        <f>IF(SER_hh_tesh!F27=0,0,SER_hh_tesh!F27/SER_summary!F$26)</f>
        <v>0</v>
      </c>
      <c r="G27" s="145">
        <f>IF(SER_hh_tesh!G27=0,0,SER_hh_tesh!G27/SER_summary!G$26)</f>
        <v>0</v>
      </c>
      <c r="H27" s="145">
        <f>IF(SER_hh_tesh!H27=0,0,SER_hh_tesh!H27/SER_summary!H$26)</f>
        <v>0</v>
      </c>
      <c r="I27" s="145">
        <f>IF(SER_hh_tesh!I27=0,0,SER_hh_tesh!I27/SER_summary!I$26)</f>
        <v>0</v>
      </c>
      <c r="J27" s="145">
        <f>IF(SER_hh_tesh!J27=0,0,SER_hh_tesh!J27/SER_summary!J$26)</f>
        <v>0</v>
      </c>
      <c r="K27" s="145">
        <f>IF(SER_hh_tesh!K27=0,0,SER_hh_tesh!K27/SER_summary!K$26)</f>
        <v>0</v>
      </c>
      <c r="L27" s="145">
        <f>IF(SER_hh_tesh!L27=0,0,SER_hh_tesh!L27/SER_summary!L$26)</f>
        <v>0.57427300731083941</v>
      </c>
      <c r="M27" s="145">
        <f>IF(SER_hh_tesh!M27=0,0,SER_hh_tesh!M27/SER_summary!M$26)</f>
        <v>0.86897050339218074</v>
      </c>
      <c r="N27" s="145">
        <f>IF(SER_hh_tesh!N27=0,0,SER_hh_tesh!N27/SER_summary!N$26)</f>
        <v>1.0448008249883902</v>
      </c>
      <c r="O27" s="145">
        <f>IF(SER_hh_tesh!O27=0,0,SER_hh_tesh!O27/SER_summary!O$26)</f>
        <v>1.4508465801837354</v>
      </c>
      <c r="P27" s="145">
        <f>IF(SER_hh_tesh!P27=0,0,SER_hh_tesh!P27/SER_summary!P$26)</f>
        <v>1.4463164067846999</v>
      </c>
      <c r="Q27" s="145">
        <f>IF(SER_hh_tesh!Q27=0,0,SER_hh_tesh!Q27/SER_summary!Q$26)</f>
        <v>1.6764106978342579</v>
      </c>
      <c r="R27" s="145">
        <f>IF(SER_hh_tesh!R27=0,0,SER_hh_tesh!R27/SER_summary!R$26)</f>
        <v>1.7344809828160292</v>
      </c>
      <c r="S27" s="145">
        <f>IF(SER_hh_tesh!S27=0,0,SER_hh_tesh!S27/SER_summary!S$26)</f>
        <v>1.8142607264528108</v>
      </c>
      <c r="T27" s="145">
        <f>IF(SER_hh_tesh!T27=0,0,SER_hh_tesh!T27/SER_summary!T$26)</f>
        <v>1.9170809836311693</v>
      </c>
      <c r="U27" s="145">
        <f>IF(SER_hh_tesh!U27=0,0,SER_hh_tesh!U27/SER_summary!U$26)</f>
        <v>1.9798029928713905</v>
      </c>
      <c r="V27" s="145">
        <f>IF(SER_hh_tesh!V27=0,0,SER_hh_tesh!V27/SER_summary!V$26)</f>
        <v>2.0568141615843039</v>
      </c>
      <c r="W27" s="145">
        <f>IF(SER_hh_tesh!W27=0,0,SER_hh_tesh!W27/SER_summary!W$26)</f>
        <v>2.1673121014981618</v>
      </c>
      <c r="X27" s="145">
        <f>IF(SER_hh_tesh!X27=0,0,SER_hh_tesh!X27/SER_summary!X$26)</f>
        <v>2.357528161588005</v>
      </c>
      <c r="Y27" s="145">
        <f>IF(SER_hh_tesh!Y27=0,0,SER_hh_tesh!Y27/SER_summary!Y$26)</f>
        <v>2.4280342637937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0</v>
      </c>
      <c r="C28" s="146">
        <f>IF(SER_hh_tesh!C28=0,0,SER_hh_tesh!C28/SER_summary!C$26)</f>
        <v>0</v>
      </c>
      <c r="D28" s="146">
        <f>IF(SER_hh_tesh!D28=0,0,SER_hh_tesh!D28/SER_summary!D$26)</f>
        <v>0</v>
      </c>
      <c r="E28" s="146">
        <f>IF(SER_hh_tesh!E28=0,0,SER_hh_tesh!E28/SER_summary!E$26)</f>
        <v>0</v>
      </c>
      <c r="F28" s="146">
        <f>IF(SER_hh_tesh!F28=0,0,SER_hh_tesh!F28/SER_summary!F$26)</f>
        <v>0</v>
      </c>
      <c r="G28" s="146">
        <f>IF(SER_hh_tesh!G28=0,0,SER_hh_tesh!G28/SER_summary!G$26)</f>
        <v>0</v>
      </c>
      <c r="H28" s="146">
        <f>IF(SER_hh_tesh!H28=0,0,SER_hh_tesh!H28/SER_summary!H$26)</f>
        <v>0</v>
      </c>
      <c r="I28" s="146">
        <f>IF(SER_hh_tesh!I28=0,0,SER_hh_tesh!I28/SER_summary!I$26)</f>
        <v>0</v>
      </c>
      <c r="J28" s="146">
        <f>IF(SER_hh_tesh!J28=0,0,SER_hh_tesh!J28/SER_summary!J$26)</f>
        <v>0</v>
      </c>
      <c r="K28" s="146">
        <f>IF(SER_hh_tesh!K28=0,0,SER_hh_tesh!K28/SER_summary!K$26)</f>
        <v>0</v>
      </c>
      <c r="L28" s="146">
        <f>IF(SER_hh_tesh!L28=0,0,SER_hh_tesh!L28/SER_summary!L$26)</f>
        <v>7.2064868970676308</v>
      </c>
      <c r="M28" s="146">
        <f>IF(SER_hh_tesh!M28=0,0,SER_hh_tesh!M28/SER_summary!M$26)</f>
        <v>7.4047832516171352</v>
      </c>
      <c r="N28" s="146">
        <f>IF(SER_hh_tesh!N28=0,0,SER_hh_tesh!N28/SER_summary!N$26)</f>
        <v>7.666865229298641</v>
      </c>
      <c r="O28" s="146">
        <f>IF(SER_hh_tesh!O28=0,0,SER_hh_tesh!O28/SER_summary!O$26)</f>
        <v>7.5722005054175101</v>
      </c>
      <c r="P28" s="146">
        <f>IF(SER_hh_tesh!P28=0,0,SER_hh_tesh!P28/SER_summary!P$26)</f>
        <v>7.3375310252604837</v>
      </c>
      <c r="Q28" s="146">
        <f>IF(SER_hh_tesh!Q28=0,0,SER_hh_tesh!Q28/SER_summary!Q$26)</f>
        <v>7.767396342390926</v>
      </c>
      <c r="R28" s="146">
        <f>IF(SER_hh_tesh!R28=0,0,SER_hh_tesh!R28/SER_summary!R$26)</f>
        <v>7.5672646936459929</v>
      </c>
      <c r="S28" s="146">
        <f>IF(SER_hh_tesh!S28=0,0,SER_hh_tesh!S28/SER_summary!S$26)</f>
        <v>7.4620261314901031</v>
      </c>
      <c r="T28" s="146">
        <f>IF(SER_hh_tesh!T28=0,0,SER_hh_tesh!T28/SER_summary!T$26)</f>
        <v>7.828559171260923</v>
      </c>
      <c r="U28" s="146">
        <f>IF(SER_hh_tesh!U28=0,0,SER_hh_tesh!U28/SER_summary!U$26)</f>
        <v>7.9902949026536314</v>
      </c>
      <c r="V28" s="146">
        <f>IF(SER_hh_tesh!V28=0,0,SER_hh_tesh!V28/SER_summary!V$26)</f>
        <v>6.9639146471814151</v>
      </c>
      <c r="W28" s="146">
        <f>IF(SER_hh_tesh!W28=0,0,SER_hh_tesh!W28/SER_summary!W$26)</f>
        <v>7.5439136537713471</v>
      </c>
      <c r="X28" s="146">
        <f>IF(SER_hh_tesh!X28=0,0,SER_hh_tesh!X28/SER_summary!X$26)</f>
        <v>7.8724188874251739</v>
      </c>
      <c r="Y28" s="146">
        <f>IF(SER_hh_tesh!Y28=0,0,SER_hh_tesh!Y28/SER_summary!Y$26)</f>
        <v>8.1069268251099338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12.624974177960883</v>
      </c>
      <c r="C29" s="130">
        <f>IF(SER_hh_tesh!C29=0,0,SER_hh_tesh!C29/SER_summary!C$26)</f>
        <v>12.848113091527642</v>
      </c>
      <c r="D29" s="130">
        <f>IF(SER_hh_tesh!D29=0,0,SER_hh_tesh!D29/SER_summary!D$26)</f>
        <v>12.574706510501908</v>
      </c>
      <c r="E29" s="130">
        <f>IF(SER_hh_tesh!E29=0,0,SER_hh_tesh!E29/SER_summary!E$26)</f>
        <v>12.445277756001868</v>
      </c>
      <c r="F29" s="130">
        <f>IF(SER_hh_tesh!F29=0,0,SER_hh_tesh!F29/SER_summary!F$26)</f>
        <v>12.495606507586832</v>
      </c>
      <c r="G29" s="130">
        <f>IF(SER_hh_tesh!G29=0,0,SER_hh_tesh!G29/SER_summary!G$26)</f>
        <v>12.145016675869927</v>
      </c>
      <c r="H29" s="130">
        <f>IF(SER_hh_tesh!H29=0,0,SER_hh_tesh!H29/SER_summary!H$26)</f>
        <v>12.048244863162052</v>
      </c>
      <c r="I29" s="130">
        <f>IF(SER_hh_tesh!I29=0,0,SER_hh_tesh!I29/SER_summary!I$26)</f>
        <v>11.903982946030025</v>
      </c>
      <c r="J29" s="130">
        <f>IF(SER_hh_tesh!J29=0,0,SER_hh_tesh!J29/SER_summary!J$26)</f>
        <v>12.05503189523219</v>
      </c>
      <c r="K29" s="130">
        <f>IF(SER_hh_tesh!K29=0,0,SER_hh_tesh!K29/SER_summary!K$26)</f>
        <v>12.331538394038363</v>
      </c>
      <c r="L29" s="130">
        <f>IF(SER_hh_tesh!L29=0,0,SER_hh_tesh!L29/SER_summary!L$26)</f>
        <v>12.819604945372289</v>
      </c>
      <c r="M29" s="130">
        <f>IF(SER_hh_tesh!M29=0,0,SER_hh_tesh!M29/SER_summary!M$26)</f>
        <v>12.715456573785081</v>
      </c>
      <c r="N29" s="130">
        <f>IF(SER_hh_tesh!N29=0,0,SER_hh_tesh!N29/SER_summary!N$26)</f>
        <v>13.192769620885251</v>
      </c>
      <c r="O29" s="130">
        <f>IF(SER_hh_tesh!O29=0,0,SER_hh_tesh!O29/SER_summary!O$26)</f>
        <v>13.137200377784584</v>
      </c>
      <c r="P29" s="130">
        <f>IF(SER_hh_tesh!P29=0,0,SER_hh_tesh!P29/SER_summary!P$26)</f>
        <v>12.907913867756038</v>
      </c>
      <c r="Q29" s="130">
        <f>IF(SER_hh_tesh!Q29=0,0,SER_hh_tesh!Q29/SER_summary!Q$26)</f>
        <v>12.991029761506967</v>
      </c>
      <c r="R29" s="130">
        <f>IF(SER_hh_tesh!R29=0,0,SER_hh_tesh!R29/SER_summary!R$26)</f>
        <v>13.133930864931305</v>
      </c>
      <c r="S29" s="130">
        <f>IF(SER_hh_tesh!S29=0,0,SER_hh_tesh!S29/SER_summary!S$26)</f>
        <v>13.591755705843527</v>
      </c>
      <c r="T29" s="130">
        <f>IF(SER_hh_tesh!T29=0,0,SER_hh_tesh!T29/SER_summary!T$26)</f>
        <v>14.154979687276471</v>
      </c>
      <c r="U29" s="130">
        <f>IF(SER_hh_tesh!U29=0,0,SER_hh_tesh!U29/SER_summary!U$26)</f>
        <v>14.346046274357612</v>
      </c>
      <c r="V29" s="130">
        <f>IF(SER_hh_tesh!V29=0,0,SER_hh_tesh!V29/SER_summary!V$26)</f>
        <v>12.009170327230098</v>
      </c>
      <c r="W29" s="130">
        <f>IF(SER_hh_tesh!W29=0,0,SER_hh_tesh!W29/SER_summary!W$26)</f>
        <v>13.570424954162192</v>
      </c>
      <c r="X29" s="130">
        <f>IF(SER_hh_tesh!X29=0,0,SER_hh_tesh!X29/SER_summary!X$26)</f>
        <v>14.211845548150631</v>
      </c>
      <c r="Y29" s="130">
        <f>IF(SER_hh_tesh!Y29=0,0,SER_hh_tesh!Y29/SER_summary!Y$26)</f>
        <v>13.921799044180387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6.3812882516214984</v>
      </c>
      <c r="C30" s="132">
        <f>IF(SER_hh_tesh!C30=0,0,SER_hh_tesh!C30/SER_summary!C$26)</f>
        <v>25.46933361726763</v>
      </c>
      <c r="D30" s="132">
        <f>IF(SER_hh_tesh!D30=0,0,SER_hh_tesh!D30/SER_summary!D$26)</f>
        <v>7.3673178474005221</v>
      </c>
      <c r="E30" s="132">
        <f>IF(SER_hh_tesh!E30=0,0,SER_hh_tesh!E30/SER_summary!E$26)</f>
        <v>8.7310745770706184</v>
      </c>
      <c r="F30" s="132">
        <f>IF(SER_hh_tesh!F30=0,0,SER_hh_tesh!F30/SER_summary!F$26)</f>
        <v>23.319250388372208</v>
      </c>
      <c r="G30" s="132">
        <f>IF(SER_hh_tesh!G30=0,0,SER_hh_tesh!G30/SER_summary!G$26)</f>
        <v>0</v>
      </c>
      <c r="H30" s="132">
        <f>IF(SER_hh_tesh!H30=0,0,SER_hh_tesh!H30/SER_summary!H$26)</f>
        <v>0</v>
      </c>
      <c r="I30" s="132">
        <f>IF(SER_hh_tesh!I30=0,0,SER_hh_tesh!I30/SER_summary!I$26)</f>
        <v>0</v>
      </c>
      <c r="J30" s="132">
        <f>IF(SER_hh_tesh!J30=0,0,SER_hh_tesh!J30/SER_summary!J$26)</f>
        <v>0</v>
      </c>
      <c r="K30" s="132">
        <f>IF(SER_hh_tesh!K30=0,0,SER_hh_tesh!K30/SER_summary!K$26)</f>
        <v>0</v>
      </c>
      <c r="L30" s="132">
        <f>IF(SER_hh_tesh!L30=0,0,SER_hh_tesh!L30/SER_summary!L$26)</f>
        <v>14.978140012515421</v>
      </c>
      <c r="M30" s="132">
        <f>IF(SER_hh_tesh!M30=0,0,SER_hh_tesh!M30/SER_summary!M$26)</f>
        <v>13.944015760826739</v>
      </c>
      <c r="N30" s="132">
        <f>IF(SER_hh_tesh!N30=0,0,SER_hh_tesh!N30/SER_summary!N$26)</f>
        <v>22.038122481810777</v>
      </c>
      <c r="O30" s="132">
        <f>IF(SER_hh_tesh!O30=0,0,SER_hh_tesh!O30/SER_summary!O$26)</f>
        <v>15.706161546963795</v>
      </c>
      <c r="P30" s="132">
        <f>IF(SER_hh_tesh!P30=0,0,SER_hh_tesh!P30/SER_summary!P$26)</f>
        <v>9.8332855407993023</v>
      </c>
      <c r="Q30" s="132">
        <f>IF(SER_hh_tesh!Q30=0,0,SER_hh_tesh!Q30/SER_summary!Q$26)</f>
        <v>9.9115039291608387</v>
      </c>
      <c r="R30" s="132">
        <f>IF(SER_hh_tesh!R30=0,0,SER_hh_tesh!R30/SER_summary!R$26)</f>
        <v>11.632982238005441</v>
      </c>
      <c r="S30" s="132">
        <f>IF(SER_hh_tesh!S30=0,0,SER_hh_tesh!S30/SER_summary!S$26)</f>
        <v>13.835374894047225</v>
      </c>
      <c r="T30" s="132">
        <f>IF(SER_hh_tesh!T30=0,0,SER_hh_tesh!T30/SER_summary!T$26)</f>
        <v>14.949596889152355</v>
      </c>
      <c r="U30" s="132">
        <f>IF(SER_hh_tesh!U30=0,0,SER_hh_tesh!U30/SER_summary!U$26)</f>
        <v>14.543695311288712</v>
      </c>
      <c r="V30" s="132">
        <f>IF(SER_hh_tesh!V30=0,0,SER_hh_tesh!V30/SER_summary!V$26)</f>
        <v>11.578465716862281</v>
      </c>
      <c r="W30" s="132">
        <f>IF(SER_hh_tesh!W30=0,0,SER_hh_tesh!W30/SER_summary!W$26)</f>
        <v>13.062831783466484</v>
      </c>
      <c r="X30" s="132">
        <f>IF(SER_hh_tesh!X30=0,0,SER_hh_tesh!X30/SER_summary!X$26)</f>
        <v>14.134564371495109</v>
      </c>
      <c r="Y30" s="132">
        <f>IF(SER_hh_tesh!Y30=0,0,SER_hh_tesh!Y30/SER_summary!Y$26)</f>
        <v>14.545235079017193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12.053755056810786</v>
      </c>
      <c r="C31" s="132">
        <f>IF(SER_hh_tesh!C31=0,0,SER_hh_tesh!C31/SER_summary!C$26)</f>
        <v>12.369156563641486</v>
      </c>
      <c r="D31" s="132">
        <f>IF(SER_hh_tesh!D31=0,0,SER_hh_tesh!D31/SER_summary!D$26)</f>
        <v>11.504014332103191</v>
      </c>
      <c r="E31" s="132">
        <f>IF(SER_hh_tesh!E31=0,0,SER_hh_tesh!E31/SER_summary!E$26)</f>
        <v>12.136685520520071</v>
      </c>
      <c r="F31" s="132">
        <f>IF(SER_hh_tesh!F31=0,0,SER_hh_tesh!F31/SER_summary!F$26)</f>
        <v>12.31836162895341</v>
      </c>
      <c r="G31" s="132">
        <f>IF(SER_hh_tesh!G31=0,0,SER_hh_tesh!G31/SER_summary!G$26)</f>
        <v>11.306219644565376</v>
      </c>
      <c r="H31" s="132">
        <f>IF(SER_hh_tesh!H31=0,0,SER_hh_tesh!H31/SER_summary!H$26)</f>
        <v>12.488188327296644</v>
      </c>
      <c r="I31" s="132">
        <f>IF(SER_hh_tesh!I31=0,0,SER_hh_tesh!I31/SER_summary!I$26)</f>
        <v>12.609783453109342</v>
      </c>
      <c r="J31" s="132">
        <f>IF(SER_hh_tesh!J31=0,0,SER_hh_tesh!J31/SER_summary!J$26)</f>
        <v>12.473742084727125</v>
      </c>
      <c r="K31" s="132">
        <f>IF(SER_hh_tesh!K31=0,0,SER_hh_tesh!K31/SER_summary!K$26)</f>
        <v>12.405460575228814</v>
      </c>
      <c r="L31" s="132">
        <f>IF(SER_hh_tesh!L31=0,0,SER_hh_tesh!L31/SER_summary!L$26)</f>
        <v>12.675328173588454</v>
      </c>
      <c r="M31" s="132">
        <f>IF(SER_hh_tesh!M31=0,0,SER_hh_tesh!M31/SER_summary!M$26)</f>
        <v>12.792454858534743</v>
      </c>
      <c r="N31" s="132">
        <f>IF(SER_hh_tesh!N31=0,0,SER_hh_tesh!N31/SER_summary!N$26)</f>
        <v>13.018776565736671</v>
      </c>
      <c r="O31" s="132">
        <f>IF(SER_hh_tesh!O31=0,0,SER_hh_tesh!O31/SER_summary!O$26)</f>
        <v>13.115045091572689</v>
      </c>
      <c r="P31" s="132">
        <f>IF(SER_hh_tesh!P31=0,0,SER_hh_tesh!P31/SER_summary!P$26)</f>
        <v>13.116449122709831</v>
      </c>
      <c r="Q31" s="132">
        <f>IF(SER_hh_tesh!Q31=0,0,SER_hh_tesh!Q31/SER_summary!Q$26)</f>
        <v>13.213140899642797</v>
      </c>
      <c r="R31" s="132">
        <f>IF(SER_hh_tesh!R31=0,0,SER_hh_tesh!R31/SER_summary!R$26)</f>
        <v>13.218633410730975</v>
      </c>
      <c r="S31" s="132">
        <f>IF(SER_hh_tesh!S31=0,0,SER_hh_tesh!S31/SER_summary!S$26)</f>
        <v>13.672590144182145</v>
      </c>
      <c r="T31" s="132">
        <f>IF(SER_hh_tesh!T31=0,0,SER_hh_tesh!T31/SER_summary!T$26)</f>
        <v>14.062262011923176</v>
      </c>
      <c r="U31" s="132">
        <f>IF(SER_hh_tesh!U31=0,0,SER_hh_tesh!U31/SER_summary!U$26)</f>
        <v>13.876537897930136</v>
      </c>
      <c r="V31" s="132">
        <f>IF(SER_hh_tesh!V31=0,0,SER_hh_tesh!V31/SER_summary!V$26)</f>
        <v>12.108960494285718</v>
      </c>
      <c r="W31" s="132">
        <f>IF(SER_hh_tesh!W31=0,0,SER_hh_tesh!W31/SER_summary!W$26)</f>
        <v>13.973619401016039</v>
      </c>
      <c r="X31" s="132">
        <f>IF(SER_hh_tesh!X31=0,0,SER_hh_tesh!X31/SER_summary!X$26)</f>
        <v>13.949026780252931</v>
      </c>
      <c r="Y31" s="132">
        <f>IF(SER_hh_tesh!Y31=0,0,SER_hh_tesh!Y31/SER_summary!Y$26)</f>
        <v>13.870675156572288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17.691106332201556</v>
      </c>
      <c r="K32" s="132">
        <f>IF(SER_hh_tesh!K32=0,0,SER_hh_tesh!K32/SER_summary!K$26)</f>
        <v>14.078875514186571</v>
      </c>
      <c r="L32" s="132">
        <f>IF(SER_hh_tesh!L32=0,0,SER_hh_tesh!L32/SER_summary!L$26)</f>
        <v>12.948946134903691</v>
      </c>
      <c r="M32" s="132">
        <f>IF(SER_hh_tesh!M32=0,0,SER_hh_tesh!M32/SER_summary!M$26)</f>
        <v>12.958263649118797</v>
      </c>
      <c r="N32" s="132">
        <f>IF(SER_hh_tesh!N32=0,0,SER_hh_tesh!N32/SER_summary!N$26)</f>
        <v>12.637971926336956</v>
      </c>
      <c r="O32" s="132">
        <f>IF(SER_hh_tesh!O32=0,0,SER_hh_tesh!O32/SER_summary!O$26)</f>
        <v>12.747479140916225</v>
      </c>
      <c r="P32" s="132">
        <f>IF(SER_hh_tesh!P32=0,0,SER_hh_tesh!P32/SER_summary!P$26)</f>
        <v>12.520809810753907</v>
      </c>
      <c r="Q32" s="132">
        <f>IF(SER_hh_tesh!Q32=0,0,SER_hh_tesh!Q32/SER_summary!Q$26)</f>
        <v>11.114167912496939</v>
      </c>
      <c r="R32" s="132">
        <f>IF(SER_hh_tesh!R32=0,0,SER_hh_tesh!R32/SER_summary!R$26)</f>
        <v>8.9173000877212054</v>
      </c>
      <c r="S32" s="132">
        <f>IF(SER_hh_tesh!S32=0,0,SER_hh_tesh!S32/SER_summary!S$26)</f>
        <v>12.81085032037238</v>
      </c>
      <c r="T32" s="132">
        <f>IF(SER_hh_tesh!T32=0,0,SER_hh_tesh!T32/SER_summary!T$26)</f>
        <v>15.235823066378629</v>
      </c>
      <c r="U32" s="132">
        <f>IF(SER_hh_tesh!U32=0,0,SER_hh_tesh!U32/SER_summary!U$26)</f>
        <v>15.385660933057139</v>
      </c>
      <c r="V32" s="132">
        <f>IF(SER_hh_tesh!V32=0,0,SER_hh_tesh!V32/SER_summary!V$26)</f>
        <v>12.659145883632345</v>
      </c>
      <c r="W32" s="132">
        <f>IF(SER_hh_tesh!W32=0,0,SER_hh_tesh!W32/SER_summary!W$26)</f>
        <v>11.973031343402369</v>
      </c>
      <c r="X32" s="132">
        <f>IF(SER_hh_tesh!X32=0,0,SER_hh_tesh!X32/SER_summary!X$26)</f>
        <v>17.426558062532248</v>
      </c>
      <c r="Y32" s="132">
        <f>IF(SER_hh_tesh!Y32=0,0,SER_hh_tesh!Y32/SER_summary!Y$26)</f>
        <v>12.50641327094012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12.779152137655155</v>
      </c>
      <c r="C33" s="68">
        <f>IF(SER_hh_tesh!C33=0,0,SER_hh_tesh!C33/SER_summary!C$26)</f>
        <v>12.595013101805828</v>
      </c>
      <c r="D33" s="68">
        <f>IF(SER_hh_tesh!D33=0,0,SER_hh_tesh!D33/SER_summary!D$26)</f>
        <v>12.712886058331941</v>
      </c>
      <c r="E33" s="68">
        <f>IF(SER_hh_tesh!E33=0,0,SER_hh_tesh!E33/SER_summary!E$26)</f>
        <v>12.515454437476736</v>
      </c>
      <c r="F33" s="68">
        <f>IF(SER_hh_tesh!F33=0,0,SER_hh_tesh!F33/SER_summary!F$26)</f>
        <v>12.383523158114086</v>
      </c>
      <c r="G33" s="68">
        <f>IF(SER_hh_tesh!G33=0,0,SER_hh_tesh!G33/SER_summary!G$26)</f>
        <v>12.216150146626596</v>
      </c>
      <c r="H33" s="68">
        <f>IF(SER_hh_tesh!H33=0,0,SER_hh_tesh!H33/SER_summary!H$26)</f>
        <v>12.002512293037503</v>
      </c>
      <c r="I33" s="68">
        <f>IF(SER_hh_tesh!I33=0,0,SER_hh_tesh!I33/SER_summary!I$26)</f>
        <v>11.821631580570623</v>
      </c>
      <c r="J33" s="68">
        <f>IF(SER_hh_tesh!J33=0,0,SER_hh_tesh!J33/SER_summary!J$26)</f>
        <v>11.852982076789987</v>
      </c>
      <c r="K33" s="68">
        <f>IF(SER_hh_tesh!K33=0,0,SER_hh_tesh!K33/SER_summary!K$26)</f>
        <v>12.264892293840372</v>
      </c>
      <c r="L33" s="68">
        <f>IF(SER_hh_tesh!L33=0,0,SER_hh_tesh!L33/SER_summary!L$26)</f>
        <v>12.754457995867076</v>
      </c>
      <c r="M33" s="68">
        <f>IF(SER_hh_tesh!M33=0,0,SER_hh_tesh!M33/SER_summary!M$26)</f>
        <v>12.64131035552842</v>
      </c>
      <c r="N33" s="68">
        <f>IF(SER_hh_tesh!N33=0,0,SER_hh_tesh!N33/SER_summary!N$26)</f>
        <v>12.760914502976796</v>
      </c>
      <c r="O33" s="68">
        <f>IF(SER_hh_tesh!O33=0,0,SER_hh_tesh!O33/SER_summary!O$26)</f>
        <v>13.012864195808643</v>
      </c>
      <c r="P33" s="68">
        <f>IF(SER_hh_tesh!P33=0,0,SER_hh_tesh!P33/SER_summary!P$26)</f>
        <v>13.050258351084029</v>
      </c>
      <c r="Q33" s="68">
        <f>IF(SER_hh_tesh!Q33=0,0,SER_hh_tesh!Q33/SER_summary!Q$26)</f>
        <v>13.165776552478157</v>
      </c>
      <c r="R33" s="68">
        <f>IF(SER_hh_tesh!R33=0,0,SER_hh_tesh!R33/SER_summary!R$26)</f>
        <v>13.345361901173106</v>
      </c>
      <c r="S33" s="68">
        <f>IF(SER_hh_tesh!S33=0,0,SER_hh_tesh!S33/SER_summary!S$26)</f>
        <v>13.611577697731052</v>
      </c>
      <c r="T33" s="68">
        <f>IF(SER_hh_tesh!T33=0,0,SER_hh_tesh!T33/SER_summary!T$26)</f>
        <v>14.030153015142774</v>
      </c>
      <c r="U33" s="68">
        <f>IF(SER_hh_tesh!U33=0,0,SER_hh_tesh!U33/SER_summary!U$26)</f>
        <v>14.282098478227525</v>
      </c>
      <c r="V33" s="68">
        <f>IF(SER_hh_tesh!V33=0,0,SER_hh_tesh!V33/SER_summary!V$26)</f>
        <v>11.95835142196729</v>
      </c>
      <c r="W33" s="68">
        <f>IF(SER_hh_tesh!W33=0,0,SER_hh_tesh!W33/SER_summary!W$26)</f>
        <v>13.754944381567748</v>
      </c>
      <c r="X33" s="68">
        <f>IF(SER_hh_tesh!X33=0,0,SER_hh_tesh!X33/SER_summary!X$26)</f>
        <v>13.847746100957192</v>
      </c>
      <c r="Y33" s="68">
        <f>IF(SER_hh_tesh!Y33=0,0,SER_hh_tesh!Y33/SER_summary!Y$26)</f>
        <v>14.047656831271331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6.3436576386387449</v>
      </c>
      <c r="C3" s="125">
        <f>IF(SER_hh_emih!C3=0,0,SER_hh_emih!C3/SER_summary!C$26)</f>
        <v>10.784884841586917</v>
      </c>
      <c r="D3" s="125">
        <f>IF(SER_hh_emih!D3=0,0,SER_hh_emih!D3/SER_summary!D$26)</f>
        <v>7.0673825461982887</v>
      </c>
      <c r="E3" s="125">
        <f>IF(SER_hh_emih!E3=0,0,SER_hh_emih!E3/SER_summary!E$26)</f>
        <v>4.8682269040367618</v>
      </c>
      <c r="F3" s="125">
        <f>IF(SER_hh_emih!F3=0,0,SER_hh_emih!F3/SER_summary!F$26)</f>
        <v>3.3372747255012527</v>
      </c>
      <c r="G3" s="125">
        <f>IF(SER_hh_emih!G3=0,0,SER_hh_emih!G3/SER_summary!G$26)</f>
        <v>3.5794889543665889</v>
      </c>
      <c r="H3" s="125">
        <f>IF(SER_hh_emih!H3=0,0,SER_hh_emih!H3/SER_summary!H$26)</f>
        <v>5.598263294831308</v>
      </c>
      <c r="I3" s="125">
        <f>IF(SER_hh_emih!I3=0,0,SER_hh_emih!I3/SER_summary!I$26)</f>
        <v>4.5485356169415532</v>
      </c>
      <c r="J3" s="125">
        <f>IF(SER_hh_emih!J3=0,0,SER_hh_emih!J3/SER_summary!J$26)</f>
        <v>5.4381021782059262</v>
      </c>
      <c r="K3" s="125">
        <f>IF(SER_hh_emih!K3=0,0,SER_hh_emih!K3/SER_summary!K$26)</f>
        <v>5.0243388880258912</v>
      </c>
      <c r="L3" s="125">
        <f>IF(SER_hh_emih!L3=0,0,SER_hh_emih!L3/SER_summary!L$26)</f>
        <v>4.5254650652625967</v>
      </c>
      <c r="M3" s="125">
        <f>IF(SER_hh_emih!M3=0,0,SER_hh_emih!M3/SER_summary!M$26)</f>
        <v>4.0978928017845098</v>
      </c>
      <c r="N3" s="125">
        <f>IF(SER_hh_emih!N3=0,0,SER_hh_emih!N3/SER_summary!N$26)</f>
        <v>3.9328976564448124</v>
      </c>
      <c r="O3" s="125">
        <f>IF(SER_hh_emih!O3=0,0,SER_hh_emih!O3/SER_summary!O$26)</f>
        <v>3.3742005275225555</v>
      </c>
      <c r="P3" s="125">
        <f>IF(SER_hh_emih!P3=0,0,SER_hh_emih!P3/SER_summary!P$26)</f>
        <v>3.0732755264404785</v>
      </c>
      <c r="Q3" s="125">
        <f>IF(SER_hh_emih!Q3=0,0,SER_hh_emih!Q3/SER_summary!Q$26)</f>
        <v>4.1841853069411821</v>
      </c>
      <c r="R3" s="125">
        <f>IF(SER_hh_emih!R3=0,0,SER_hh_emih!R3/SER_summary!R$26)</f>
        <v>4.1645332579190271</v>
      </c>
      <c r="S3" s="125">
        <f>IF(SER_hh_emih!S3=0,0,SER_hh_emih!S3/SER_summary!S$26)</f>
        <v>4.0087715648223261</v>
      </c>
      <c r="T3" s="125">
        <f>IF(SER_hh_emih!T3=0,0,SER_hh_emih!T3/SER_summary!T$26)</f>
        <v>3.6190201822829948</v>
      </c>
      <c r="U3" s="125">
        <f>IF(SER_hh_emih!U3=0,0,SER_hh_emih!U3/SER_summary!U$26)</f>
        <v>3.5608625958824032</v>
      </c>
      <c r="V3" s="125">
        <f>IF(SER_hh_emih!V3=0,0,SER_hh_emih!V3/SER_summary!V$26)</f>
        <v>3.2349206606634051</v>
      </c>
      <c r="W3" s="125">
        <f>IF(SER_hh_emih!W3=0,0,SER_hh_emih!W3/SER_summary!W$26)</f>
        <v>3.7693023205672183</v>
      </c>
      <c r="X3" s="125">
        <f>IF(SER_hh_emih!X3=0,0,SER_hh_emih!X3/SER_summary!X$26)</f>
        <v>3.7104315706787072</v>
      </c>
      <c r="Y3" s="125">
        <f>IF(SER_hh_emih!Y3=0,0,SER_hh_emih!Y3/SER_summary!Y$26)</f>
        <v>3.836598427089096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5.3513301029728604</v>
      </c>
      <c r="C4" s="130">
        <f>IF(SER_hh_emih!C4=0,0,SER_hh_emih!C4/SER_summary!C$26)</f>
        <v>9.5642609905546312</v>
      </c>
      <c r="D4" s="130">
        <f>IF(SER_hh_emih!D4=0,0,SER_hh_emih!D4/SER_summary!D$26)</f>
        <v>6.0124193381194111</v>
      </c>
      <c r="E4" s="130">
        <f>IF(SER_hh_emih!E4=0,0,SER_hh_emih!E4/SER_summary!E$26)</f>
        <v>3.7818608020733593</v>
      </c>
      <c r="F4" s="130">
        <f>IF(SER_hh_emih!F4=0,0,SER_hh_emih!F4/SER_summary!F$26)</f>
        <v>2.2250696019741483</v>
      </c>
      <c r="G4" s="130">
        <f>IF(SER_hh_emih!G4=0,0,SER_hh_emih!G4/SER_summary!G$26)</f>
        <v>2.5289052166985386</v>
      </c>
      <c r="H4" s="130">
        <f>IF(SER_hh_emih!H4=0,0,SER_hh_emih!H4/SER_summary!H$26)</f>
        <v>4.3777523302469623</v>
      </c>
      <c r="I4" s="130">
        <f>IF(SER_hh_emih!I4=0,0,SER_hh_emih!I4/SER_summary!I$26)</f>
        <v>3.2094043842929745</v>
      </c>
      <c r="J4" s="130">
        <f>IF(SER_hh_emih!J4=0,0,SER_hh_emih!J4/SER_summary!J$26)</f>
        <v>4.0637869065266701</v>
      </c>
      <c r="K4" s="130">
        <f>IF(SER_hh_emih!K4=0,0,SER_hh_emih!K4/SER_summary!K$26)</f>
        <v>3.6307766071153522</v>
      </c>
      <c r="L4" s="130">
        <f>IF(SER_hh_emih!L4=0,0,SER_hh_emih!L4/SER_summary!L$26)</f>
        <v>2.9377673909682507</v>
      </c>
      <c r="M4" s="130">
        <f>IF(SER_hh_emih!M4=0,0,SER_hh_emih!M4/SER_summary!M$26)</f>
        <v>2.5015084528314535</v>
      </c>
      <c r="N4" s="130">
        <f>IF(SER_hh_emih!N4=0,0,SER_hh_emih!N4/SER_summary!N$26)</f>
        <v>2.1744578536861785</v>
      </c>
      <c r="O4" s="130">
        <f>IF(SER_hh_emih!O4=0,0,SER_hh_emih!O4/SER_summary!O$26)</f>
        <v>1.8046040486023436</v>
      </c>
      <c r="P4" s="130">
        <f>IF(SER_hh_emih!P4=0,0,SER_hh_emih!P4/SER_summary!P$26)</f>
        <v>1.6638941829015206</v>
      </c>
      <c r="Q4" s="130">
        <f>IF(SER_hh_emih!Q4=0,0,SER_hh_emih!Q4/SER_summary!Q$26)</f>
        <v>2.824548880940343</v>
      </c>
      <c r="R4" s="130">
        <f>IF(SER_hh_emih!R4=0,0,SER_hh_emih!R4/SER_summary!R$26)</f>
        <v>2.8526970309461723</v>
      </c>
      <c r="S4" s="130">
        <f>IF(SER_hh_emih!S4=0,0,SER_hh_emih!S4/SER_summary!S$26)</f>
        <v>2.6303070837420046</v>
      </c>
      <c r="T4" s="130">
        <f>IF(SER_hh_emih!T4=0,0,SER_hh_emih!T4/SER_summary!T$26)</f>
        <v>2.261170711493766</v>
      </c>
      <c r="U4" s="130">
        <f>IF(SER_hh_emih!U4=0,0,SER_hh_emih!U4/SER_summary!U$26)</f>
        <v>2.2167879588896411</v>
      </c>
      <c r="V4" s="130">
        <f>IF(SER_hh_emih!V4=0,0,SER_hh_emih!V4/SER_summary!V$26)</f>
        <v>2.130409032391368</v>
      </c>
      <c r="W4" s="130">
        <f>IF(SER_hh_emih!W4=0,0,SER_hh_emih!W4/SER_summary!W$26)</f>
        <v>2.5542597159821034</v>
      </c>
      <c r="X4" s="130">
        <f>IF(SER_hh_emih!X4=0,0,SER_hh_emih!X4/SER_summary!X$26)</f>
        <v>2.5332072437327633</v>
      </c>
      <c r="Y4" s="130">
        <f>IF(SER_hh_emih!Y4=0,0,SER_hh_emih!Y4/SER_summary!Y$26)</f>
        <v>2.5522426918001586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25.99670021621797</v>
      </c>
      <c r="C5" s="132">
        <f>IF(SER_hh_emih!C5=0,0,SER_hh_emih!C5/SER_summary!C$26)</f>
        <v>24.910315106598492</v>
      </c>
      <c r="D5" s="132">
        <f>IF(SER_hh_emih!D5=0,0,SER_hh_emih!D5/SER_summary!D$26)</f>
        <v>29.130744495992616</v>
      </c>
      <c r="E5" s="132">
        <f>IF(SER_hh_emih!E5=0,0,SER_hh_emih!E5/SER_summary!E$26)</f>
        <v>31.333330019081888</v>
      </c>
      <c r="F5" s="132">
        <f>IF(SER_hh_emih!F5=0,0,SER_hh_emih!F5/SER_summary!F$26)</f>
        <v>21.81408466106539</v>
      </c>
      <c r="G5" s="132">
        <f>IF(SER_hh_emih!G5=0,0,SER_hh_emih!G5/SER_summary!G$26)</f>
        <v>31.094213633093119</v>
      </c>
      <c r="H5" s="132">
        <f>IF(SER_hh_emih!H5=0,0,SER_hh_emih!H5/SER_summary!H$26)</f>
        <v>35.374151716686463</v>
      </c>
      <c r="I5" s="132">
        <f>IF(SER_hh_emih!I5=0,0,SER_hh_emih!I5/SER_summary!I$26)</f>
        <v>17.792129729746282</v>
      </c>
      <c r="J5" s="132">
        <f>IF(SER_hh_emih!J5=0,0,SER_hh_emih!J5/SER_summary!J$26)</f>
        <v>34.101668939613397</v>
      </c>
      <c r="K5" s="132">
        <f>IF(SER_hh_emih!K5=0,0,SER_hh_emih!K5/SER_summary!K$26)</f>
        <v>29.569424490911647</v>
      </c>
      <c r="L5" s="132">
        <f>IF(SER_hh_emih!L5=0,0,SER_hh_emih!L5/SER_summary!L$26)</f>
        <v>28.422765516708498</v>
      </c>
      <c r="M5" s="132">
        <f>IF(SER_hh_emih!M5=0,0,SER_hh_emih!M5/SER_summary!M$26)</f>
        <v>31.525518820290618</v>
      </c>
      <c r="N5" s="132">
        <f>IF(SER_hh_emih!N5=0,0,SER_hh_emih!N5/SER_summary!N$26)</f>
        <v>23.908560274421657</v>
      </c>
      <c r="O5" s="132">
        <f>IF(SER_hh_emih!O5=0,0,SER_hh_emih!O5/SER_summary!O$26)</f>
        <v>31.328410307481857</v>
      </c>
      <c r="P5" s="132">
        <f>IF(SER_hh_emih!P5=0,0,SER_hh_emih!P5/SER_summary!P$26)</f>
        <v>14.452692475556663</v>
      </c>
      <c r="Q5" s="132">
        <f>IF(SER_hh_emih!Q5=0,0,SER_hh_emih!Q5/SER_summary!Q$26)</f>
        <v>36.419797581711194</v>
      </c>
      <c r="R5" s="132">
        <f>IF(SER_hh_emih!R5=0,0,SER_hh_emih!R5/SER_summary!R$26)</f>
        <v>40.5754466637311</v>
      </c>
      <c r="S5" s="132">
        <f>IF(SER_hh_emih!S5=0,0,SER_hh_emih!S5/SER_summary!S$26)</f>
        <v>29.332125809584792</v>
      </c>
      <c r="T5" s="132">
        <f>IF(SER_hh_emih!T5=0,0,SER_hh_emih!T5/SER_summary!T$26)</f>
        <v>21.61933950644557</v>
      </c>
      <c r="U5" s="132">
        <f>IF(SER_hh_emih!U5=0,0,SER_hh_emih!U5/SER_summary!U$26)</f>
        <v>33.897409326717678</v>
      </c>
      <c r="V5" s="132">
        <f>IF(SER_hh_emih!V5=0,0,SER_hh_emih!V5/SER_summary!V$26)</f>
        <v>30.344076655290678</v>
      </c>
      <c r="W5" s="132">
        <f>IF(SER_hh_emih!W5=0,0,SER_hh_emih!W5/SER_summary!W$26)</f>
        <v>30.434175028018736</v>
      </c>
      <c r="X5" s="132">
        <f>IF(SER_hh_emih!X5=0,0,SER_hh_emih!X5/SER_summary!X$26)</f>
        <v>29.429203546152628</v>
      </c>
      <c r="Y5" s="132">
        <f>IF(SER_hh_emih!Y5=0,0,SER_hh_emih!Y5/SER_summary!Y$26)</f>
        <v>36.58923199593027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17.220031894082602</v>
      </c>
      <c r="C7" s="132">
        <f>IF(SER_hh_emih!C7=0,0,SER_hh_emih!C7/SER_summary!C$26)</f>
        <v>34.814550011410624</v>
      </c>
      <c r="D7" s="132">
        <f>IF(SER_hh_emih!D7=0,0,SER_hh_emih!D7/SER_summary!D$26)</f>
        <v>26.757242067776545</v>
      </c>
      <c r="E7" s="132">
        <f>IF(SER_hh_emih!E7=0,0,SER_hh_emih!E7/SER_summary!E$26)</f>
        <v>21.144423078846291</v>
      </c>
      <c r="F7" s="132">
        <f>IF(SER_hh_emih!F7=0,0,SER_hh_emih!F7/SER_summary!F$26)</f>
        <v>15.111122186564973</v>
      </c>
      <c r="G7" s="132">
        <f>IF(SER_hh_emih!G7=0,0,SER_hh_emih!G7/SER_summary!G$26)</f>
        <v>16.551262352453652</v>
      </c>
      <c r="H7" s="132">
        <f>IF(SER_hh_emih!H7=0,0,SER_hh_emih!H7/SER_summary!H$26)</f>
        <v>35.589822526267575</v>
      </c>
      <c r="I7" s="132">
        <f>IF(SER_hh_emih!I7=0,0,SER_hh_emih!I7/SER_summary!I$26)</f>
        <v>24.717627259604079</v>
      </c>
      <c r="J7" s="132">
        <f>IF(SER_hh_emih!J7=0,0,SER_hh_emih!J7/SER_summary!J$26)</f>
        <v>32.895420591731039</v>
      </c>
      <c r="K7" s="132">
        <f>IF(SER_hh_emih!K7=0,0,SER_hh_emih!K7/SER_summary!K$26)</f>
        <v>37.587483948671164</v>
      </c>
      <c r="L7" s="132">
        <f>IF(SER_hh_emih!L7=0,0,SER_hh_emih!L7/SER_summary!L$26)</f>
        <v>25.921173461770675</v>
      </c>
      <c r="M7" s="132">
        <f>IF(SER_hh_emih!M7=0,0,SER_hh_emih!M7/SER_summary!M$26)</f>
        <v>24.518555915403677</v>
      </c>
      <c r="N7" s="132">
        <f>IF(SER_hh_emih!N7=0,0,SER_hh_emih!N7/SER_summary!N$26)</f>
        <v>26.752816763710204</v>
      </c>
      <c r="O7" s="132">
        <f>IF(SER_hh_emih!O7=0,0,SER_hh_emih!O7/SER_summary!O$26)</f>
        <v>16.955497008566912</v>
      </c>
      <c r="P7" s="132">
        <f>IF(SER_hh_emih!P7=0,0,SER_hh_emih!P7/SER_summary!P$26)</f>
        <v>10.308385370661208</v>
      </c>
      <c r="Q7" s="132">
        <f>IF(SER_hh_emih!Q7=0,0,SER_hh_emih!Q7/SER_summary!Q$26)</f>
        <v>28.159280486621324</v>
      </c>
      <c r="R7" s="132">
        <f>IF(SER_hh_emih!R7=0,0,SER_hh_emih!R7/SER_summary!R$26)</f>
        <v>26.721401211037026</v>
      </c>
      <c r="S7" s="132">
        <f>IF(SER_hh_emih!S7=0,0,SER_hh_emih!S7/SER_summary!S$26)</f>
        <v>24.345929137230268</v>
      </c>
      <c r="T7" s="132">
        <f>IF(SER_hh_emih!T7=0,0,SER_hh_emih!T7/SER_summary!T$26)</f>
        <v>18.462350397685139</v>
      </c>
      <c r="U7" s="132">
        <f>IF(SER_hh_emih!U7=0,0,SER_hh_emih!U7/SER_summary!U$26)</f>
        <v>25.743731828158399</v>
      </c>
      <c r="V7" s="132">
        <f>IF(SER_hh_emih!V7=0,0,SER_hh_emih!V7/SER_summary!V$26)</f>
        <v>24.027725491784398</v>
      </c>
      <c r="W7" s="132">
        <f>IF(SER_hh_emih!W7=0,0,SER_hh_emih!W7/SER_summary!W$26)</f>
        <v>24.089865319053413</v>
      </c>
      <c r="X7" s="132">
        <f>IF(SER_hh_emih!X7=0,0,SER_hh_emih!X7/SER_summary!X$26)</f>
        <v>27.159216608992281</v>
      </c>
      <c r="Y7" s="132">
        <f>IF(SER_hh_emih!Y7=0,0,SER_hh_emih!Y7/SER_summary!Y$26)</f>
        <v>32.002698820832542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0</v>
      </c>
      <c r="C8" s="132">
        <f>IF(SER_hh_emih!C8=0,0,SER_hh_emih!C8/SER_summary!C$26)</f>
        <v>0</v>
      </c>
      <c r="D8" s="132">
        <f>IF(SER_hh_emih!D8=0,0,SER_hh_emih!D8/SER_summary!D$26)</f>
        <v>0</v>
      </c>
      <c r="E8" s="132">
        <f>IF(SER_hh_emih!E8=0,0,SER_hh_emih!E8/SER_summary!E$26)</f>
        <v>0</v>
      </c>
      <c r="F8" s="132">
        <f>IF(SER_hh_emih!F8=0,0,SER_hh_emih!F8/SER_summary!F$26)</f>
        <v>0</v>
      </c>
      <c r="G8" s="132">
        <f>IF(SER_hh_emih!G8=0,0,SER_hh_emih!G8/SER_summary!G$26)</f>
        <v>0</v>
      </c>
      <c r="H8" s="132">
        <f>IF(SER_hh_emih!H8=0,0,SER_hh_emih!H8/SER_summary!H$26)</f>
        <v>0</v>
      </c>
      <c r="I8" s="132">
        <f>IF(SER_hh_emih!I8=0,0,SER_hh_emih!I8/SER_summary!I$26)</f>
        <v>0</v>
      </c>
      <c r="J8" s="132">
        <f>IF(SER_hh_emih!J8=0,0,SER_hh_emih!J8/SER_summary!J$26)</f>
        <v>0</v>
      </c>
      <c r="K8" s="132">
        <f>IF(SER_hh_emih!K8=0,0,SER_hh_emih!K8/SER_summary!K$26)</f>
        <v>0</v>
      </c>
      <c r="L8" s="132">
        <f>IF(SER_hh_emih!L8=0,0,SER_hh_emih!L8/SER_summary!L$26)</f>
        <v>0</v>
      </c>
      <c r="M8" s="132">
        <f>IF(SER_hh_emih!M8=0,0,SER_hh_emih!M8/SER_summary!M$26)</f>
        <v>0</v>
      </c>
      <c r="N8" s="132">
        <f>IF(SER_hh_emih!N8=0,0,SER_hh_emih!N8/SER_summary!N$26)</f>
        <v>0</v>
      </c>
      <c r="O8" s="132">
        <f>IF(SER_hh_emih!O8=0,0,SER_hh_emih!O8/SER_summary!O$26)</f>
        <v>0</v>
      </c>
      <c r="P8" s="132">
        <f>IF(SER_hh_emih!P8=0,0,SER_hh_emih!P8/SER_summary!P$26)</f>
        <v>0</v>
      </c>
      <c r="Q8" s="132">
        <f>IF(SER_hh_emih!Q8=0,0,SER_hh_emih!Q8/SER_summary!Q$26)</f>
        <v>0</v>
      </c>
      <c r="R8" s="132">
        <f>IF(SER_hh_emih!R8=0,0,SER_hh_emih!R8/SER_summary!R$26)</f>
        <v>0</v>
      </c>
      <c r="S8" s="132">
        <f>IF(SER_hh_emih!S8=0,0,SER_hh_emih!S8/SER_summary!S$26)</f>
        <v>0</v>
      </c>
      <c r="T8" s="132">
        <f>IF(SER_hh_emih!T8=0,0,SER_hh_emih!T8/SER_summary!T$26)</f>
        <v>0</v>
      </c>
      <c r="U8" s="132">
        <f>IF(SER_hh_emih!U8=0,0,SER_hh_emih!U8/SER_summary!U$26)</f>
        <v>0</v>
      </c>
      <c r="V8" s="132">
        <f>IF(SER_hh_emih!V8=0,0,SER_hh_emih!V8/SER_summary!V$26)</f>
        <v>0</v>
      </c>
      <c r="W8" s="132">
        <f>IF(SER_hh_emih!W8=0,0,SER_hh_emih!W8/SER_summary!W$26)</f>
        <v>0</v>
      </c>
      <c r="X8" s="132">
        <f>IF(SER_hh_emih!X8=0,0,SER_hh_emih!X8/SER_summary!X$26)</f>
        <v>0</v>
      </c>
      <c r="Y8" s="132">
        <f>IF(SER_hh_emih!Y8=0,0,SER_hh_emih!Y8/SER_summary!Y$26)</f>
        <v>0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13.546283576131639</v>
      </c>
      <c r="C9" s="132">
        <f>IF(SER_hh_emih!C9=0,0,SER_hh_emih!C9/SER_summary!C$26)</f>
        <v>18.87010922661079</v>
      </c>
      <c r="D9" s="132">
        <f>IF(SER_hh_emih!D9=0,0,SER_hh_emih!D9/SER_summary!D$26)</f>
        <v>15.555834957052076</v>
      </c>
      <c r="E9" s="132">
        <f>IF(SER_hh_emih!E9=0,0,SER_hh_emih!E9/SER_summary!E$26)</f>
        <v>17.133668323337648</v>
      </c>
      <c r="F9" s="132">
        <f>IF(SER_hh_emih!F9=0,0,SER_hh_emih!F9/SER_summary!F$26)</f>
        <v>13.113799777991991</v>
      </c>
      <c r="G9" s="132">
        <f>IF(SER_hh_emih!G9=0,0,SER_hh_emih!G9/SER_summary!G$26)</f>
        <v>16.518389252583589</v>
      </c>
      <c r="H9" s="132">
        <f>IF(SER_hh_emih!H9=0,0,SER_hh_emih!H9/SER_summary!H$26)</f>
        <v>20.749276668595069</v>
      </c>
      <c r="I9" s="132">
        <f>IF(SER_hh_emih!I9=0,0,SER_hh_emih!I9/SER_summary!I$26)</f>
        <v>18.61136506615199</v>
      </c>
      <c r="J9" s="132">
        <f>IF(SER_hh_emih!J9=0,0,SER_hh_emih!J9/SER_summary!J$26)</f>
        <v>22.08634601183395</v>
      </c>
      <c r="K9" s="132">
        <f>IF(SER_hh_emih!K9=0,0,SER_hh_emih!K9/SER_summary!K$26)</f>
        <v>13.891943501417614</v>
      </c>
      <c r="L9" s="132">
        <f>IF(SER_hh_emih!L9=0,0,SER_hh_emih!L9/SER_summary!L$26)</f>
        <v>18.927641151560287</v>
      </c>
      <c r="M9" s="132">
        <f>IF(SER_hh_emih!M9=0,0,SER_hh_emih!M9/SER_summary!M$26)</f>
        <v>19.645921359141404</v>
      </c>
      <c r="N9" s="132">
        <f>IF(SER_hh_emih!N9=0,0,SER_hh_emih!N9/SER_summary!N$26)</f>
        <v>17.532274056243931</v>
      </c>
      <c r="O9" s="132">
        <f>IF(SER_hh_emih!O9=0,0,SER_hh_emih!O9/SER_summary!O$26)</f>
        <v>15.020938208989563</v>
      </c>
      <c r="P9" s="132">
        <f>IF(SER_hh_emih!P9=0,0,SER_hh_emih!P9/SER_summary!P$26)</f>
        <v>15.133573043058025</v>
      </c>
      <c r="Q9" s="132">
        <f>IF(SER_hh_emih!Q9=0,0,SER_hh_emih!Q9/SER_summary!Q$26)</f>
        <v>16.236246525918062</v>
      </c>
      <c r="R9" s="132">
        <f>IF(SER_hh_emih!R9=0,0,SER_hh_emih!R9/SER_summary!R$26)</f>
        <v>16.448622281411847</v>
      </c>
      <c r="S9" s="132">
        <f>IF(SER_hh_emih!S9=0,0,SER_hh_emih!S9/SER_summary!S$26)</f>
        <v>17.328597954287805</v>
      </c>
      <c r="T9" s="132">
        <f>IF(SER_hh_emih!T9=0,0,SER_hh_emih!T9/SER_summary!T$26)</f>
        <v>18.470129254109551</v>
      </c>
      <c r="U9" s="132">
        <f>IF(SER_hh_emih!U9=0,0,SER_hh_emih!U9/SER_summary!U$26)</f>
        <v>15.986036482160999</v>
      </c>
      <c r="V9" s="132">
        <f>IF(SER_hh_emih!V9=0,0,SER_hh_emih!V9/SER_summary!V$26)</f>
        <v>15.947886265847915</v>
      </c>
      <c r="W9" s="132">
        <f>IF(SER_hh_emih!W9=0,0,SER_hh_emih!W9/SER_summary!W$26)</f>
        <v>21.096611339245737</v>
      </c>
      <c r="X9" s="132">
        <f>IF(SER_hh_emih!X9=0,0,SER_hh_emih!X9/SER_summary!X$26)</f>
        <v>21.002397105528569</v>
      </c>
      <c r="Y9" s="132">
        <f>IF(SER_hh_emih!Y9=0,0,SER_hh_emih!Y9/SER_summary!Y$26)</f>
        <v>18.429033349407792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</v>
      </c>
      <c r="F10" s="132">
        <f>IF(SER_hh_emih!F10=0,0,SER_hh_emih!F10/SER_summary!F$26)</f>
        <v>0</v>
      </c>
      <c r="G10" s="132">
        <f>IF(SER_hh_emih!G10=0,0,SER_hh_emih!G10/SER_summary!G$26)</f>
        <v>0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0</v>
      </c>
      <c r="K10" s="132">
        <f>IF(SER_hh_emih!K10=0,0,SER_hh_emih!K10/SER_summary!K$26)</f>
        <v>0</v>
      </c>
      <c r="L10" s="132">
        <f>IF(SER_hh_emih!L10=0,0,SER_hh_emih!L10/SER_summary!L$26)</f>
        <v>0</v>
      </c>
      <c r="M10" s="132">
        <f>IF(SER_hh_emih!M10=0,0,SER_hh_emih!M10/SER_summary!M$26)</f>
        <v>0</v>
      </c>
      <c r="N10" s="132">
        <f>IF(SER_hh_emih!N10=0,0,SER_hh_emih!N10/SER_summary!N$26)</f>
        <v>0</v>
      </c>
      <c r="O10" s="132">
        <f>IF(SER_hh_emih!O10=0,0,SER_hh_emih!O10/SER_summary!O$26)</f>
        <v>0</v>
      </c>
      <c r="P10" s="132">
        <f>IF(SER_hh_emih!P10=0,0,SER_hh_emih!P10/SER_summary!P$26)</f>
        <v>0</v>
      </c>
      <c r="Q10" s="132">
        <f>IF(SER_hh_emih!Q10=0,0,SER_hh_emih!Q10/SER_summary!Q$26)</f>
        <v>0</v>
      </c>
      <c r="R10" s="132">
        <f>IF(SER_hh_emih!R10=0,0,SER_hh_emih!R10/SER_summary!R$26)</f>
        <v>0</v>
      </c>
      <c r="S10" s="132">
        <f>IF(SER_hh_emih!S10=0,0,SER_hh_emih!S10/SER_summary!S$26)</f>
        <v>0</v>
      </c>
      <c r="T10" s="132">
        <f>IF(SER_hh_emih!T10=0,0,SER_hh_emih!T10/SER_summary!T$26)</f>
        <v>0</v>
      </c>
      <c r="U10" s="132">
        <f>IF(SER_hh_emih!U10=0,0,SER_hh_emih!U10/SER_summary!U$26)</f>
        <v>0</v>
      </c>
      <c r="V10" s="132">
        <f>IF(SER_hh_emih!V10=0,0,SER_hh_emih!V10/SER_summary!V$26)</f>
        <v>0</v>
      </c>
      <c r="W10" s="132">
        <f>IF(SER_hh_emih!W10=0,0,SER_hh_emih!W10/SER_summary!W$26)</f>
        <v>0</v>
      </c>
      <c r="X10" s="132">
        <f>IF(SER_hh_emih!X10=0,0,SER_hh_emih!X10/SER_summary!X$26)</f>
        <v>0</v>
      </c>
      <c r="Y10" s="132">
        <f>IF(SER_hh_emih!Y10=0,0,SER_hh_emih!Y10/SER_summary!Y$26)</f>
        <v>0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0</v>
      </c>
      <c r="C16" s="130">
        <f>IF(SER_hh_emih!C16=0,0,SER_hh_emih!C16/SER_summary!C$26)</f>
        <v>0</v>
      </c>
      <c r="D16" s="130">
        <f>IF(SER_hh_emih!D16=0,0,SER_hh_emih!D16/SER_summary!D$26)</f>
        <v>0</v>
      </c>
      <c r="E16" s="130">
        <f>IF(SER_hh_emih!E16=0,0,SER_hh_emih!E16/SER_summary!E$26)</f>
        <v>0</v>
      </c>
      <c r="F16" s="130">
        <f>IF(SER_hh_emih!F16=0,0,SER_hh_emih!F16/SER_summary!F$26)</f>
        <v>0</v>
      </c>
      <c r="G16" s="130">
        <f>IF(SER_hh_emih!G16=0,0,SER_hh_emih!G16/SER_summary!G$26)</f>
        <v>0</v>
      </c>
      <c r="H16" s="130">
        <f>IF(SER_hh_emih!H16=0,0,SER_hh_emih!H16/SER_summary!H$26)</f>
        <v>0</v>
      </c>
      <c r="I16" s="130">
        <f>IF(SER_hh_emih!I16=0,0,SER_hh_emih!I16/SER_summary!I$26)</f>
        <v>0</v>
      </c>
      <c r="J16" s="130">
        <f>IF(SER_hh_emih!J16=0,0,SER_hh_emih!J16/SER_summary!J$26)</f>
        <v>0</v>
      </c>
      <c r="K16" s="130">
        <f>IF(SER_hh_emih!K16=0,0,SER_hh_emih!K16/SER_summary!K$26)</f>
        <v>0</v>
      </c>
      <c r="L16" s="130">
        <f>IF(SER_hh_emih!L16=0,0,SER_hh_emih!L16/SER_summary!L$26)</f>
        <v>0</v>
      </c>
      <c r="M16" s="130">
        <f>IF(SER_hh_emih!M16=0,0,SER_hh_emih!M16/SER_summary!M$26)</f>
        <v>0</v>
      </c>
      <c r="N16" s="130">
        <f>IF(SER_hh_emih!N16=0,0,SER_hh_emih!N16/SER_summary!N$26)</f>
        <v>0</v>
      </c>
      <c r="O16" s="130">
        <f>IF(SER_hh_emih!O16=0,0,SER_hh_emih!O16/SER_summary!O$26)</f>
        <v>0</v>
      </c>
      <c r="P16" s="130">
        <f>IF(SER_hh_emih!P16=0,0,SER_hh_emih!P16/SER_summary!P$26)</f>
        <v>0</v>
      </c>
      <c r="Q16" s="130">
        <f>IF(SER_hh_emih!Q16=0,0,SER_hh_emih!Q16/SER_summary!Q$26)</f>
        <v>0</v>
      </c>
      <c r="R16" s="130">
        <f>IF(SER_hh_emih!R16=0,0,SER_hh_emih!R16/SER_summary!R$26)</f>
        <v>0</v>
      </c>
      <c r="S16" s="130">
        <f>IF(SER_hh_emih!S16=0,0,SER_hh_emih!S16/SER_summary!S$26)</f>
        <v>0</v>
      </c>
      <c r="T16" s="130">
        <f>IF(SER_hh_emih!T16=0,0,SER_hh_emih!T16/SER_summary!T$26)</f>
        <v>0</v>
      </c>
      <c r="U16" s="130">
        <f>IF(SER_hh_emih!U16=0,0,SER_hh_emih!U16/SER_summary!U$26)</f>
        <v>0</v>
      </c>
      <c r="V16" s="130">
        <f>IF(SER_hh_emih!V16=0,0,SER_hh_emih!V16/SER_summary!V$26)</f>
        <v>0</v>
      </c>
      <c r="W16" s="130">
        <f>IF(SER_hh_emih!W16=0,0,SER_hh_emih!W16/SER_summary!W$26)</f>
        <v>0</v>
      </c>
      <c r="X16" s="130">
        <f>IF(SER_hh_emih!X16=0,0,SER_hh_emih!X16/SER_summary!X$26)</f>
        <v>0</v>
      </c>
      <c r="Y16" s="130">
        <f>IF(SER_hh_emih!Y16=0,0,SER_hh_emih!Y16/SER_summary!Y$26)</f>
        <v>0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0</v>
      </c>
      <c r="C17" s="132">
        <f>IF(SER_hh_emih!C17=0,0,SER_hh_emih!C17/SER_summary!C$26)</f>
        <v>0</v>
      </c>
      <c r="D17" s="132">
        <f>IF(SER_hh_emih!D17=0,0,SER_hh_emih!D17/SER_summary!D$26)</f>
        <v>0</v>
      </c>
      <c r="E17" s="132">
        <f>IF(SER_hh_emih!E17=0,0,SER_hh_emih!E17/SER_summary!E$26)</f>
        <v>0</v>
      </c>
      <c r="F17" s="132">
        <f>IF(SER_hh_emih!F17=0,0,SER_hh_emih!F17/SER_summary!F$26)</f>
        <v>0</v>
      </c>
      <c r="G17" s="132">
        <f>IF(SER_hh_emih!G17=0,0,SER_hh_emih!G17/SER_summary!G$26)</f>
        <v>0</v>
      </c>
      <c r="H17" s="132">
        <f>IF(SER_hh_emih!H17=0,0,SER_hh_emih!H17/SER_summary!H$26)</f>
        <v>0</v>
      </c>
      <c r="I17" s="132">
        <f>IF(SER_hh_emih!I17=0,0,SER_hh_emih!I17/SER_summary!I$26)</f>
        <v>0</v>
      </c>
      <c r="J17" s="132">
        <f>IF(SER_hh_emih!J17=0,0,SER_hh_emih!J17/SER_summary!J$26)</f>
        <v>0</v>
      </c>
      <c r="K17" s="132">
        <f>IF(SER_hh_emih!K17=0,0,SER_hh_emih!K17/SER_summary!K$26)</f>
        <v>0</v>
      </c>
      <c r="L17" s="132">
        <f>IF(SER_hh_emih!L17=0,0,SER_hh_emih!L17/SER_summary!L$26)</f>
        <v>0</v>
      </c>
      <c r="M17" s="132">
        <f>IF(SER_hh_emih!M17=0,0,SER_hh_emih!M17/SER_summary!M$26)</f>
        <v>0</v>
      </c>
      <c r="N17" s="132">
        <f>IF(SER_hh_emih!N17=0,0,SER_hh_emih!N17/SER_summary!N$26)</f>
        <v>0</v>
      </c>
      <c r="O17" s="132">
        <f>IF(SER_hh_emih!O17=0,0,SER_hh_emih!O17/SER_summary!O$26)</f>
        <v>0</v>
      </c>
      <c r="P17" s="132">
        <f>IF(SER_hh_emih!P17=0,0,SER_hh_emih!P17/SER_summary!P$26)</f>
        <v>0</v>
      </c>
      <c r="Q17" s="132">
        <f>IF(SER_hh_emih!Q17=0,0,SER_hh_emih!Q17/SER_summary!Q$26)</f>
        <v>0</v>
      </c>
      <c r="R17" s="132">
        <f>IF(SER_hh_emih!R17=0,0,SER_hh_emih!R17/SER_summary!R$26)</f>
        <v>0</v>
      </c>
      <c r="S17" s="132">
        <f>IF(SER_hh_emih!S17=0,0,SER_hh_emih!S17/SER_summary!S$26)</f>
        <v>0</v>
      </c>
      <c r="T17" s="132">
        <f>IF(SER_hh_emih!T17=0,0,SER_hh_emih!T17/SER_summary!T$26)</f>
        <v>0</v>
      </c>
      <c r="U17" s="132">
        <f>IF(SER_hh_emih!U17=0,0,SER_hh_emih!U17/SER_summary!U$26)</f>
        <v>0</v>
      </c>
      <c r="V17" s="132">
        <f>IF(SER_hh_emih!V17=0,0,SER_hh_emih!V17/SER_summary!V$26)</f>
        <v>0</v>
      </c>
      <c r="W17" s="132">
        <f>IF(SER_hh_emih!W17=0,0,SER_hh_emih!W17/SER_summary!W$26)</f>
        <v>0</v>
      </c>
      <c r="X17" s="132">
        <f>IF(SER_hh_emih!X17=0,0,SER_hh_emih!X17/SER_summary!X$26)</f>
        <v>0</v>
      </c>
      <c r="Y17" s="132">
        <f>IF(SER_hh_emih!Y17=0,0,SER_hh_emih!Y17/SER_summary!Y$26)</f>
        <v>0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0.80766946428862341</v>
      </c>
      <c r="C19" s="130">
        <f>IF(SER_hh_emih!C19=0,0,SER_hh_emih!C19/SER_summary!C$26)</f>
        <v>0.85920218405459114</v>
      </c>
      <c r="D19" s="130">
        <f>IF(SER_hh_emih!D19=0,0,SER_hh_emih!D19/SER_summary!D$26)</f>
        <v>0.83120126706804731</v>
      </c>
      <c r="E19" s="130">
        <f>IF(SER_hh_emih!E19=0,0,SER_hh_emih!E19/SER_summary!E$26)</f>
        <v>0.80953384849079446</v>
      </c>
      <c r="F19" s="130">
        <f>IF(SER_hh_emih!F19=0,0,SER_hh_emih!F19/SER_summary!F$26)</f>
        <v>0.71813466067202658</v>
      </c>
      <c r="G19" s="130">
        <f>IF(SER_hh_emih!G19=0,0,SER_hh_emih!G19/SER_summary!G$26)</f>
        <v>0.72593997769634289</v>
      </c>
      <c r="H19" s="130">
        <f>IF(SER_hh_emih!H19=0,0,SER_hh_emih!H19/SER_summary!H$26)</f>
        <v>0.78928811418287503</v>
      </c>
      <c r="I19" s="130">
        <f>IF(SER_hh_emih!I19=0,0,SER_hh_emih!I19/SER_summary!I$26)</f>
        <v>0.85655862477896916</v>
      </c>
      <c r="J19" s="130">
        <f>IF(SER_hh_emih!J19=0,0,SER_hh_emih!J19/SER_summary!J$26)</f>
        <v>0.87701476253595145</v>
      </c>
      <c r="K19" s="130">
        <f>IF(SER_hh_emih!K19=0,0,SER_hh_emih!K19/SER_summary!K$26)</f>
        <v>0.89473517285902038</v>
      </c>
      <c r="L19" s="130">
        <f>IF(SER_hh_emih!L19=0,0,SER_hh_emih!L19/SER_summary!L$26)</f>
        <v>0.90136611953705914</v>
      </c>
      <c r="M19" s="130">
        <f>IF(SER_hh_emih!M19=0,0,SER_hh_emih!M19/SER_summary!M$26)</f>
        <v>0.88652873164212487</v>
      </c>
      <c r="N19" s="130">
        <f>IF(SER_hh_emih!N19=0,0,SER_hh_emih!N19/SER_summary!N$26)</f>
        <v>0.85697210924276712</v>
      </c>
      <c r="O19" s="130">
        <f>IF(SER_hh_emih!O19=0,0,SER_hh_emih!O19/SER_summary!O$26)</f>
        <v>0.77901320490137349</v>
      </c>
      <c r="P19" s="130">
        <f>IF(SER_hh_emih!P19=0,0,SER_hh_emih!P19/SER_summary!P$26)</f>
        <v>0.73347738201448287</v>
      </c>
      <c r="Q19" s="130">
        <f>IF(SER_hh_emih!Q19=0,0,SER_hh_emih!Q19/SER_summary!Q$26)</f>
        <v>0.71336718459187298</v>
      </c>
      <c r="R19" s="130">
        <f>IF(SER_hh_emih!R19=0,0,SER_hh_emih!R19/SER_summary!R$26)</f>
        <v>0.66897517460923794</v>
      </c>
      <c r="S19" s="130">
        <f>IF(SER_hh_emih!S19=0,0,SER_hh_emih!S19/SER_summary!S$26)</f>
        <v>0.6718870099718014</v>
      </c>
      <c r="T19" s="130">
        <f>IF(SER_hh_emih!T19=0,0,SER_hh_emih!T19/SER_summary!T$26)</f>
        <v>0.62256457156837108</v>
      </c>
      <c r="U19" s="130">
        <f>IF(SER_hh_emih!U19=0,0,SER_hh_emih!U19/SER_summary!U$26)</f>
        <v>0.6272242104127761</v>
      </c>
      <c r="V19" s="130">
        <f>IF(SER_hh_emih!V19=0,0,SER_hh_emih!V19/SER_summary!V$26)</f>
        <v>0.51330380304222234</v>
      </c>
      <c r="W19" s="130">
        <f>IF(SER_hh_emih!W19=0,0,SER_hh_emih!W19/SER_summary!W$26)</f>
        <v>0.52956676322703178</v>
      </c>
      <c r="X19" s="130">
        <f>IF(SER_hh_emih!X19=0,0,SER_hh_emih!X19/SER_summary!X$26)</f>
        <v>0.46069451796570249</v>
      </c>
      <c r="Y19" s="130">
        <f>IF(SER_hh_emih!Y19=0,0,SER_hh_emih!Y19/SER_summary!Y$26)</f>
        <v>0.54666134411829848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0</v>
      </c>
      <c r="C21" s="132">
        <f>IF(SER_hh_emih!C21=0,0,SER_hh_emih!C21/SER_summary!C$26)</f>
        <v>0</v>
      </c>
      <c r="D21" s="132">
        <f>IF(SER_hh_emih!D21=0,0,SER_hh_emih!D21/SER_summary!D$26)</f>
        <v>0</v>
      </c>
      <c r="E21" s="132">
        <f>IF(SER_hh_emih!E21=0,0,SER_hh_emih!E21/SER_summary!E$26)</f>
        <v>0</v>
      </c>
      <c r="F21" s="132">
        <f>IF(SER_hh_emih!F21=0,0,SER_hh_emih!F21/SER_summary!F$26)</f>
        <v>0</v>
      </c>
      <c r="G21" s="132">
        <f>IF(SER_hh_emih!G21=0,0,SER_hh_emih!G21/SER_summary!G$26)</f>
        <v>0</v>
      </c>
      <c r="H21" s="132">
        <f>IF(SER_hh_emih!H21=0,0,SER_hh_emih!H21/SER_summary!H$26)</f>
        <v>0</v>
      </c>
      <c r="I21" s="132">
        <f>IF(SER_hh_emih!I21=0,0,SER_hh_emih!I21/SER_summary!I$26)</f>
        <v>0</v>
      </c>
      <c r="J21" s="132">
        <f>IF(SER_hh_emih!J21=0,0,SER_hh_emih!J21/SER_summary!J$26)</f>
        <v>0</v>
      </c>
      <c r="K21" s="132">
        <f>IF(SER_hh_emih!K21=0,0,SER_hh_emih!K21/SER_summary!K$26)</f>
        <v>0</v>
      </c>
      <c r="L21" s="132">
        <f>IF(SER_hh_emih!L21=0,0,SER_hh_emih!L21/SER_summary!L$26)</f>
        <v>0</v>
      </c>
      <c r="M21" s="132">
        <f>IF(SER_hh_emih!M21=0,0,SER_hh_emih!M21/SER_summary!M$26)</f>
        <v>0</v>
      </c>
      <c r="N21" s="132">
        <f>IF(SER_hh_emih!N21=0,0,SER_hh_emih!N21/SER_summary!N$26)</f>
        <v>0</v>
      </c>
      <c r="O21" s="132">
        <f>IF(SER_hh_emih!O21=0,0,SER_hh_emih!O21/SER_summary!O$26)</f>
        <v>0</v>
      </c>
      <c r="P21" s="132">
        <f>IF(SER_hh_emih!P21=0,0,SER_hh_emih!P21/SER_summary!P$26)</f>
        <v>0</v>
      </c>
      <c r="Q21" s="132">
        <f>IF(SER_hh_emih!Q21=0,0,SER_hh_emih!Q21/SER_summary!Q$26)</f>
        <v>0</v>
      </c>
      <c r="R21" s="132">
        <f>IF(SER_hh_emih!R21=0,0,SER_hh_emih!R21/SER_summary!R$26)</f>
        <v>0</v>
      </c>
      <c r="S21" s="132">
        <f>IF(SER_hh_emih!S21=0,0,SER_hh_emih!S21/SER_summary!S$26)</f>
        <v>0</v>
      </c>
      <c r="T21" s="132">
        <f>IF(SER_hh_emih!T21=0,0,SER_hh_emih!T21/SER_summary!T$26)</f>
        <v>0</v>
      </c>
      <c r="U21" s="132">
        <f>IF(SER_hh_emih!U21=0,0,SER_hh_emih!U21/SER_summary!U$26)</f>
        <v>0</v>
      </c>
      <c r="V21" s="132">
        <f>IF(SER_hh_emih!V21=0,0,SER_hh_emih!V21/SER_summary!V$26)</f>
        <v>0</v>
      </c>
      <c r="W21" s="132">
        <f>IF(SER_hh_emih!W21=0,0,SER_hh_emih!W21/SER_summary!W$26)</f>
        <v>0</v>
      </c>
      <c r="X21" s="132">
        <f>IF(SER_hh_emih!X21=0,0,SER_hh_emih!X21/SER_summary!X$26)</f>
        <v>0</v>
      </c>
      <c r="Y21" s="132">
        <f>IF(SER_hh_emih!Y21=0,0,SER_hh_emih!Y21/SER_summary!Y$26)</f>
        <v>0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5.8893423897890376</v>
      </c>
      <c r="C22" s="132">
        <f>IF(SER_hh_emih!C22=0,0,SER_hh_emih!C22/SER_summary!C$26)</f>
        <v>6.3970452500592305</v>
      </c>
      <c r="D22" s="132">
        <f>IF(SER_hh_emih!D22=0,0,SER_hh_emih!D22/SER_summary!D$26)</f>
        <v>6.4595622565984954</v>
      </c>
      <c r="E22" s="132">
        <f>IF(SER_hh_emih!E22=0,0,SER_hh_emih!E22/SER_summary!E$26)</f>
        <v>6.3765404660951681</v>
      </c>
      <c r="F22" s="132">
        <f>IF(SER_hh_emih!F22=0,0,SER_hh_emih!F22/SER_summary!F$26)</f>
        <v>5.6475949028884287</v>
      </c>
      <c r="G22" s="132">
        <f>IF(SER_hh_emih!G22=0,0,SER_hh_emih!G22/SER_summary!G$26)</f>
        <v>5.7566362084698994</v>
      </c>
      <c r="H22" s="132">
        <f>IF(SER_hh_emih!H22=0,0,SER_hh_emih!H22/SER_summary!H$26)</f>
        <v>6.0485093793048144</v>
      </c>
      <c r="I22" s="132">
        <f>IF(SER_hh_emih!I22=0,0,SER_hh_emih!I22/SER_summary!I$26)</f>
        <v>6.0922009038580685</v>
      </c>
      <c r="J22" s="132">
        <f>IF(SER_hh_emih!J22=0,0,SER_hh_emih!J22/SER_summary!J$26)</f>
        <v>6.181438128522978</v>
      </c>
      <c r="K22" s="132">
        <f>IF(SER_hh_emih!K22=0,0,SER_hh_emih!K22/SER_summary!K$26)</f>
        <v>6.1778411072070618</v>
      </c>
      <c r="L22" s="132">
        <f>IF(SER_hh_emih!L22=0,0,SER_hh_emih!L22/SER_summary!L$26)</f>
        <v>6.2293218603298977</v>
      </c>
      <c r="M22" s="132">
        <f>IF(SER_hh_emih!M22=0,0,SER_hh_emih!M22/SER_summary!M$26)</f>
        <v>6.671852349291572</v>
      </c>
      <c r="N22" s="132">
        <f>IF(SER_hh_emih!N22=0,0,SER_hh_emih!N22/SER_summary!N$26)</f>
        <v>6.719721517834965</v>
      </c>
      <c r="O22" s="132">
        <f>IF(SER_hh_emih!O22=0,0,SER_hh_emih!O22/SER_summary!O$26)</f>
        <v>5.7778526812863245</v>
      </c>
      <c r="P22" s="132">
        <f>IF(SER_hh_emih!P22=0,0,SER_hh_emih!P22/SER_summary!P$26)</f>
        <v>5.4127799538517571</v>
      </c>
      <c r="Q22" s="132">
        <f>IF(SER_hh_emih!Q22=0,0,SER_hh_emih!Q22/SER_summary!Q$26)</f>
        <v>6.5329472727482543</v>
      </c>
      <c r="R22" s="132">
        <f>IF(SER_hh_emih!R22=0,0,SER_hh_emih!R22/SER_summary!R$26)</f>
        <v>6.7879914433112747</v>
      </c>
      <c r="S22" s="132">
        <f>IF(SER_hh_emih!S22=0,0,SER_hh_emih!S22/SER_summary!S$26)</f>
        <v>6.6854348190027153</v>
      </c>
      <c r="T22" s="132">
        <f>IF(SER_hh_emih!T22=0,0,SER_hh_emih!T22/SER_summary!T$26)</f>
        <v>4.8715214795629711</v>
      </c>
      <c r="U22" s="132">
        <f>IF(SER_hh_emih!U22=0,0,SER_hh_emih!U22/SER_summary!U$26)</f>
        <v>6.5755583196042853</v>
      </c>
      <c r="V22" s="132">
        <f>IF(SER_hh_emih!V22=0,0,SER_hh_emih!V22/SER_summary!V$26)</f>
        <v>5.7681991791449025</v>
      </c>
      <c r="W22" s="132">
        <f>IF(SER_hh_emih!W22=0,0,SER_hh_emih!W22/SER_summary!W$26)</f>
        <v>4.9820354343725155</v>
      </c>
      <c r="X22" s="132">
        <f>IF(SER_hh_emih!X22=0,0,SER_hh_emih!X22/SER_summary!X$26)</f>
        <v>5.1811504748441219</v>
      </c>
      <c r="Y22" s="132">
        <f>IF(SER_hh_emih!Y22=0,0,SER_hh_emih!Y22/SER_summary!Y$26)</f>
        <v>6.0426690948883515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4.1715816256964482</v>
      </c>
      <c r="C23" s="132">
        <f>IF(SER_hh_emih!C23=0,0,SER_hh_emih!C23/SER_summary!C$26)</f>
        <v>4.4938217867086063</v>
      </c>
      <c r="D23" s="132">
        <f>IF(SER_hh_emih!D23=0,0,SER_hh_emih!D23/SER_summary!D$26)</f>
        <v>3.935975615400451</v>
      </c>
      <c r="E23" s="132">
        <f>IF(SER_hh_emih!E23=0,0,SER_hh_emih!E23/SER_summary!E$26)</f>
        <v>4.0842245549733072</v>
      </c>
      <c r="F23" s="132">
        <f>IF(SER_hh_emih!F23=0,0,SER_hh_emih!F23/SER_summary!F$26)</f>
        <v>3.9624087917825861</v>
      </c>
      <c r="G23" s="132">
        <f>IF(SER_hh_emih!G23=0,0,SER_hh_emih!G23/SER_summary!G$26)</f>
        <v>3.8283502299986929</v>
      </c>
      <c r="H23" s="132">
        <f>IF(SER_hh_emih!H23=0,0,SER_hh_emih!H23/SER_summary!H$26)</f>
        <v>3.9324208972385839</v>
      </c>
      <c r="I23" s="132">
        <f>IF(SER_hh_emih!I23=0,0,SER_hh_emih!I23/SER_summary!I$26)</f>
        <v>4.1185246206637451</v>
      </c>
      <c r="J23" s="132">
        <f>IF(SER_hh_emih!J23=0,0,SER_hh_emih!J23/SER_summary!J$26)</f>
        <v>4.0487303684582621</v>
      </c>
      <c r="K23" s="132">
        <f>IF(SER_hh_emih!K23=0,0,SER_hh_emih!K23/SER_summary!K$26)</f>
        <v>4.0700463403181848</v>
      </c>
      <c r="L23" s="132">
        <f>IF(SER_hh_emih!L23=0,0,SER_hh_emih!L23/SER_summary!L$26)</f>
        <v>4.1647587868974076</v>
      </c>
      <c r="M23" s="132">
        <f>IF(SER_hh_emih!M23=0,0,SER_hh_emih!M23/SER_summary!M$26)</f>
        <v>4.1530765317428573</v>
      </c>
      <c r="N23" s="132">
        <f>IF(SER_hh_emih!N23=0,0,SER_hh_emih!N23/SER_summary!N$26)</f>
        <v>4.1677873830893022</v>
      </c>
      <c r="O23" s="132">
        <f>IF(SER_hh_emih!O23=0,0,SER_hh_emih!O23/SER_summary!O$26)</f>
        <v>4.1196211650605035</v>
      </c>
      <c r="P23" s="132">
        <f>IF(SER_hh_emih!P23=0,0,SER_hh_emih!P23/SER_summary!P$26)</f>
        <v>4.0676195995692312</v>
      </c>
      <c r="Q23" s="132">
        <f>IF(SER_hh_emih!Q23=0,0,SER_hh_emih!Q23/SER_summary!Q$26)</f>
        <v>3.9283150782206406</v>
      </c>
      <c r="R23" s="132">
        <f>IF(SER_hh_emih!R23=0,0,SER_hh_emih!R23/SER_summary!R$26)</f>
        <v>3.7277432106375605</v>
      </c>
      <c r="S23" s="132">
        <f>IF(SER_hh_emih!S23=0,0,SER_hh_emih!S23/SER_summary!S$26)</f>
        <v>3.897592535941206</v>
      </c>
      <c r="T23" s="132">
        <f>IF(SER_hh_emih!T23=0,0,SER_hh_emih!T23/SER_summary!T$26)</f>
        <v>3.8454097684920874</v>
      </c>
      <c r="U23" s="132">
        <f>IF(SER_hh_emih!U23=0,0,SER_hh_emih!U23/SER_summary!U$26)</f>
        <v>3.848038459647344</v>
      </c>
      <c r="V23" s="132">
        <f>IF(SER_hh_emih!V23=0,0,SER_hh_emih!V23/SER_summary!V$26)</f>
        <v>3.2571219805054472</v>
      </c>
      <c r="W23" s="132">
        <f>IF(SER_hh_emih!W23=0,0,SER_hh_emih!W23/SER_summary!W$26)</f>
        <v>3.5523703258303159</v>
      </c>
      <c r="X23" s="132">
        <f>IF(SER_hh_emih!X23=0,0,SER_hh_emih!X23/SER_summary!X$26)</f>
        <v>3.0765951193835179</v>
      </c>
      <c r="Y23" s="132">
        <f>IF(SER_hh_emih!Y23=0,0,SER_hh_emih!Y23/SER_summary!Y$26)</f>
        <v>3.6278982710464973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0.18465807137726103</v>
      </c>
      <c r="C29" s="130">
        <f>IF(SER_hh_emih!C29=0,0,SER_hh_emih!C29/SER_summary!C$26)</f>
        <v>0.36142166697769557</v>
      </c>
      <c r="D29" s="130">
        <f>IF(SER_hh_emih!D29=0,0,SER_hh_emih!D29/SER_summary!D$26)</f>
        <v>0.22376194101082961</v>
      </c>
      <c r="E29" s="130">
        <f>IF(SER_hh_emih!E29=0,0,SER_hh_emih!E29/SER_summary!E$26)</f>
        <v>0.27683225347260831</v>
      </c>
      <c r="F29" s="130">
        <f>IF(SER_hh_emih!F29=0,0,SER_hh_emih!F29/SER_summary!F$26)</f>
        <v>0.39407046285507769</v>
      </c>
      <c r="G29" s="130">
        <f>IF(SER_hh_emih!G29=0,0,SER_hh_emih!G29/SER_summary!G$26)</f>
        <v>0.32464375997170747</v>
      </c>
      <c r="H29" s="130">
        <f>IF(SER_hh_emih!H29=0,0,SER_hh_emih!H29/SER_summary!H$26)</f>
        <v>0.43122285040147135</v>
      </c>
      <c r="I29" s="130">
        <f>IF(SER_hh_emih!I29=0,0,SER_hh_emih!I29/SER_summary!I$26)</f>
        <v>0.48257260786960854</v>
      </c>
      <c r="J29" s="130">
        <f>IF(SER_hh_emih!J29=0,0,SER_hh_emih!J29/SER_summary!J$26)</f>
        <v>0.49730050914330381</v>
      </c>
      <c r="K29" s="130">
        <f>IF(SER_hh_emih!K29=0,0,SER_hh_emih!K29/SER_summary!K$26)</f>
        <v>0.49882710805151964</v>
      </c>
      <c r="L29" s="130">
        <f>IF(SER_hh_emih!L29=0,0,SER_hh_emih!L29/SER_summary!L$26)</f>
        <v>0.6863315547572868</v>
      </c>
      <c r="M29" s="130">
        <f>IF(SER_hh_emih!M29=0,0,SER_hh_emih!M29/SER_summary!M$26)</f>
        <v>0.70985561731093116</v>
      </c>
      <c r="N29" s="130">
        <f>IF(SER_hh_emih!N29=0,0,SER_hh_emih!N29/SER_summary!N$26)</f>
        <v>0.90146769351586586</v>
      </c>
      <c r="O29" s="130">
        <f>IF(SER_hh_emih!O29=0,0,SER_hh_emih!O29/SER_summary!O$26)</f>
        <v>0.79058327401883854</v>
      </c>
      <c r="P29" s="130">
        <f>IF(SER_hh_emih!P29=0,0,SER_hh_emih!P29/SER_summary!P$26)</f>
        <v>0.67590396152447507</v>
      </c>
      <c r="Q29" s="130">
        <f>IF(SER_hh_emih!Q29=0,0,SER_hh_emih!Q29/SER_summary!Q$26)</f>
        <v>0.64626924140896691</v>
      </c>
      <c r="R29" s="130">
        <f>IF(SER_hh_emih!R29=0,0,SER_hh_emih!R29/SER_summary!R$26)</f>
        <v>0.64286105236361646</v>
      </c>
      <c r="S29" s="130">
        <f>IF(SER_hh_emih!S29=0,0,SER_hh_emih!S29/SER_summary!S$26)</f>
        <v>0.70657747110851987</v>
      </c>
      <c r="T29" s="130">
        <f>IF(SER_hh_emih!T29=0,0,SER_hh_emih!T29/SER_summary!T$26)</f>
        <v>0.73528489922085694</v>
      </c>
      <c r="U29" s="130">
        <f>IF(SER_hh_emih!U29=0,0,SER_hh_emih!U29/SER_summary!U$26)</f>
        <v>0.71685042657998599</v>
      </c>
      <c r="V29" s="130">
        <f>IF(SER_hh_emih!V29=0,0,SER_hh_emih!V29/SER_summary!V$26)</f>
        <v>0.59120782522981485</v>
      </c>
      <c r="W29" s="130">
        <f>IF(SER_hh_emih!W29=0,0,SER_hh_emih!W29/SER_summary!W$26)</f>
        <v>0.68547584135808293</v>
      </c>
      <c r="X29" s="130">
        <f>IF(SER_hh_emih!X29=0,0,SER_hh_emih!X29/SER_summary!X$26)</f>
        <v>0.71652980898024188</v>
      </c>
      <c r="Y29" s="130">
        <f>IF(SER_hh_emih!Y29=0,0,SER_hh_emih!Y29/SER_summary!Y$26)</f>
        <v>0.73769439117063917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2.7032365883306957</v>
      </c>
      <c r="C30" s="132">
        <f>IF(SER_hh_emih!C30=0,0,SER_hh_emih!C30/SER_summary!C$26)</f>
        <v>10.77619623541151</v>
      </c>
      <c r="D30" s="132">
        <f>IF(SER_hh_emih!D30=0,0,SER_hh_emih!D30/SER_summary!D$26)</f>
        <v>3.1167103077992953</v>
      </c>
      <c r="E30" s="132">
        <f>IF(SER_hh_emih!E30=0,0,SER_hh_emih!E30/SER_summary!E$26)</f>
        <v>3.6931593367644537</v>
      </c>
      <c r="F30" s="132">
        <f>IF(SER_hh_emih!F30=0,0,SER_hh_emih!F30/SER_summary!F$26)</f>
        <v>9.862677692510232</v>
      </c>
      <c r="G30" s="132">
        <f>IF(SER_hh_emih!G30=0,0,SER_hh_emih!G30/SER_summary!G$26)</f>
        <v>0</v>
      </c>
      <c r="H30" s="132">
        <f>IF(SER_hh_emih!H30=0,0,SER_hh_emih!H30/SER_summary!H$26)</f>
        <v>0</v>
      </c>
      <c r="I30" s="132">
        <f>IF(SER_hh_emih!I30=0,0,SER_hh_emih!I30/SER_summary!I$26)</f>
        <v>0</v>
      </c>
      <c r="J30" s="132">
        <f>IF(SER_hh_emih!J30=0,0,SER_hh_emih!J30/SER_summary!J$26)</f>
        <v>0</v>
      </c>
      <c r="K30" s="132">
        <f>IF(SER_hh_emih!K30=0,0,SER_hh_emih!K30/SER_summary!K$26)</f>
        <v>0</v>
      </c>
      <c r="L30" s="132">
        <f>IF(SER_hh_emih!L30=0,0,SER_hh_emih!L30/SER_summary!L$26)</f>
        <v>6.1982708170016938</v>
      </c>
      <c r="M30" s="132">
        <f>IF(SER_hh_emih!M30=0,0,SER_hh_emih!M30/SER_summary!M$26)</f>
        <v>5.7690221530385211</v>
      </c>
      <c r="N30" s="132">
        <f>IF(SER_hh_emih!N30=0,0,SER_hh_emih!N30/SER_summary!N$26)</f>
        <v>9.1160465347265998</v>
      </c>
      <c r="O30" s="132">
        <f>IF(SER_hh_emih!O30=0,0,SER_hh_emih!O30/SER_summary!O$26)</f>
        <v>6.4965492122181701</v>
      </c>
      <c r="P30" s="132">
        <f>IF(SER_hh_emih!P30=0,0,SER_hh_emih!P30/SER_summary!P$26)</f>
        <v>4.0671833007861311</v>
      </c>
      <c r="Q30" s="132">
        <f>IF(SER_hh_emih!Q30=0,0,SER_hh_emih!Q30/SER_summary!Q$26)</f>
        <v>4.0989685521456405</v>
      </c>
      <c r="R30" s="132">
        <f>IF(SER_hh_emih!R30=0,0,SER_hh_emih!R30/SER_summary!R$26)</f>
        <v>4.8057302700797049</v>
      </c>
      <c r="S30" s="132">
        <f>IF(SER_hh_emih!S30=0,0,SER_hh_emih!S30/SER_summary!S$26)</f>
        <v>5.6941196343017042</v>
      </c>
      <c r="T30" s="132">
        <f>IF(SER_hh_emih!T30=0,0,SER_hh_emih!T30/SER_summary!T$26)</f>
        <v>6.1066277133462714</v>
      </c>
      <c r="U30" s="132">
        <f>IF(SER_hh_emih!U30=0,0,SER_hh_emih!U30/SER_summary!U$26)</f>
        <v>5.8948135870952481</v>
      </c>
      <c r="V30" s="132">
        <f>IF(SER_hh_emih!V30=0,0,SER_hh_emih!V30/SER_summary!V$26)</f>
        <v>4.6493852169377989</v>
      </c>
      <c r="W30" s="132">
        <f>IF(SER_hh_emih!W30=0,0,SER_hh_emih!W30/SER_summary!W$26)</f>
        <v>5.182980374904842</v>
      </c>
      <c r="X30" s="132">
        <f>IF(SER_hh_emih!X30=0,0,SER_hh_emih!X30/SER_summary!X$26)</f>
        <v>5.535374286928743</v>
      </c>
      <c r="Y30" s="132">
        <f>IF(SER_hh_emih!Y30=0,0,SER_hh_emih!Y30/SER_summary!Y$26)</f>
        <v>5.6662180542494198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4.4842889513122843</v>
      </c>
      <c r="C31" s="132">
        <f>IF(SER_hh_emih!C31=0,0,SER_hh_emih!C31/SER_summary!C$26)</f>
        <v>4.5906910224707103</v>
      </c>
      <c r="D31" s="132">
        <f>IF(SER_hh_emih!D31=0,0,SER_hh_emih!D31/SER_summary!D$26)</f>
        <v>4.2544929011062678</v>
      </c>
      <c r="E31" s="132">
        <f>IF(SER_hh_emih!E31=0,0,SER_hh_emih!E31/SER_summary!E$26)</f>
        <v>4.4762629352061314</v>
      </c>
      <c r="F31" s="132">
        <f>IF(SER_hh_emih!F31=0,0,SER_hh_emih!F31/SER_summary!F$26)</f>
        <v>4.5329189105155336</v>
      </c>
      <c r="G31" s="132">
        <f>IF(SER_hh_emih!G31=0,0,SER_hh_emih!G31/SER_summary!G$26)</f>
        <v>4.1528025605921615</v>
      </c>
      <c r="H31" s="132">
        <f>IF(SER_hh_emih!H31=0,0,SER_hh_emih!H31/SER_summary!H$26)</f>
        <v>4.5795502700708459</v>
      </c>
      <c r="I31" s="132">
        <f>IF(SER_hh_emih!I31=0,0,SER_hh_emih!I31/SER_summary!I$26)</f>
        <v>4.618508781324592</v>
      </c>
      <c r="J31" s="132">
        <f>IF(SER_hh_emih!J31=0,0,SER_hh_emih!J31/SER_summary!J$26)</f>
        <v>4.5644312099698254</v>
      </c>
      <c r="K31" s="132">
        <f>IF(SER_hh_emih!K31=0,0,SER_hh_emih!K31/SER_summary!K$26)</f>
        <v>4.5260899643469061</v>
      </c>
      <c r="L31" s="132">
        <f>IF(SER_hh_emih!L31=0,0,SER_hh_emih!L31/SER_summary!L$26)</f>
        <v>4.5702992877069075</v>
      </c>
      <c r="M31" s="132">
        <f>IF(SER_hh_emih!M31=0,0,SER_hh_emih!M31/SER_summary!M$26)</f>
        <v>4.5971216219271165</v>
      </c>
      <c r="N31" s="132">
        <f>IF(SER_hh_emih!N31=0,0,SER_hh_emih!N31/SER_summary!N$26)</f>
        <v>4.7489355062509038</v>
      </c>
      <c r="O31" s="132">
        <f>IF(SER_hh_emih!O31=0,0,SER_hh_emih!O31/SER_summary!O$26)</f>
        <v>4.7625892161094026</v>
      </c>
      <c r="P31" s="132">
        <f>IF(SER_hh_emih!P31=0,0,SER_hh_emih!P31/SER_summary!P$26)</f>
        <v>4.7431595349984557</v>
      </c>
      <c r="Q31" s="132">
        <f>IF(SER_hh_emih!Q31=0,0,SER_hh_emih!Q31/SER_summary!Q$26)</f>
        <v>4.6066917098283913</v>
      </c>
      <c r="R31" s="132">
        <f>IF(SER_hh_emih!R31=0,0,SER_hh_emih!R31/SER_summary!R$26)</f>
        <v>4.4348862443763011</v>
      </c>
      <c r="S31" s="132">
        <f>IF(SER_hh_emih!S31=0,0,SER_hh_emih!S31/SER_summary!S$26)</f>
        <v>4.801164185164601</v>
      </c>
      <c r="T31" s="132">
        <f>IF(SER_hh_emih!T31=0,0,SER_hh_emih!T31/SER_summary!T$26)</f>
        <v>4.8588604271815363</v>
      </c>
      <c r="U31" s="132">
        <f>IF(SER_hh_emih!U31=0,0,SER_hh_emih!U31/SER_summary!U$26)</f>
        <v>4.8242963474884597</v>
      </c>
      <c r="V31" s="132">
        <f>IF(SER_hh_emih!V31=0,0,SER_hh_emih!V31/SER_summary!V$26)</f>
        <v>4.1119157128096289</v>
      </c>
      <c r="W31" s="132">
        <f>IF(SER_hh_emih!W31=0,0,SER_hh_emih!W31/SER_summary!W$26)</f>
        <v>4.7994504602393695</v>
      </c>
      <c r="X31" s="132">
        <f>IF(SER_hh_emih!X31=0,0,SER_hh_emih!X31/SER_summary!X$26)</f>
        <v>4.7438254067980736</v>
      </c>
      <c r="Y31" s="132">
        <f>IF(SER_hh_emih!Y31=0,0,SER_hh_emih!Y31/SER_summary!Y$26)</f>
        <v>4.6692219122940513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2324.7723909203683</v>
      </c>
      <c r="D3" s="124">
        <f t="shared" si="0"/>
        <v>2943.4065435982648</v>
      </c>
      <c r="E3" s="124">
        <f t="shared" si="0"/>
        <v>3324.4778398969192</v>
      </c>
      <c r="F3" s="124">
        <f t="shared" si="0"/>
        <v>3470.8828484348569</v>
      </c>
      <c r="G3" s="124">
        <f t="shared" si="0"/>
        <v>3379.3190034872359</v>
      </c>
      <c r="H3" s="124">
        <f t="shared" si="0"/>
        <v>3529.146478476307</v>
      </c>
      <c r="I3" s="124">
        <f t="shared" si="0"/>
        <v>3949.4420472157371</v>
      </c>
      <c r="J3" s="124">
        <f t="shared" si="0"/>
        <v>3095.5969225605913</v>
      </c>
      <c r="K3" s="124">
        <f t="shared" si="0"/>
        <v>1272.8894995007722</v>
      </c>
      <c r="L3" s="124">
        <f t="shared" si="0"/>
        <v>1663.938394448825</v>
      </c>
      <c r="M3" s="124">
        <f t="shared" si="0"/>
        <v>2796.552560282083</v>
      </c>
      <c r="N3" s="124">
        <f t="shared" si="0"/>
        <v>1597.0384941260795</v>
      </c>
      <c r="O3" s="124">
        <f t="shared" si="0"/>
        <v>1718.4055509101904</v>
      </c>
      <c r="P3" s="124">
        <f t="shared" si="0"/>
        <v>1922.2427329299426</v>
      </c>
      <c r="Q3" s="124">
        <f t="shared" si="0"/>
        <v>2345.0443761704055</v>
      </c>
      <c r="R3" s="124">
        <f t="shared" si="0"/>
        <v>1802.2910552174988</v>
      </c>
      <c r="S3" s="124">
        <f t="shared" si="0"/>
        <v>1819.769929847514</v>
      </c>
      <c r="T3" s="124">
        <f t="shared" si="0"/>
        <v>1801.9662427863486</v>
      </c>
      <c r="U3" s="124">
        <f t="shared" si="0"/>
        <v>1754.0342371930235</v>
      </c>
      <c r="V3" s="124">
        <f t="shared" si="0"/>
        <v>1646.6783318711568</v>
      </c>
      <c r="W3" s="124">
        <f t="shared" si="0"/>
        <v>1553.5197627279631</v>
      </c>
      <c r="X3" s="124">
        <f t="shared" si="0"/>
        <v>1436.6272330146228</v>
      </c>
      <c r="Y3" s="124">
        <f t="shared" si="0"/>
        <v>1319.8987785622951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2324.7723909203683</v>
      </c>
      <c r="D4" s="139">
        <f t="shared" si="1"/>
        <v>2943.4065435982648</v>
      </c>
      <c r="E4" s="139">
        <f t="shared" si="1"/>
        <v>3324.4778398969192</v>
      </c>
      <c r="F4" s="139">
        <f t="shared" si="1"/>
        <v>3470.8828484348569</v>
      </c>
      <c r="G4" s="139">
        <f t="shared" si="1"/>
        <v>3379.3190034872359</v>
      </c>
      <c r="H4" s="139">
        <f t="shared" si="1"/>
        <v>3529.146478476307</v>
      </c>
      <c r="I4" s="139">
        <f t="shared" si="1"/>
        <v>3949.4420472157371</v>
      </c>
      <c r="J4" s="139">
        <f t="shared" si="1"/>
        <v>3095.5969225605913</v>
      </c>
      <c r="K4" s="139">
        <f t="shared" si="1"/>
        <v>1272.8894995007722</v>
      </c>
      <c r="L4" s="139">
        <f t="shared" si="1"/>
        <v>1663.938394448825</v>
      </c>
      <c r="M4" s="139">
        <f t="shared" si="1"/>
        <v>2796.552560282083</v>
      </c>
      <c r="N4" s="139">
        <f t="shared" si="1"/>
        <v>1597.0384941260795</v>
      </c>
      <c r="O4" s="139">
        <f t="shared" si="1"/>
        <v>1718.4055509101904</v>
      </c>
      <c r="P4" s="139">
        <f t="shared" si="1"/>
        <v>1922.2427329299426</v>
      </c>
      <c r="Q4" s="139">
        <f t="shared" si="1"/>
        <v>2345.0443761704055</v>
      </c>
      <c r="R4" s="139">
        <f t="shared" ref="R4:W4" si="2">SUM(R5:R14)</f>
        <v>1802.2910552174988</v>
      </c>
      <c r="S4" s="139">
        <f t="shared" si="2"/>
        <v>1819.769929847514</v>
      </c>
      <c r="T4" s="139">
        <f t="shared" si="2"/>
        <v>1801.9662427863486</v>
      </c>
      <c r="U4" s="139">
        <f t="shared" si="2"/>
        <v>1754.0342371930235</v>
      </c>
      <c r="V4" s="139">
        <f t="shared" si="2"/>
        <v>1646.6783318711568</v>
      </c>
      <c r="W4" s="139">
        <f t="shared" si="2"/>
        <v>1553.5197627279631</v>
      </c>
      <c r="X4" s="139">
        <f t="shared" ref="X4:Y4" si="3">SUM(X5:X14)</f>
        <v>1436.6272330146228</v>
      </c>
      <c r="Y4" s="139">
        <f t="shared" si="3"/>
        <v>1319.8987785622951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38.067408639685027</v>
      </c>
      <c r="D5" s="140">
        <v>84.180611248502274</v>
      </c>
      <c r="E5" s="140">
        <v>58.209656754954786</v>
      </c>
      <c r="F5" s="140">
        <v>26.436774883564386</v>
      </c>
      <c r="G5" s="140">
        <v>0</v>
      </c>
      <c r="H5" s="140">
        <v>0</v>
      </c>
      <c r="I5" s="140">
        <v>0</v>
      </c>
      <c r="J5" s="140">
        <v>10.663211331661772</v>
      </c>
      <c r="K5" s="140">
        <v>4.4180405255335327</v>
      </c>
      <c r="L5" s="140">
        <v>3.2188451787464381</v>
      </c>
      <c r="M5" s="140">
        <v>20.108345039260414</v>
      </c>
      <c r="N5" s="140">
        <v>12.562780440417685</v>
      </c>
      <c r="O5" s="140">
        <v>14.172464345535357</v>
      </c>
      <c r="P5" s="140">
        <v>9.3289974202703583</v>
      </c>
      <c r="Q5" s="140">
        <v>23.581968230441277</v>
      </c>
      <c r="R5" s="140">
        <v>17.380395818706265</v>
      </c>
      <c r="S5" s="140">
        <v>8.7337199654636919</v>
      </c>
      <c r="T5" s="140">
        <v>2.0107594329068248</v>
      </c>
      <c r="U5" s="140">
        <v>4.1612990213222938</v>
      </c>
      <c r="V5" s="140">
        <v>0</v>
      </c>
      <c r="W5" s="140">
        <v>0</v>
      </c>
      <c r="X5" s="140">
        <v>0</v>
      </c>
      <c r="Y5" s="140">
        <v>0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103.47161692521794</v>
      </c>
      <c r="D7" s="140">
        <v>0</v>
      </c>
      <c r="E7" s="140">
        <v>0</v>
      </c>
      <c r="F7" s="140">
        <v>0</v>
      </c>
      <c r="G7" s="140">
        <v>0</v>
      </c>
      <c r="H7" s="140">
        <v>51.825202674283467</v>
      </c>
      <c r="I7" s="140">
        <v>0</v>
      </c>
      <c r="J7" s="140">
        <v>0</v>
      </c>
      <c r="K7" s="140">
        <v>56.685890348057811</v>
      </c>
      <c r="L7" s="140">
        <v>90.54081134594739</v>
      </c>
      <c r="M7" s="140">
        <v>0</v>
      </c>
      <c r="N7" s="140">
        <v>78.894886445923561</v>
      </c>
      <c r="O7" s="140">
        <v>155.72640547784593</v>
      </c>
      <c r="P7" s="140">
        <v>103.43448385417886</v>
      </c>
      <c r="Q7" s="140">
        <v>358.65925355001826</v>
      </c>
      <c r="R7" s="140">
        <v>50.974133247184035</v>
      </c>
      <c r="S7" s="140">
        <v>0</v>
      </c>
      <c r="T7" s="140">
        <v>0</v>
      </c>
      <c r="U7" s="140">
        <v>0</v>
      </c>
      <c r="V7" s="140">
        <v>0</v>
      </c>
      <c r="W7" s="140">
        <v>13.728745583576377</v>
      </c>
      <c r="X7" s="140">
        <v>47.67083552739679</v>
      </c>
      <c r="Y7" s="140">
        <v>112.4759427941042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100.79718131699742</v>
      </c>
      <c r="D9" s="140">
        <v>169.57939544268527</v>
      </c>
      <c r="E9" s="140">
        <v>206.26502365492158</v>
      </c>
      <c r="F9" s="140">
        <v>289.52058006733165</v>
      </c>
      <c r="G9" s="140">
        <v>356.3684612256356</v>
      </c>
      <c r="H9" s="140">
        <v>672.99540984213263</v>
      </c>
      <c r="I9" s="140">
        <v>390.12023470298288</v>
      </c>
      <c r="J9" s="140">
        <v>118.23654846194619</v>
      </c>
      <c r="K9" s="140">
        <v>75.98414586641411</v>
      </c>
      <c r="L9" s="140">
        <v>97.520044769608589</v>
      </c>
      <c r="M9" s="140">
        <v>84.421931533272115</v>
      </c>
      <c r="N9" s="140">
        <v>123.71946054209731</v>
      </c>
      <c r="O9" s="140">
        <v>119.098116339756</v>
      </c>
      <c r="P9" s="140">
        <v>283.9482182944069</v>
      </c>
      <c r="Q9" s="140">
        <v>303.07924726637464</v>
      </c>
      <c r="R9" s="140">
        <v>195.60658954020454</v>
      </c>
      <c r="S9" s="140">
        <v>135.2605355603462</v>
      </c>
      <c r="T9" s="140">
        <v>122.58738318884572</v>
      </c>
      <c r="U9" s="140">
        <v>156.16913801873937</v>
      </c>
      <c r="V9" s="140">
        <v>198.57113500350994</v>
      </c>
      <c r="W9" s="140">
        <v>139.54897435167595</v>
      </c>
      <c r="X9" s="140">
        <v>44.852333813898255</v>
      </c>
      <c r="Y9" s="140">
        <v>0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0</v>
      </c>
      <c r="D10" s="140">
        <v>46.021765735581262</v>
      </c>
      <c r="E10" s="140">
        <v>105.37986592852045</v>
      </c>
      <c r="F10" s="140">
        <v>95.261003589392303</v>
      </c>
      <c r="G10" s="140">
        <v>115.05391267601695</v>
      </c>
      <c r="H10" s="140">
        <v>160.27978290775249</v>
      </c>
      <c r="I10" s="140">
        <v>88.432183628204015</v>
      </c>
      <c r="J10" s="140">
        <v>0</v>
      </c>
      <c r="K10" s="140">
        <v>0</v>
      </c>
      <c r="L10" s="140">
        <v>41.814147989795423</v>
      </c>
      <c r="M10" s="140">
        <v>237.39403237064718</v>
      </c>
      <c r="N10" s="140">
        <v>125.50109490155037</v>
      </c>
      <c r="O10" s="140">
        <v>45.578109756010427</v>
      </c>
      <c r="P10" s="140">
        <v>0</v>
      </c>
      <c r="Q10" s="140">
        <v>7.3787122027038867</v>
      </c>
      <c r="R10" s="140">
        <v>173.70683116174968</v>
      </c>
      <c r="S10" s="140">
        <v>555.82101445065598</v>
      </c>
      <c r="T10" s="140">
        <v>505.60536199890271</v>
      </c>
      <c r="U10" s="140">
        <v>327.07679122413833</v>
      </c>
      <c r="V10" s="140">
        <v>112.34450602849248</v>
      </c>
      <c r="W10" s="140">
        <v>69.40604978024156</v>
      </c>
      <c r="X10" s="140">
        <v>17.329325132639038</v>
      </c>
      <c r="Y10" s="140">
        <v>0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0</v>
      </c>
      <c r="E11" s="140">
        <v>0</v>
      </c>
      <c r="F11" s="140">
        <v>0</v>
      </c>
      <c r="G11" s="140">
        <v>2145.115131574898</v>
      </c>
      <c r="H11" s="140">
        <v>827.06055512989667</v>
      </c>
      <c r="I11" s="140">
        <v>651.18620924266202</v>
      </c>
      <c r="J11" s="140">
        <v>7.680567659596143</v>
      </c>
      <c r="K11" s="140">
        <v>7.512993436421695</v>
      </c>
      <c r="L11" s="140">
        <v>0</v>
      </c>
      <c r="M11" s="140">
        <v>0</v>
      </c>
      <c r="N11" s="140">
        <v>76.629512247132737</v>
      </c>
      <c r="O11" s="140">
        <v>107.38201499311636</v>
      </c>
      <c r="P11" s="140">
        <v>109.14000191516701</v>
      </c>
      <c r="Q11" s="140">
        <v>109.74596951565081</v>
      </c>
      <c r="R11" s="140">
        <v>35.38436186206696</v>
      </c>
      <c r="S11" s="140">
        <v>83.470652882806803</v>
      </c>
      <c r="T11" s="140">
        <v>128.75107118809689</v>
      </c>
      <c r="U11" s="140">
        <v>189.22478162614755</v>
      </c>
      <c r="V11" s="140">
        <v>204.46902734152079</v>
      </c>
      <c r="W11" s="140">
        <v>241.71231783935116</v>
      </c>
      <c r="X11" s="140">
        <v>54.607629362353059</v>
      </c>
      <c r="Y11" s="140">
        <v>40.16035587078801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1300.8500226994793</v>
      </c>
      <c r="D12" s="140">
        <v>909.10894275348869</v>
      </c>
      <c r="E12" s="140">
        <v>1469.3506944123246</v>
      </c>
      <c r="F12" s="140">
        <v>1211.1863452319628</v>
      </c>
      <c r="G12" s="140">
        <v>0</v>
      </c>
      <c r="H12" s="140">
        <v>82.38581846643504</v>
      </c>
      <c r="I12" s="140">
        <v>146.32063610143615</v>
      </c>
      <c r="J12" s="140">
        <v>0</v>
      </c>
      <c r="K12" s="140">
        <v>150.65129603358156</v>
      </c>
      <c r="L12" s="140">
        <v>238.82000266488654</v>
      </c>
      <c r="M12" s="140">
        <v>829.88969178104594</v>
      </c>
      <c r="N12" s="140">
        <v>339.97558397453554</v>
      </c>
      <c r="O12" s="140">
        <v>189.28534169199929</v>
      </c>
      <c r="P12" s="140">
        <v>241.00293922430836</v>
      </c>
      <c r="Q12" s="140">
        <v>565.2085023081595</v>
      </c>
      <c r="R12" s="140">
        <v>614.09612306933309</v>
      </c>
      <c r="S12" s="140">
        <v>245.79055920438805</v>
      </c>
      <c r="T12" s="140">
        <v>231.17113076697842</v>
      </c>
      <c r="U12" s="140">
        <v>62.829010699807313</v>
      </c>
      <c r="V12" s="140">
        <v>225.45687823551145</v>
      </c>
      <c r="W12" s="140">
        <v>28.819474586709088</v>
      </c>
      <c r="X12" s="140">
        <v>194.58398739030073</v>
      </c>
      <c r="Y12" s="140">
        <v>0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316.39266198884258</v>
      </c>
      <c r="D13" s="140">
        <v>1061.8012438916221</v>
      </c>
      <c r="E13" s="140">
        <v>1048.420774702156</v>
      </c>
      <c r="F13" s="140">
        <v>1268.5527917716011</v>
      </c>
      <c r="G13" s="140">
        <v>762.78149801068571</v>
      </c>
      <c r="H13" s="140">
        <v>1214.9713949804232</v>
      </c>
      <c r="I13" s="140">
        <v>1509.7066899141682</v>
      </c>
      <c r="J13" s="140">
        <v>1336.2951780355986</v>
      </c>
      <c r="K13" s="140">
        <v>385.1581154401398</v>
      </c>
      <c r="L13" s="140">
        <v>414.66777235382142</v>
      </c>
      <c r="M13" s="140">
        <v>1189.1795545509235</v>
      </c>
      <c r="N13" s="140">
        <v>839.7551755744222</v>
      </c>
      <c r="O13" s="140">
        <v>1087.1630983059272</v>
      </c>
      <c r="P13" s="140">
        <v>1175.388092221611</v>
      </c>
      <c r="Q13" s="140">
        <v>977.39072309705693</v>
      </c>
      <c r="R13" s="140">
        <v>662.3647749007115</v>
      </c>
      <c r="S13" s="140">
        <v>626.96822334959097</v>
      </c>
      <c r="T13" s="140">
        <v>719.37387965239679</v>
      </c>
      <c r="U13" s="140">
        <v>901.14714475312246</v>
      </c>
      <c r="V13" s="140">
        <v>653.09961318592309</v>
      </c>
      <c r="W13" s="140">
        <v>713.00091506350043</v>
      </c>
      <c r="X13" s="140">
        <v>840.61136513785789</v>
      </c>
      <c r="Y13" s="140">
        <v>1009.2596689820876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465.193499350146</v>
      </c>
      <c r="D14" s="141">
        <v>672.71458452638478</v>
      </c>
      <c r="E14" s="141">
        <v>436.85182444404205</v>
      </c>
      <c r="F14" s="141">
        <v>579.92535289100488</v>
      </c>
      <c r="G14" s="141">
        <v>0</v>
      </c>
      <c r="H14" s="141">
        <v>519.62831447538383</v>
      </c>
      <c r="I14" s="141">
        <v>1163.6760936262833</v>
      </c>
      <c r="J14" s="141">
        <v>1622.7214170717887</v>
      </c>
      <c r="K14" s="141">
        <v>592.47901785062368</v>
      </c>
      <c r="L14" s="141">
        <v>777.35677014601913</v>
      </c>
      <c r="M14" s="141">
        <v>435.55900500693372</v>
      </c>
      <c r="N14" s="141">
        <v>0</v>
      </c>
      <c r="O14" s="141">
        <v>0</v>
      </c>
      <c r="P14" s="141">
        <v>0</v>
      </c>
      <c r="Q14" s="141">
        <v>0</v>
      </c>
      <c r="R14" s="141">
        <v>52.777845617542617</v>
      </c>
      <c r="S14" s="141">
        <v>163.72522443426237</v>
      </c>
      <c r="T14" s="141">
        <v>92.466656558221175</v>
      </c>
      <c r="U14" s="141">
        <v>113.42607184974626</v>
      </c>
      <c r="V14" s="141">
        <v>252.7371720761989</v>
      </c>
      <c r="W14" s="141">
        <v>347.30328552290842</v>
      </c>
      <c r="X14" s="141">
        <v>236.97175665017699</v>
      </c>
      <c r="Y14" s="141">
        <v>158.00281091531525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1543.1862295813796</v>
      </c>
      <c r="D15" s="143">
        <f t="shared" si="4"/>
        <v>1208.8907151802575</v>
      </c>
      <c r="E15" s="143">
        <f t="shared" si="4"/>
        <v>1839.2052407507215</v>
      </c>
      <c r="F15" s="143">
        <f t="shared" si="4"/>
        <v>1622.4047037722512</v>
      </c>
      <c r="G15" s="143">
        <f t="shared" si="4"/>
        <v>2616.5375054765505</v>
      </c>
      <c r="H15" s="143">
        <f t="shared" si="4"/>
        <v>1794.5467690205003</v>
      </c>
      <c r="I15" s="143">
        <f t="shared" si="4"/>
        <v>1276.0592636752851</v>
      </c>
      <c r="J15" s="143">
        <f t="shared" si="4"/>
        <v>136.58032745320409</v>
      </c>
      <c r="K15" s="143">
        <f t="shared" si="4"/>
        <v>295.25236621000869</v>
      </c>
      <c r="L15" s="143">
        <f t="shared" si="4"/>
        <v>471.91385194898442</v>
      </c>
      <c r="M15" s="143">
        <f t="shared" si="4"/>
        <v>1171.8140007242257</v>
      </c>
      <c r="N15" s="143">
        <f t="shared" si="4"/>
        <v>757.2833185516572</v>
      </c>
      <c r="O15" s="143">
        <f t="shared" si="4"/>
        <v>631.24245260426335</v>
      </c>
      <c r="P15" s="143">
        <f t="shared" si="4"/>
        <v>746.85464070833154</v>
      </c>
      <c r="Q15" s="143">
        <f t="shared" si="4"/>
        <v>1367.6536530733483</v>
      </c>
      <c r="R15" s="143">
        <f t="shared" ref="R15:W15" si="5">SUM(R5:R12)</f>
        <v>1087.1484346992445</v>
      </c>
      <c r="S15" s="143">
        <f t="shared" si="5"/>
        <v>1029.0764820636607</v>
      </c>
      <c r="T15" s="143">
        <f t="shared" si="5"/>
        <v>990.12570657573065</v>
      </c>
      <c r="U15" s="143">
        <f t="shared" si="5"/>
        <v>739.46102059015482</v>
      </c>
      <c r="V15" s="143">
        <f t="shared" si="5"/>
        <v>740.84154660903471</v>
      </c>
      <c r="W15" s="143">
        <f t="shared" si="5"/>
        <v>493.21556214155413</v>
      </c>
      <c r="X15" s="143">
        <f t="shared" ref="X15:Y15" si="6">SUM(X5:X12)</f>
        <v>359.04411122658792</v>
      </c>
      <c r="Y15" s="143">
        <f t="shared" si="6"/>
        <v>152.63629866489219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2002.7081327243961</v>
      </c>
      <c r="D16" s="139">
        <f t="shared" si="7"/>
        <v>1971.8021315394108</v>
      </c>
      <c r="E16" s="139">
        <f t="shared" si="7"/>
        <v>2597.1630838482993</v>
      </c>
      <c r="F16" s="139">
        <f t="shared" si="7"/>
        <v>3352.700712885799</v>
      </c>
      <c r="G16" s="139">
        <f t="shared" si="7"/>
        <v>2915.9008197836852</v>
      </c>
      <c r="H16" s="139">
        <f t="shared" si="7"/>
        <v>3380.9976447086178</v>
      </c>
      <c r="I16" s="139">
        <f t="shared" si="7"/>
        <v>3949.4420472157371</v>
      </c>
      <c r="J16" s="139">
        <f t="shared" si="7"/>
        <v>3095.5969225605913</v>
      </c>
      <c r="K16" s="139">
        <f t="shared" si="7"/>
        <v>1272.8894995007722</v>
      </c>
      <c r="L16" s="139">
        <f t="shared" si="7"/>
        <v>1663.938394448825</v>
      </c>
      <c r="M16" s="139">
        <f t="shared" si="7"/>
        <v>2796.552560282083</v>
      </c>
      <c r="N16" s="139">
        <f t="shared" si="7"/>
        <v>1597.0384941260793</v>
      </c>
      <c r="O16" s="139">
        <f t="shared" si="7"/>
        <v>1718.4055509101906</v>
      </c>
      <c r="P16" s="139">
        <f t="shared" si="7"/>
        <v>1922.2427329299426</v>
      </c>
      <c r="Q16" s="139">
        <f t="shared" si="7"/>
        <v>2345.044376170405</v>
      </c>
      <c r="R16" s="139">
        <f t="shared" ref="R16:W16" si="8">SUM(R17:R18)</f>
        <v>1802.2910552174988</v>
      </c>
      <c r="S16" s="139">
        <f t="shared" si="8"/>
        <v>1819.7699298475143</v>
      </c>
      <c r="T16" s="139">
        <f t="shared" si="8"/>
        <v>1801.9662427863486</v>
      </c>
      <c r="U16" s="139">
        <f t="shared" si="8"/>
        <v>1754.0342371930235</v>
      </c>
      <c r="V16" s="139">
        <f t="shared" si="8"/>
        <v>1646.6783318711566</v>
      </c>
      <c r="W16" s="139">
        <f t="shared" si="8"/>
        <v>1553.5197627279629</v>
      </c>
      <c r="X16" s="139">
        <f t="shared" ref="X16:Y16" si="9">SUM(X17:X18)</f>
        <v>1436.6272330146228</v>
      </c>
      <c r="Y16" s="139">
        <f t="shared" si="9"/>
        <v>1319.8987785622951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2002.7081327243961</v>
      </c>
      <c r="D18" s="140">
        <v>1971.8021315394108</v>
      </c>
      <c r="E18" s="140">
        <v>2597.1630838482993</v>
      </c>
      <c r="F18" s="140">
        <v>3352.700712885799</v>
      </c>
      <c r="G18" s="140">
        <v>2915.9008197836852</v>
      </c>
      <c r="H18" s="140">
        <v>3380.9976447086178</v>
      </c>
      <c r="I18" s="140">
        <v>3949.4420472157371</v>
      </c>
      <c r="J18" s="140">
        <v>3095.5969225605913</v>
      </c>
      <c r="K18" s="140">
        <v>1272.8894995007722</v>
      </c>
      <c r="L18" s="140">
        <v>1663.938394448825</v>
      </c>
      <c r="M18" s="140">
        <v>2796.552560282083</v>
      </c>
      <c r="N18" s="140">
        <v>1597.0384941260793</v>
      </c>
      <c r="O18" s="140">
        <v>1718.4055509101906</v>
      </c>
      <c r="P18" s="140">
        <v>1922.2427329299426</v>
      </c>
      <c r="Q18" s="140">
        <v>2345.044376170405</v>
      </c>
      <c r="R18" s="140">
        <v>1802.2910552174988</v>
      </c>
      <c r="S18" s="140">
        <v>1819.7699298475143</v>
      </c>
      <c r="T18" s="140">
        <v>1801.9662427863486</v>
      </c>
      <c r="U18" s="140">
        <v>1754.0342371930235</v>
      </c>
      <c r="V18" s="140">
        <v>1646.6783318711566</v>
      </c>
      <c r="W18" s="140">
        <v>1553.5197627279629</v>
      </c>
      <c r="X18" s="140">
        <v>1436.6272330146228</v>
      </c>
      <c r="Y18" s="140">
        <v>1319.8987785622951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2324.7723909203678</v>
      </c>
      <c r="D19" s="139">
        <f t="shared" si="10"/>
        <v>2943.4065435982639</v>
      </c>
      <c r="E19" s="139">
        <f t="shared" si="10"/>
        <v>3324.4778398969192</v>
      </c>
      <c r="F19" s="139">
        <f t="shared" si="10"/>
        <v>3470.8828484348569</v>
      </c>
      <c r="G19" s="139">
        <f t="shared" si="10"/>
        <v>3379.3190034872359</v>
      </c>
      <c r="H19" s="139">
        <f t="shared" si="10"/>
        <v>3529.1464784763075</v>
      </c>
      <c r="I19" s="139">
        <f t="shared" si="10"/>
        <v>3949.4420472157371</v>
      </c>
      <c r="J19" s="139">
        <f t="shared" si="10"/>
        <v>3095.5969225605913</v>
      </c>
      <c r="K19" s="139">
        <f t="shared" si="10"/>
        <v>1272.8894995007722</v>
      </c>
      <c r="L19" s="139">
        <f t="shared" si="10"/>
        <v>1663.9383944488247</v>
      </c>
      <c r="M19" s="139">
        <f t="shared" si="10"/>
        <v>2796.5525602820826</v>
      </c>
      <c r="N19" s="139">
        <f t="shared" si="10"/>
        <v>1597.0384941260795</v>
      </c>
      <c r="O19" s="139">
        <f t="shared" si="10"/>
        <v>1718.4055509101904</v>
      </c>
      <c r="P19" s="139">
        <f t="shared" si="10"/>
        <v>1922.2427329299428</v>
      </c>
      <c r="Q19" s="139">
        <f t="shared" si="10"/>
        <v>2345.044376170405</v>
      </c>
      <c r="R19" s="139">
        <f t="shared" ref="R19:W19" si="11">SUM(R20:R26)</f>
        <v>1802.2910552174985</v>
      </c>
      <c r="S19" s="139">
        <f t="shared" si="11"/>
        <v>1819.7699298475145</v>
      </c>
      <c r="T19" s="139">
        <f t="shared" si="11"/>
        <v>1801.9662427863486</v>
      </c>
      <c r="U19" s="139">
        <f t="shared" si="11"/>
        <v>1754.0342371930233</v>
      </c>
      <c r="V19" s="139">
        <f t="shared" si="11"/>
        <v>1646.6783318711566</v>
      </c>
      <c r="W19" s="139">
        <f t="shared" si="11"/>
        <v>1553.5197627279626</v>
      </c>
      <c r="X19" s="139">
        <f t="shared" ref="X19:Y19" si="12">SUM(X20:X26)</f>
        <v>1436.6272330146228</v>
      </c>
      <c r="Y19" s="139">
        <f t="shared" si="12"/>
        <v>1319.8987785622949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135.17045185163482</v>
      </c>
      <c r="D22" s="140">
        <v>87.065892445831665</v>
      </c>
      <c r="E22" s="140">
        <v>8.794986899170592</v>
      </c>
      <c r="F22" s="140">
        <v>0</v>
      </c>
      <c r="G22" s="140">
        <v>0</v>
      </c>
      <c r="H22" s="140">
        <v>48.574677399640528</v>
      </c>
      <c r="I22" s="140">
        <v>203.00567160317738</v>
      </c>
      <c r="J22" s="140">
        <v>169.70658107791192</v>
      </c>
      <c r="K22" s="140">
        <v>76.111375246710764</v>
      </c>
      <c r="L22" s="140">
        <v>78.97369371696017</v>
      </c>
      <c r="M22" s="140">
        <v>101.4327076011882</v>
      </c>
      <c r="N22" s="140">
        <v>34.633169921107999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0.13220681303653486</v>
      </c>
      <c r="W22" s="140">
        <v>31.404947897488348</v>
      </c>
      <c r="X22" s="140">
        <v>59.353278252206714</v>
      </c>
      <c r="Y22" s="140">
        <v>90.156787584892172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181.01175065813544</v>
      </c>
      <c r="D23" s="140">
        <v>403.90088706658838</v>
      </c>
      <c r="E23" s="140">
        <v>531.48278952234273</v>
      </c>
      <c r="F23" s="140">
        <v>625.70014100253513</v>
      </c>
      <c r="G23" s="140">
        <v>736.26417582008037</v>
      </c>
      <c r="H23" s="140">
        <v>844.36393727880159</v>
      </c>
      <c r="I23" s="140">
        <v>863.77284049836294</v>
      </c>
      <c r="J23" s="140">
        <v>567.05056160840036</v>
      </c>
      <c r="K23" s="140">
        <v>202.88014709191376</v>
      </c>
      <c r="L23" s="140">
        <v>173.22414323735163</v>
      </c>
      <c r="M23" s="140">
        <v>216.43106967246842</v>
      </c>
      <c r="N23" s="140">
        <v>141.65127335929003</v>
      </c>
      <c r="O23" s="140">
        <v>165.2111044157954</v>
      </c>
      <c r="P23" s="140">
        <v>284.81182642951086</v>
      </c>
      <c r="Q23" s="140">
        <v>323.12637204951932</v>
      </c>
      <c r="R23" s="140">
        <v>277.84838688769128</v>
      </c>
      <c r="S23" s="140">
        <v>282.50227500876065</v>
      </c>
      <c r="T23" s="140">
        <v>296.41962328831806</v>
      </c>
      <c r="U23" s="140">
        <v>271.13191878319554</v>
      </c>
      <c r="V23" s="140">
        <v>188.89955817283817</v>
      </c>
      <c r="W23" s="140">
        <v>151.98354856293162</v>
      </c>
      <c r="X23" s="140">
        <v>136.15495002945406</v>
      </c>
      <c r="Y23" s="140">
        <v>116.81926533008149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691.85178073315126</v>
      </c>
      <c r="D25" s="140">
        <v>1005.8836693271587</v>
      </c>
      <c r="E25" s="140">
        <v>1111.0834029020996</v>
      </c>
      <c r="F25" s="140">
        <v>1063.6389259929963</v>
      </c>
      <c r="G25" s="140">
        <v>903.18156103120839</v>
      </c>
      <c r="H25" s="140">
        <v>783.08097523778713</v>
      </c>
      <c r="I25" s="140">
        <v>743.40700547414883</v>
      </c>
      <c r="J25" s="140">
        <v>593.43983834715289</v>
      </c>
      <c r="K25" s="140">
        <v>270.81975282784873</v>
      </c>
      <c r="L25" s="140">
        <v>340.45022397451095</v>
      </c>
      <c r="M25" s="140">
        <v>620.92778158490341</v>
      </c>
      <c r="N25" s="140">
        <v>464.67577610684884</v>
      </c>
      <c r="O25" s="140">
        <v>512.86340307473188</v>
      </c>
      <c r="P25" s="140">
        <v>503.51595958655184</v>
      </c>
      <c r="Q25" s="140">
        <v>594.84519918034891</v>
      </c>
      <c r="R25" s="140">
        <v>518.03910364697617</v>
      </c>
      <c r="S25" s="140">
        <v>501.06057243425562</v>
      </c>
      <c r="T25" s="140">
        <v>494.65811133053313</v>
      </c>
      <c r="U25" s="140">
        <v>456.62843164128532</v>
      </c>
      <c r="V25" s="140">
        <v>539.3807873849438</v>
      </c>
      <c r="W25" s="140">
        <v>448.74507545385109</v>
      </c>
      <c r="X25" s="140">
        <v>466.07685950292768</v>
      </c>
      <c r="Y25" s="140">
        <v>369.75143341461575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1316.7384076774465</v>
      </c>
      <c r="D26" s="141">
        <v>1446.5560947586853</v>
      </c>
      <c r="E26" s="141">
        <v>1673.1166605733065</v>
      </c>
      <c r="F26" s="141">
        <v>1781.5437814393256</v>
      </c>
      <c r="G26" s="141">
        <v>1739.8732666359474</v>
      </c>
      <c r="H26" s="141">
        <v>1853.1268885600782</v>
      </c>
      <c r="I26" s="141">
        <v>2139.256529640048</v>
      </c>
      <c r="J26" s="141">
        <v>1765.3999415271262</v>
      </c>
      <c r="K26" s="141">
        <v>723.07822433429897</v>
      </c>
      <c r="L26" s="141">
        <v>1071.2903335200019</v>
      </c>
      <c r="M26" s="141">
        <v>1857.7610014235227</v>
      </c>
      <c r="N26" s="141">
        <v>956.07827473883253</v>
      </c>
      <c r="O26" s="141">
        <v>1040.331043419663</v>
      </c>
      <c r="P26" s="141">
        <v>1133.9149469138802</v>
      </c>
      <c r="Q26" s="141">
        <v>1427.0728049405368</v>
      </c>
      <c r="R26" s="141">
        <v>1006.4035646828311</v>
      </c>
      <c r="S26" s="141">
        <v>1036.2070824044981</v>
      </c>
      <c r="T26" s="141">
        <v>1010.8885081674974</v>
      </c>
      <c r="U26" s="141">
        <v>1026.2738867685425</v>
      </c>
      <c r="V26" s="141">
        <v>918.26577950033811</v>
      </c>
      <c r="W26" s="141">
        <v>921.38619081369166</v>
      </c>
      <c r="X26" s="141">
        <v>775.04214523003429</v>
      </c>
      <c r="Y26" s="141">
        <v>743.17129223270547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1663.9383944488247</v>
      </c>
      <c r="M27" s="150">
        <v>2056.7356360778181</v>
      </c>
      <c r="N27" s="150">
        <v>1020.7947269167784</v>
      </c>
      <c r="O27" s="150">
        <v>1398.6400439718302</v>
      </c>
      <c r="P27" s="150">
        <v>859.26168481202717</v>
      </c>
      <c r="Q27" s="150">
        <v>1551.9419700929157</v>
      </c>
      <c r="R27" s="150">
        <v>1088.7819865269707</v>
      </c>
      <c r="S27" s="150">
        <v>1118.4959762707979</v>
      </c>
      <c r="T27" s="150">
        <v>947.64986155841427</v>
      </c>
      <c r="U27" s="150">
        <v>1042.310755255372</v>
      </c>
      <c r="V27" s="150">
        <v>1339.8294159777224</v>
      </c>
      <c r="W27" s="150">
        <v>653.30775714359731</v>
      </c>
      <c r="X27" s="150">
        <v>942.94570994369485</v>
      </c>
      <c r="Y27" s="150">
        <v>831.3559502666144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2324.7723909203673</v>
      </c>
      <c r="D29" s="139">
        <f t="shared" si="13"/>
        <v>2943.4065435982639</v>
      </c>
      <c r="E29" s="139">
        <f t="shared" si="13"/>
        <v>3324.4778398969202</v>
      </c>
      <c r="F29" s="139">
        <f t="shared" si="13"/>
        <v>3470.8828484348574</v>
      </c>
      <c r="G29" s="139">
        <f t="shared" si="13"/>
        <v>3379.3190034872364</v>
      </c>
      <c r="H29" s="139">
        <f t="shared" si="13"/>
        <v>3529.1464784763075</v>
      </c>
      <c r="I29" s="139">
        <f t="shared" si="13"/>
        <v>3949.4420472157371</v>
      </c>
      <c r="J29" s="139">
        <f t="shared" si="13"/>
        <v>3095.5969225605913</v>
      </c>
      <c r="K29" s="139">
        <f t="shared" si="13"/>
        <v>1272.8894995007722</v>
      </c>
      <c r="L29" s="139">
        <f t="shared" si="13"/>
        <v>1663.938394448825</v>
      </c>
      <c r="M29" s="139">
        <f t="shared" si="13"/>
        <v>2796.5525602820835</v>
      </c>
      <c r="N29" s="139">
        <f t="shared" si="13"/>
        <v>1597.0384941260795</v>
      </c>
      <c r="O29" s="139">
        <f t="shared" si="13"/>
        <v>1718.4055509101904</v>
      </c>
      <c r="P29" s="139">
        <f t="shared" si="13"/>
        <v>1922.2427329299428</v>
      </c>
      <c r="Q29" s="139">
        <f t="shared" si="13"/>
        <v>2345.044376170405</v>
      </c>
      <c r="R29" s="139">
        <f t="shared" ref="R29:W29" si="14">SUM(R30:R33)</f>
        <v>1802.2910552174985</v>
      </c>
      <c r="S29" s="139">
        <f t="shared" si="14"/>
        <v>1819.769929847514</v>
      </c>
      <c r="T29" s="139">
        <f t="shared" si="14"/>
        <v>1801.9662427863486</v>
      </c>
      <c r="U29" s="139">
        <f t="shared" si="14"/>
        <v>1754.0342371930233</v>
      </c>
      <c r="V29" s="139">
        <f t="shared" si="14"/>
        <v>1646.6783318711568</v>
      </c>
      <c r="W29" s="139">
        <f t="shared" si="14"/>
        <v>1553.5197627279629</v>
      </c>
      <c r="X29" s="139">
        <f t="shared" ref="X29:Y29" si="15">SUM(X30:X33)</f>
        <v>1436.6272330146228</v>
      </c>
      <c r="Y29" s="139">
        <f t="shared" si="15"/>
        <v>1319.8987785622951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37.339228368795723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495.89410958912953</v>
      </c>
      <c r="M30" s="140">
        <v>266.37588659996845</v>
      </c>
      <c r="N30" s="140">
        <v>103.06179718196705</v>
      </c>
      <c r="O30" s="140">
        <v>18.041992198721083</v>
      </c>
      <c r="P30" s="140">
        <v>10.357754448435099</v>
      </c>
      <c r="Q30" s="140">
        <v>17.022047006103975</v>
      </c>
      <c r="R30" s="140">
        <v>44.404289097077836</v>
      </c>
      <c r="S30" s="140">
        <v>91.394269366448228</v>
      </c>
      <c r="T30" s="140">
        <v>143.67172129825346</v>
      </c>
      <c r="U30" s="140">
        <v>121.84770515898535</v>
      </c>
      <c r="V30" s="140">
        <v>128.36506878577134</v>
      </c>
      <c r="W30" s="140">
        <v>173.09026108141975</v>
      </c>
      <c r="X30" s="140">
        <v>213.49077295241364</v>
      </c>
      <c r="Y30" s="140">
        <v>127.32336117552221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112.78371993009553</v>
      </c>
      <c r="D31" s="140">
        <v>277.25576804185005</v>
      </c>
      <c r="E31" s="140">
        <v>356.44758431226569</v>
      </c>
      <c r="F31" s="140">
        <v>460.82438675483047</v>
      </c>
      <c r="G31" s="140">
        <v>480.52767993577379</v>
      </c>
      <c r="H31" s="140">
        <v>607.07955261577649</v>
      </c>
      <c r="I31" s="140">
        <v>528.22077584516137</v>
      </c>
      <c r="J31" s="140">
        <v>292.12757408651692</v>
      </c>
      <c r="K31" s="140">
        <v>84.538203759162627</v>
      </c>
      <c r="L31" s="140">
        <v>94.427248773278336</v>
      </c>
      <c r="M31" s="140">
        <v>210.62454691203067</v>
      </c>
      <c r="N31" s="140">
        <v>150.75624280202538</v>
      </c>
      <c r="O31" s="140">
        <v>182.68206094405343</v>
      </c>
      <c r="P31" s="140">
        <v>217.92580929740845</v>
      </c>
      <c r="Q31" s="140">
        <v>238.78200913022681</v>
      </c>
      <c r="R31" s="140">
        <v>165.36001530285938</v>
      </c>
      <c r="S31" s="140">
        <v>135.76509120944243</v>
      </c>
      <c r="T31" s="140">
        <v>117.75265141644718</v>
      </c>
      <c r="U31" s="140">
        <v>102.35226358993282</v>
      </c>
      <c r="V31" s="140">
        <v>104.31089133162061</v>
      </c>
      <c r="W31" s="140">
        <v>93.661456244043421</v>
      </c>
      <c r="X31" s="140">
        <v>74.052209177815001</v>
      </c>
      <c r="Y31" s="140">
        <v>88.060324106179593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559.63386293840983</v>
      </c>
      <c r="K32" s="140">
        <v>60.489348693271651</v>
      </c>
      <c r="L32" s="140">
        <v>19.493518960571077</v>
      </c>
      <c r="M32" s="140">
        <v>0</v>
      </c>
      <c r="N32" s="140">
        <v>0</v>
      </c>
      <c r="O32" s="140">
        <v>0</v>
      </c>
      <c r="P32" s="140">
        <v>0</v>
      </c>
      <c r="Q32" s="140">
        <v>44.610474697495896</v>
      </c>
      <c r="R32" s="140">
        <v>124.42302907889092</v>
      </c>
      <c r="S32" s="140">
        <v>294.5960262312928</v>
      </c>
      <c r="T32" s="140">
        <v>360.1028279341142</v>
      </c>
      <c r="U32" s="140">
        <v>296.63233011528041</v>
      </c>
      <c r="V32" s="140">
        <v>225.61455679069687</v>
      </c>
      <c r="W32" s="140">
        <v>142.49838978977195</v>
      </c>
      <c r="X32" s="140">
        <v>93.397691767169206</v>
      </c>
      <c r="Y32" s="140">
        <v>61.462536249164188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2174.6494426214763</v>
      </c>
      <c r="D33" s="152">
        <v>2666.1507755564139</v>
      </c>
      <c r="E33" s="152">
        <v>2968.0302555846542</v>
      </c>
      <c r="F33" s="152">
        <v>3010.058461680027</v>
      </c>
      <c r="G33" s="152">
        <v>2898.7913235514625</v>
      </c>
      <c r="H33" s="152">
        <v>2922.0669258605308</v>
      </c>
      <c r="I33" s="152">
        <v>3421.2212713705758</v>
      </c>
      <c r="J33" s="152">
        <v>2243.8354855356647</v>
      </c>
      <c r="K33" s="152">
        <v>1127.8619470483379</v>
      </c>
      <c r="L33" s="152">
        <v>1054.1235171258461</v>
      </c>
      <c r="M33" s="152">
        <v>2319.5521267700842</v>
      </c>
      <c r="N33" s="152">
        <v>1343.220454142087</v>
      </c>
      <c r="O33" s="152">
        <v>1517.681497767416</v>
      </c>
      <c r="P33" s="152">
        <v>1693.9591691840992</v>
      </c>
      <c r="Q33" s="152">
        <v>2044.6298453365785</v>
      </c>
      <c r="R33" s="152">
        <v>1468.1037217386704</v>
      </c>
      <c r="S33" s="152">
        <v>1298.0145430403306</v>
      </c>
      <c r="T33" s="152">
        <v>1180.4390421375338</v>
      </c>
      <c r="U33" s="152">
        <v>1233.2019383288248</v>
      </c>
      <c r="V33" s="152">
        <v>1188.387814963068</v>
      </c>
      <c r="W33" s="152">
        <v>1144.2696556127278</v>
      </c>
      <c r="X33" s="152">
        <v>1055.686559117225</v>
      </c>
      <c r="Y33" s="152">
        <v>1043.0525570314292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18.666354198012336</v>
      </c>
      <c r="D3" s="125">
        <f t="shared" si="0"/>
        <v>19.799364092028252</v>
      </c>
      <c r="E3" s="125">
        <f t="shared" si="0"/>
        <v>23.423111927806797</v>
      </c>
      <c r="F3" s="125">
        <f t="shared" si="0"/>
        <v>21.05849256496937</v>
      </c>
      <c r="G3" s="125">
        <f t="shared" si="0"/>
        <v>27.230047304238276</v>
      </c>
      <c r="H3" s="125">
        <f t="shared" si="0"/>
        <v>27.460239998421677</v>
      </c>
      <c r="I3" s="125">
        <f t="shared" si="0"/>
        <v>27.994973539798842</v>
      </c>
      <c r="J3" s="125">
        <f t="shared" si="0"/>
        <v>21.643348854247307</v>
      </c>
      <c r="K3" s="125">
        <f t="shared" si="0"/>
        <v>8.2903913438728303</v>
      </c>
      <c r="L3" s="125">
        <f t="shared" si="0"/>
        <v>11.945478273518834</v>
      </c>
      <c r="M3" s="125">
        <f t="shared" si="0"/>
        <v>17.780720695872812</v>
      </c>
      <c r="N3" s="125">
        <f t="shared" si="0"/>
        <v>10.831611071295637</v>
      </c>
      <c r="O3" s="125">
        <f t="shared" si="0"/>
        <v>8.5480094900493064</v>
      </c>
      <c r="P3" s="125">
        <f t="shared" si="0"/>
        <v>9.0101051540596266</v>
      </c>
      <c r="Q3" s="125">
        <f t="shared" si="0"/>
        <v>13.41719987371054</v>
      </c>
      <c r="R3" s="125">
        <f t="shared" ref="R3:W3" si="1">SUM(R4,R16,R19,R29)</f>
        <v>10.193127778081085</v>
      </c>
      <c r="S3" s="125">
        <f t="shared" si="1"/>
        <v>11.426513701299875</v>
      </c>
      <c r="T3" s="125">
        <f t="shared" si="1"/>
        <v>11.40291592802814</v>
      </c>
      <c r="U3" s="125">
        <f t="shared" si="1"/>
        <v>9.7085707966677521</v>
      </c>
      <c r="V3" s="125">
        <f t="shared" si="1"/>
        <v>7.1525781211941011</v>
      </c>
      <c r="W3" s="125">
        <f t="shared" si="1"/>
        <v>7.8225763637267569</v>
      </c>
      <c r="X3" s="125">
        <f t="shared" ref="X3:Y3" si="2">SUM(X4,X16,X19,X29)</f>
        <v>6.3425598619030321</v>
      </c>
      <c r="Y3" s="125">
        <f t="shared" si="2"/>
        <v>5.4311846229624363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10.02322398775978</v>
      </c>
      <c r="D4" s="130">
        <f t="shared" si="3"/>
        <v>10.333030762221799</v>
      </c>
      <c r="E4" s="130">
        <f t="shared" si="3"/>
        <v>12.42346577493076</v>
      </c>
      <c r="F4" s="130">
        <f t="shared" si="3"/>
        <v>9.8107001022756375</v>
      </c>
      <c r="G4" s="130">
        <f t="shared" si="3"/>
        <v>16.671360793383311</v>
      </c>
      <c r="H4" s="130">
        <f t="shared" si="3"/>
        <v>15.842824093920679</v>
      </c>
      <c r="I4" s="130">
        <f t="shared" si="3"/>
        <v>13.023752015468798</v>
      </c>
      <c r="J4" s="130">
        <f t="shared" si="3"/>
        <v>10.783556061176258</v>
      </c>
      <c r="K4" s="130">
        <f t="shared" si="3"/>
        <v>4.1640166673726045</v>
      </c>
      <c r="L4" s="130">
        <f t="shared" si="3"/>
        <v>6.4402913640508404</v>
      </c>
      <c r="M4" s="130">
        <f t="shared" si="3"/>
        <v>9.2971860050433381</v>
      </c>
      <c r="N4" s="130">
        <f t="shared" si="3"/>
        <v>5.0367481547390742</v>
      </c>
      <c r="O4" s="130">
        <f t="shared" si="3"/>
        <v>3.5291015493945936</v>
      </c>
      <c r="P4" s="130">
        <f t="shared" si="3"/>
        <v>3.4400557530210367</v>
      </c>
      <c r="Q4" s="130">
        <f t="shared" si="3"/>
        <v>6.4076986168760195</v>
      </c>
      <c r="R4" s="130">
        <f t="shared" ref="R4:W4" si="4">SUM(R5:R15)</f>
        <v>4.9299155809482853</v>
      </c>
      <c r="S4" s="130">
        <f t="shared" si="4"/>
        <v>5.9097361441477378</v>
      </c>
      <c r="T4" s="130">
        <f t="shared" si="4"/>
        <v>5.9693755103999226</v>
      </c>
      <c r="U4" s="130">
        <f t="shared" si="4"/>
        <v>4.476020631465861</v>
      </c>
      <c r="V4" s="130">
        <f t="shared" si="4"/>
        <v>3.0144797869324509</v>
      </c>
      <c r="W4" s="130">
        <f t="shared" si="4"/>
        <v>3.3904802750398546</v>
      </c>
      <c r="X4" s="130">
        <f t="shared" ref="X4:Y4" si="5">SUM(X5:X15)</f>
        <v>2.2218393724631178</v>
      </c>
      <c r="Y4" s="130">
        <f t="shared" si="5"/>
        <v>1.5546983239934393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0.17911249366068693</v>
      </c>
      <c r="D5" s="132">
        <v>0.47698483800618829</v>
      </c>
      <c r="E5" s="132">
        <v>0.35449280363318181</v>
      </c>
      <c r="F5" s="132">
        <v>0.10944333731856744</v>
      </c>
      <c r="G5" s="132">
        <v>0</v>
      </c>
      <c r="H5" s="132">
        <v>0</v>
      </c>
      <c r="I5" s="132">
        <v>0</v>
      </c>
      <c r="J5" s="132">
        <v>6.1938324881313664E-2</v>
      </c>
      <c r="K5" s="132">
        <v>2.1388281559888662E-2</v>
      </c>
      <c r="L5" s="132">
        <v>1.4776665823512324E-2</v>
      </c>
      <c r="M5" s="132">
        <v>0.1015741313726933</v>
      </c>
      <c r="N5" s="132">
        <v>4.7088897478065765E-2</v>
      </c>
      <c r="O5" s="132">
        <v>6.9084690460423231E-2</v>
      </c>
      <c r="P5" s="132">
        <v>2.011895072092235E-2</v>
      </c>
      <c r="Q5" s="132">
        <v>0.12819768907786033</v>
      </c>
      <c r="R5" s="132">
        <v>9.990545932153734E-2</v>
      </c>
      <c r="S5" s="132">
        <v>3.4181143214496848E-2</v>
      </c>
      <c r="T5" s="132">
        <v>5.5638924896029328E-3</v>
      </c>
      <c r="U5" s="132">
        <v>1.7363893784659665E-2</v>
      </c>
      <c r="V5" s="132">
        <v>0</v>
      </c>
      <c r="W5" s="132">
        <v>0</v>
      </c>
      <c r="X5" s="132">
        <v>0</v>
      </c>
      <c r="Y5" s="132">
        <v>0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0.92628987845631527</v>
      </c>
      <c r="D7" s="132">
        <v>0</v>
      </c>
      <c r="E7" s="132">
        <v>0</v>
      </c>
      <c r="F7" s="132">
        <v>0</v>
      </c>
      <c r="G7" s="132">
        <v>0</v>
      </c>
      <c r="H7" s="132">
        <v>0.40823768733389126</v>
      </c>
      <c r="I7" s="132">
        <v>0</v>
      </c>
      <c r="J7" s="132">
        <v>0</v>
      </c>
      <c r="K7" s="132">
        <v>0.43970362687351122</v>
      </c>
      <c r="L7" s="132">
        <v>0.47592040211422659</v>
      </c>
      <c r="M7" s="132">
        <v>0</v>
      </c>
      <c r="N7" s="132">
        <v>0.4102242735045103</v>
      </c>
      <c r="O7" s="132">
        <v>0.56642815033310578</v>
      </c>
      <c r="P7" s="132">
        <v>0.21371748512590288</v>
      </c>
      <c r="Q7" s="132">
        <v>1.9359693209598636</v>
      </c>
      <c r="R7" s="132">
        <v>0.248975128325988</v>
      </c>
      <c r="S7" s="132">
        <v>0</v>
      </c>
      <c r="T7" s="132">
        <v>0</v>
      </c>
      <c r="U7" s="132">
        <v>0</v>
      </c>
      <c r="V7" s="132">
        <v>0</v>
      </c>
      <c r="W7" s="132">
        <v>4.1648781102580926E-2</v>
      </c>
      <c r="X7" s="132">
        <v>0.14370755687493678</v>
      </c>
      <c r="Y7" s="132">
        <v>0.42075479538338806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0.66817214317769746</v>
      </c>
      <c r="D9" s="132">
        <v>0.93297390915334044</v>
      </c>
      <c r="E9" s="132">
        <v>1.2508597595694955</v>
      </c>
      <c r="F9" s="132">
        <v>1.3396993502334402</v>
      </c>
      <c r="G9" s="132">
        <v>2.0637923357297967</v>
      </c>
      <c r="H9" s="132">
        <v>4.8683911738288161</v>
      </c>
      <c r="I9" s="132">
        <v>2.4898843330087179</v>
      </c>
      <c r="J9" s="132">
        <v>0.87313595334664273</v>
      </c>
      <c r="K9" s="132">
        <v>0.34370915451238304</v>
      </c>
      <c r="L9" s="132">
        <v>0.58945739363082306</v>
      </c>
      <c r="M9" s="132">
        <v>0.50843663763360114</v>
      </c>
      <c r="N9" s="132">
        <v>0.62214398056950748</v>
      </c>
      <c r="O9" s="132">
        <v>0.48297114394064372</v>
      </c>
      <c r="P9" s="132">
        <v>1.0964852080444145</v>
      </c>
      <c r="Q9" s="132">
        <v>1.2323679943710184</v>
      </c>
      <c r="R9" s="132">
        <v>0.80034245293505946</v>
      </c>
      <c r="S9" s="132">
        <v>0.53116783764804809</v>
      </c>
      <c r="T9" s="132">
        <v>0.49578737795982575</v>
      </c>
      <c r="U9" s="132">
        <v>0.51509741683665222</v>
      </c>
      <c r="V9" s="132">
        <v>0.63090043303491894</v>
      </c>
      <c r="W9" s="132">
        <v>0.52194619062715708</v>
      </c>
      <c r="X9" s="132">
        <v>0.14716193771891534</v>
      </c>
      <c r="Y9" s="132">
        <v>0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0.22941817232932848</v>
      </c>
      <c r="E10" s="132">
        <v>0.75218166398988584</v>
      </c>
      <c r="F10" s="132">
        <v>0.43690751075722301</v>
      </c>
      <c r="G10" s="132">
        <v>0.72740540864052128</v>
      </c>
      <c r="H10" s="132">
        <v>1.2574283674608262</v>
      </c>
      <c r="I10" s="132">
        <v>0.55427188665251903</v>
      </c>
      <c r="J10" s="132">
        <v>0</v>
      </c>
      <c r="K10" s="132">
        <v>0</v>
      </c>
      <c r="L10" s="132">
        <v>0.12255732960901036</v>
      </c>
      <c r="M10" s="132">
        <v>0.55607137597417355</v>
      </c>
      <c r="N10" s="132">
        <v>1.6301453397971322</v>
      </c>
      <c r="O10" s="132">
        <v>0.28836427033943596</v>
      </c>
      <c r="P10" s="132">
        <v>0</v>
      </c>
      <c r="Q10" s="132">
        <v>2.103246637437255E-2</v>
      </c>
      <c r="R10" s="132">
        <v>0.18810421595117235</v>
      </c>
      <c r="S10" s="132">
        <v>3.2504092801740603</v>
      </c>
      <c r="T10" s="132">
        <v>3.3032969112899311</v>
      </c>
      <c r="U10" s="132">
        <v>1.9752457216232209</v>
      </c>
      <c r="V10" s="132">
        <v>0.44749518976904984</v>
      </c>
      <c r="W10" s="132">
        <v>0.35019596933370073</v>
      </c>
      <c r="X10" s="132">
        <v>9.52632015640381E-2</v>
      </c>
      <c r="Y10" s="132">
        <v>0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12.557897319657439</v>
      </c>
      <c r="H11" s="132">
        <v>3.7603183652123424</v>
      </c>
      <c r="I11" s="132">
        <v>2.4732775130870293</v>
      </c>
      <c r="J11" s="132">
        <v>2.8434847008291606E-2</v>
      </c>
      <c r="K11" s="132">
        <v>2.7102172315593968E-2</v>
      </c>
      <c r="L11" s="132">
        <v>0</v>
      </c>
      <c r="M11" s="132">
        <v>0</v>
      </c>
      <c r="N11" s="132">
        <v>0.25685608330366788</v>
      </c>
      <c r="O11" s="132">
        <v>0.33265740713147424</v>
      </c>
      <c r="P11" s="132">
        <v>0.32326240817608992</v>
      </c>
      <c r="Q11" s="132">
        <v>0.3163033748940679</v>
      </c>
      <c r="R11" s="132">
        <v>0.10655386822514981</v>
      </c>
      <c r="S11" s="132">
        <v>0.24936615551968691</v>
      </c>
      <c r="T11" s="132">
        <v>0.3751873020988547</v>
      </c>
      <c r="U11" s="132">
        <v>0.53769363701170003</v>
      </c>
      <c r="V11" s="132">
        <v>0.57514194335487556</v>
      </c>
      <c r="W11" s="132">
        <v>0.64583495871201102</v>
      </c>
      <c r="X11" s="132">
        <v>0.13384639277238106</v>
      </c>
      <c r="Y11" s="132">
        <v>0.10180111201812354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5.9790968013377261</v>
      </c>
      <c r="D12" s="132">
        <v>3.6208844092303338</v>
      </c>
      <c r="E12" s="132">
        <v>5.9179071354515997</v>
      </c>
      <c r="F12" s="132">
        <v>3.9871844670368346</v>
      </c>
      <c r="G12" s="132">
        <v>0</v>
      </c>
      <c r="H12" s="132">
        <v>0.41871177190239611</v>
      </c>
      <c r="I12" s="132">
        <v>0.55291050296953681</v>
      </c>
      <c r="J12" s="132">
        <v>0</v>
      </c>
      <c r="K12" s="132">
        <v>0.56836485655817093</v>
      </c>
      <c r="L12" s="132">
        <v>0.91191607437822875</v>
      </c>
      <c r="M12" s="132">
        <v>4.1924859293182992</v>
      </c>
      <c r="N12" s="132">
        <v>1.1605557110136486</v>
      </c>
      <c r="O12" s="132">
        <v>0.60915823840401861</v>
      </c>
      <c r="P12" s="132">
        <v>0.74718712557864497</v>
      </c>
      <c r="Q12" s="132">
        <v>1.888284135671757</v>
      </c>
      <c r="R12" s="132">
        <v>2.6913216662266319</v>
      </c>
      <c r="S12" s="132">
        <v>0.75722783682658001</v>
      </c>
      <c r="T12" s="132">
        <v>0.88597075164914918</v>
      </c>
      <c r="U12" s="132">
        <v>0.21424385208412128</v>
      </c>
      <c r="V12" s="132">
        <v>0.55314723598471571</v>
      </c>
      <c r="W12" s="132">
        <v>8.6261517570813045E-2</v>
      </c>
      <c r="X12" s="132">
        <v>0.46701444582188445</v>
      </c>
      <c r="Y12" s="132">
        <v>0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0.45670733382041251</v>
      </c>
      <c r="D13" s="132">
        <v>1.785009363095388</v>
      </c>
      <c r="E13" s="132">
        <v>1.8741058022883565</v>
      </c>
      <c r="F13" s="132">
        <v>1.9785847821690308</v>
      </c>
      <c r="G13" s="132">
        <v>1.2537696987801825</v>
      </c>
      <c r="H13" s="132">
        <v>2.176385282247427</v>
      </c>
      <c r="I13" s="132">
        <v>2.3334590216333719</v>
      </c>
      <c r="J13" s="132">
        <v>1.8239662527606604</v>
      </c>
      <c r="K13" s="132">
        <v>0.53387308586605509</v>
      </c>
      <c r="L13" s="132">
        <v>0.58356936773200918</v>
      </c>
      <c r="M13" s="132">
        <v>1.4909710679755006</v>
      </c>
      <c r="N13" s="132">
        <v>0.88863912642711262</v>
      </c>
      <c r="O13" s="132">
        <v>1.1656474814212909</v>
      </c>
      <c r="P13" s="132">
        <v>1.0221530982183711</v>
      </c>
      <c r="Q13" s="132">
        <v>0.84451472521858995</v>
      </c>
      <c r="R13" s="132">
        <v>0.54645066252466257</v>
      </c>
      <c r="S13" s="132">
        <v>0.49400146983674015</v>
      </c>
      <c r="T13" s="132">
        <v>0.52843045452296622</v>
      </c>
      <c r="U13" s="132">
        <v>0.65748105820259584</v>
      </c>
      <c r="V13" s="132">
        <v>0.44964453878794314</v>
      </c>
      <c r="W13" s="132">
        <v>0.48883917423433415</v>
      </c>
      <c r="X13" s="132">
        <v>0.55500941030388729</v>
      </c>
      <c r="Y13" s="132">
        <v>0.66877562332458729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1.77768028200575</v>
      </c>
      <c r="D14" s="65">
        <v>3.2631157694784072</v>
      </c>
      <c r="E14" s="65">
        <v>2.2371541630346901</v>
      </c>
      <c r="F14" s="65">
        <v>1.9307988987053326</v>
      </c>
      <c r="G14" s="65">
        <v>0</v>
      </c>
      <c r="H14" s="65">
        <v>2.8845874940102285</v>
      </c>
      <c r="I14" s="65">
        <v>4.5837269281229505</v>
      </c>
      <c r="J14" s="65">
        <v>7.9876054388542483</v>
      </c>
      <c r="K14" s="65">
        <v>2.2208764859820667</v>
      </c>
      <c r="L14" s="65">
        <v>3.7290097950907115</v>
      </c>
      <c r="M14" s="65">
        <v>2.4267257377730003</v>
      </c>
      <c r="N14" s="65">
        <v>0</v>
      </c>
      <c r="O14" s="65">
        <v>0</v>
      </c>
      <c r="P14" s="65">
        <v>0</v>
      </c>
      <c r="Q14" s="65">
        <v>0</v>
      </c>
      <c r="R14" s="65">
        <v>0.226945790153504</v>
      </c>
      <c r="S14" s="65">
        <v>0.57134425511532505</v>
      </c>
      <c r="T14" s="65">
        <v>0.35267319608180314</v>
      </c>
      <c r="U14" s="65">
        <v>0.54297576306874695</v>
      </c>
      <c r="V14" s="65">
        <v>0.34573462220794832</v>
      </c>
      <c r="W14" s="65">
        <v>1.2456983937704273</v>
      </c>
      <c r="X14" s="65">
        <v>0.67447418502322865</v>
      </c>
      <c r="Y14" s="65">
        <v>0.35871967565776125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3.6165055301190185E-2</v>
      </c>
      <c r="D15" s="134">
        <v>2.4644300928813132E-2</v>
      </c>
      <c r="E15" s="134">
        <v>3.6764446963550329E-2</v>
      </c>
      <c r="F15" s="134">
        <v>2.8081756055209173E-2</v>
      </c>
      <c r="G15" s="134">
        <v>6.8496030575372679E-2</v>
      </c>
      <c r="H15" s="134">
        <v>6.8763951924752043E-2</v>
      </c>
      <c r="I15" s="134">
        <v>3.6221829994673473E-2</v>
      </c>
      <c r="J15" s="134">
        <v>8.4752443251021378E-3</v>
      </c>
      <c r="K15" s="134">
        <v>8.9990037049350134E-3</v>
      </c>
      <c r="L15" s="134">
        <v>1.308433567231837E-2</v>
      </c>
      <c r="M15" s="134">
        <v>2.0921124996069254E-2</v>
      </c>
      <c r="N15" s="134">
        <v>2.1094742645429571E-2</v>
      </c>
      <c r="O15" s="134">
        <v>1.4790167364201356E-2</v>
      </c>
      <c r="P15" s="134">
        <v>1.7131477156691076E-2</v>
      </c>
      <c r="Q15" s="134">
        <v>4.1028910308489784E-2</v>
      </c>
      <c r="R15" s="134">
        <v>2.1316337284579892E-2</v>
      </c>
      <c r="S15" s="134">
        <v>2.2038165812800107E-2</v>
      </c>
      <c r="T15" s="134">
        <v>2.2465624307788538E-2</v>
      </c>
      <c r="U15" s="134">
        <v>1.5919288854164514E-2</v>
      </c>
      <c r="V15" s="134">
        <v>1.2415823792998836E-2</v>
      </c>
      <c r="W15" s="134">
        <v>1.0055289688830245E-2</v>
      </c>
      <c r="X15" s="134">
        <v>5.3622423838460892E-3</v>
      </c>
      <c r="Y15" s="134">
        <v>4.6471176095789664E-3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2.2570960431146658</v>
      </c>
      <c r="D16" s="130">
        <f t="shared" si="6"/>
        <v>1.5672956567582166</v>
      </c>
      <c r="E16" s="130">
        <f t="shared" si="6"/>
        <v>2.1860286791673471</v>
      </c>
      <c r="F16" s="130">
        <f t="shared" si="6"/>
        <v>2.1226214399626073</v>
      </c>
      <c r="G16" s="130">
        <f t="shared" si="6"/>
        <v>1.7864022618919129</v>
      </c>
      <c r="H16" s="130">
        <f t="shared" si="6"/>
        <v>2.2979600515362959</v>
      </c>
      <c r="I16" s="130">
        <f t="shared" si="6"/>
        <v>4.6219076133100705</v>
      </c>
      <c r="J16" s="130">
        <f t="shared" si="6"/>
        <v>2.2067672777590168</v>
      </c>
      <c r="K16" s="130">
        <f t="shared" si="6"/>
        <v>0.74678439560788124</v>
      </c>
      <c r="L16" s="130">
        <f t="shared" si="6"/>
        <v>1.1619512942834209</v>
      </c>
      <c r="M16" s="130">
        <f t="shared" si="6"/>
        <v>1.5385068212805491</v>
      </c>
      <c r="N16" s="130">
        <f t="shared" si="6"/>
        <v>1.7272063121367429</v>
      </c>
      <c r="O16" s="130">
        <f t="shared" si="6"/>
        <v>0.84685470902202087</v>
      </c>
      <c r="P16" s="130">
        <f t="shared" si="6"/>
        <v>0.82153651903746294</v>
      </c>
      <c r="Q16" s="130">
        <f t="shared" si="6"/>
        <v>1.3679250535781189</v>
      </c>
      <c r="R16" s="130">
        <f t="shared" ref="R16:W16" si="7">SUM(R17:R18)</f>
        <v>0.92518010663641626</v>
      </c>
      <c r="S16" s="130">
        <f t="shared" si="7"/>
        <v>0.95499067379532321</v>
      </c>
      <c r="T16" s="130">
        <f t="shared" si="7"/>
        <v>0.68574755257671127</v>
      </c>
      <c r="U16" s="130">
        <f t="shared" si="7"/>
        <v>0.7123262627443312</v>
      </c>
      <c r="V16" s="130">
        <f t="shared" si="7"/>
        <v>0.62780503102946639</v>
      </c>
      <c r="W16" s="130">
        <f t="shared" si="7"/>
        <v>0.77904399151800208</v>
      </c>
      <c r="X16" s="130">
        <f t="shared" ref="X16:Y16" si="8">SUM(X17:X18)</f>
        <v>0.61967904717159161</v>
      </c>
      <c r="Y16" s="130">
        <f t="shared" si="8"/>
        <v>0.7072084181904541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2.2570960431146658</v>
      </c>
      <c r="D18" s="132">
        <v>1.5672956567582166</v>
      </c>
      <c r="E18" s="132">
        <v>2.1860286791673471</v>
      </c>
      <c r="F18" s="132">
        <v>2.1226214399626073</v>
      </c>
      <c r="G18" s="132">
        <v>1.7864022618919129</v>
      </c>
      <c r="H18" s="132">
        <v>2.2979600515362959</v>
      </c>
      <c r="I18" s="132">
        <v>4.6219076133100705</v>
      </c>
      <c r="J18" s="132">
        <v>2.2067672777590168</v>
      </c>
      <c r="K18" s="132">
        <v>0.74678439560788124</v>
      </c>
      <c r="L18" s="132">
        <v>1.1619512942834209</v>
      </c>
      <c r="M18" s="132">
        <v>1.5385068212805491</v>
      </c>
      <c r="N18" s="132">
        <v>1.7272063121367429</v>
      </c>
      <c r="O18" s="132">
        <v>0.84685470902202087</v>
      </c>
      <c r="P18" s="132">
        <v>0.82153651903746294</v>
      </c>
      <c r="Q18" s="132">
        <v>1.3679250535781189</v>
      </c>
      <c r="R18" s="132">
        <v>0.92518010663641626</v>
      </c>
      <c r="S18" s="132">
        <v>0.95499067379532321</v>
      </c>
      <c r="T18" s="132">
        <v>0.68574755257671127</v>
      </c>
      <c r="U18" s="132">
        <v>0.7123262627443312</v>
      </c>
      <c r="V18" s="132">
        <v>0.62780503102946639</v>
      </c>
      <c r="W18" s="132">
        <v>0.77904399151800208</v>
      </c>
      <c r="X18" s="132">
        <v>0.61967904717159161</v>
      </c>
      <c r="Y18" s="132">
        <v>0.7072084181904541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3.1179613458425588</v>
      </c>
      <c r="D19" s="130">
        <f t="shared" si="9"/>
        <v>3.8245258837706282</v>
      </c>
      <c r="E19" s="130">
        <f t="shared" si="9"/>
        <v>4.240575389864274</v>
      </c>
      <c r="F19" s="130">
        <f t="shared" si="9"/>
        <v>4.3581280508839804</v>
      </c>
      <c r="G19" s="130">
        <f t="shared" si="9"/>
        <v>4.2472636370799819</v>
      </c>
      <c r="H19" s="130">
        <f t="shared" si="9"/>
        <v>4.5394162176804276</v>
      </c>
      <c r="I19" s="130">
        <f t="shared" si="9"/>
        <v>5.139929830886083</v>
      </c>
      <c r="J19" s="130">
        <f t="shared" si="9"/>
        <v>3.9612729453465456</v>
      </c>
      <c r="K19" s="130">
        <f t="shared" si="9"/>
        <v>1.6594637548151292</v>
      </c>
      <c r="L19" s="130">
        <f t="shared" si="9"/>
        <v>1.6839984375579742</v>
      </c>
      <c r="M19" s="130">
        <f t="shared" si="9"/>
        <v>2.9843088452973539</v>
      </c>
      <c r="N19" s="130">
        <f t="shared" si="9"/>
        <v>1.6951504472644991</v>
      </c>
      <c r="O19" s="130">
        <f t="shared" si="9"/>
        <v>1.764850333362197</v>
      </c>
      <c r="P19" s="130">
        <f t="shared" si="9"/>
        <v>2.0841069935315644</v>
      </c>
      <c r="Q19" s="130">
        <f t="shared" si="9"/>
        <v>2.4059764484642878</v>
      </c>
      <c r="R19" s="130">
        <f t="shared" ref="R19:W19" si="10">SUM(R20:R27)</f>
        <v>1.8791728014544331</v>
      </c>
      <c r="S19" s="130">
        <f t="shared" si="10"/>
        <v>1.913547745053751</v>
      </c>
      <c r="T19" s="130">
        <f t="shared" si="10"/>
        <v>1.9264929960446691</v>
      </c>
      <c r="U19" s="130">
        <f t="shared" si="10"/>
        <v>1.8525489996298661</v>
      </c>
      <c r="V19" s="130">
        <f t="shared" si="10"/>
        <v>1.4752850292097315</v>
      </c>
      <c r="W19" s="130">
        <f t="shared" si="10"/>
        <v>1.5482960100093515</v>
      </c>
      <c r="X19" s="130">
        <f t="shared" ref="X19:Y19" si="11">SUM(X20:X27)</f>
        <v>1.455532444647603</v>
      </c>
      <c r="Y19" s="130">
        <f t="shared" si="11"/>
        <v>1.3750921262362701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0.2403976662155696</v>
      </c>
      <c r="D22" s="132">
        <v>0.15509203380618708</v>
      </c>
      <c r="E22" s="132">
        <v>1.5296563563030902E-2</v>
      </c>
      <c r="F22" s="132">
        <v>0</v>
      </c>
      <c r="G22" s="132">
        <v>0</v>
      </c>
      <c r="H22" s="132">
        <v>7.6651593666651877E-2</v>
      </c>
      <c r="I22" s="132">
        <v>0.32730611380640601</v>
      </c>
      <c r="J22" s="132">
        <v>0.27740774314684352</v>
      </c>
      <c r="K22" s="132">
        <v>0.12447059904386604</v>
      </c>
      <c r="L22" s="132">
        <v>6.4967283155392658E-2</v>
      </c>
      <c r="M22" s="132">
        <v>0.16541252741294354</v>
      </c>
      <c r="N22" s="132">
        <v>5.9194794988934804E-2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1.2727253399188996E-4</v>
      </c>
      <c r="W22" s="132">
        <v>3.3734063030896211E-2</v>
      </c>
      <c r="X22" s="132">
        <v>6.379939573728749E-2</v>
      </c>
      <c r="Y22" s="132">
        <v>0.1300351683062784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0.28810424216544717</v>
      </c>
      <c r="D23" s="132">
        <v>0.57192283192199012</v>
      </c>
      <c r="E23" s="132">
        <v>0.78758567475171248</v>
      </c>
      <c r="F23" s="132">
        <v>0.90300894542329502</v>
      </c>
      <c r="G23" s="132">
        <v>1.0271844334719125</v>
      </c>
      <c r="H23" s="132">
        <v>1.2076933758426018</v>
      </c>
      <c r="I23" s="132">
        <v>1.2881200386815306</v>
      </c>
      <c r="J23" s="132">
        <v>0.82433880441838758</v>
      </c>
      <c r="K23" s="132">
        <v>0.29361467101706318</v>
      </c>
      <c r="L23" s="132">
        <v>0.11469460292416166</v>
      </c>
      <c r="M23" s="132">
        <v>0.2849360743028142</v>
      </c>
      <c r="N23" s="132">
        <v>0.19193073611561112</v>
      </c>
      <c r="O23" s="132">
        <v>0.16488563638983966</v>
      </c>
      <c r="P23" s="132">
        <v>0.37630744514790732</v>
      </c>
      <c r="Q23" s="132">
        <v>0.38604587556067405</v>
      </c>
      <c r="R23" s="132">
        <v>0.33112316717676604</v>
      </c>
      <c r="S23" s="132">
        <v>0.33640139975097255</v>
      </c>
      <c r="T23" s="132">
        <v>0.37534467231341689</v>
      </c>
      <c r="U23" s="132">
        <v>0.33917451969813384</v>
      </c>
      <c r="V23" s="132">
        <v>0.15056251526056141</v>
      </c>
      <c r="W23" s="132">
        <v>0.18311264221012374</v>
      </c>
      <c r="X23" s="132">
        <v>0.12716320079909718</v>
      </c>
      <c r="Y23" s="132">
        <v>0.13952073675920193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0.78667208852906001</v>
      </c>
      <c r="D25" s="132">
        <v>1.1224899371209924</v>
      </c>
      <c r="E25" s="132">
        <v>1.2284716267318569</v>
      </c>
      <c r="F25" s="132">
        <v>1.1617191505660491</v>
      </c>
      <c r="G25" s="132">
        <v>0.97862198585098037</v>
      </c>
      <c r="H25" s="132">
        <v>0.84314516921454463</v>
      </c>
      <c r="I25" s="132">
        <v>0.8007048949778478</v>
      </c>
      <c r="J25" s="132">
        <v>0.64623099815310969</v>
      </c>
      <c r="K25" s="132">
        <v>0.29843497748084324</v>
      </c>
      <c r="L25" s="132">
        <v>0.17605370717997271</v>
      </c>
      <c r="M25" s="132">
        <v>0.6508743802601864</v>
      </c>
      <c r="N25" s="132">
        <v>0.51709976481763331</v>
      </c>
      <c r="O25" s="132">
        <v>0.45655882785433721</v>
      </c>
      <c r="P25" s="132">
        <v>0.59080825411742266</v>
      </c>
      <c r="Q25" s="132">
        <v>0.65311250285403566</v>
      </c>
      <c r="R25" s="132">
        <v>0.57990402729396229</v>
      </c>
      <c r="S25" s="132">
        <v>0.56881327271273319</v>
      </c>
      <c r="T25" s="132">
        <v>0.58885199125151688</v>
      </c>
      <c r="U25" s="132">
        <v>0.52919486663252147</v>
      </c>
      <c r="V25" s="132">
        <v>0.42414855753457475</v>
      </c>
      <c r="W25" s="132">
        <v>0.48369396700176781</v>
      </c>
      <c r="X25" s="132">
        <v>0.50990643264970748</v>
      </c>
      <c r="Y25" s="132">
        <v>0.3927575179087246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1.8027873489324819</v>
      </c>
      <c r="D26" s="65">
        <v>1.9750210809214586</v>
      </c>
      <c r="E26" s="65">
        <v>2.2092215248176741</v>
      </c>
      <c r="F26" s="65">
        <v>2.2933999548946362</v>
      </c>
      <c r="G26" s="65">
        <v>2.2414572177570893</v>
      </c>
      <c r="H26" s="65">
        <v>2.4119260789566295</v>
      </c>
      <c r="I26" s="65">
        <v>2.7237987834202988</v>
      </c>
      <c r="J26" s="65">
        <v>2.2132953996282048</v>
      </c>
      <c r="K26" s="65">
        <v>0.94294350727335663</v>
      </c>
      <c r="L26" s="65">
        <v>0.42427853470352367</v>
      </c>
      <c r="M26" s="65">
        <v>0.68306691538133923</v>
      </c>
      <c r="N26" s="65">
        <v>0.30839183696398026</v>
      </c>
      <c r="O26" s="65">
        <v>0.3407630467400844</v>
      </c>
      <c r="P26" s="65">
        <v>0.60689912645216015</v>
      </c>
      <c r="Q26" s="65">
        <v>0.4194571282834883</v>
      </c>
      <c r="R26" s="65">
        <v>0.32493979646891907</v>
      </c>
      <c r="S26" s="65">
        <v>0.36141651815770098</v>
      </c>
      <c r="T26" s="65">
        <v>0.38049212966989643</v>
      </c>
      <c r="U26" s="65">
        <v>0.34037571783218346</v>
      </c>
      <c r="V26" s="65">
        <v>0.24041433357863157</v>
      </c>
      <c r="W26" s="65">
        <v>0.46516357898248484</v>
      </c>
      <c r="X26" s="65">
        <v>0.21881569607069318</v>
      </c>
      <c r="Y26" s="65">
        <v>0.21250979390758309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0.90400430959492351</v>
      </c>
      <c r="M27" s="147">
        <v>1.2000189479400705</v>
      </c>
      <c r="N27" s="147">
        <v>0.61853331437833958</v>
      </c>
      <c r="O27" s="147">
        <v>0.80264282237793583</v>
      </c>
      <c r="P27" s="147">
        <v>0.51009216781407407</v>
      </c>
      <c r="Q27" s="147">
        <v>0.94736094176608976</v>
      </c>
      <c r="R27" s="147">
        <v>0.64320581051478565</v>
      </c>
      <c r="S27" s="147">
        <v>0.64691655443234442</v>
      </c>
      <c r="T27" s="147">
        <v>0.5818042028098388</v>
      </c>
      <c r="U27" s="147">
        <v>0.64380389546702721</v>
      </c>
      <c r="V27" s="147">
        <v>0.66003235030197194</v>
      </c>
      <c r="W27" s="147">
        <v>0.38259175878407875</v>
      </c>
      <c r="X27" s="147">
        <v>0.53584771939081766</v>
      </c>
      <c r="Y27" s="147">
        <v>0.50026890935448209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3.2680728212953314</v>
      </c>
      <c r="D29" s="130">
        <f t="shared" si="12"/>
        <v>4.0745117892776079</v>
      </c>
      <c r="E29" s="130">
        <f t="shared" si="12"/>
        <v>4.5730420838444159</v>
      </c>
      <c r="F29" s="130">
        <f t="shared" si="12"/>
        <v>4.767042971847145</v>
      </c>
      <c r="G29" s="130">
        <f t="shared" si="12"/>
        <v>4.5250206118830736</v>
      </c>
      <c r="H29" s="130">
        <f t="shared" si="12"/>
        <v>4.7800396352842753</v>
      </c>
      <c r="I29" s="130">
        <f t="shared" si="12"/>
        <v>5.2093840801338924</v>
      </c>
      <c r="J29" s="130">
        <f t="shared" si="12"/>
        <v>4.6917525699654856</v>
      </c>
      <c r="K29" s="130">
        <f t="shared" si="12"/>
        <v>1.7201265260772143</v>
      </c>
      <c r="L29" s="130">
        <f t="shared" si="12"/>
        <v>2.6592371776265997</v>
      </c>
      <c r="M29" s="130">
        <f t="shared" si="12"/>
        <v>3.9607190242515715</v>
      </c>
      <c r="N29" s="130">
        <f t="shared" si="12"/>
        <v>2.3725061571553221</v>
      </c>
      <c r="O29" s="130">
        <f t="shared" si="12"/>
        <v>2.4072028982704952</v>
      </c>
      <c r="P29" s="130">
        <f t="shared" si="12"/>
        <v>2.6644058884695641</v>
      </c>
      <c r="Q29" s="130">
        <f t="shared" si="12"/>
        <v>3.235599754792116</v>
      </c>
      <c r="R29" s="130">
        <f t="shared" ref="R29:W29" si="13">SUM(R30:R33)</f>
        <v>2.4588592890419498</v>
      </c>
      <c r="S29" s="130">
        <f t="shared" si="13"/>
        <v>2.6482391383030643</v>
      </c>
      <c r="T29" s="130">
        <f t="shared" si="13"/>
        <v>2.8212998690068369</v>
      </c>
      <c r="U29" s="130">
        <f t="shared" si="13"/>
        <v>2.6676749028276938</v>
      </c>
      <c r="V29" s="130">
        <f t="shared" si="13"/>
        <v>2.0350082740224522</v>
      </c>
      <c r="W29" s="130">
        <f t="shared" si="13"/>
        <v>2.104756087159549</v>
      </c>
      <c r="X29" s="130">
        <f t="shared" ref="X29:Y29" si="14">SUM(X30:X33)</f>
        <v>2.0455089976207201</v>
      </c>
      <c r="Y29" s="130">
        <f t="shared" si="14"/>
        <v>1.7941857545422728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0.13568805384322785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1.0471054788184215</v>
      </c>
      <c r="M30" s="132">
        <v>0.52310501943013976</v>
      </c>
      <c r="N30" s="132">
        <v>0.31969369981448531</v>
      </c>
      <c r="O30" s="132">
        <v>3.9872214283195387E-2</v>
      </c>
      <c r="P30" s="132">
        <v>1.4317692113478296E-2</v>
      </c>
      <c r="Q30" s="132">
        <v>2.3626927744363303E-2</v>
      </c>
      <c r="R30" s="132">
        <v>7.1624236480958225E-2</v>
      </c>
      <c r="S30" s="132">
        <v>0.1729192647171946</v>
      </c>
      <c r="T30" s="132">
        <v>0.28935689888757776</v>
      </c>
      <c r="U30" s="132">
        <v>0.23554901350170335</v>
      </c>
      <c r="V30" s="132">
        <v>0.19569857106503338</v>
      </c>
      <c r="W30" s="132">
        <v>0.29637613983477384</v>
      </c>
      <c r="X30" s="132">
        <v>0.39528265934787665</v>
      </c>
      <c r="Y30" s="132">
        <v>0.24257518462293415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0.19660385504536296</v>
      </c>
      <c r="D31" s="132">
        <v>0.44888803392875298</v>
      </c>
      <c r="E31" s="132">
        <v>0.60800487689723781</v>
      </c>
      <c r="F31" s="132">
        <v>0.79671641783339797</v>
      </c>
      <c r="G31" s="132">
        <v>0.76147567330630372</v>
      </c>
      <c r="H31" s="132">
        <v>1.0611355480267335</v>
      </c>
      <c r="I31" s="132">
        <v>0.93101203903324536</v>
      </c>
      <c r="J31" s="132">
        <v>0.50863774656226468</v>
      </c>
      <c r="K31" s="132">
        <v>0.14618841035386998</v>
      </c>
      <c r="L31" s="132">
        <v>0.16661419879146491</v>
      </c>
      <c r="M31" s="132">
        <v>0.37468784801891564</v>
      </c>
      <c r="N31" s="132">
        <v>0.27277313374336143</v>
      </c>
      <c r="O31" s="132">
        <v>0.33286803088312111</v>
      </c>
      <c r="P31" s="132">
        <v>0.39674718327430414</v>
      </c>
      <c r="Q31" s="132">
        <v>0.43621582672834708</v>
      </c>
      <c r="R31" s="132">
        <v>0.29915021847741041</v>
      </c>
      <c r="S31" s="132">
        <v>0.25046653905109106</v>
      </c>
      <c r="T31" s="132">
        <v>0.22002672429888284</v>
      </c>
      <c r="U31" s="132">
        <v>0.18614086876806524</v>
      </c>
      <c r="V31" s="132">
        <v>0.16394625403515375</v>
      </c>
      <c r="W31" s="132">
        <v>0.16909527288361301</v>
      </c>
      <c r="X31" s="132">
        <v>0.13336950311863621</v>
      </c>
      <c r="Y31" s="132">
        <v>0.15769713101596464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1.3768142992687251</v>
      </c>
      <c r="K32" s="132">
        <v>0.11837144820363789</v>
      </c>
      <c r="L32" s="132">
        <v>3.5067798529206932E-2</v>
      </c>
      <c r="M32" s="132">
        <v>0</v>
      </c>
      <c r="N32" s="132">
        <v>0</v>
      </c>
      <c r="O32" s="132">
        <v>0</v>
      </c>
      <c r="P32" s="132">
        <v>0</v>
      </c>
      <c r="Q32" s="132">
        <v>6.8708768918332469E-2</v>
      </c>
      <c r="R32" s="132">
        <v>0.15318043958717914</v>
      </c>
      <c r="S32" s="132">
        <v>0.51830590555096512</v>
      </c>
      <c r="T32" s="132">
        <v>0.74916476645798524</v>
      </c>
      <c r="U32" s="132">
        <v>0.61994842563887986</v>
      </c>
      <c r="V32" s="132">
        <v>0.38653885740709698</v>
      </c>
      <c r="W32" s="132">
        <v>0.23049906883751536</v>
      </c>
      <c r="X32" s="132">
        <v>0.21974338732742787</v>
      </c>
      <c r="Y32" s="132">
        <v>0.10377257971150271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2.9357809124067407</v>
      </c>
      <c r="D33" s="68">
        <v>3.6256237553488546</v>
      </c>
      <c r="E33" s="68">
        <v>3.9650372069471778</v>
      </c>
      <c r="F33" s="68">
        <v>3.9703265540137473</v>
      </c>
      <c r="G33" s="68">
        <v>3.7635449385767701</v>
      </c>
      <c r="H33" s="68">
        <v>3.7189040872575423</v>
      </c>
      <c r="I33" s="68">
        <v>4.2783720411006474</v>
      </c>
      <c r="J33" s="68">
        <v>2.806300524134496</v>
      </c>
      <c r="K33" s="68">
        <v>1.4555666675197065</v>
      </c>
      <c r="L33" s="68">
        <v>1.4104497014875061</v>
      </c>
      <c r="M33" s="68">
        <v>3.0629261568025163</v>
      </c>
      <c r="N33" s="68">
        <v>1.7800393235974752</v>
      </c>
      <c r="O33" s="68">
        <v>2.0344626531041787</v>
      </c>
      <c r="P33" s="68">
        <v>2.2533410130817817</v>
      </c>
      <c r="Q33" s="68">
        <v>2.7070482314010733</v>
      </c>
      <c r="R33" s="68">
        <v>1.9349043944964022</v>
      </c>
      <c r="S33" s="68">
        <v>1.7065474289838138</v>
      </c>
      <c r="T33" s="68">
        <v>1.5627514793623913</v>
      </c>
      <c r="U33" s="68">
        <v>1.6260365949190454</v>
      </c>
      <c r="V33" s="68">
        <v>1.2888245915151681</v>
      </c>
      <c r="W33" s="68">
        <v>1.408785605603647</v>
      </c>
      <c r="X33" s="68">
        <v>1.2971134478267796</v>
      </c>
      <c r="Y33" s="68">
        <v>1.2901408591918715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15.643720074972508</v>
      </c>
      <c r="D3" s="125">
        <f t="shared" si="0"/>
        <v>16.81653896963941</v>
      </c>
      <c r="E3" s="125">
        <f t="shared" si="0"/>
        <v>20.571540449482892</v>
      </c>
      <c r="F3" s="125">
        <f t="shared" si="0"/>
        <v>19.347753099643278</v>
      </c>
      <c r="G3" s="125">
        <f t="shared" si="0"/>
        <v>23.766463925309214</v>
      </c>
      <c r="H3" s="125">
        <f t="shared" si="0"/>
        <v>24.379887274525899</v>
      </c>
      <c r="I3" s="125">
        <f t="shared" si="0"/>
        <v>30.35979808590438</v>
      </c>
      <c r="J3" s="125">
        <f t="shared" si="0"/>
        <v>21.052698712763931</v>
      </c>
      <c r="K3" s="125">
        <f t="shared" si="0"/>
        <v>7.8023705137560748</v>
      </c>
      <c r="L3" s="125">
        <f t="shared" si="0"/>
        <v>11.611703714812165</v>
      </c>
      <c r="M3" s="125">
        <f t="shared" si="0"/>
        <v>18.580827071033848</v>
      </c>
      <c r="N3" s="125">
        <f t="shared" si="0"/>
        <v>13.13265315581009</v>
      </c>
      <c r="O3" s="125">
        <f t="shared" si="0"/>
        <v>10.600945253904332</v>
      </c>
      <c r="P3" s="125">
        <f t="shared" si="0"/>
        <v>10.92979167926477</v>
      </c>
      <c r="Q3" s="125">
        <f t="shared" si="0"/>
        <v>15.628245433408072</v>
      </c>
      <c r="R3" s="125">
        <f t="shared" ref="R3:W3" si="1">SUM(R4,R16,R19,R29)</f>
        <v>11.654881556064653</v>
      </c>
      <c r="S3" s="125">
        <f t="shared" si="1"/>
        <v>11.842179958202243</v>
      </c>
      <c r="T3" s="125">
        <f t="shared" si="1"/>
        <v>11.134448926946824</v>
      </c>
      <c r="U3" s="125">
        <f t="shared" si="1"/>
        <v>10.792273132087292</v>
      </c>
      <c r="V3" s="125">
        <f t="shared" si="1"/>
        <v>8.6104599899312326</v>
      </c>
      <c r="W3" s="125">
        <f t="shared" si="1"/>
        <v>9.8263081589243662</v>
      </c>
      <c r="X3" s="125">
        <f t="shared" ref="X3:Y3" si="2">SUM(X4,X16,X19,X29)</f>
        <v>8.425999300897967</v>
      </c>
      <c r="Y3" s="125">
        <f t="shared" si="2"/>
        <v>8.3477400535006971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6.8734807947914929</v>
      </c>
      <c r="D4" s="130">
        <f t="shared" si="3"/>
        <v>8.3015965002377712</v>
      </c>
      <c r="E4" s="130">
        <f t="shared" si="3"/>
        <v>9.9189229841509938</v>
      </c>
      <c r="F4" s="130">
        <f t="shared" si="3"/>
        <v>8.453690601269475</v>
      </c>
      <c r="G4" s="130">
        <f t="shared" si="3"/>
        <v>13.727860591364864</v>
      </c>
      <c r="H4" s="130">
        <f t="shared" si="3"/>
        <v>12.584442955251028</v>
      </c>
      <c r="I4" s="130">
        <f t="shared" si="3"/>
        <v>11.563248423951784</v>
      </c>
      <c r="J4" s="130">
        <f t="shared" si="3"/>
        <v>9.5761018249588723</v>
      </c>
      <c r="K4" s="130">
        <f t="shared" si="3"/>
        <v>3.4729724452063011</v>
      </c>
      <c r="L4" s="130">
        <f t="shared" si="3"/>
        <v>5.0957703176329128</v>
      </c>
      <c r="M4" s="130">
        <f t="shared" si="3"/>
        <v>8.784966270429825</v>
      </c>
      <c r="N4" s="130">
        <f t="shared" si="3"/>
        <v>4.6303122675040651</v>
      </c>
      <c r="O4" s="130">
        <f t="shared" si="3"/>
        <v>4.562902007780127</v>
      </c>
      <c r="P4" s="130">
        <f t="shared" si="3"/>
        <v>4.4929814627528399</v>
      </c>
      <c r="Q4" s="130">
        <f t="shared" si="3"/>
        <v>6.2664871272697047</v>
      </c>
      <c r="R4" s="130">
        <f t="shared" ref="R4:W4" si="4">SUM(R5:R15)</f>
        <v>4.8215127840568206</v>
      </c>
      <c r="S4" s="130">
        <f t="shared" si="4"/>
        <v>4.712666692749135</v>
      </c>
      <c r="T4" s="130">
        <f t="shared" si="4"/>
        <v>4.9001564694727797</v>
      </c>
      <c r="U4" s="130">
        <f t="shared" si="4"/>
        <v>4.5026704795024637</v>
      </c>
      <c r="V4" s="130">
        <f t="shared" si="4"/>
        <v>3.3350182231893353</v>
      </c>
      <c r="W4" s="130">
        <f t="shared" si="4"/>
        <v>3.8437318324859873</v>
      </c>
      <c r="X4" s="130">
        <f t="shared" ref="X4:Y4" si="5">SUM(X5:X15)</f>
        <v>3.1537780960945634</v>
      </c>
      <c r="Y4" s="130">
        <f t="shared" si="5"/>
        <v>2.9165073621462612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9.6117355098255211E-2</v>
      </c>
      <c r="D5" s="132">
        <v>0.25953376503839864</v>
      </c>
      <c r="E5" s="132">
        <v>0.19552882840099531</v>
      </c>
      <c r="F5" s="132">
        <v>6.1182190428612747E-2</v>
      </c>
      <c r="G5" s="132">
        <v>0</v>
      </c>
      <c r="H5" s="132">
        <v>0</v>
      </c>
      <c r="I5" s="132">
        <v>0</v>
      </c>
      <c r="J5" s="132">
        <v>3.6459490311337987E-2</v>
      </c>
      <c r="K5" s="132">
        <v>1.2746247239414669E-2</v>
      </c>
      <c r="L5" s="132">
        <v>8.9131495523589767E-3</v>
      </c>
      <c r="M5" s="132">
        <v>6.1948786039723577E-2</v>
      </c>
      <c r="N5" s="132">
        <v>2.9000583018068911E-2</v>
      </c>
      <c r="O5" s="132">
        <v>4.2911237487301385E-2</v>
      </c>
      <c r="P5" s="132">
        <v>1.2599734833234283E-2</v>
      </c>
      <c r="Q5" s="132">
        <v>8.1133422835960242E-2</v>
      </c>
      <c r="R5" s="132">
        <v>6.4241553349216773E-2</v>
      </c>
      <c r="S5" s="132">
        <v>2.2393335734006592E-2</v>
      </c>
      <c r="T5" s="132">
        <v>3.7163896338677899E-3</v>
      </c>
      <c r="U5" s="132">
        <v>1.181065634701514E-2</v>
      </c>
      <c r="V5" s="132">
        <v>0</v>
      </c>
      <c r="W5" s="132">
        <v>0</v>
      </c>
      <c r="X5" s="132">
        <v>0</v>
      </c>
      <c r="Y5" s="132">
        <v>0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0.40956601032686424</v>
      </c>
      <c r="D7" s="132">
        <v>0</v>
      </c>
      <c r="E7" s="132">
        <v>0</v>
      </c>
      <c r="F7" s="132">
        <v>0</v>
      </c>
      <c r="G7" s="132">
        <v>0</v>
      </c>
      <c r="H7" s="132">
        <v>0.19078797373893946</v>
      </c>
      <c r="I7" s="132">
        <v>0</v>
      </c>
      <c r="J7" s="132">
        <v>0</v>
      </c>
      <c r="K7" s="132">
        <v>0.21362397880915773</v>
      </c>
      <c r="L7" s="132">
        <v>0.2348027263923472</v>
      </c>
      <c r="M7" s="132">
        <v>0</v>
      </c>
      <c r="N7" s="132">
        <v>0.21672500282277946</v>
      </c>
      <c r="O7" s="132">
        <v>0.3161464200680571</v>
      </c>
      <c r="P7" s="132">
        <v>0.12663191668201101</v>
      </c>
      <c r="Q7" s="132">
        <v>1.2002483419749626</v>
      </c>
      <c r="R7" s="132">
        <v>0.15696179473174002</v>
      </c>
      <c r="S7" s="132">
        <v>0</v>
      </c>
      <c r="T7" s="132">
        <v>0</v>
      </c>
      <c r="U7" s="132">
        <v>0</v>
      </c>
      <c r="V7" s="132">
        <v>0</v>
      </c>
      <c r="W7" s="132">
        <v>2.6686299730595966E-2</v>
      </c>
      <c r="X7" s="132">
        <v>9.2228242965230467E-2</v>
      </c>
      <c r="Y7" s="132">
        <v>0.27030887564121531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0.31524771023824072</v>
      </c>
      <c r="D9" s="132">
        <v>0.44369346301452822</v>
      </c>
      <c r="E9" s="132">
        <v>0.59987305290961046</v>
      </c>
      <c r="F9" s="132">
        <v>0.6478163357684269</v>
      </c>
      <c r="G9" s="132">
        <v>1.0066156354432267</v>
      </c>
      <c r="H9" s="132">
        <v>2.3958833321895985</v>
      </c>
      <c r="I9" s="132">
        <v>1.2368449683419858</v>
      </c>
      <c r="J9" s="132">
        <v>0.43816536527740041</v>
      </c>
      <c r="K9" s="132">
        <v>0.17445493775760079</v>
      </c>
      <c r="L9" s="132">
        <v>0.30298336916282487</v>
      </c>
      <c r="M9" s="132">
        <v>0.26739322113074776</v>
      </c>
      <c r="N9" s="132">
        <v>0.3389282472445404</v>
      </c>
      <c r="O9" s="132">
        <v>0.27605482187076963</v>
      </c>
      <c r="P9" s="132">
        <v>0.66133226017029345</v>
      </c>
      <c r="Q9" s="132">
        <v>0.7760725037517866</v>
      </c>
      <c r="R9" s="132">
        <v>0.51480139500400124</v>
      </c>
      <c r="S9" s="132">
        <v>0.34713371355238226</v>
      </c>
      <c r="T9" s="132">
        <v>0.32815327151512597</v>
      </c>
      <c r="U9" s="132">
        <v>0.34467211258525593</v>
      </c>
      <c r="V9" s="132">
        <v>0.42631183570602582</v>
      </c>
      <c r="W9" s="132">
        <v>0.35524378325289913</v>
      </c>
      <c r="X9" s="132">
        <v>0.10062860354619232</v>
      </c>
      <c r="Y9" s="132">
        <v>0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0.10884980050278666</v>
      </c>
      <c r="E10" s="132">
        <v>0.35706217293417042</v>
      </c>
      <c r="F10" s="132">
        <v>0.20750742796803892</v>
      </c>
      <c r="G10" s="132">
        <v>0.34565690087635009</v>
      </c>
      <c r="H10" s="132">
        <v>0.59783013232553095</v>
      </c>
      <c r="I10" s="132">
        <v>0.26365995197444542</v>
      </c>
      <c r="J10" s="132">
        <v>0</v>
      </c>
      <c r="K10" s="132">
        <v>0</v>
      </c>
      <c r="L10" s="132">
        <v>5.8389973438501164E-2</v>
      </c>
      <c r="M10" s="132">
        <v>0.26505480217961097</v>
      </c>
      <c r="N10" s="132">
        <v>0.77733835946434848</v>
      </c>
      <c r="O10" s="132">
        <v>0.1375533245198845</v>
      </c>
      <c r="P10" s="132">
        <v>0</v>
      </c>
      <c r="Q10" s="132">
        <v>1.0039119724991346E-2</v>
      </c>
      <c r="R10" s="132">
        <v>8.9831483315788954E-2</v>
      </c>
      <c r="S10" s="132">
        <v>1.553176278557969</v>
      </c>
      <c r="T10" s="132">
        <v>1.579374106831934</v>
      </c>
      <c r="U10" s="132">
        <v>0.94491703998292642</v>
      </c>
      <c r="V10" s="132">
        <v>0.214169721624801</v>
      </c>
      <c r="W10" s="132">
        <v>0.1676637420272121</v>
      </c>
      <c r="X10" s="132">
        <v>4.6047873564081146E-2</v>
      </c>
      <c r="Y10" s="132">
        <v>0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10.038321044970591</v>
      </c>
      <c r="H11" s="132">
        <v>3.023148169446658</v>
      </c>
      <c r="I11" s="132">
        <v>1.9997905440333821</v>
      </c>
      <c r="J11" s="132">
        <v>2.3122033833860151E-2</v>
      </c>
      <c r="K11" s="132">
        <v>2.2163060981725314E-2</v>
      </c>
      <c r="L11" s="132">
        <v>0</v>
      </c>
      <c r="M11" s="132">
        <v>0</v>
      </c>
      <c r="N11" s="132">
        <v>0.2136359529659923</v>
      </c>
      <c r="O11" s="132">
        <v>0.27826745877406972</v>
      </c>
      <c r="P11" s="132">
        <v>0.27193123724823465</v>
      </c>
      <c r="Q11" s="132">
        <v>0.26746236301190307</v>
      </c>
      <c r="R11" s="132">
        <v>9.0507768666308067E-2</v>
      </c>
      <c r="S11" s="132">
        <v>0.21269107002244281</v>
      </c>
      <c r="T11" s="132">
        <v>0.3212370137203327</v>
      </c>
      <c r="U11" s="132">
        <v>0.46204181411150996</v>
      </c>
      <c r="V11" s="132">
        <v>0.4959360626211099</v>
      </c>
      <c r="W11" s="132">
        <v>0.5586939303327535</v>
      </c>
      <c r="X11" s="132">
        <v>0.11613415677907403</v>
      </c>
      <c r="Y11" s="132">
        <v>8.8582789264716494E-2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4.1956639973968732</v>
      </c>
      <c r="D12" s="132">
        <v>2.5491005117053516</v>
      </c>
      <c r="E12" s="132">
        <v>4.1800443337287394</v>
      </c>
      <c r="F12" s="132">
        <v>2.8256599089254739</v>
      </c>
      <c r="G12" s="132">
        <v>0</v>
      </c>
      <c r="H12" s="132">
        <v>0.29876926290210909</v>
      </c>
      <c r="I12" s="132">
        <v>0.39591774050419293</v>
      </c>
      <c r="J12" s="132">
        <v>0</v>
      </c>
      <c r="K12" s="132">
        <v>0.41005867205327395</v>
      </c>
      <c r="L12" s="132">
        <v>0.66060641676519771</v>
      </c>
      <c r="M12" s="132">
        <v>3.0541986308365852</v>
      </c>
      <c r="N12" s="132">
        <v>0.85185972522958509</v>
      </c>
      <c r="O12" s="132">
        <v>0.45152912164614828</v>
      </c>
      <c r="P12" s="132">
        <v>0.56013296390819367</v>
      </c>
      <c r="Q12" s="132">
        <v>1.4305651131237507</v>
      </c>
      <c r="R12" s="132">
        <v>2.0553315753532693</v>
      </c>
      <c r="S12" s="132">
        <v>0.58277100499023282</v>
      </c>
      <c r="T12" s="132">
        <v>0.68691865768651417</v>
      </c>
      <c r="U12" s="132">
        <v>0.16728201262568926</v>
      </c>
      <c r="V12" s="132">
        <v>0.43476870680680896</v>
      </c>
      <c r="W12" s="132">
        <v>6.8213105562222709E-2</v>
      </c>
      <c r="X12" s="132">
        <v>0.37126717616203531</v>
      </c>
      <c r="Y12" s="132">
        <v>0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0.68843751869567127</v>
      </c>
      <c r="D13" s="132">
        <v>2.8228919191977626</v>
      </c>
      <c r="E13" s="132">
        <v>3.104908076555974</v>
      </c>
      <c r="F13" s="132">
        <v>3.4280153127574704</v>
      </c>
      <c r="G13" s="132">
        <v>2.2687709794993247</v>
      </c>
      <c r="H13" s="132">
        <v>4.1082811255157203</v>
      </c>
      <c r="I13" s="132">
        <v>4.5899902257069263</v>
      </c>
      <c r="J13" s="132">
        <v>3.7361034747047128</v>
      </c>
      <c r="K13" s="132">
        <v>1.1383013724124926</v>
      </c>
      <c r="L13" s="132">
        <v>1.294730673521636</v>
      </c>
      <c r="M13" s="132">
        <v>3.4656008679041728</v>
      </c>
      <c r="N13" s="132">
        <v>2.1817296541133215</v>
      </c>
      <c r="O13" s="132">
        <v>3.0456494560496954</v>
      </c>
      <c r="P13" s="132">
        <v>2.8432218727541825</v>
      </c>
      <c r="Q13" s="132">
        <v>2.4599373525378607</v>
      </c>
      <c r="R13" s="132">
        <v>1.6666698805378799</v>
      </c>
      <c r="S13" s="132">
        <v>1.5505791411929595</v>
      </c>
      <c r="T13" s="132">
        <v>1.6879047974496653</v>
      </c>
      <c r="U13" s="132">
        <v>2.1246065913299259</v>
      </c>
      <c r="V13" s="132">
        <v>1.4684040057019363</v>
      </c>
      <c r="W13" s="132">
        <v>1.6131620376467417</v>
      </c>
      <c r="X13" s="132">
        <v>1.8474697956306692</v>
      </c>
      <c r="Y13" s="132">
        <v>2.2426470146586466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1.1322831477343993</v>
      </c>
      <c r="D14" s="65">
        <v>2.0928827398501308</v>
      </c>
      <c r="E14" s="65">
        <v>1.4447420726579541</v>
      </c>
      <c r="F14" s="65">
        <v>1.2554276693662423</v>
      </c>
      <c r="G14" s="65">
        <v>0</v>
      </c>
      <c r="H14" s="65">
        <v>1.9009790072077177</v>
      </c>
      <c r="I14" s="65">
        <v>3.040823163396178</v>
      </c>
      <c r="J14" s="65">
        <v>5.3337762165064602</v>
      </c>
      <c r="K14" s="65">
        <v>1.4926251722477009</v>
      </c>
      <c r="L14" s="65">
        <v>2.5222596731277291</v>
      </c>
      <c r="M14" s="65">
        <v>1.6498488373429145</v>
      </c>
      <c r="N14" s="65">
        <v>0</v>
      </c>
      <c r="O14" s="65">
        <v>0</v>
      </c>
      <c r="P14" s="65">
        <v>0</v>
      </c>
      <c r="Q14" s="65">
        <v>0</v>
      </c>
      <c r="R14" s="65">
        <v>0.16185099581403725</v>
      </c>
      <c r="S14" s="65">
        <v>0.42188398288634255</v>
      </c>
      <c r="T14" s="65">
        <v>0.27038660832755146</v>
      </c>
      <c r="U14" s="65">
        <v>0.43142096366597649</v>
      </c>
      <c r="V14" s="65">
        <v>0.28301206693565462</v>
      </c>
      <c r="W14" s="65">
        <v>1.0440136442447321</v>
      </c>
      <c r="X14" s="65">
        <v>0.57464000506343438</v>
      </c>
      <c r="Y14" s="65">
        <v>0.31032156497210367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3.6165055301190185E-2</v>
      </c>
      <c r="D15" s="134">
        <v>2.4644300928813132E-2</v>
      </c>
      <c r="E15" s="134">
        <v>3.6764446963550329E-2</v>
      </c>
      <c r="F15" s="134">
        <v>2.8081756055209173E-2</v>
      </c>
      <c r="G15" s="134">
        <v>6.8496030575372679E-2</v>
      </c>
      <c r="H15" s="134">
        <v>6.8763951924752043E-2</v>
      </c>
      <c r="I15" s="134">
        <v>3.6221829994673473E-2</v>
      </c>
      <c r="J15" s="134">
        <v>8.4752443251021378E-3</v>
      </c>
      <c r="K15" s="134">
        <v>8.9990037049350134E-3</v>
      </c>
      <c r="L15" s="134">
        <v>1.308433567231837E-2</v>
      </c>
      <c r="M15" s="134">
        <v>2.0921124996069254E-2</v>
      </c>
      <c r="N15" s="134">
        <v>2.1094742645429571E-2</v>
      </c>
      <c r="O15" s="134">
        <v>1.4790167364201356E-2</v>
      </c>
      <c r="P15" s="134">
        <v>1.7131477156691076E-2</v>
      </c>
      <c r="Q15" s="134">
        <v>4.1028910308489784E-2</v>
      </c>
      <c r="R15" s="134">
        <v>2.1316337284579892E-2</v>
      </c>
      <c r="S15" s="134">
        <v>2.2038165812800107E-2</v>
      </c>
      <c r="T15" s="134">
        <v>2.2465624307788538E-2</v>
      </c>
      <c r="U15" s="134">
        <v>1.5919288854164514E-2</v>
      </c>
      <c r="V15" s="134">
        <v>1.2415823792998836E-2</v>
      </c>
      <c r="W15" s="134">
        <v>1.0055289688830245E-2</v>
      </c>
      <c r="X15" s="134">
        <v>5.3622423838460892E-3</v>
      </c>
      <c r="Y15" s="134">
        <v>4.6471176095789664E-3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4.6282097130919295</v>
      </c>
      <c r="D16" s="130">
        <f t="shared" si="6"/>
        <v>3.3586762207505036</v>
      </c>
      <c r="E16" s="130">
        <f t="shared" si="6"/>
        <v>4.8897608789531404</v>
      </c>
      <c r="F16" s="130">
        <f t="shared" si="6"/>
        <v>4.9486654035195698</v>
      </c>
      <c r="G16" s="130">
        <f t="shared" si="6"/>
        <v>4.3360779609983364</v>
      </c>
      <c r="H16" s="130">
        <f t="shared" si="6"/>
        <v>5.8008809119828735</v>
      </c>
      <c r="I16" s="130">
        <f t="shared" si="6"/>
        <v>12.122317758493018</v>
      </c>
      <c r="J16" s="130">
        <f t="shared" si="6"/>
        <v>6.0092892335655179</v>
      </c>
      <c r="K16" s="130">
        <f t="shared" si="6"/>
        <v>2.110237284421534</v>
      </c>
      <c r="L16" s="130">
        <f t="shared" si="6"/>
        <v>3.4054405786339919</v>
      </c>
      <c r="M16" s="130">
        <f t="shared" si="6"/>
        <v>4.6953888437119344</v>
      </c>
      <c r="N16" s="130">
        <f t="shared" si="6"/>
        <v>5.5152254107633132</v>
      </c>
      <c r="O16" s="130">
        <f t="shared" si="6"/>
        <v>2.8405992355224909</v>
      </c>
      <c r="P16" s="130">
        <f t="shared" si="6"/>
        <v>2.8913361805526718</v>
      </c>
      <c r="Q16" s="130">
        <f t="shared" si="6"/>
        <v>4.9875364643682065</v>
      </c>
      <c r="R16" s="130">
        <f t="shared" ref="R16:W16" si="7">SUM(R17:R18)</f>
        <v>3.4747605882659576</v>
      </c>
      <c r="S16" s="130">
        <f t="shared" si="7"/>
        <v>3.6412498420325696</v>
      </c>
      <c r="T16" s="130">
        <f t="shared" si="7"/>
        <v>2.6397768665910433</v>
      </c>
      <c r="U16" s="130">
        <f t="shared" si="7"/>
        <v>2.7605328435878786</v>
      </c>
      <c r="V16" s="130">
        <f t="shared" si="7"/>
        <v>2.4486914709309309</v>
      </c>
      <c r="W16" s="130">
        <f t="shared" si="7"/>
        <v>3.0570522721785722</v>
      </c>
      <c r="X16" s="130">
        <f t="shared" ref="X16:Y16" si="8">SUM(X17:X18)</f>
        <v>2.443757740425498</v>
      </c>
      <c r="Y16" s="130">
        <f t="shared" si="8"/>
        <v>2.8156052571801626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4.6282097130919295</v>
      </c>
      <c r="D18" s="132">
        <v>3.3586762207505036</v>
      </c>
      <c r="E18" s="132">
        <v>4.8897608789531404</v>
      </c>
      <c r="F18" s="132">
        <v>4.9486654035195698</v>
      </c>
      <c r="G18" s="132">
        <v>4.3360779609983364</v>
      </c>
      <c r="H18" s="132">
        <v>5.8008809119828735</v>
      </c>
      <c r="I18" s="132">
        <v>12.122317758493018</v>
      </c>
      <c r="J18" s="132">
        <v>6.0092892335655179</v>
      </c>
      <c r="K18" s="132">
        <v>2.110237284421534</v>
      </c>
      <c r="L18" s="132">
        <v>3.4054405786339919</v>
      </c>
      <c r="M18" s="132">
        <v>4.6953888437119344</v>
      </c>
      <c r="N18" s="132">
        <v>5.5152254107633132</v>
      </c>
      <c r="O18" s="132">
        <v>2.8405992355224909</v>
      </c>
      <c r="P18" s="132">
        <v>2.8913361805526718</v>
      </c>
      <c r="Q18" s="132">
        <v>4.9875364643682065</v>
      </c>
      <c r="R18" s="132">
        <v>3.4747605882659576</v>
      </c>
      <c r="S18" s="132">
        <v>3.6412498420325696</v>
      </c>
      <c r="T18" s="132">
        <v>2.6397768665910433</v>
      </c>
      <c r="U18" s="132">
        <v>2.7605328435878786</v>
      </c>
      <c r="V18" s="132">
        <v>2.4486914709309309</v>
      </c>
      <c r="W18" s="132">
        <v>3.0570522721785722</v>
      </c>
      <c r="X18" s="132">
        <v>2.443757740425498</v>
      </c>
      <c r="Y18" s="132">
        <v>2.8156052571801626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1.8408941691466683</v>
      </c>
      <c r="D19" s="130">
        <f t="shared" si="9"/>
        <v>2.286479247974059</v>
      </c>
      <c r="E19" s="130">
        <f t="shared" si="9"/>
        <v>2.5534751847147623</v>
      </c>
      <c r="F19" s="130">
        <f t="shared" si="9"/>
        <v>2.621531480075153</v>
      </c>
      <c r="G19" s="130">
        <f t="shared" si="9"/>
        <v>2.5416896556458104</v>
      </c>
      <c r="H19" s="130">
        <f t="shared" si="9"/>
        <v>2.6937791266993454</v>
      </c>
      <c r="I19" s="130">
        <f t="shared" si="9"/>
        <v>3.0289481268356964</v>
      </c>
      <c r="J19" s="130">
        <f t="shared" si="9"/>
        <v>2.3609837345327178</v>
      </c>
      <c r="K19" s="130">
        <f t="shared" si="9"/>
        <v>1.0016099328641253</v>
      </c>
      <c r="L19" s="130">
        <f t="shared" si="9"/>
        <v>1.3831070766572178</v>
      </c>
      <c r="M19" s="130">
        <f t="shared" si="9"/>
        <v>2.3353954649860684</v>
      </c>
      <c r="N19" s="130">
        <f t="shared" si="9"/>
        <v>1.3330136244094111</v>
      </c>
      <c r="O19" s="130">
        <f t="shared" si="9"/>
        <v>1.4617799159869829</v>
      </c>
      <c r="P19" s="130">
        <f t="shared" si="9"/>
        <v>1.6056475951044766</v>
      </c>
      <c r="Q19" s="130">
        <f t="shared" si="9"/>
        <v>1.9954729028660385</v>
      </c>
      <c r="R19" s="130">
        <f t="shared" ref="R19:W19" si="10">SUM(R20:R27)</f>
        <v>1.5474428678899135</v>
      </c>
      <c r="S19" s="130">
        <f t="shared" si="10"/>
        <v>1.5874459473048517</v>
      </c>
      <c r="T19" s="130">
        <f t="shared" si="10"/>
        <v>1.5939381462013951</v>
      </c>
      <c r="U19" s="130">
        <f t="shared" si="10"/>
        <v>1.5658620490406525</v>
      </c>
      <c r="V19" s="130">
        <f t="shared" si="10"/>
        <v>1.2932204296277878</v>
      </c>
      <c r="W19" s="130">
        <f t="shared" si="10"/>
        <v>1.2992293425322645</v>
      </c>
      <c r="X19" s="130">
        <f t="shared" ref="X19:Y19" si="11">SUM(X20:X27)</f>
        <v>1.257755678653151</v>
      </c>
      <c r="Y19" s="130">
        <f t="shared" si="11"/>
        <v>1.1844088474382581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0.11014980261556154</v>
      </c>
      <c r="D22" s="132">
        <v>7.1407999588540244E-2</v>
      </c>
      <c r="E22" s="132">
        <v>7.0816629427344069E-3</v>
      </c>
      <c r="F22" s="132">
        <v>0</v>
      </c>
      <c r="G22" s="132">
        <v>0</v>
      </c>
      <c r="H22" s="132">
        <v>3.6142167469524304E-2</v>
      </c>
      <c r="I22" s="132">
        <v>0.15545199701232629</v>
      </c>
      <c r="J22" s="132">
        <v>0.13286031531390652</v>
      </c>
      <c r="K22" s="132">
        <v>6.0205765797762024E-2</v>
      </c>
      <c r="L22" s="132">
        <v>3.1787068579480458E-2</v>
      </c>
      <c r="M22" s="132">
        <v>8.2815478169657841E-2</v>
      </c>
      <c r="N22" s="132">
        <v>3.0747106413355457E-2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8.7624895406708021E-5</v>
      </c>
      <c r="W22" s="132">
        <v>2.3450766637641732E-2</v>
      </c>
      <c r="X22" s="132">
        <v>4.4544094006643768E-2</v>
      </c>
      <c r="Y22" s="132">
        <v>9.0988369329012136E-2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0.14330209489720544</v>
      </c>
      <c r="D23" s="132">
        <v>0.2878595997161838</v>
      </c>
      <c r="E23" s="132">
        <v>0.4012823524450973</v>
      </c>
      <c r="F23" s="132">
        <v>0.46572475380466011</v>
      </c>
      <c r="G23" s="132">
        <v>0.53642753889483163</v>
      </c>
      <c r="H23" s="132">
        <v>0.638789139946358</v>
      </c>
      <c r="I23" s="132">
        <v>0.69030468833255298</v>
      </c>
      <c r="J23" s="132">
        <v>0.44788757345361546</v>
      </c>
      <c r="K23" s="132">
        <v>0.16189395443843721</v>
      </c>
      <c r="L23" s="132">
        <v>6.4240265133228835E-2</v>
      </c>
      <c r="M23" s="132">
        <v>0.1634238653320183</v>
      </c>
      <c r="N23" s="132">
        <v>0.11381116088337048</v>
      </c>
      <c r="O23" s="132">
        <v>0.10211349702149153</v>
      </c>
      <c r="P23" s="132">
        <v>0.24456235732156636</v>
      </c>
      <c r="Q23" s="132">
        <v>0.26123444014065877</v>
      </c>
      <c r="R23" s="132">
        <v>0.22949159215574311</v>
      </c>
      <c r="S23" s="132">
        <v>0.23784164944344408</v>
      </c>
      <c r="T23" s="132">
        <v>0.2697802532036902</v>
      </c>
      <c r="U23" s="132">
        <v>0.2470840732672267</v>
      </c>
      <c r="V23" s="132">
        <v>0.11087419727246066</v>
      </c>
      <c r="W23" s="132">
        <v>0.13580306336389394</v>
      </c>
      <c r="X23" s="132">
        <v>9.4615862236463885E-2</v>
      </c>
      <c r="Y23" s="132">
        <v>0.10400796451774741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0.54666464249015323</v>
      </c>
      <c r="D25" s="132">
        <v>0.78261000514947032</v>
      </c>
      <c r="E25" s="132">
        <v>0.85940445752467431</v>
      </c>
      <c r="F25" s="132">
        <v>0.81546145530936587</v>
      </c>
      <c r="G25" s="132">
        <v>0.68931446728643364</v>
      </c>
      <c r="H25" s="132">
        <v>0.59597938781324133</v>
      </c>
      <c r="I25" s="132">
        <v>0.56801683289148908</v>
      </c>
      <c r="J25" s="132">
        <v>0.46014992769142748</v>
      </c>
      <c r="K25" s="132">
        <v>0.21333978035811124</v>
      </c>
      <c r="L25" s="132">
        <v>0.12637793641781586</v>
      </c>
      <c r="M25" s="132">
        <v>0.46990359662275272</v>
      </c>
      <c r="N25" s="132">
        <v>0.37620635000705049</v>
      </c>
      <c r="O25" s="132">
        <v>0.33549351140874811</v>
      </c>
      <c r="P25" s="132">
        <v>0.43917101271372505</v>
      </c>
      <c r="Q25" s="132">
        <v>0.49072710946094883</v>
      </c>
      <c r="R25" s="132">
        <v>0.43928781919628268</v>
      </c>
      <c r="S25" s="132">
        <v>0.43429022816532808</v>
      </c>
      <c r="T25" s="132">
        <v>0.45299165797042851</v>
      </c>
      <c r="U25" s="132">
        <v>0.41002509386061131</v>
      </c>
      <c r="V25" s="132">
        <v>0.33085800741667426</v>
      </c>
      <c r="W25" s="132">
        <v>0.37964264133899622</v>
      </c>
      <c r="X25" s="132">
        <v>0.40234658440186388</v>
      </c>
      <c r="Y25" s="132">
        <v>0.31148585845139348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1.0407776291437481</v>
      </c>
      <c r="D26" s="65">
        <v>1.1446016435198647</v>
      </c>
      <c r="E26" s="65">
        <v>1.285706711802256</v>
      </c>
      <c r="F26" s="65">
        <v>1.3403452709611272</v>
      </c>
      <c r="G26" s="65">
        <v>1.315947649464545</v>
      </c>
      <c r="H26" s="65">
        <v>1.422868431470222</v>
      </c>
      <c r="I26" s="65">
        <v>1.6151746085993282</v>
      </c>
      <c r="J26" s="65">
        <v>1.3200859180737683</v>
      </c>
      <c r="K26" s="65">
        <v>0.56617043226981467</v>
      </c>
      <c r="L26" s="65">
        <v>0.25669749693176913</v>
      </c>
      <c r="M26" s="65">
        <v>0.41923357692156904</v>
      </c>
      <c r="N26" s="65">
        <v>0.19371569272729502</v>
      </c>
      <c r="O26" s="65">
        <v>0.22153008517880746</v>
      </c>
      <c r="P26" s="65">
        <v>0.41182205725511123</v>
      </c>
      <c r="Q26" s="65">
        <v>0.29615041149834104</v>
      </c>
      <c r="R26" s="65">
        <v>0.23545764602310207</v>
      </c>
      <c r="S26" s="65">
        <v>0.26839751526373501</v>
      </c>
      <c r="T26" s="65">
        <v>0.28936203221743773</v>
      </c>
      <c r="U26" s="65">
        <v>0.26494898644578752</v>
      </c>
      <c r="V26" s="65">
        <v>0.19136824974127439</v>
      </c>
      <c r="W26" s="65">
        <v>0.3777411124076539</v>
      </c>
      <c r="X26" s="65">
        <v>0.18040141861736186</v>
      </c>
      <c r="Y26" s="65">
        <v>0.17765774578562304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0.90400430959492351</v>
      </c>
      <c r="M27" s="147">
        <v>1.2000189479400705</v>
      </c>
      <c r="N27" s="147">
        <v>0.61853331437833958</v>
      </c>
      <c r="O27" s="147">
        <v>0.80264282237793583</v>
      </c>
      <c r="P27" s="147">
        <v>0.51009216781407407</v>
      </c>
      <c r="Q27" s="147">
        <v>0.94736094176608976</v>
      </c>
      <c r="R27" s="147">
        <v>0.64320581051478565</v>
      </c>
      <c r="S27" s="147">
        <v>0.64691655443234442</v>
      </c>
      <c r="T27" s="147">
        <v>0.5818042028098388</v>
      </c>
      <c r="U27" s="147">
        <v>0.64380389546702721</v>
      </c>
      <c r="V27" s="147">
        <v>0.66003235030197194</v>
      </c>
      <c r="W27" s="147">
        <v>0.38259175878407875</v>
      </c>
      <c r="X27" s="147">
        <v>0.53584771939081766</v>
      </c>
      <c r="Y27" s="147">
        <v>0.50026890935448209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2.3011353979424167</v>
      </c>
      <c r="D29" s="130">
        <f t="shared" si="12"/>
        <v>2.8697870006770749</v>
      </c>
      <c r="E29" s="130">
        <f t="shared" si="12"/>
        <v>3.2093814016639968</v>
      </c>
      <c r="F29" s="130">
        <f t="shared" si="12"/>
        <v>3.3238656147790806</v>
      </c>
      <c r="G29" s="130">
        <f t="shared" si="12"/>
        <v>3.1608357173002011</v>
      </c>
      <c r="H29" s="130">
        <f t="shared" si="12"/>
        <v>3.3007842805926506</v>
      </c>
      <c r="I29" s="130">
        <f t="shared" si="12"/>
        <v>3.6452837766238799</v>
      </c>
      <c r="J29" s="130">
        <f t="shared" si="12"/>
        <v>3.1063239197068238</v>
      </c>
      <c r="K29" s="130">
        <f t="shared" si="12"/>
        <v>1.2175508512641136</v>
      </c>
      <c r="L29" s="130">
        <f t="shared" si="12"/>
        <v>1.7273857418880416</v>
      </c>
      <c r="M29" s="130">
        <f t="shared" si="12"/>
        <v>2.7650764919060231</v>
      </c>
      <c r="N29" s="130">
        <f t="shared" si="12"/>
        <v>1.6541018531333007</v>
      </c>
      <c r="O29" s="130">
        <f t="shared" si="12"/>
        <v>1.7356640946147321</v>
      </c>
      <c r="P29" s="130">
        <f t="shared" si="12"/>
        <v>1.939826440854783</v>
      </c>
      <c r="Q29" s="130">
        <f t="shared" si="12"/>
        <v>2.3787489389041214</v>
      </c>
      <c r="R29" s="130">
        <f t="shared" ref="R29:W29" si="13">SUM(R30:R33)</f>
        <v>1.8111653158519616</v>
      </c>
      <c r="S29" s="130">
        <f t="shared" si="13"/>
        <v>1.9008174761156855</v>
      </c>
      <c r="T29" s="130">
        <f t="shared" si="13"/>
        <v>2.000577444681606</v>
      </c>
      <c r="U29" s="130">
        <f t="shared" si="13"/>
        <v>1.9632077599562969</v>
      </c>
      <c r="V29" s="130">
        <f t="shared" si="13"/>
        <v>1.5335298661831778</v>
      </c>
      <c r="W29" s="130">
        <f t="shared" si="13"/>
        <v>1.6262947117275417</v>
      </c>
      <c r="X29" s="130">
        <f t="shared" ref="X29:Y29" si="14">SUM(X30:X33)</f>
        <v>1.5707077857247547</v>
      </c>
      <c r="Y29" s="130">
        <f t="shared" si="14"/>
        <v>1.4312185867360159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7.3594560438743045E-2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0.57479056443051446</v>
      </c>
      <c r="M30" s="132">
        <v>0.28743891702052787</v>
      </c>
      <c r="N30" s="132">
        <v>0.17576609273796712</v>
      </c>
      <c r="O30" s="132">
        <v>2.1928925166978204E-2</v>
      </c>
      <c r="P30" s="132">
        <v>7.8818298665220832E-3</v>
      </c>
      <c r="Q30" s="132">
        <v>1.3056120138007221E-2</v>
      </c>
      <c r="R30" s="132">
        <v>3.9974107972640442E-2</v>
      </c>
      <c r="S30" s="132">
        <v>9.7852672559510981E-2</v>
      </c>
      <c r="T30" s="132">
        <v>0.16621245795370429</v>
      </c>
      <c r="U30" s="132">
        <v>0.1371370858461583</v>
      </c>
      <c r="V30" s="132">
        <v>0.11501663743429494</v>
      </c>
      <c r="W30" s="132">
        <v>0.17497369453797029</v>
      </c>
      <c r="X30" s="132">
        <v>0.23352013462721605</v>
      </c>
      <c r="Y30" s="132">
        <v>0.14331499547839407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0.1079566243061668</v>
      </c>
      <c r="D31" s="132">
        <v>0.24682707620726993</v>
      </c>
      <c r="E31" s="132">
        <v>0.33477927874568614</v>
      </c>
      <c r="F31" s="132">
        <v>0.43928987954755111</v>
      </c>
      <c r="G31" s="132">
        <v>0.42043476742756181</v>
      </c>
      <c r="H31" s="132">
        <v>0.58668885678805915</v>
      </c>
      <c r="I31" s="132">
        <v>0.51544923808742926</v>
      </c>
      <c r="J31" s="132">
        <v>0.28198896074746366</v>
      </c>
      <c r="K31" s="132">
        <v>8.1157508035378953E-2</v>
      </c>
      <c r="L31" s="132">
        <v>9.2623106625738805E-2</v>
      </c>
      <c r="M31" s="132">
        <v>0.20850941596082018</v>
      </c>
      <c r="N31" s="132">
        <v>0.15188268760417584</v>
      </c>
      <c r="O31" s="132">
        <v>0.18540800688154963</v>
      </c>
      <c r="P31" s="132">
        <v>0.22120133371946199</v>
      </c>
      <c r="Q31" s="132">
        <v>0.24415772122474041</v>
      </c>
      <c r="R31" s="132">
        <v>0.16915305939580624</v>
      </c>
      <c r="S31" s="132">
        <v>0.14364870190840853</v>
      </c>
      <c r="T31" s="132">
        <v>0.12814116707954115</v>
      </c>
      <c r="U31" s="132">
        <v>0.10991105401377242</v>
      </c>
      <c r="V31" s="132">
        <v>9.7746071885854852E-2</v>
      </c>
      <c r="W31" s="132">
        <v>0.10128207978411539</v>
      </c>
      <c r="X31" s="132">
        <v>7.9936425112846918E-2</v>
      </c>
      <c r="Y31" s="132">
        <v>9.4523691734596821E-2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0.76616405491914974</v>
      </c>
      <c r="K32" s="132">
        <v>6.5903680925891328E-2</v>
      </c>
      <c r="L32" s="132">
        <v>1.9533832699926288E-2</v>
      </c>
      <c r="M32" s="132">
        <v>0</v>
      </c>
      <c r="N32" s="132">
        <v>0</v>
      </c>
      <c r="O32" s="132">
        <v>0</v>
      </c>
      <c r="P32" s="132">
        <v>0</v>
      </c>
      <c r="Q32" s="132">
        <v>3.83686565605975E-2</v>
      </c>
      <c r="R32" s="132">
        <v>8.5861198564725599E-2</v>
      </c>
      <c r="S32" s="132">
        <v>0.29205701094780989</v>
      </c>
      <c r="T32" s="132">
        <v>0.42457581039519132</v>
      </c>
      <c r="U32" s="132">
        <v>0.35318108406214449</v>
      </c>
      <c r="V32" s="132">
        <v>0.2210213954510778</v>
      </c>
      <c r="W32" s="132">
        <v>0.1320312913674615</v>
      </c>
      <c r="X32" s="132">
        <v>0.1259535914564365</v>
      </c>
      <c r="Y32" s="132">
        <v>5.9484805770504481E-2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2.1195842131975069</v>
      </c>
      <c r="D33" s="68">
        <v>2.622959924469805</v>
      </c>
      <c r="E33" s="68">
        <v>2.8746021229183105</v>
      </c>
      <c r="F33" s="68">
        <v>2.8845757352315293</v>
      </c>
      <c r="G33" s="68">
        <v>2.7404009498726394</v>
      </c>
      <c r="H33" s="68">
        <v>2.7140954238045913</v>
      </c>
      <c r="I33" s="68">
        <v>3.1298345385364508</v>
      </c>
      <c r="J33" s="68">
        <v>2.0581709040402103</v>
      </c>
      <c r="K33" s="68">
        <v>1.0704896623028433</v>
      </c>
      <c r="L33" s="68">
        <v>1.0404382381318622</v>
      </c>
      <c r="M33" s="68">
        <v>2.269128158924675</v>
      </c>
      <c r="N33" s="68">
        <v>1.3264530727911579</v>
      </c>
      <c r="O33" s="68">
        <v>1.5283271625662043</v>
      </c>
      <c r="P33" s="68">
        <v>1.7107432772687989</v>
      </c>
      <c r="Q33" s="68">
        <v>2.0831664409807762</v>
      </c>
      <c r="R33" s="68">
        <v>1.5161769499187894</v>
      </c>
      <c r="S33" s="68">
        <v>1.3672590906999562</v>
      </c>
      <c r="T33" s="68">
        <v>1.281648009253169</v>
      </c>
      <c r="U33" s="68">
        <v>1.3629785360342217</v>
      </c>
      <c r="V33" s="68">
        <v>1.0997457614119501</v>
      </c>
      <c r="W33" s="68">
        <v>1.2180076460379945</v>
      </c>
      <c r="X33" s="68">
        <v>1.131297634528255</v>
      </c>
      <c r="Y33" s="68">
        <v>1.1338950937525205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0.83807046137795405</v>
      </c>
      <c r="D3" s="126">
        <f>IF(SER_hh_tes_in!D3=0,"",SER_hh_tes_in!D3/SER_hh_fec_in!D3)</f>
        <v>0.84934742810301633</v>
      </c>
      <c r="E3" s="126">
        <f>IF(SER_hh_tes_in!E3=0,"",SER_hh_tes_in!E3/SER_hh_fec_in!E3)</f>
        <v>0.87825821406169968</v>
      </c>
      <c r="F3" s="126">
        <f>IF(SER_hh_tes_in!F3=0,"",SER_hh_tes_in!F3/SER_hh_fec_in!F3)</f>
        <v>0.91876249166229995</v>
      </c>
      <c r="G3" s="126">
        <f>IF(SER_hh_tes_in!G3=0,"",SER_hh_tes_in!G3/SER_hh_fec_in!G3)</f>
        <v>0.87280288791896565</v>
      </c>
      <c r="H3" s="126">
        <f>IF(SER_hh_tes_in!H3=0,"",SER_hh_tes_in!H3/SER_hh_fec_in!H3)</f>
        <v>0.88782498899962903</v>
      </c>
      <c r="I3" s="126">
        <f>IF(SER_hh_tes_in!I3=0,"",SER_hh_tes_in!I3/SER_hh_fec_in!I3)</f>
        <v>1.084473183828647</v>
      </c>
      <c r="J3" s="126">
        <f>IF(SER_hh_tes_in!J3=0,"",SER_hh_tes_in!J3/SER_hh_fec_in!J3)</f>
        <v>0.97270985440095303</v>
      </c>
      <c r="K3" s="126">
        <f>IF(SER_hh_tes_in!K3=0,"",SER_hh_tes_in!K3/SER_hh_fec_in!K3)</f>
        <v>0.94113416244488424</v>
      </c>
      <c r="L3" s="126">
        <f>IF(SER_hh_tes_in!L3=0,"",SER_hh_tes_in!L3/SER_hh_fec_in!L3)</f>
        <v>0.97205850188128573</v>
      </c>
      <c r="M3" s="126">
        <f>IF(SER_hh_tes_in!M3=0,"",SER_hh_tes_in!M3/SER_hh_fec_in!M3)</f>
        <v>1.0449985345839639</v>
      </c>
      <c r="N3" s="126">
        <f>IF(SER_hh_tes_in!N3=0,"",SER_hh_tes_in!N3/SER_hh_fec_in!N3)</f>
        <v>1.2124376576456239</v>
      </c>
      <c r="O3" s="126">
        <f>IF(SER_hh_tes_in!O3=0,"",SER_hh_tes_in!O3/SER_hh_fec_in!O3)</f>
        <v>1.240165358525261</v>
      </c>
      <c r="P3" s="126">
        <f>IF(SER_hh_tes_in!P3=0,"",SER_hh_tes_in!P3/SER_hh_fec_in!P3)</f>
        <v>1.2130592809275043</v>
      </c>
      <c r="Q3" s="126">
        <f>IF(SER_hh_tes_in!Q3=0,"",SER_hh_tes_in!Q3/SER_hh_fec_in!Q3)</f>
        <v>1.1647918776278963</v>
      </c>
      <c r="R3" s="126">
        <f>IF(SER_hh_tes_in!R3=0,"",SER_hh_tes_in!R3/SER_hh_fec_in!R3)</f>
        <v>1.1434058131917928</v>
      </c>
      <c r="S3" s="126">
        <f>IF(SER_hh_tes_in!S3=0,"",SER_hh_tes_in!S3/SER_hh_fec_in!S3)</f>
        <v>1.0363773472616657</v>
      </c>
      <c r="T3" s="126">
        <f>IF(SER_hh_tes_in!T3=0,"",SER_hh_tes_in!T3/SER_hh_fec_in!T3)</f>
        <v>0.97645628514883376</v>
      </c>
      <c r="U3" s="126">
        <f>IF(SER_hh_tes_in!U3=0,"",SER_hh_tes_in!U3/SER_hh_fec_in!U3)</f>
        <v>1.1116232613549561</v>
      </c>
      <c r="V3" s="126">
        <f>IF(SER_hh_tes_in!V3=0,"",SER_hh_tes_in!V3/SER_hh_fec_in!V3)</f>
        <v>1.2038260671934811</v>
      </c>
      <c r="W3" s="126">
        <f>IF(SER_hh_tes_in!W3=0,"",SER_hh_tes_in!W3/SER_hh_fec_in!W3)</f>
        <v>1.2561472975181045</v>
      </c>
      <c r="X3" s="126">
        <f>IF(SER_hh_tes_in!X3=0,"",SER_hh_tes_in!X3/SER_hh_fec_in!X3)</f>
        <v>1.3284855774888684</v>
      </c>
      <c r="Y3" s="126">
        <f>IF(SER_hh_tes_in!Y3=0,"",SER_hh_tes_in!Y3/SER_hh_fec_in!Y3)</f>
        <v>1.5370017101255209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0.68575548178762558</v>
      </c>
      <c r="D4" s="135">
        <f>IF(SER_hh_tes_in!D4=0,"",SER_hh_tes_in!D4/SER_hh_fec_in!D4)</f>
        <v>0.80340383100270274</v>
      </c>
      <c r="E4" s="135">
        <f>IF(SER_hh_tes_in!E4=0,"",SER_hh_tes_in!E4/SER_hh_fec_in!E4)</f>
        <v>0.79840224651049718</v>
      </c>
      <c r="F4" s="135">
        <f>IF(SER_hh_tes_in!F4=0,"",SER_hh_tes_in!F4/SER_hh_fec_in!F4)</f>
        <v>0.86168066632763574</v>
      </c>
      <c r="G4" s="135">
        <f>IF(SER_hh_tes_in!G4=0,"",SER_hh_tes_in!G4/SER_hh_fec_in!G4)</f>
        <v>0.82343971565976237</v>
      </c>
      <c r="H4" s="135">
        <f>IF(SER_hh_tes_in!H4=0,"",SER_hh_tes_in!H4/SER_hh_fec_in!H4)</f>
        <v>0.79433078854167294</v>
      </c>
      <c r="I4" s="135">
        <f>IF(SER_hh_tes_in!I4=0,"",SER_hh_tes_in!I4/SER_hh_fec_in!I4)</f>
        <v>0.88785846123434176</v>
      </c>
      <c r="J4" s="135">
        <f>IF(SER_hh_tes_in!J4=0,"",SER_hh_tes_in!J4/SER_hh_fec_in!J4)</f>
        <v>0.8880281950251504</v>
      </c>
      <c r="K4" s="135">
        <f>IF(SER_hh_tes_in!K4=0,"",SER_hh_tes_in!K4/SER_hh_fec_in!K4)</f>
        <v>0.83404383858954734</v>
      </c>
      <c r="L4" s="135">
        <f>IF(SER_hh_tes_in!L4=0,"",SER_hh_tes_in!L4/SER_hh_fec_in!L4)</f>
        <v>0.79123288521961443</v>
      </c>
      <c r="M4" s="135">
        <f>IF(SER_hh_tes_in!M4=0,"",SER_hh_tes_in!M4/SER_hh_fec_in!M4)</f>
        <v>0.94490593881464191</v>
      </c>
      <c r="N4" s="135">
        <f>IF(SER_hh_tes_in!N4=0,"",SER_hh_tes_in!N4/SER_hh_fec_in!N4)</f>
        <v>0.919305894448466</v>
      </c>
      <c r="O4" s="135">
        <f>IF(SER_hh_tes_in!O4=0,"",SER_hh_tes_in!O4/SER_hh_fec_in!O4)</f>
        <v>1.2929358772809694</v>
      </c>
      <c r="P4" s="135">
        <f>IF(SER_hh_tes_in!P4=0,"",SER_hh_tes_in!P4/SER_hh_fec_in!P4)</f>
        <v>1.3060780944631871</v>
      </c>
      <c r="Q4" s="135">
        <f>IF(SER_hh_tes_in!Q4=0,"",SER_hh_tes_in!Q4/SER_hh_fec_in!Q4)</f>
        <v>0.97796221419740237</v>
      </c>
      <c r="R4" s="135">
        <f>IF(SER_hh_tes_in!R4=0,"",SER_hh_tes_in!R4/SER_hh_fec_in!R4)</f>
        <v>0.97801122653897188</v>
      </c>
      <c r="S4" s="135">
        <f>IF(SER_hh_tes_in!S4=0,"",SER_hh_tes_in!S4/SER_hh_fec_in!S4)</f>
        <v>0.7974411340540084</v>
      </c>
      <c r="T4" s="135">
        <f>IF(SER_hh_tes_in!T4=0,"",SER_hh_tes_in!T4/SER_hh_fec_in!T4)</f>
        <v>0.82088259666956187</v>
      </c>
      <c r="U4" s="135">
        <f>IF(SER_hh_tes_in!U4=0,"",SER_hh_tes_in!U4/SER_hh_fec_in!U4)</f>
        <v>1.0059539153705543</v>
      </c>
      <c r="V4" s="135">
        <f>IF(SER_hh_tes_in!V4=0,"",SER_hh_tes_in!V4/SER_hh_fec_in!V4)</f>
        <v>1.1063329194132916</v>
      </c>
      <c r="W4" s="135">
        <f>IF(SER_hh_tes_in!W4=0,"",SER_hh_tes_in!W4/SER_hh_fec_in!W4)</f>
        <v>1.1336835848251041</v>
      </c>
      <c r="X4" s="135">
        <f>IF(SER_hh_tes_in!X4=0,"",SER_hh_tes_in!X4/SER_hh_fec_in!X4)</f>
        <v>1.4194446885682397</v>
      </c>
      <c r="Y4" s="135">
        <f>IF(SER_hh_tes_in!Y4=0,"",SER_hh_tes_in!Y4/SER_hh_fec_in!Y4)</f>
        <v>1.8759313733965075</v>
      </c>
      <c r="DA4" s="162" t="s">
        <v>663</v>
      </c>
    </row>
    <row r="5" spans="1:105" ht="12" customHeight="1" x14ac:dyDescent="0.25">
      <c r="A5" s="131" t="s">
        <v>29</v>
      </c>
      <c r="B5" s="136"/>
      <c r="C5" s="136">
        <f>IF(SER_hh_tes_in!C5=0,"",SER_hh_tes_in!C5/SER_hh_fec_in!C5)</f>
        <v>0.53663121501921129</v>
      </c>
      <c r="D5" s="136">
        <f>IF(SER_hh_tes_in!D5=0,"",SER_hh_tes_in!D5/SER_hh_fec_in!D5)</f>
        <v>0.54411323874204887</v>
      </c>
      <c r="E5" s="136">
        <f>IF(SER_hh_tes_in!E5=0,"",SER_hh_tes_in!E5/SER_hh_fec_in!E5)</f>
        <v>0.55157347736548834</v>
      </c>
      <c r="F5" s="136">
        <f>IF(SER_hh_tes_in!F5=0,"",SER_hh_tes_in!F5/SER_hh_fec_in!F5)</f>
        <v>0.55903074529355545</v>
      </c>
      <c r="G5" s="136" t="str">
        <f>IF(SER_hh_tes_in!G5=0,"",SER_hh_tes_in!G5/SER_hh_fec_in!G5)</f>
        <v/>
      </c>
      <c r="H5" s="136" t="str">
        <f>IF(SER_hh_tes_in!H5=0,"",SER_hh_tes_in!H5/SER_hh_fec_in!H5)</f>
        <v/>
      </c>
      <c r="I5" s="136" t="str">
        <f>IF(SER_hh_tes_in!I5=0,"",SER_hh_tes_in!I5/SER_hh_fec_in!I5)</f>
        <v/>
      </c>
      <c r="J5" s="136">
        <f>IF(SER_hh_tes_in!J5=0,"",SER_hh_tes_in!J5/SER_hh_fec_in!J5)</f>
        <v>0.58864185270108182</v>
      </c>
      <c r="K5" s="136">
        <f>IF(SER_hh_tes_in!K5=0,"",SER_hh_tes_in!K5/SER_hh_fec_in!K5)</f>
        <v>0.59594536399403097</v>
      </c>
      <c r="L5" s="136">
        <f>IF(SER_hh_tes_in!L5=0,"",SER_hh_tes_in!L5/SER_hh_fec_in!L5)</f>
        <v>0.60319084554084978</v>
      </c>
      <c r="M5" s="136">
        <f>IF(SER_hh_tes_in!M5=0,"",SER_hh_tes_in!M5/SER_hh_fec_in!M5)</f>
        <v>0.60988743100763143</v>
      </c>
      <c r="N5" s="136">
        <f>IF(SER_hh_tes_in!N5=0,"",SER_hh_tes_in!N5/SER_hh_fec_in!N5)</f>
        <v>0.61586880498906393</v>
      </c>
      <c r="O5" s="136">
        <f>IF(SER_hh_tes_in!O5=0,"",SER_hh_tes_in!O5/SER_hh_fec_in!O5)</f>
        <v>0.62113960707233806</v>
      </c>
      <c r="P5" s="136">
        <f>IF(SER_hh_tes_in!P5=0,"",SER_hh_tes_in!P5/SER_hh_fec_in!P5)</f>
        <v>0.62626202568961065</v>
      </c>
      <c r="Q5" s="136">
        <f>IF(SER_hh_tes_in!Q5=0,"",SER_hh_tes_in!Q5/SER_hh_fec_in!Q5)</f>
        <v>0.6328774209547896</v>
      </c>
      <c r="R5" s="136">
        <f>IF(SER_hh_tes_in!R5=0,"",SER_hh_tes_in!R5/SER_hh_fec_in!R5)</f>
        <v>0.64302345222657675</v>
      </c>
      <c r="S5" s="136">
        <f>IF(SER_hh_tes_in!S5=0,"",SER_hh_tes_in!S5/SER_hh_fec_in!S5)</f>
        <v>0.65513712029705218</v>
      </c>
      <c r="T5" s="136">
        <f>IF(SER_hh_tes_in!T5=0,"",SER_hh_tes_in!T5/SER_hh_fec_in!T5)</f>
        <v>0.66794777951092477</v>
      </c>
      <c r="U5" s="136">
        <f>IF(SER_hh_tes_in!U5=0,"",SER_hh_tes_in!U5/SER_hh_fec_in!U5)</f>
        <v>0.68018478421293971</v>
      </c>
      <c r="V5" s="136" t="str">
        <f>IF(SER_hh_tes_in!V5=0,"",SER_hh_tes_in!V5/SER_hh_fec_in!V5)</f>
        <v/>
      </c>
      <c r="W5" s="136" t="str">
        <f>IF(SER_hh_tes_in!W5=0,"",SER_hh_tes_in!W5/SER_hh_fec_in!W5)</f>
        <v/>
      </c>
      <c r="X5" s="136" t="str">
        <f>IF(SER_hh_tes_in!X5=0,"",SER_hh_tes_in!X5/SER_hh_fec_in!X5)</f>
        <v/>
      </c>
      <c r="Y5" s="136" t="str">
        <f>IF(SER_hh_tes_in!Y5=0,"",SER_hh_tes_in!Y5/SER_hh_fec_in!Y5)</f>
        <v/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0.44215749286758482</v>
      </c>
      <c r="D7" s="136" t="str">
        <f>IF(SER_hh_tes_in!D7=0,"",SER_hh_tes_in!D7/SER_hh_fec_in!D7)</f>
        <v/>
      </c>
      <c r="E7" s="136" t="str">
        <f>IF(SER_hh_tes_in!E7=0,"",SER_hh_tes_in!E7/SER_hh_fec_in!E7)</f>
        <v/>
      </c>
      <c r="F7" s="136" t="str">
        <f>IF(SER_hh_tes_in!F7=0,"",SER_hh_tes_in!F7/SER_hh_fec_in!F7)</f>
        <v/>
      </c>
      <c r="G7" s="136" t="str">
        <f>IF(SER_hh_tes_in!G7=0,"",SER_hh_tes_in!G7/SER_hh_fec_in!G7)</f>
        <v/>
      </c>
      <c r="H7" s="136">
        <f>IF(SER_hh_tes_in!H7=0,"",SER_hh_tes_in!H7/SER_hh_fec_in!H7)</f>
        <v>0.46734532273326579</v>
      </c>
      <c r="I7" s="136" t="str">
        <f>IF(SER_hh_tes_in!I7=0,"",SER_hh_tes_in!I7/SER_hh_fec_in!I7)</f>
        <v/>
      </c>
      <c r="J7" s="136" t="str">
        <f>IF(SER_hh_tes_in!J7=0,"",SER_hh_tes_in!J7/SER_hh_fec_in!J7)</f>
        <v/>
      </c>
      <c r="K7" s="136">
        <f>IF(SER_hh_tes_in!K7=0,"",SER_hh_tes_in!K7/SER_hh_fec_in!K7)</f>
        <v>0.48583629006683304</v>
      </c>
      <c r="L7" s="136">
        <f>IF(SER_hh_tes_in!L7=0,"",SER_hh_tes_in!L7/SER_hh_fec_in!L7)</f>
        <v>0.49336554043335956</v>
      </c>
      <c r="M7" s="136" t="str">
        <f>IF(SER_hh_tes_in!M7=0,"",SER_hh_tes_in!M7/SER_hh_fec_in!M7)</f>
        <v/>
      </c>
      <c r="N7" s="136">
        <f>IF(SER_hh_tes_in!N7=0,"",SER_hh_tes_in!N7/SER_hh_fec_in!N7)</f>
        <v>0.52830857855220659</v>
      </c>
      <c r="O7" s="136">
        <f>IF(SER_hh_tes_in!O7=0,"",SER_hh_tes_in!O7/SER_hh_fec_in!O7)</f>
        <v>0.5581403747008995</v>
      </c>
      <c r="P7" s="136">
        <f>IF(SER_hh_tes_in!P7=0,"",SER_hh_tes_in!P7/SER_hh_fec_in!P7)</f>
        <v>0.59252015157960058</v>
      </c>
      <c r="Q7" s="136">
        <f>IF(SER_hh_tes_in!Q7=0,"",SER_hh_tes_in!Q7/SER_hh_fec_in!Q7)</f>
        <v>0.61997281102567947</v>
      </c>
      <c r="R7" s="136">
        <f>IF(SER_hh_tes_in!R7=0,"",SER_hh_tes_in!R7/SER_hh_fec_in!R7)</f>
        <v>0.63043162498635952</v>
      </c>
      <c r="S7" s="136" t="str">
        <f>IF(SER_hh_tes_in!S7=0,"",SER_hh_tes_in!S7/SER_hh_fec_in!S7)</f>
        <v/>
      </c>
      <c r="T7" s="136" t="str">
        <f>IF(SER_hh_tes_in!T7=0,"",SER_hh_tes_in!T7/SER_hh_fec_in!T7)</f>
        <v/>
      </c>
      <c r="U7" s="136" t="str">
        <f>IF(SER_hh_tes_in!U7=0,"",SER_hh_tes_in!U7/SER_hh_fec_in!U7)</f>
        <v/>
      </c>
      <c r="V7" s="136" t="str">
        <f>IF(SER_hh_tes_in!V7=0,"",SER_hh_tes_in!V7/SER_hh_fec_in!V7)</f>
        <v/>
      </c>
      <c r="W7" s="136">
        <f>IF(SER_hh_tes_in!W7=0,"",SER_hh_tes_in!W7/SER_hh_fec_in!W7)</f>
        <v>0.64074623612315629</v>
      </c>
      <c r="X7" s="136">
        <f>IF(SER_hh_tes_in!X7=0,"",SER_hh_tes_in!X7/SER_hh_fec_in!X7)</f>
        <v>0.64177726607302354</v>
      </c>
      <c r="Y7" s="136">
        <f>IF(SER_hh_tes_in!Y7=0,"",SER_hh_tes_in!Y7/SER_hh_fec_in!Y7)</f>
        <v>0.64243801522193522</v>
      </c>
      <c r="DA7" s="163" t="s">
        <v>666</v>
      </c>
    </row>
    <row r="8" spans="1:105" ht="12" customHeight="1" x14ac:dyDescent="0.25">
      <c r="A8" s="131" t="s">
        <v>73</v>
      </c>
      <c r="B8" s="136"/>
      <c r="C8" s="136" t="str">
        <f>IF(SER_hh_tes_in!C8=0,"",SER_hh_tes_in!C8/SER_hh_fec_in!C8)</f>
        <v/>
      </c>
      <c r="D8" s="136" t="str">
        <f>IF(SER_hh_tes_in!D8=0,"",SER_hh_tes_in!D8/SER_hh_fec_in!D8)</f>
        <v/>
      </c>
      <c r="E8" s="136" t="str">
        <f>IF(SER_hh_tes_in!E8=0,"",SER_hh_tes_in!E8/SER_hh_fec_in!E8)</f>
        <v/>
      </c>
      <c r="F8" s="136" t="str">
        <f>IF(SER_hh_tes_in!F8=0,"",SER_hh_tes_in!F8/SER_hh_fec_in!F8)</f>
        <v/>
      </c>
      <c r="G8" s="136" t="str">
        <f>IF(SER_hh_tes_in!G8=0,"",SER_hh_tes_in!G8/SER_hh_fec_in!G8)</f>
        <v/>
      </c>
      <c r="H8" s="136" t="str">
        <f>IF(SER_hh_tes_in!H8=0,"",SER_hh_tes_in!H8/SER_hh_fec_in!H8)</f>
        <v/>
      </c>
      <c r="I8" s="136" t="str">
        <f>IF(SER_hh_tes_in!I8=0,"",SER_hh_tes_in!I8/SER_hh_fec_in!I8)</f>
        <v/>
      </c>
      <c r="J8" s="136" t="str">
        <f>IF(SER_hh_tes_in!J8=0,"",SER_hh_tes_in!J8/SER_hh_fec_in!J8)</f>
        <v/>
      </c>
      <c r="K8" s="136" t="str">
        <f>IF(SER_hh_tes_in!K8=0,"",SER_hh_tes_in!K8/SER_hh_fec_in!K8)</f>
        <v/>
      </c>
      <c r="L8" s="136" t="str">
        <f>IF(SER_hh_tes_in!L8=0,"",SER_hh_tes_in!L8/SER_hh_fec_in!L8)</f>
        <v/>
      </c>
      <c r="M8" s="136" t="str">
        <f>IF(SER_hh_tes_in!M8=0,"",SER_hh_tes_in!M8/SER_hh_fec_in!M8)</f>
        <v/>
      </c>
      <c r="N8" s="136" t="str">
        <f>IF(SER_hh_tes_in!N8=0,"",SER_hh_tes_in!N8/SER_hh_fec_in!N8)</f>
        <v/>
      </c>
      <c r="O8" s="136" t="str">
        <f>IF(SER_hh_tes_in!O8=0,"",SER_hh_tes_in!O8/SER_hh_fec_in!O8)</f>
        <v/>
      </c>
      <c r="P8" s="136" t="str">
        <f>IF(SER_hh_tes_in!P8=0,"",SER_hh_tes_in!P8/SER_hh_fec_in!P8)</f>
        <v/>
      </c>
      <c r="Q8" s="136" t="str">
        <f>IF(SER_hh_tes_in!Q8=0,"",SER_hh_tes_in!Q8/SER_hh_fec_in!Q8)</f>
        <v/>
      </c>
      <c r="R8" s="136" t="str">
        <f>IF(SER_hh_tes_in!R8=0,"",SER_hh_tes_in!R8/SER_hh_fec_in!R8)</f>
        <v/>
      </c>
      <c r="S8" s="136" t="str">
        <f>IF(SER_hh_tes_in!S8=0,"",SER_hh_tes_in!S8/SER_hh_fec_in!S8)</f>
        <v/>
      </c>
      <c r="T8" s="136" t="str">
        <f>IF(SER_hh_tes_in!T8=0,"",SER_hh_tes_in!T8/SER_hh_fec_in!T8)</f>
        <v/>
      </c>
      <c r="U8" s="136" t="str">
        <f>IF(SER_hh_tes_in!U8=0,"",SER_hh_tes_in!U8/SER_hh_fec_in!U8)</f>
        <v/>
      </c>
      <c r="V8" s="136" t="str">
        <f>IF(SER_hh_tes_in!V8=0,"",SER_hh_tes_in!V8/SER_hh_fec_in!V8)</f>
        <v/>
      </c>
      <c r="W8" s="136" t="str">
        <f>IF(SER_hh_tes_in!W8=0,"",SER_hh_tes_in!W8/SER_hh_fec_in!W8)</f>
        <v/>
      </c>
      <c r="X8" s="136" t="str">
        <f>IF(SER_hh_tes_in!X8=0,"",SER_hh_tes_in!X8/SER_hh_fec_in!X8)</f>
        <v/>
      </c>
      <c r="Y8" s="136" t="str">
        <f>IF(SER_hh_tes_in!Y8=0,"",SER_hh_tes_in!Y8/SER_hh_fec_in!Y8)</f>
        <v/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0.47180612579713904</v>
      </c>
      <c r="D9" s="136">
        <f>IF(SER_hh_tes_in!D9=0,"",SER_hh_tes_in!D9/SER_hh_fec_in!D9)</f>
        <v>0.47556899358222487</v>
      </c>
      <c r="E9" s="136">
        <f>IF(SER_hh_tes_in!E9=0,"",SER_hh_tes_in!E9/SER_hh_fec_in!E9)</f>
        <v>0.4795685913791542</v>
      </c>
      <c r="F9" s="136">
        <f>IF(SER_hh_tes_in!F9=0,"",SER_hh_tes_in!F9/SER_hh_fec_in!F9)</f>
        <v>0.48355351941877561</v>
      </c>
      <c r="G9" s="136">
        <f>IF(SER_hh_tes_in!G9=0,"",SER_hh_tes_in!G9/SER_hh_fec_in!G9)</f>
        <v>0.48775044756974933</v>
      </c>
      <c r="H9" s="136">
        <f>IF(SER_hh_tes_in!H9=0,"",SER_hh_tes_in!H9/SER_hh_fec_in!H9)</f>
        <v>0.49213040748846021</v>
      </c>
      <c r="I9" s="136">
        <f>IF(SER_hh_tes_in!I9=0,"",SER_hh_tes_in!I9/SER_hh_fec_in!I9)</f>
        <v>0.49674796212216465</v>
      </c>
      <c r="J9" s="136">
        <f>IF(SER_hh_tes_in!J9=0,"",SER_hh_tes_in!J9/SER_hh_fec_in!J9)</f>
        <v>0.50182948439811281</v>
      </c>
      <c r="K9" s="136">
        <f>IF(SER_hh_tes_in!K9=0,"",SER_hh_tes_in!K9/SER_hh_fec_in!K9)</f>
        <v>0.50756558406219465</v>
      </c>
      <c r="L9" s="136">
        <f>IF(SER_hh_tes_in!L9=0,"",SER_hh_tes_in!L9/SER_hh_fec_in!L9)</f>
        <v>0.51400384902557217</v>
      </c>
      <c r="M9" s="136">
        <f>IF(SER_hh_tes_in!M9=0,"",SER_hh_tes_in!M9/SER_hh_fec_in!M9)</f>
        <v>0.52591257462339192</v>
      </c>
      <c r="N9" s="136">
        <f>IF(SER_hh_tes_in!N9=0,"",SER_hh_tes_in!N9/SER_hh_fec_in!N9)</f>
        <v>0.5447746146065533</v>
      </c>
      <c r="O9" s="136">
        <f>IF(SER_hh_tes_in!O9=0,"",SER_hh_tes_in!O9/SER_hh_fec_in!O9)</f>
        <v>0.57157622217011017</v>
      </c>
      <c r="P9" s="136">
        <f>IF(SER_hh_tes_in!P9=0,"",SER_hh_tes_in!P9/SER_hh_fec_in!P9)</f>
        <v>0.60313833266367722</v>
      </c>
      <c r="Q9" s="136">
        <f>IF(SER_hh_tes_in!Q9=0,"",SER_hh_tes_in!Q9/SER_hh_fec_in!Q9)</f>
        <v>0.62974087877694518</v>
      </c>
      <c r="R9" s="136">
        <f>IF(SER_hh_tes_in!R9=0,"",SER_hh_tes_in!R9/SER_hh_fec_in!R9)</f>
        <v>0.64322640029414102</v>
      </c>
      <c r="S9" s="136">
        <f>IF(SER_hh_tes_in!S9=0,"",SER_hh_tes_in!S9/SER_hh_fec_in!S9)</f>
        <v>0.65352924056820083</v>
      </c>
      <c r="T9" s="136">
        <f>IF(SER_hh_tes_in!T9=0,"",SER_hh_tes_in!T9/SER_hh_fec_in!T9)</f>
        <v>0.66188306944295916</v>
      </c>
      <c r="U9" s="136">
        <f>IF(SER_hh_tes_in!U9=0,"",SER_hh_tes_in!U9/SER_hh_fec_in!U9)</f>
        <v>0.66913966430268157</v>
      </c>
      <c r="V9" s="136">
        <f>IF(SER_hh_tes_in!V9=0,"",SER_hh_tes_in!V9/SER_hh_fec_in!V9)</f>
        <v>0.67571967521922816</v>
      </c>
      <c r="W9" s="136">
        <f>IF(SER_hh_tes_in!W9=0,"",SER_hh_tes_in!W9/SER_hh_fec_in!W9)</f>
        <v>0.68061380585237596</v>
      </c>
      <c r="X9" s="136">
        <f>IF(SER_hh_tes_in!X9=0,"",SER_hh_tes_in!X9/SER_hh_fec_in!X9)</f>
        <v>0.68379504310684347</v>
      </c>
      <c r="Y9" s="136" t="str">
        <f>IF(SER_hh_tes_in!Y9=0,"",SER_hh_tes_in!Y9/SER_hh_fec_in!Y9)</f>
        <v/>
      </c>
      <c r="DA9" s="163" t="s">
        <v>668</v>
      </c>
    </row>
    <row r="10" spans="1:105" ht="12" customHeight="1" x14ac:dyDescent="0.25">
      <c r="A10" s="131" t="s">
        <v>128</v>
      </c>
      <c r="B10" s="136"/>
      <c r="C10" s="136" t="str">
        <f>IF(SER_hh_tes_in!C10=0,"",SER_hh_tes_in!C10/SER_hh_fec_in!C10)</f>
        <v/>
      </c>
      <c r="D10" s="136">
        <f>IF(SER_hh_tes_in!D10=0,"",SER_hh_tes_in!D10/SER_hh_fec_in!D10)</f>
        <v>0.4744602373805567</v>
      </c>
      <c r="E10" s="136">
        <f>IF(SER_hh_tes_in!E10=0,"",SER_hh_tes_in!E10/SER_hh_fec_in!E10)</f>
        <v>0.47470204344009592</v>
      </c>
      <c r="F10" s="136">
        <f>IF(SER_hh_tes_in!F10=0,"",SER_hh_tes_in!F10/SER_hh_fec_in!F10)</f>
        <v>0.47494589325873332</v>
      </c>
      <c r="G10" s="136">
        <f>IF(SER_hh_tes_in!G10=0,"",SER_hh_tes_in!G10/SER_hh_fec_in!G10)</f>
        <v>0.47519154624154208</v>
      </c>
      <c r="H10" s="136">
        <f>IF(SER_hh_tes_in!H10=0,"",SER_hh_tes_in!H10/SER_hh_fec_in!H10)</f>
        <v>0.47543871905224511</v>
      </c>
      <c r="I10" s="136">
        <f>IF(SER_hh_tes_in!I10=0,"",SER_hh_tes_in!I10/SER_hh_fec_in!I10)</f>
        <v>0.47568703793872485</v>
      </c>
      <c r="J10" s="136" t="str">
        <f>IF(SER_hh_tes_in!J10=0,"",SER_hh_tes_in!J10/SER_hh_fec_in!J10)</f>
        <v/>
      </c>
      <c r="K10" s="136" t="str">
        <f>IF(SER_hh_tes_in!K10=0,"",SER_hh_tes_in!K10/SER_hh_fec_in!K10)</f>
        <v/>
      </c>
      <c r="L10" s="136">
        <f>IF(SER_hh_tes_in!L10=0,"",SER_hh_tes_in!L10/SER_hh_fec_in!L10)</f>
        <v>0.47642987673426229</v>
      </c>
      <c r="M10" s="136">
        <f>IF(SER_hh_tes_in!M10=0,"",SER_hh_tes_in!M10/SER_hh_fec_in!M10)</f>
        <v>0.47665607983375374</v>
      </c>
      <c r="N10" s="136">
        <f>IF(SER_hh_tes_in!N10=0,"",SER_hh_tes_in!N10/SER_hh_fec_in!N10)</f>
        <v>0.47685218028540111</v>
      </c>
      <c r="O10" s="136">
        <f>IF(SER_hh_tes_in!O10=0,"",SER_hh_tes_in!O10/SER_hh_fec_in!O10)</f>
        <v>0.4770123717406784</v>
      </c>
      <c r="P10" s="136" t="str">
        <f>IF(SER_hh_tes_in!P10=0,"",SER_hh_tes_in!P10/SER_hh_fec_in!P10)</f>
        <v/>
      </c>
      <c r="Q10" s="136">
        <f>IF(SER_hh_tes_in!Q10=0,"",SER_hh_tes_in!Q10/SER_hh_fec_in!Q10)</f>
        <v>0.4773153821476554</v>
      </c>
      <c r="R10" s="136">
        <f>IF(SER_hh_tes_in!R10=0,"",SER_hh_tes_in!R10/SER_hh_fec_in!R10)</f>
        <v>0.47756230694535418</v>
      </c>
      <c r="S10" s="136">
        <f>IF(SER_hh_tes_in!S10=0,"",SER_hh_tes_in!S10/SER_hh_fec_in!S10)</f>
        <v>0.47784021785551756</v>
      </c>
      <c r="T10" s="136">
        <f>IF(SER_hh_tes_in!T10=0,"",SER_hh_tes_in!T10/SER_hh_fec_in!T10)</f>
        <v>0.4781205411581339</v>
      </c>
      <c r="U10" s="136">
        <f>IF(SER_hh_tes_in!U10=0,"",SER_hh_tes_in!U10/SER_hh_fec_in!U10)</f>
        <v>0.4783794895180995</v>
      </c>
      <c r="V10" s="136">
        <f>IF(SER_hh_tes_in!V10=0,"",SER_hh_tes_in!V10/SER_hh_fec_in!V10)</f>
        <v>0.47859670119657149</v>
      </c>
      <c r="W10" s="136">
        <f>IF(SER_hh_tes_in!W10=0,"",SER_hh_tes_in!W10/SER_hh_fec_in!W10)</f>
        <v>0.47877119301577625</v>
      </c>
      <c r="X10" s="136">
        <f>IF(SER_hh_tes_in!X10=0,"",SER_hh_tes_in!X10/SER_hh_fec_in!X10)</f>
        <v>0.4833752467696219</v>
      </c>
      <c r="Y10" s="136" t="str">
        <f>IF(SER_hh_tes_in!Y10=0,"",SER_hh_tes_in!Y10/SER_hh_fec_in!Y10)</f>
        <v/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 t="str">
        <f>IF(SER_hh_tes_in!D11=0,"",SER_hh_tes_in!D11/SER_hh_fec_in!D11)</f>
        <v/>
      </c>
      <c r="E11" s="136" t="str">
        <f>IF(SER_hh_tes_in!E11=0,"",SER_hh_tes_in!E11/SER_hh_fec_in!E11)</f>
        <v/>
      </c>
      <c r="F11" s="136" t="str">
        <f>IF(SER_hh_tes_in!F11=0,"",SER_hh_tes_in!F11/SER_hh_fec_in!F11)</f>
        <v/>
      </c>
      <c r="G11" s="136">
        <f>IF(SER_hh_tes_in!G11=0,"",SER_hh_tes_in!G11/SER_hh_fec_in!G11)</f>
        <v>0.79936320463913635</v>
      </c>
      <c r="H11" s="136">
        <f>IF(SER_hh_tes_in!H11=0,"",SER_hh_tes_in!H11/SER_hh_fec_in!H11)</f>
        <v>0.80396069583218466</v>
      </c>
      <c r="I11" s="136">
        <f>IF(SER_hh_tes_in!I11=0,"",SER_hh_tes_in!I11/SER_hh_fec_in!I11)</f>
        <v>0.80855889945699511</v>
      </c>
      <c r="J11" s="136">
        <f>IF(SER_hh_tes_in!J11=0,"",SER_hh_tes_in!J11/SER_hh_fec_in!J11)</f>
        <v>0.8131583696271607</v>
      </c>
      <c r="K11" s="136">
        <f>IF(SER_hh_tes_in!K11=0,"",SER_hh_tes_in!K11/SER_hh_fec_in!K11)</f>
        <v>0.81775957748498251</v>
      </c>
      <c r="L11" s="136" t="str">
        <f>IF(SER_hh_tes_in!L11=0,"",SER_hh_tes_in!L11/SER_hh_fec_in!L11)</f>
        <v/>
      </c>
      <c r="M11" s="136" t="str">
        <f>IF(SER_hh_tes_in!M11=0,"",SER_hh_tes_in!M11/SER_hh_fec_in!M11)</f>
        <v/>
      </c>
      <c r="N11" s="136">
        <f>IF(SER_hh_tes_in!N11=0,"",SER_hh_tes_in!N11/SER_hh_fec_in!N11)</f>
        <v>0.83173405986036697</v>
      </c>
      <c r="O11" s="136">
        <f>IF(SER_hh_tes_in!O11=0,"",SER_hh_tes_in!O11/SER_hh_fec_in!O11)</f>
        <v>0.83649861030778638</v>
      </c>
      <c r="P11" s="136">
        <f>IF(SER_hh_tes_in!P11=0,"",SER_hh_tes_in!P11/SER_hh_fec_in!P11)</f>
        <v>0.84120896946392298</v>
      </c>
      <c r="Q11" s="136">
        <f>IF(SER_hh_tes_in!Q11=0,"",SER_hh_tes_in!Q11/SER_hh_fec_in!Q11)</f>
        <v>0.84558807853845375</v>
      </c>
      <c r="R11" s="136">
        <f>IF(SER_hh_tes_in!R11=0,"",SER_hh_tes_in!R11/SER_hh_fec_in!R11)</f>
        <v>0.84940856839719692</v>
      </c>
      <c r="S11" s="136">
        <f>IF(SER_hh_tes_in!S11=0,"",SER_hh_tes_in!S11/SER_hh_fec_in!S11)</f>
        <v>0.85292677179542642</v>
      </c>
      <c r="T11" s="136">
        <f>IF(SER_hh_tes_in!T11=0,"",SER_hh_tes_in!T11/SER_hh_fec_in!T11)</f>
        <v>0.85620438624464124</v>
      </c>
      <c r="U11" s="136">
        <f>IF(SER_hh_tes_in!U11=0,"",SER_hh_tes_in!U11/SER_hh_fec_in!U11)</f>
        <v>0.85930310925635167</v>
      </c>
      <c r="V11" s="136">
        <f>IF(SER_hh_tes_in!V11=0,"",SER_hh_tes_in!V11/SER_hh_fec_in!V11)</f>
        <v>0.86228463834206259</v>
      </c>
      <c r="W11" s="136">
        <f>IF(SER_hh_tes_in!W11=0,"",SER_hh_tes_in!W11/SER_hh_fec_in!W11)</f>
        <v>0.8650722956325515</v>
      </c>
      <c r="X11" s="136">
        <f>IF(SER_hh_tes_in!X11=0,"",SER_hh_tes_in!X11/SER_hh_fec_in!X11)</f>
        <v>0.86766743857319772</v>
      </c>
      <c r="Y11" s="136">
        <f>IF(SER_hh_tes_in!Y11=0,"",SER_hh_tes_in!Y11/SER_hh_fec_in!Y11)</f>
        <v>0.87015541882240144</v>
      </c>
      <c r="DA11" s="163" t="s">
        <v>670</v>
      </c>
    </row>
    <row r="12" spans="1:105" ht="12" customHeight="1" x14ac:dyDescent="0.25">
      <c r="A12" s="131" t="s">
        <v>162</v>
      </c>
      <c r="B12" s="136"/>
      <c r="C12" s="136">
        <f>IF(SER_hh_tes_in!C12=0,"",SER_hh_tes_in!C12/SER_hh_fec_in!C12)</f>
        <v>0.70172203876313921</v>
      </c>
      <c r="D12" s="136">
        <f>IF(SER_hh_tes_in!D12=0,"",SER_hh_tes_in!D12/SER_hh_fec_in!D12)</f>
        <v>0.70399941660860588</v>
      </c>
      <c r="E12" s="136">
        <f>IF(SER_hh_tes_in!E12=0,"",SER_hh_tes_in!E12/SER_hh_fec_in!E12)</f>
        <v>0.7063382777144166</v>
      </c>
      <c r="F12" s="136">
        <f>IF(SER_hh_tes_in!F12=0,"",SER_hh_tes_in!F12/SER_hh_fec_in!F12)</f>
        <v>0.70868552290118303</v>
      </c>
      <c r="G12" s="136" t="str">
        <f>IF(SER_hh_tes_in!G12=0,"",SER_hh_tes_in!G12/SER_hh_fec_in!G12)</f>
        <v/>
      </c>
      <c r="H12" s="136">
        <f>IF(SER_hh_tes_in!H12=0,"",SER_hh_tes_in!H12/SER_hh_fec_in!H12)</f>
        <v>0.71354397690961924</v>
      </c>
      <c r="I12" s="136">
        <f>IF(SER_hh_tes_in!I12=0,"",SER_hh_tes_in!I12/SER_hh_fec_in!I12)</f>
        <v>0.71606116790660135</v>
      </c>
      <c r="J12" s="136" t="str">
        <f>IF(SER_hh_tes_in!J12=0,"",SER_hh_tes_in!J12/SER_hh_fec_in!J12)</f>
        <v/>
      </c>
      <c r="K12" s="136">
        <f>IF(SER_hh_tes_in!K12=0,"",SER_hh_tes_in!K12/SER_hh_fec_in!K12)</f>
        <v>0.72147084275486928</v>
      </c>
      <c r="L12" s="136">
        <f>IF(SER_hh_tes_in!L12=0,"",SER_hh_tes_in!L12/SER_hh_fec_in!L12)</f>
        <v>0.72441580461844435</v>
      </c>
      <c r="M12" s="136">
        <f>IF(SER_hh_tes_in!M12=0,"",SER_hh_tes_in!M12/SER_hh_fec_in!M12)</f>
        <v>0.72849347197050696</v>
      </c>
      <c r="N12" s="136">
        <f>IF(SER_hh_tes_in!N12=0,"",SER_hh_tes_in!N12/SER_hh_fec_in!N12)</f>
        <v>0.73401019627533148</v>
      </c>
      <c r="O12" s="136">
        <f>IF(SER_hh_tes_in!O12=0,"",SER_hh_tes_in!O12/SER_hh_fec_in!O12)</f>
        <v>0.7412345318174548</v>
      </c>
      <c r="P12" s="136">
        <f>IF(SER_hh_tes_in!P12=0,"",SER_hh_tes_in!P12/SER_hh_fec_in!P12)</f>
        <v>0.74965553438090793</v>
      </c>
      <c r="Q12" s="136">
        <f>IF(SER_hh_tes_in!Q12=0,"",SER_hh_tes_in!Q12/SER_hh_fec_in!Q12)</f>
        <v>0.75760055708715002</v>
      </c>
      <c r="R12" s="136">
        <f>IF(SER_hh_tes_in!R12=0,"",SER_hh_tes_in!R12/SER_hh_fec_in!R12)</f>
        <v>0.76368856281491881</v>
      </c>
      <c r="S12" s="136">
        <f>IF(SER_hh_tes_in!S12=0,"",SER_hh_tes_in!S12/SER_hh_fec_in!S12)</f>
        <v>0.76961117466644158</v>
      </c>
      <c r="T12" s="136">
        <f>IF(SER_hh_tes_in!T12=0,"",SER_hh_tes_in!T12/SER_hh_fec_in!T12)</f>
        <v>0.77532882028879768</v>
      </c>
      <c r="U12" s="136">
        <f>IF(SER_hh_tes_in!U12=0,"",SER_hh_tes_in!U12/SER_hh_fec_in!U12)</f>
        <v>0.78080192732908482</v>
      </c>
      <c r="V12" s="136">
        <f>IF(SER_hh_tes_in!V12=0,"",SER_hh_tes_in!V12/SER_hh_fec_in!V12)</f>
        <v>0.78599092343439325</v>
      </c>
      <c r="W12" s="136">
        <f>IF(SER_hh_tes_in!W12=0,"",SER_hh_tes_in!W12/SER_hh_fec_in!W12)</f>
        <v>0.79077098900127518</v>
      </c>
      <c r="X12" s="136">
        <f>IF(SER_hh_tes_in!X12=0,"",SER_hh_tes_in!X12/SER_hh_fec_in!X12)</f>
        <v>0.79498006856865755</v>
      </c>
      <c r="Y12" s="136" t="str">
        <f>IF(SER_hh_tes_in!Y12=0,"",SER_hh_tes_in!Y12/SER_hh_fec_in!Y12)</f>
        <v/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1.5073931765816142</v>
      </c>
      <c r="D13" s="136">
        <f>IF(SER_hh_tes_in!D13=0,"",SER_hh_tes_in!D13/SER_hh_fec_in!D13)</f>
        <v>1.5814437602179188</v>
      </c>
      <c r="E13" s="136">
        <f>IF(SER_hh_tes_in!E13=0,"",SER_hh_tes_in!E13/SER_hh_fec_in!E13)</f>
        <v>1.6567410830086327</v>
      </c>
      <c r="F13" s="136">
        <f>IF(SER_hh_tes_in!F13=0,"",SER_hh_tes_in!F13/SER_hh_fec_in!F13)</f>
        <v>1.7325592229611189</v>
      </c>
      <c r="G13" s="136">
        <f>IF(SER_hh_tes_in!G13=0,"",SER_hh_tes_in!G13/SER_hh_fec_in!G13)</f>
        <v>1.8095595879423925</v>
      </c>
      <c r="H13" s="136">
        <f>IF(SER_hh_tes_in!H13=0,"",SER_hh_tes_in!H13/SER_hh_fec_in!H13)</f>
        <v>1.8876626114992545</v>
      </c>
      <c r="I13" s="136">
        <f>IF(SER_hh_tes_in!I13=0,"",SER_hh_tes_in!I13/SER_hh_fec_in!I13)</f>
        <v>1.9670327111611459</v>
      </c>
      <c r="J13" s="136">
        <f>IF(SER_hh_tes_in!J13=0,"",SER_hh_tes_in!J13/SER_hh_fec_in!J13)</f>
        <v>2.0483402415203358</v>
      </c>
      <c r="K13" s="136">
        <f>IF(SER_hh_tes_in!K13=0,"",SER_hh_tes_in!K13/SER_hh_fec_in!K13)</f>
        <v>2.1321572533777893</v>
      </c>
      <c r="L13" s="136">
        <f>IF(SER_hh_tes_in!L13=0,"",SER_hh_tes_in!L13/SER_hh_fec_in!L13)</f>
        <v>2.2186405680501915</v>
      </c>
      <c r="M13" s="136">
        <f>IF(SER_hh_tes_in!M13=0,"",SER_hh_tes_in!M13/SER_hh_fec_in!M13)</f>
        <v>2.3243917620815422</v>
      </c>
      <c r="N13" s="136">
        <f>IF(SER_hh_tes_in!N13=0,"",SER_hh_tes_in!N13/SER_hh_fec_in!N13)</f>
        <v>2.4551357117092572</v>
      </c>
      <c r="O13" s="136">
        <f>IF(SER_hh_tes_in!O13=0,"",SER_hh_tes_in!O13/SER_hh_fec_in!O13)</f>
        <v>2.6128392199124306</v>
      </c>
      <c r="P13" s="136">
        <f>IF(SER_hh_tes_in!P13=0,"",SER_hh_tes_in!P13/SER_hh_fec_in!P13)</f>
        <v>2.7816007970919063</v>
      </c>
      <c r="Q13" s="136">
        <f>IF(SER_hh_tes_in!Q13=0,"",SER_hh_tes_in!Q13/SER_hh_fec_in!Q13)</f>
        <v>2.9128412792342289</v>
      </c>
      <c r="R13" s="136">
        <f>IF(SER_hh_tes_in!R13=0,"",SER_hh_tes_in!R13/SER_hh_fec_in!R13)</f>
        <v>3.0499915085429312</v>
      </c>
      <c r="S13" s="136">
        <f>IF(SER_hh_tes_in!S13=0,"",SER_hh_tes_in!S13/SER_hh_fec_in!S13)</f>
        <v>3.1388148332947305</v>
      </c>
      <c r="T13" s="136">
        <f>IF(SER_hh_tes_in!T13=0,"",SER_hh_tes_in!T13/SER_hh_fec_in!T13)</f>
        <v>3.1941853142688372</v>
      </c>
      <c r="U13" s="136">
        <f>IF(SER_hh_tes_in!U13=0,"",SER_hh_tes_in!U13/SER_hh_fec_in!U13)</f>
        <v>3.231433917104956</v>
      </c>
      <c r="V13" s="136">
        <f>IF(SER_hh_tes_in!V13=0,"",SER_hh_tes_in!V13/SER_hh_fec_in!V13)</f>
        <v>3.2656996338933637</v>
      </c>
      <c r="W13" s="136">
        <f>IF(SER_hh_tes_in!W13=0,"",SER_hh_tes_in!W13/SER_hh_fec_in!W13)</f>
        <v>3.2999851948719692</v>
      </c>
      <c r="X13" s="136">
        <f>IF(SER_hh_tes_in!X13=0,"",SER_hh_tes_in!X13/SER_hh_fec_in!X13)</f>
        <v>3.3287179664559456</v>
      </c>
      <c r="Y13" s="136">
        <f>IF(SER_hh_tes_in!Y13=0,"",SER_hh_tes_in!Y13/SER_hh_fec_in!Y13)</f>
        <v>3.3533623781173434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0.63694420149434772</v>
      </c>
      <c r="D14" s="137">
        <f>IF(SER_hh_tes_in!D14=0,"",SER_hh_tes_in!D14/SER_hh_fec_in!D14)</f>
        <v>0.64137557098829745</v>
      </c>
      <c r="E14" s="137">
        <f>IF(SER_hh_tes_in!E14=0,"",SER_hh_tes_in!E14/SER_hh_fec_in!E14)</f>
        <v>0.6457945976767947</v>
      </c>
      <c r="F14" s="137">
        <f>IF(SER_hh_tes_in!F14=0,"",SER_hh_tes_in!F14/SER_hh_fec_in!F14)</f>
        <v>0.65021151100099028</v>
      </c>
      <c r="G14" s="137" t="str">
        <f>IF(SER_hh_tes_in!G14=0,"",SER_hh_tes_in!G14/SER_hh_fec_in!G14)</f>
        <v/>
      </c>
      <c r="H14" s="137">
        <f>IF(SER_hh_tes_in!H14=0,"",SER_hh_tes_in!H14/SER_hh_fec_in!H14)</f>
        <v>0.65901242765388524</v>
      </c>
      <c r="I14" s="137">
        <f>IF(SER_hh_tes_in!I14=0,"",SER_hh_tes_in!I14/SER_hh_fec_in!I14)</f>
        <v>0.6633953573323802</v>
      </c>
      <c r="J14" s="137">
        <f>IF(SER_hh_tes_in!J14=0,"",SER_hh_tes_in!J14/SER_hh_fec_in!J14)</f>
        <v>0.6677565958079601</v>
      </c>
      <c r="K14" s="137">
        <f>IF(SER_hh_tes_in!K14=0,"",SER_hh_tes_in!K14/SER_hh_fec_in!K14)</f>
        <v>0.67208833164248005</v>
      </c>
      <c r="L14" s="137">
        <f>IF(SER_hh_tes_in!L14=0,"",SER_hh_tes_in!L14/SER_hh_fec_in!L14)</f>
        <v>0.67638858885495978</v>
      </c>
      <c r="M14" s="137">
        <f>IF(SER_hh_tes_in!M14=0,"",SER_hh_tes_in!M14/SER_hh_fec_in!M14)</f>
        <v>0.67986621300558525</v>
      </c>
      <c r="N14" s="137" t="str">
        <f>IF(SER_hh_tes_in!N14=0,"",SER_hh_tes_in!N14/SER_hh_fec_in!N14)</f>
        <v/>
      </c>
      <c r="O14" s="137" t="str">
        <f>IF(SER_hh_tes_in!O14=0,"",SER_hh_tes_in!O14/SER_hh_fec_in!O14)</f>
        <v/>
      </c>
      <c r="P14" s="137" t="str">
        <f>IF(SER_hh_tes_in!P14=0,"",SER_hh_tes_in!P14/SER_hh_fec_in!P14)</f>
        <v/>
      </c>
      <c r="Q14" s="137" t="str">
        <f>IF(SER_hh_tes_in!Q14=0,"",SER_hh_tes_in!Q14/SER_hh_fec_in!Q14)</f>
        <v/>
      </c>
      <c r="R14" s="137">
        <f>IF(SER_hh_tes_in!R14=0,"",SER_hh_tes_in!R14/SER_hh_fec_in!R14)</f>
        <v>0.71317029368362705</v>
      </c>
      <c r="S14" s="137">
        <f>IF(SER_hh_tes_in!S14=0,"",SER_hh_tes_in!S14/SER_hh_fec_in!S14)</f>
        <v>0.73840592446525233</v>
      </c>
      <c r="T14" s="137">
        <f>IF(SER_hh_tes_in!T14=0,"",SER_hh_tes_in!T14/SER_hh_fec_in!T14)</f>
        <v>0.7666775114512383</v>
      </c>
      <c r="U14" s="137">
        <f>IF(SER_hh_tes_in!U14=0,"",SER_hh_tes_in!U14/SER_hh_fec_in!U14)</f>
        <v>0.79454921012994395</v>
      </c>
      <c r="V14" s="137">
        <f>IF(SER_hh_tes_in!V14=0,"",SER_hh_tes_in!V14/SER_hh_fec_in!V14)</f>
        <v>0.81858179296093725</v>
      </c>
      <c r="W14" s="137">
        <f>IF(SER_hh_tes_in!W14=0,"",SER_hh_tes_in!W14/SER_hh_fec_in!W14)</f>
        <v>0.83809503926930151</v>
      </c>
      <c r="X14" s="137">
        <f>IF(SER_hh_tes_in!X14=0,"",SER_hh_tes_in!X14/SER_hh_fec_in!X14)</f>
        <v>0.85198220750827403</v>
      </c>
      <c r="Y14" s="137">
        <f>IF(SER_hh_tes_in!Y14=0,"",SER_hh_tes_in!Y14/SER_hh_fec_in!Y14)</f>
        <v>0.86508096998885531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2.0505151861882047</v>
      </c>
      <c r="D16" s="135">
        <f>IF(SER_hh_tes_in!D16=0,"",SER_hh_tes_in!D16/SER_hh_fec_in!D16)</f>
        <v>2.1429755172661973</v>
      </c>
      <c r="E16" s="135">
        <f>IF(SER_hh_tes_in!E16=0,"",SER_hh_tes_in!E16/SER_hh_fec_in!E16)</f>
        <v>2.2368237551282437</v>
      </c>
      <c r="F16" s="135">
        <f>IF(SER_hh_tes_in!F16=0,"",SER_hh_tes_in!F16/SER_hh_fec_in!F16)</f>
        <v>2.3313932999785147</v>
      </c>
      <c r="G16" s="135">
        <f>IF(SER_hh_tes_in!G16=0,"",SER_hh_tes_in!G16/SER_hh_fec_in!G16)</f>
        <v>2.4272685125276072</v>
      </c>
      <c r="H16" s="135">
        <f>IF(SER_hh_tes_in!H16=0,"",SER_hh_tes_in!H16/SER_hh_fec_in!H16)</f>
        <v>2.5243610776021574</v>
      </c>
      <c r="I16" s="135">
        <f>IF(SER_hh_tes_in!I16=0,"",SER_hh_tes_in!I16/SER_hh_fec_in!I16)</f>
        <v>2.6227953418158831</v>
      </c>
      <c r="J16" s="135">
        <f>IF(SER_hh_tes_in!J16=0,"",SER_hh_tes_in!J16/SER_hh_fec_in!J16)</f>
        <v>2.7231186968061176</v>
      </c>
      <c r="K16" s="135">
        <f>IF(SER_hh_tes_in!K16=0,"",SER_hh_tes_in!K16/SER_hh_fec_in!K16)</f>
        <v>2.8257651027962423</v>
      </c>
      <c r="L16" s="135">
        <f>IF(SER_hh_tes_in!L16=0,"",SER_hh_tes_in!L16/SER_hh_fec_in!L16)</f>
        <v>2.9307945999011413</v>
      </c>
      <c r="M16" s="135">
        <f>IF(SER_hh_tes_in!M16=0,"",SER_hh_tes_in!M16/SER_hh_fec_in!M16)</f>
        <v>3.051912918919534</v>
      </c>
      <c r="N16" s="135">
        <f>IF(SER_hh_tes_in!N16=0,"",SER_hh_tes_in!N16/SER_hh_fec_in!N16)</f>
        <v>3.1931480171238933</v>
      </c>
      <c r="O16" s="135">
        <f>IF(SER_hh_tes_in!O16=0,"",SER_hh_tes_in!O16/SER_hh_fec_in!O16)</f>
        <v>3.3542934877257991</v>
      </c>
      <c r="P16" s="135">
        <f>IF(SER_hh_tes_in!P16=0,"",SER_hh_tes_in!P16/SER_hh_fec_in!P16)</f>
        <v>3.5194250207407078</v>
      </c>
      <c r="Q16" s="135">
        <f>IF(SER_hh_tes_in!Q16=0,"",SER_hh_tes_in!Q16/SER_hh_fec_in!Q16)</f>
        <v>3.6460597394003211</v>
      </c>
      <c r="R16" s="135">
        <f>IF(SER_hh_tes_in!R16=0,"",SER_hh_tes_in!R16/SER_hh_fec_in!R16)</f>
        <v>3.755766648397568</v>
      </c>
      <c r="S16" s="135">
        <f>IF(SER_hh_tes_in!S16=0,"",SER_hh_tes_in!S16/SER_hh_fec_in!S16)</f>
        <v>3.8128642948538096</v>
      </c>
      <c r="T16" s="135">
        <f>IF(SER_hh_tes_in!T16=0,"",SER_hh_tes_in!T16/SER_hh_fec_in!T16)</f>
        <v>3.8494878423875152</v>
      </c>
      <c r="U16" s="135">
        <f>IF(SER_hh_tes_in!U16=0,"",SER_hh_tes_in!U16/SER_hh_fec_in!U16)</f>
        <v>3.87537703994313</v>
      </c>
      <c r="V16" s="135">
        <f>IF(SER_hh_tes_in!V16=0,"",SER_hh_tes_in!V16/SER_hh_fec_in!V16)</f>
        <v>3.9004011594421266</v>
      </c>
      <c r="W16" s="135">
        <f>IF(SER_hh_tes_in!W16=0,"",SER_hh_tes_in!W16/SER_hh_fec_in!W16)</f>
        <v>3.9241073745036772</v>
      </c>
      <c r="X16" s="135">
        <f>IF(SER_hh_tes_in!X16=0,"",SER_hh_tes_in!X16/SER_hh_fec_in!X16)</f>
        <v>3.9435862025343122</v>
      </c>
      <c r="Y16" s="135">
        <f>IF(SER_hh_tes_in!Y16=0,"",SER_hh_tes_in!Y16/SER_hh_fec_in!Y16)</f>
        <v>3.9812948838823194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 t="str">
        <f>IF(SER_hh_tes_in!C17=0,"",SER_hh_tes_in!C17/SER_hh_fec_in!C17)</f>
        <v/>
      </c>
      <c r="D17" s="136" t="str">
        <f>IF(SER_hh_tes_in!D17=0,"",SER_hh_tes_in!D17/SER_hh_fec_in!D17)</f>
        <v/>
      </c>
      <c r="E17" s="136" t="str">
        <f>IF(SER_hh_tes_in!E17=0,"",SER_hh_tes_in!E17/SER_hh_fec_in!E17)</f>
        <v/>
      </c>
      <c r="F17" s="136" t="str">
        <f>IF(SER_hh_tes_in!F17=0,"",SER_hh_tes_in!F17/SER_hh_fec_in!F17)</f>
        <v/>
      </c>
      <c r="G17" s="136" t="str">
        <f>IF(SER_hh_tes_in!G17=0,"",SER_hh_tes_in!G17/SER_hh_fec_in!G17)</f>
        <v/>
      </c>
      <c r="H17" s="136" t="str">
        <f>IF(SER_hh_tes_in!H17=0,"",SER_hh_tes_in!H17/SER_hh_fec_in!H17)</f>
        <v/>
      </c>
      <c r="I17" s="136" t="str">
        <f>IF(SER_hh_tes_in!I17=0,"",SER_hh_tes_in!I17/SER_hh_fec_in!I17)</f>
        <v/>
      </c>
      <c r="J17" s="136" t="str">
        <f>IF(SER_hh_tes_in!J17=0,"",SER_hh_tes_in!J17/SER_hh_fec_in!J17)</f>
        <v/>
      </c>
      <c r="K17" s="136" t="str">
        <f>IF(SER_hh_tes_in!K17=0,"",SER_hh_tes_in!K17/SER_hh_fec_in!K17)</f>
        <v/>
      </c>
      <c r="L17" s="136" t="str">
        <f>IF(SER_hh_tes_in!L17=0,"",SER_hh_tes_in!L17/SER_hh_fec_in!L17)</f>
        <v/>
      </c>
      <c r="M17" s="136" t="str">
        <f>IF(SER_hh_tes_in!M17=0,"",SER_hh_tes_in!M17/SER_hh_fec_in!M17)</f>
        <v/>
      </c>
      <c r="N17" s="136" t="str">
        <f>IF(SER_hh_tes_in!N17=0,"",SER_hh_tes_in!N17/SER_hh_fec_in!N17)</f>
        <v/>
      </c>
      <c r="O17" s="136" t="str">
        <f>IF(SER_hh_tes_in!O17=0,"",SER_hh_tes_in!O17/SER_hh_fec_in!O17)</f>
        <v/>
      </c>
      <c r="P17" s="136" t="str">
        <f>IF(SER_hh_tes_in!P17=0,"",SER_hh_tes_in!P17/SER_hh_fec_in!P17)</f>
        <v/>
      </c>
      <c r="Q17" s="136" t="str">
        <f>IF(SER_hh_tes_in!Q17=0,"",SER_hh_tes_in!Q17/SER_hh_fec_in!Q17)</f>
        <v/>
      </c>
      <c r="R17" s="136" t="str">
        <f>IF(SER_hh_tes_in!R17=0,"",SER_hh_tes_in!R17/SER_hh_fec_in!R17)</f>
        <v/>
      </c>
      <c r="S17" s="136" t="str">
        <f>IF(SER_hh_tes_in!S17=0,"",SER_hh_tes_in!S17/SER_hh_fec_in!S17)</f>
        <v/>
      </c>
      <c r="T17" s="136" t="str">
        <f>IF(SER_hh_tes_in!T17=0,"",SER_hh_tes_in!T17/SER_hh_fec_in!T17)</f>
        <v/>
      </c>
      <c r="U17" s="136" t="str">
        <f>IF(SER_hh_tes_in!U17=0,"",SER_hh_tes_in!U17/SER_hh_fec_in!U17)</f>
        <v/>
      </c>
      <c r="V17" s="136" t="str">
        <f>IF(SER_hh_tes_in!V17=0,"",SER_hh_tes_in!V17/SER_hh_fec_in!V17)</f>
        <v/>
      </c>
      <c r="W17" s="136" t="str">
        <f>IF(SER_hh_tes_in!W17=0,"",SER_hh_tes_in!W17/SER_hh_fec_in!W17)</f>
        <v/>
      </c>
      <c r="X17" s="136" t="str">
        <f>IF(SER_hh_tes_in!X17=0,"",SER_hh_tes_in!X17/SER_hh_fec_in!X17)</f>
        <v/>
      </c>
      <c r="Y17" s="136" t="str">
        <f>IF(SER_hh_tes_in!Y17=0,"",SER_hh_tes_in!Y17/SER_hh_fec_in!Y17)</f>
        <v/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2.0505151861882047</v>
      </c>
      <c r="D18" s="136">
        <f>IF(SER_hh_tes_in!D18=0,"",SER_hh_tes_in!D18/SER_hh_fec_in!D18)</f>
        <v>2.1429755172661973</v>
      </c>
      <c r="E18" s="136">
        <f>IF(SER_hh_tes_in!E18=0,"",SER_hh_tes_in!E18/SER_hh_fec_in!E18)</f>
        <v>2.2368237551282437</v>
      </c>
      <c r="F18" s="136">
        <f>IF(SER_hh_tes_in!F18=0,"",SER_hh_tes_in!F18/SER_hh_fec_in!F18)</f>
        <v>2.3313932999785147</v>
      </c>
      <c r="G18" s="136">
        <f>IF(SER_hh_tes_in!G18=0,"",SER_hh_tes_in!G18/SER_hh_fec_in!G18)</f>
        <v>2.4272685125276072</v>
      </c>
      <c r="H18" s="136">
        <f>IF(SER_hh_tes_in!H18=0,"",SER_hh_tes_in!H18/SER_hh_fec_in!H18)</f>
        <v>2.5243610776021574</v>
      </c>
      <c r="I18" s="136">
        <f>IF(SER_hh_tes_in!I18=0,"",SER_hh_tes_in!I18/SER_hh_fec_in!I18)</f>
        <v>2.6227953418158831</v>
      </c>
      <c r="J18" s="136">
        <f>IF(SER_hh_tes_in!J18=0,"",SER_hh_tes_in!J18/SER_hh_fec_in!J18)</f>
        <v>2.7231186968061176</v>
      </c>
      <c r="K18" s="136">
        <f>IF(SER_hh_tes_in!K18=0,"",SER_hh_tes_in!K18/SER_hh_fec_in!K18)</f>
        <v>2.8257651027962423</v>
      </c>
      <c r="L18" s="136">
        <f>IF(SER_hh_tes_in!L18=0,"",SER_hh_tes_in!L18/SER_hh_fec_in!L18)</f>
        <v>2.9307945999011413</v>
      </c>
      <c r="M18" s="136">
        <f>IF(SER_hh_tes_in!M18=0,"",SER_hh_tes_in!M18/SER_hh_fec_in!M18)</f>
        <v>3.051912918919534</v>
      </c>
      <c r="N18" s="136">
        <f>IF(SER_hh_tes_in!N18=0,"",SER_hh_tes_in!N18/SER_hh_fec_in!N18)</f>
        <v>3.1931480171238933</v>
      </c>
      <c r="O18" s="136">
        <f>IF(SER_hh_tes_in!O18=0,"",SER_hh_tes_in!O18/SER_hh_fec_in!O18)</f>
        <v>3.3542934877257991</v>
      </c>
      <c r="P18" s="136">
        <f>IF(SER_hh_tes_in!P18=0,"",SER_hh_tes_in!P18/SER_hh_fec_in!P18)</f>
        <v>3.5194250207407078</v>
      </c>
      <c r="Q18" s="136">
        <f>IF(SER_hh_tes_in!Q18=0,"",SER_hh_tes_in!Q18/SER_hh_fec_in!Q18)</f>
        <v>3.6460597394003211</v>
      </c>
      <c r="R18" s="136">
        <f>IF(SER_hh_tes_in!R18=0,"",SER_hh_tes_in!R18/SER_hh_fec_in!R18)</f>
        <v>3.755766648397568</v>
      </c>
      <c r="S18" s="136">
        <f>IF(SER_hh_tes_in!S18=0,"",SER_hh_tes_in!S18/SER_hh_fec_in!S18)</f>
        <v>3.8128642948538096</v>
      </c>
      <c r="T18" s="136">
        <f>IF(SER_hh_tes_in!T18=0,"",SER_hh_tes_in!T18/SER_hh_fec_in!T18)</f>
        <v>3.8494878423875152</v>
      </c>
      <c r="U18" s="136">
        <f>IF(SER_hh_tes_in!U18=0,"",SER_hh_tes_in!U18/SER_hh_fec_in!U18)</f>
        <v>3.87537703994313</v>
      </c>
      <c r="V18" s="136">
        <f>IF(SER_hh_tes_in!V18=0,"",SER_hh_tes_in!V18/SER_hh_fec_in!V18)</f>
        <v>3.9004011594421266</v>
      </c>
      <c r="W18" s="136">
        <f>IF(SER_hh_tes_in!W18=0,"",SER_hh_tes_in!W18/SER_hh_fec_in!W18)</f>
        <v>3.9241073745036772</v>
      </c>
      <c r="X18" s="136">
        <f>IF(SER_hh_tes_in!X18=0,"",SER_hh_tes_in!X18/SER_hh_fec_in!X18)</f>
        <v>3.9435862025343122</v>
      </c>
      <c r="Y18" s="136">
        <f>IF(SER_hh_tes_in!Y18=0,"",SER_hh_tes_in!Y18/SER_hh_fec_in!Y18)</f>
        <v>3.9812948838823194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0.59041596894755866</v>
      </c>
      <c r="D19" s="135">
        <f>IF(SER_hh_tes_in!D19=0,"",SER_hh_tes_in!D19/SER_hh_fec_in!D19)</f>
        <v>0.59784645664884406</v>
      </c>
      <c r="E19" s="135">
        <f>IF(SER_hh_tes_in!E19=0,"",SER_hh_tes_in!E19/SER_hh_fec_in!E19)</f>
        <v>0.60215299810917644</v>
      </c>
      <c r="F19" s="135">
        <f>IF(SER_hh_tes_in!F19=0,"",SER_hh_tes_in!F19/SER_hh_fec_in!F19)</f>
        <v>0.60152695135780032</v>
      </c>
      <c r="G19" s="135">
        <f>IF(SER_hh_tes_in!G19=0,"",SER_hh_tes_in!G19/SER_hh_fec_in!G19)</f>
        <v>0.59842992402356177</v>
      </c>
      <c r="H19" s="135">
        <f>IF(SER_hh_tes_in!H19=0,"",SER_hh_tes_in!H19/SER_hh_fec_in!H19)</f>
        <v>0.59341972569235468</v>
      </c>
      <c r="I19" s="135">
        <f>IF(SER_hh_tes_in!I19=0,"",SER_hh_tes_in!I19/SER_hh_fec_in!I19)</f>
        <v>0.589297563681629</v>
      </c>
      <c r="J19" s="135">
        <f>IF(SER_hh_tes_in!J19=0,"",SER_hh_tes_in!J19/SER_hh_fec_in!J19)</f>
        <v>0.59601642378777586</v>
      </c>
      <c r="K19" s="135">
        <f>IF(SER_hh_tes_in!K19=0,"",SER_hh_tes_in!K19/SER_hh_fec_in!K19)</f>
        <v>0.60357445587939851</v>
      </c>
      <c r="L19" s="135">
        <f>IF(SER_hh_tes_in!L19=0,"",SER_hh_tes_in!L19/SER_hh_fec_in!L19)</f>
        <v>0.82132325411353135</v>
      </c>
      <c r="M19" s="135">
        <f>IF(SER_hh_tes_in!M19=0,"",SER_hh_tes_in!M19/SER_hh_fec_in!M19)</f>
        <v>0.78255823577581884</v>
      </c>
      <c r="N19" s="135">
        <f>IF(SER_hh_tes_in!N19=0,"",SER_hh_tes_in!N19/SER_hh_fec_in!N19)</f>
        <v>0.7863689187945081</v>
      </c>
      <c r="O19" s="135">
        <f>IF(SER_hh_tes_in!O19=0,"",SER_hh_tes_in!O19/SER_hh_fec_in!O19)</f>
        <v>0.8282741535380862</v>
      </c>
      <c r="P19" s="135">
        <f>IF(SER_hh_tes_in!P19=0,"",SER_hh_tes_in!P19/SER_hh_fec_in!P19)</f>
        <v>0.77042474310960019</v>
      </c>
      <c r="Q19" s="135">
        <f>IF(SER_hh_tes_in!Q19=0,"",SER_hh_tes_in!Q19/SER_hh_fec_in!Q19)</f>
        <v>0.82938172738130089</v>
      </c>
      <c r="R19" s="135">
        <f>IF(SER_hh_tes_in!R19=0,"",SER_hh_tes_in!R19/SER_hh_fec_in!R19)</f>
        <v>0.82347023471829262</v>
      </c>
      <c r="S19" s="135">
        <f>IF(SER_hh_tes_in!S19=0,"",SER_hh_tes_in!S19/SER_hh_fec_in!S19)</f>
        <v>0.8295826176316603</v>
      </c>
      <c r="T19" s="135">
        <f>IF(SER_hh_tes_in!T19=0,"",SER_hh_tes_in!T19/SER_hh_fec_in!T19)</f>
        <v>0.82737811633571956</v>
      </c>
      <c r="U19" s="135">
        <f>IF(SER_hh_tes_in!U19=0,"",SER_hh_tes_in!U19/SER_hh_fec_in!U19)</f>
        <v>0.84524730485050992</v>
      </c>
      <c r="V19" s="135">
        <f>IF(SER_hh_tes_in!V19=0,"",SER_hh_tes_in!V19/SER_hh_fec_in!V19)</f>
        <v>0.87659022088804728</v>
      </c>
      <c r="W19" s="135">
        <f>IF(SER_hh_tes_in!W19=0,"",SER_hh_tes_in!W19/SER_hh_fec_in!W19)</f>
        <v>0.83913498073563941</v>
      </c>
      <c r="X19" s="135">
        <f>IF(SER_hh_tes_in!X19=0,"",SER_hh_tes_in!X19/SER_hh_fec_in!X19)</f>
        <v>0.86412067506861001</v>
      </c>
      <c r="Y19" s="135">
        <f>IF(SER_hh_tes_in!Y19=0,"",SER_hh_tes_in!Y19/SER_hh_fec_in!Y19)</f>
        <v>0.8613305427615775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 t="str">
        <f>IF(SER_hh_tes_in!C21=0,"",SER_hh_tes_in!C21/SER_hh_fec_in!C21)</f>
        <v/>
      </c>
      <c r="D21" s="136" t="str">
        <f>IF(SER_hh_tes_in!D21=0,"",SER_hh_tes_in!D21/SER_hh_fec_in!D21)</f>
        <v/>
      </c>
      <c r="E21" s="136" t="str">
        <f>IF(SER_hh_tes_in!E21=0,"",SER_hh_tes_in!E21/SER_hh_fec_in!E21)</f>
        <v/>
      </c>
      <c r="F21" s="136" t="str">
        <f>IF(SER_hh_tes_in!F21=0,"",SER_hh_tes_in!F21/SER_hh_fec_in!F21)</f>
        <v/>
      </c>
      <c r="G21" s="136" t="str">
        <f>IF(SER_hh_tes_in!G21=0,"",SER_hh_tes_in!G21/SER_hh_fec_in!G21)</f>
        <v/>
      </c>
      <c r="H21" s="136" t="str">
        <f>IF(SER_hh_tes_in!H21=0,"",SER_hh_tes_in!H21/SER_hh_fec_in!H21)</f>
        <v/>
      </c>
      <c r="I21" s="136" t="str">
        <f>IF(SER_hh_tes_in!I21=0,"",SER_hh_tes_in!I21/SER_hh_fec_in!I21)</f>
        <v/>
      </c>
      <c r="J21" s="136" t="str">
        <f>IF(SER_hh_tes_in!J21=0,"",SER_hh_tes_in!J21/SER_hh_fec_in!J21)</f>
        <v/>
      </c>
      <c r="K21" s="136" t="str">
        <f>IF(SER_hh_tes_in!K21=0,"",SER_hh_tes_in!K21/SER_hh_fec_in!K21)</f>
        <v/>
      </c>
      <c r="L21" s="136" t="str">
        <f>IF(SER_hh_tes_in!L21=0,"",SER_hh_tes_in!L21/SER_hh_fec_in!L21)</f>
        <v/>
      </c>
      <c r="M21" s="136" t="str">
        <f>IF(SER_hh_tes_in!M21=0,"",SER_hh_tes_in!M21/SER_hh_fec_in!M21)</f>
        <v/>
      </c>
      <c r="N21" s="136" t="str">
        <f>IF(SER_hh_tes_in!N21=0,"",SER_hh_tes_in!N21/SER_hh_fec_in!N21)</f>
        <v/>
      </c>
      <c r="O21" s="136" t="str">
        <f>IF(SER_hh_tes_in!O21=0,"",SER_hh_tes_in!O21/SER_hh_fec_in!O21)</f>
        <v/>
      </c>
      <c r="P21" s="136" t="str">
        <f>IF(SER_hh_tes_in!P21=0,"",SER_hh_tes_in!P21/SER_hh_fec_in!P21)</f>
        <v/>
      </c>
      <c r="Q21" s="136" t="str">
        <f>IF(SER_hh_tes_in!Q21=0,"",SER_hh_tes_in!Q21/SER_hh_fec_in!Q21)</f>
        <v/>
      </c>
      <c r="R21" s="136" t="str">
        <f>IF(SER_hh_tes_in!R21=0,"",SER_hh_tes_in!R21/SER_hh_fec_in!R21)</f>
        <v/>
      </c>
      <c r="S21" s="136" t="str">
        <f>IF(SER_hh_tes_in!S21=0,"",SER_hh_tes_in!S21/SER_hh_fec_in!S21)</f>
        <v/>
      </c>
      <c r="T21" s="136" t="str">
        <f>IF(SER_hh_tes_in!T21=0,"",SER_hh_tes_in!T21/SER_hh_fec_in!T21)</f>
        <v/>
      </c>
      <c r="U21" s="136" t="str">
        <f>IF(SER_hh_tes_in!U21=0,"",SER_hh_tes_in!U21/SER_hh_fec_in!U21)</f>
        <v/>
      </c>
      <c r="V21" s="136" t="str">
        <f>IF(SER_hh_tes_in!V21=0,"",SER_hh_tes_in!V21/SER_hh_fec_in!V21)</f>
        <v/>
      </c>
      <c r="W21" s="136" t="str">
        <f>IF(SER_hh_tes_in!W21=0,"",SER_hh_tes_in!W21/SER_hh_fec_in!W21)</f>
        <v/>
      </c>
      <c r="X21" s="136" t="str">
        <f>IF(SER_hh_tes_in!X21=0,"",SER_hh_tes_in!X21/SER_hh_fec_in!X21)</f>
        <v/>
      </c>
      <c r="Y21" s="136" t="str">
        <f>IF(SER_hh_tes_in!Y21=0,"",SER_hh_tes_in!Y21/SER_hh_fec_in!Y21)</f>
        <v/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0.45819830262739702</v>
      </c>
      <c r="D22" s="136">
        <f>IF(SER_hh_tes_in!D22=0,"",SER_hh_tes_in!D22/SER_hh_fec_in!D22)</f>
        <v>0.46042338755951995</v>
      </c>
      <c r="E22" s="136">
        <f>IF(SER_hh_tes_in!E22=0,"",SER_hh_tes_in!E22/SER_hh_fec_in!E22)</f>
        <v>0.46295776914558362</v>
      </c>
      <c r="F22" s="136" t="str">
        <f>IF(SER_hh_tes_in!F22=0,"",SER_hh_tes_in!F22/SER_hh_fec_in!F22)</f>
        <v/>
      </c>
      <c r="G22" s="136" t="str">
        <f>IF(SER_hh_tes_in!G22=0,"",SER_hh_tes_in!G22/SER_hh_fec_in!G22)</f>
        <v/>
      </c>
      <c r="H22" s="136">
        <f>IF(SER_hh_tes_in!H22=0,"",SER_hh_tes_in!H22/SER_hh_fec_in!H22)</f>
        <v>0.47151227705326043</v>
      </c>
      <c r="I22" s="136">
        <f>IF(SER_hh_tes_in!I22=0,"",SER_hh_tes_in!I22/SER_hh_fec_in!I22)</f>
        <v>0.47494376198628707</v>
      </c>
      <c r="J22" s="136">
        <f>IF(SER_hh_tes_in!J22=0,"",SER_hh_tes_in!J22/SER_hh_fec_in!J22)</f>
        <v>0.4789351364412997</v>
      </c>
      <c r="K22" s="136">
        <f>IF(SER_hh_tes_in!K22=0,"",SER_hh_tes_in!K22/SER_hh_fec_in!K22)</f>
        <v>0.48369467376423775</v>
      </c>
      <c r="L22" s="136">
        <f>IF(SER_hh_tes_in!L22=0,"",SER_hh_tes_in!L22/SER_hh_fec_in!L22)</f>
        <v>0.48927809561391439</v>
      </c>
      <c r="M22" s="136">
        <f>IF(SER_hh_tes_in!M22=0,"",SER_hh_tes_in!M22/SER_hh_fec_in!M22)</f>
        <v>0.50066025509007195</v>
      </c>
      <c r="N22" s="136">
        <f>IF(SER_hh_tes_in!N22=0,"",SER_hh_tes_in!N22/SER_hh_fec_in!N22)</f>
        <v>0.51942246643649947</v>
      </c>
      <c r="O22" s="136" t="str">
        <f>IF(SER_hh_tes_in!O22=0,"",SER_hh_tes_in!O22/SER_hh_fec_in!O22)</f>
        <v/>
      </c>
      <c r="P22" s="136" t="str">
        <f>IF(SER_hh_tes_in!P22=0,"",SER_hh_tes_in!P22/SER_hh_fec_in!P22)</f>
        <v/>
      </c>
      <c r="Q22" s="136" t="str">
        <f>IF(SER_hh_tes_in!Q22=0,"",SER_hh_tes_in!Q22/SER_hh_fec_in!Q22)</f>
        <v/>
      </c>
      <c r="R22" s="136" t="str">
        <f>IF(SER_hh_tes_in!R22=0,"",SER_hh_tes_in!R22/SER_hh_fec_in!R22)</f>
        <v/>
      </c>
      <c r="S22" s="136" t="str">
        <f>IF(SER_hh_tes_in!S22=0,"",SER_hh_tes_in!S22/SER_hh_fec_in!S22)</f>
        <v/>
      </c>
      <c r="T22" s="136" t="str">
        <f>IF(SER_hh_tes_in!T22=0,"",SER_hh_tes_in!T22/SER_hh_fec_in!T22)</f>
        <v/>
      </c>
      <c r="U22" s="136" t="str">
        <f>IF(SER_hh_tes_in!U22=0,"",SER_hh_tes_in!U22/SER_hh_fec_in!U22)</f>
        <v/>
      </c>
      <c r="V22" s="136">
        <f>IF(SER_hh_tes_in!V22=0,"",SER_hh_tes_in!V22/SER_hh_fec_in!V22)</f>
        <v>0.68848236660622819</v>
      </c>
      <c r="W22" s="136">
        <f>IF(SER_hh_tes_in!W22=0,"",SER_hh_tes_in!W22/SER_hh_fec_in!W22)</f>
        <v>0.69516579180408078</v>
      </c>
      <c r="X22" s="136">
        <f>IF(SER_hh_tes_in!X22=0,"",SER_hh_tes_in!X22/SER_hh_fec_in!X22)</f>
        <v>0.69818990433807537</v>
      </c>
      <c r="Y22" s="136">
        <f>IF(SER_hh_tes_in!Y22=0,"",SER_hh_tes_in!Y22/SER_hh_fec_in!Y22)</f>
        <v>0.69972124090847976</v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0.49739668468648429</v>
      </c>
      <c r="D23" s="136">
        <f>IF(SER_hh_tes_in!D23=0,"",SER_hh_tes_in!D23/SER_hh_fec_in!D23)</f>
        <v>0.50331895082560307</v>
      </c>
      <c r="E23" s="136">
        <f>IF(SER_hh_tes_in!E23=0,"",SER_hh_tes_in!E23/SER_hh_fec_in!E23)</f>
        <v>0.50950946076006542</v>
      </c>
      <c r="F23" s="136">
        <f>IF(SER_hh_tes_in!F23=0,"",SER_hh_tes_in!F23/SER_hh_fec_in!F23)</f>
        <v>0.51574766359191127</v>
      </c>
      <c r="G23" s="136">
        <f>IF(SER_hh_tes_in!G23=0,"",SER_hh_tes_in!G23/SER_hh_fec_in!G23)</f>
        <v>0.52223098541485036</v>
      </c>
      <c r="H23" s="136">
        <f>IF(SER_hh_tes_in!H23=0,"",SER_hh_tes_in!H23/SER_hh_fec_in!H23)</f>
        <v>0.52893321494015644</v>
      </c>
      <c r="I23" s="136">
        <f>IF(SER_hh_tes_in!I23=0,"",SER_hh_tes_in!I23/SER_hh_fec_in!I23)</f>
        <v>0.53590090022908266</v>
      </c>
      <c r="J23" s="136">
        <f>IF(SER_hh_tes_in!J23=0,"",SER_hh_tes_in!J23/SER_hh_fec_in!J23)</f>
        <v>0.54332947939970222</v>
      </c>
      <c r="K23" s="136">
        <f>IF(SER_hh_tes_in!K23=0,"",SER_hh_tes_in!K23/SER_hh_fec_in!K23)</f>
        <v>0.55138237431272252</v>
      </c>
      <c r="L23" s="136">
        <f>IF(SER_hh_tes_in!L23=0,"",SER_hh_tes_in!L23/SER_hh_fec_in!L23)</f>
        <v>0.56009841348599265</v>
      </c>
      <c r="M23" s="136">
        <f>IF(SER_hh_tes_in!M23=0,"",SER_hh_tes_in!M23/SER_hh_fec_in!M23)</f>
        <v>0.57354571804179666</v>
      </c>
      <c r="N23" s="136">
        <f>IF(SER_hh_tes_in!N23=0,"",SER_hh_tes_in!N23/SER_hh_fec_in!N23)</f>
        <v>0.5929803802493383</v>
      </c>
      <c r="O23" s="136">
        <f>IF(SER_hh_tes_in!O23=0,"",SER_hh_tes_in!O23/SER_hh_fec_in!O23)</f>
        <v>0.61929892292172883</v>
      </c>
      <c r="P23" s="136">
        <f>IF(SER_hh_tes_in!P23=0,"",SER_hh_tes_in!P23/SER_hh_fec_in!P23)</f>
        <v>0.64990039520860754</v>
      </c>
      <c r="Q23" s="136">
        <f>IF(SER_hh_tes_in!Q23=0,"",SER_hh_tes_in!Q23/SER_hh_fec_in!Q23)</f>
        <v>0.6766927369998571</v>
      </c>
      <c r="R23" s="136">
        <f>IF(SER_hh_tes_in!R23=0,"",SER_hh_tes_in!R23/SER_hh_fec_in!R23)</f>
        <v>0.69307017721666042</v>
      </c>
      <c r="S23" s="136">
        <f>IF(SER_hh_tes_in!S23=0,"",SER_hh_tes_in!S23/SER_hh_fec_in!S23)</f>
        <v>0.70701741912938176</v>
      </c>
      <c r="T23" s="136">
        <f>IF(SER_hh_tes_in!T23=0,"",SER_hh_tes_in!T23/SER_hh_fec_in!T23)</f>
        <v>0.7187533834992621</v>
      </c>
      <c r="U23" s="136">
        <f>IF(SER_hh_tes_in!U23=0,"",SER_hh_tes_in!U23/SER_hh_fec_in!U23)</f>
        <v>0.72848654281911307</v>
      </c>
      <c r="V23" s="136">
        <f>IF(SER_hh_tes_in!V23=0,"",SER_hh_tes_in!V23/SER_hh_fec_in!V23)</f>
        <v>0.73639974120107721</v>
      </c>
      <c r="W23" s="136">
        <f>IF(SER_hh_tes_in!W23=0,"",SER_hh_tes_in!W23/SER_hh_fec_in!W23)</f>
        <v>0.74163674186984019</v>
      </c>
      <c r="X23" s="136">
        <f>IF(SER_hh_tes_in!X23=0,"",SER_hh_tes_in!X23/SER_hh_fec_in!X23)</f>
        <v>0.74405065020300765</v>
      </c>
      <c r="Y23" s="136">
        <f>IF(SER_hh_tes_in!Y23=0,"",SER_hh_tes_in!Y23/SER_hh_fec_in!Y23)</f>
        <v>0.74546599260907132</v>
      </c>
      <c r="DA23" s="163" t="s">
        <v>682</v>
      </c>
    </row>
    <row r="24" spans="1:105" ht="12" customHeight="1" x14ac:dyDescent="0.25">
      <c r="A24" s="131" t="s">
        <v>128</v>
      </c>
      <c r="B24" s="136"/>
      <c r="C24" s="136" t="str">
        <f>IF(SER_hh_tes_in!C24=0,"",SER_hh_tes_in!C24/SER_hh_fec_in!C24)</f>
        <v/>
      </c>
      <c r="D24" s="136" t="str">
        <f>IF(SER_hh_tes_in!D24=0,"",SER_hh_tes_in!D24/SER_hh_fec_in!D24)</f>
        <v/>
      </c>
      <c r="E24" s="136" t="str">
        <f>IF(SER_hh_tes_in!E24=0,"",SER_hh_tes_in!E24/SER_hh_fec_in!E24)</f>
        <v/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 t="str">
        <f>IF(SER_hh_tes_in!J24=0,"",SER_hh_tes_in!J24/SER_hh_fec_in!J24)</f>
        <v/>
      </c>
      <c r="K24" s="136" t="str">
        <f>IF(SER_hh_tes_in!K24=0,"",SER_hh_tes_in!K24/SER_hh_fec_in!K24)</f>
        <v/>
      </c>
      <c r="L24" s="136" t="str">
        <f>IF(SER_hh_tes_in!L24=0,"",SER_hh_tes_in!L24/SER_hh_fec_in!L24)</f>
        <v/>
      </c>
      <c r="M24" s="136" t="str">
        <f>IF(SER_hh_tes_in!M24=0,"",SER_hh_tes_in!M24/SER_hh_fec_in!M24)</f>
        <v/>
      </c>
      <c r="N24" s="136" t="str">
        <f>IF(SER_hh_tes_in!N24=0,"",SER_hh_tes_in!N24/SER_hh_fec_in!N24)</f>
        <v/>
      </c>
      <c r="O24" s="136" t="str">
        <f>IF(SER_hh_tes_in!O24=0,"",SER_hh_tes_in!O24/SER_hh_fec_in!O24)</f>
        <v/>
      </c>
      <c r="P24" s="136" t="str">
        <f>IF(SER_hh_tes_in!P24=0,"",SER_hh_tes_in!P24/SER_hh_fec_in!P24)</f>
        <v/>
      </c>
      <c r="Q24" s="136" t="str">
        <f>IF(SER_hh_tes_in!Q24=0,"",SER_hh_tes_in!Q24/SER_hh_fec_in!Q24)</f>
        <v/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 t="str">
        <f>IF(SER_hh_tes_in!V24=0,"",SER_hh_tes_in!V24/SER_hh_fec_in!V24)</f>
        <v/>
      </c>
      <c r="W24" s="136" t="str">
        <f>IF(SER_hh_tes_in!W24=0,"",SER_hh_tes_in!W24/SER_hh_fec_in!W24)</f>
        <v/>
      </c>
      <c r="X24" s="136" t="str">
        <f>IF(SER_hh_tes_in!X24=0,"",SER_hh_tes_in!X24/SER_hh_fec_in!X24)</f>
        <v/>
      </c>
      <c r="Y24" s="136" t="str">
        <f>IF(SER_hh_tes_in!Y24=0,"",SER_hh_tes_in!Y24/SER_hh_fec_in!Y24)</f>
        <v/>
      </c>
      <c r="DA24" s="163" t="s">
        <v>683</v>
      </c>
    </row>
    <row r="25" spans="1:105" ht="12" customHeight="1" x14ac:dyDescent="0.25">
      <c r="A25" s="131" t="s">
        <v>162</v>
      </c>
      <c r="B25" s="136"/>
      <c r="C25" s="136">
        <f>IF(SER_hh_tes_in!C25=0,"",SER_hh_tes_in!C25/SER_hh_fec_in!C25)</f>
        <v>0.69490789168879885</v>
      </c>
      <c r="D25" s="136">
        <f>IF(SER_hh_tes_in!D25=0,"",SER_hh_tes_in!D25/SER_hh_fec_in!D25)</f>
        <v>0.69720892746418739</v>
      </c>
      <c r="E25" s="136">
        <f>IF(SER_hh_tes_in!E25=0,"",SER_hh_tes_in!E25/SER_hh_fec_in!E25)</f>
        <v>0.69957208520230618</v>
      </c>
      <c r="F25" s="136">
        <f>IF(SER_hh_tes_in!F25=0,"",SER_hh_tes_in!F25/SER_hh_fec_in!F25)</f>
        <v>0.70194371411716094</v>
      </c>
      <c r="G25" s="136">
        <f>IF(SER_hh_tes_in!G25=0,"",SER_hh_tes_in!G25/SER_hh_fec_in!G25)</f>
        <v>0.70437255370573593</v>
      </c>
      <c r="H25" s="136">
        <f>IF(SER_hh_tes_in!H25=0,"",SER_hh_tes_in!H25/SER_hh_fec_in!H25)</f>
        <v>0.70685263887408922</v>
      </c>
      <c r="I25" s="136">
        <f>IF(SER_hh_tes_in!I25=0,"",SER_hh_tes_in!I25/SER_hh_fec_in!I25)</f>
        <v>0.70939597903570173</v>
      </c>
      <c r="J25" s="136">
        <f>IF(SER_hh_tes_in!J25=0,"",SER_hh_tes_in!J25/SER_hh_fec_in!J25)</f>
        <v>0.71205177251866436</v>
      </c>
      <c r="K25" s="136">
        <f>IF(SER_hh_tes_in!K25=0,"",SER_hh_tes_in!K25/SER_hh_fec_in!K25)</f>
        <v>0.71486185084255305</v>
      </c>
      <c r="L25" s="136">
        <f>IF(SER_hh_tes_in!L25=0,"",SER_hh_tes_in!L25/SER_hh_fec_in!L25)</f>
        <v>0.71783740565385945</v>
      </c>
      <c r="M25" s="136">
        <f>IF(SER_hh_tes_in!M25=0,"",SER_hh_tes_in!M25/SER_hh_fec_in!M25)</f>
        <v>0.72195743276130986</v>
      </c>
      <c r="N25" s="136">
        <f>IF(SER_hh_tes_in!N25=0,"",SER_hh_tes_in!N25/SER_hh_fec_in!N25)</f>
        <v>0.72753146607933195</v>
      </c>
      <c r="O25" s="136">
        <f>IF(SER_hh_tes_in!O25=0,"",SER_hh_tes_in!O25/SER_hh_fec_in!O25)</f>
        <v>0.73483084969673529</v>
      </c>
      <c r="P25" s="136">
        <f>IF(SER_hh_tes_in!P25=0,"",SER_hh_tes_in!P25/SER_hh_fec_in!P25)</f>
        <v>0.74333933159038124</v>
      </c>
      <c r="Q25" s="136">
        <f>IF(SER_hh_tes_in!Q25=0,"",SER_hh_tes_in!Q25/SER_hh_fec_in!Q25)</f>
        <v>0.75136688903752558</v>
      </c>
      <c r="R25" s="136">
        <f>IF(SER_hh_tes_in!R25=0,"",SER_hh_tes_in!R25/SER_hh_fec_in!R25)</f>
        <v>0.7575181383825792</v>
      </c>
      <c r="S25" s="136">
        <f>IF(SER_hh_tes_in!S25=0,"",SER_hh_tes_in!S25/SER_hh_fec_in!S25)</f>
        <v>0.76350227570139162</v>
      </c>
      <c r="T25" s="136">
        <f>IF(SER_hh_tes_in!T25=0,"",SER_hh_tes_in!T25/SER_hh_fec_in!T25)</f>
        <v>0.76927931755425072</v>
      </c>
      <c r="U25" s="136">
        <f>IF(SER_hh_tes_in!U25=0,"",SER_hh_tes_in!U25/SER_hh_fec_in!U25)</f>
        <v>0.77480928050146236</v>
      </c>
      <c r="V25" s="136">
        <f>IF(SER_hh_tes_in!V25=0,"",SER_hh_tes_in!V25/SER_hh_fec_in!V25)</f>
        <v>0.78005218110332519</v>
      </c>
      <c r="W25" s="136">
        <f>IF(SER_hh_tes_in!W25=0,"",SER_hh_tes_in!W25/SER_hh_fec_in!W25)</f>
        <v>0.78488190310136474</v>
      </c>
      <c r="X25" s="136">
        <f>IF(SER_hh_tes_in!X25=0,"",SER_hh_tes_in!X25/SER_hh_fec_in!X25)</f>
        <v>0.78905963651230415</v>
      </c>
      <c r="Y25" s="136">
        <f>IF(SER_hh_tes_in!Y25=0,"",SER_hh_tes_in!Y25/SER_hh_fec_in!Y25)</f>
        <v>0.79307421054580973</v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0.57731580475092814</v>
      </c>
      <c r="D26" s="137">
        <f>IF(SER_hh_tes_in!D26=0,"",SER_hh_tes_in!D26/SER_hh_fec_in!D26)</f>
        <v>0.57953895002773514</v>
      </c>
      <c r="E26" s="137">
        <f>IF(SER_hh_tes_in!E26=0,"",SER_hh_tes_in!E26/SER_hh_fec_in!E26)</f>
        <v>0.5819727435022003</v>
      </c>
      <c r="F26" s="137">
        <f>IF(SER_hh_tes_in!F26=0,"",SER_hh_tes_in!F26/SER_hh_fec_in!F26)</f>
        <v>0.58443590185851624</v>
      </c>
      <c r="G26" s="137">
        <f>IF(SER_hh_tes_in!G26=0,"",SER_hh_tes_in!G26/SER_hh_fec_in!G26)</f>
        <v>0.58709469850214047</v>
      </c>
      <c r="H26" s="137">
        <f>IF(SER_hh_tes_in!H26=0,"",SER_hh_tes_in!H26/SER_hh_fec_in!H26)</f>
        <v>0.58993036473395488</v>
      </c>
      <c r="I26" s="137">
        <f>IF(SER_hh_tes_in!I26=0,"",SER_hh_tes_in!I26/SER_hh_fec_in!I26)</f>
        <v>0.59298602320805016</v>
      </c>
      <c r="J26" s="137">
        <f>IF(SER_hh_tes_in!J26=0,"",SER_hh_tes_in!J26/SER_hh_fec_in!J26)</f>
        <v>0.59643458270211913</v>
      </c>
      <c r="K26" s="137">
        <f>IF(SER_hh_tes_in!K26=0,"",SER_hh_tes_in!K26/SER_hh_fec_in!K26)</f>
        <v>0.60042879335048382</v>
      </c>
      <c r="L26" s="137">
        <f>IF(SER_hh_tes_in!L26=0,"",SER_hh_tes_in!L26/SER_hh_fec_in!L26)</f>
        <v>0.6050211734400931</v>
      </c>
      <c r="M26" s="137">
        <f>IF(SER_hh_tes_in!M26=0,"",SER_hh_tes_in!M26/SER_hh_fec_in!M26)</f>
        <v>0.61375184111723724</v>
      </c>
      <c r="N26" s="137">
        <f>IF(SER_hh_tes_in!N26=0,"",SER_hh_tes_in!N26/SER_hh_fec_in!N26)</f>
        <v>0.6281479258153021</v>
      </c>
      <c r="O26" s="137">
        <f>IF(SER_hh_tes_in!O26=0,"",SER_hh_tes_in!O26/SER_hh_fec_in!O26)</f>
        <v>0.65010008361551774</v>
      </c>
      <c r="P26" s="137">
        <f>IF(SER_hh_tes_in!P26=0,"",SER_hh_tes_in!P26/SER_hh_fec_in!P26)</f>
        <v>0.67856755646125289</v>
      </c>
      <c r="Q26" s="137">
        <f>IF(SER_hh_tes_in!Q26=0,"",SER_hh_tes_in!Q26/SER_hh_fec_in!Q26)</f>
        <v>0.70603261103287074</v>
      </c>
      <c r="R26" s="137">
        <f>IF(SER_hh_tes_in!R26=0,"",SER_hh_tes_in!R26/SER_hh_fec_in!R26)</f>
        <v>0.72461929434864991</v>
      </c>
      <c r="S26" s="137">
        <f>IF(SER_hh_tes_in!S26=0,"",SER_hh_tes_in!S26/SER_hh_fec_in!S26)</f>
        <v>0.74262658672015114</v>
      </c>
      <c r="T26" s="137">
        <f>IF(SER_hh_tes_in!T26=0,"",SER_hh_tes_in!T26/SER_hh_fec_in!T26)</f>
        <v>0.76049413287071022</v>
      </c>
      <c r="U26" s="137">
        <f>IF(SER_hh_tes_in!U26=0,"",SER_hh_tes_in!U26/SER_hh_fec_in!U26)</f>
        <v>0.77840155030217573</v>
      </c>
      <c r="V26" s="137">
        <f>IF(SER_hh_tes_in!V26=0,"",SER_hh_tes_in!V26/SER_hh_fec_in!V26)</f>
        <v>0.79599351208684976</v>
      </c>
      <c r="W26" s="137">
        <f>IF(SER_hh_tes_in!W26=0,"",SER_hh_tes_in!W26/SER_hh_fec_in!W26)</f>
        <v>0.81206080930484303</v>
      </c>
      <c r="X26" s="137">
        <f>IF(SER_hh_tes_in!X26=0,"",SER_hh_tes_in!X26/SER_hh_fec_in!X26)</f>
        <v>0.82444459815661142</v>
      </c>
      <c r="Y26" s="137">
        <f>IF(SER_hh_tes_in!Y26=0,"",SER_hh_tes_in!Y26/SER_hh_fec_in!Y26)</f>
        <v>0.83599792046706034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 t="str">
        <f>IF(SER_hh_tes_in!C27=0,"",SER_hh_tes_in!C27/SER_hh_fec_in!C27)</f>
        <v/>
      </c>
      <c r="D27" s="148" t="str">
        <f>IF(SER_hh_tes_in!D27=0,"",SER_hh_tes_in!D27/SER_hh_fec_in!D27)</f>
        <v/>
      </c>
      <c r="E27" s="148" t="str">
        <f>IF(SER_hh_tes_in!E27=0,"",SER_hh_tes_in!E27/SER_hh_fec_in!E27)</f>
        <v/>
      </c>
      <c r="F27" s="148" t="str">
        <f>IF(SER_hh_tes_in!F27=0,"",SER_hh_tes_in!F27/SER_hh_fec_in!F27)</f>
        <v/>
      </c>
      <c r="G27" s="148" t="str">
        <f>IF(SER_hh_tes_in!G27=0,"",SER_hh_tes_in!G27/SER_hh_fec_in!G27)</f>
        <v/>
      </c>
      <c r="H27" s="148" t="str">
        <f>IF(SER_hh_tes_in!H27=0,"",SER_hh_tes_in!H27/SER_hh_fec_in!H27)</f>
        <v/>
      </c>
      <c r="I27" s="148" t="str">
        <f>IF(SER_hh_tes_in!I27=0,"",SER_hh_tes_in!I27/SER_hh_fec_in!I27)</f>
        <v/>
      </c>
      <c r="J27" s="148" t="str">
        <f>IF(SER_hh_tes_in!J27=0,"",SER_hh_tes_in!J27/SER_hh_fec_in!J27)</f>
        <v/>
      </c>
      <c r="K27" s="148" t="str">
        <f>IF(SER_hh_tes_in!K27=0,"",SER_hh_tes_in!K27/SER_hh_fec_in!K27)</f>
        <v/>
      </c>
      <c r="L27" s="148">
        <f>IF(SER_hh_tes_in!L27=0,"",SER_hh_tes_in!L27/SER_hh_fec_in!L27)</f>
        <v>1</v>
      </c>
      <c r="M27" s="148">
        <f>IF(SER_hh_tes_in!M27=0,"",SER_hh_tes_in!M27/SER_hh_fec_in!M27)</f>
        <v>1</v>
      </c>
      <c r="N27" s="148">
        <f>IF(SER_hh_tes_in!N27=0,"",SER_hh_tes_in!N27/SER_hh_fec_in!N27)</f>
        <v>1</v>
      </c>
      <c r="O27" s="148">
        <f>IF(SER_hh_tes_in!O27=0,"",SER_hh_tes_in!O27/SER_hh_fec_in!O27)</f>
        <v>1</v>
      </c>
      <c r="P27" s="148">
        <f>IF(SER_hh_tes_in!P27=0,"",SER_hh_tes_in!P27/SER_hh_fec_in!P27)</f>
        <v>1</v>
      </c>
      <c r="Q27" s="148">
        <f>IF(SER_hh_tes_in!Q27=0,"",SER_hh_tes_in!Q27/SER_hh_fec_in!Q27)</f>
        <v>1</v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>
        <f>IF(SER_hh_tes_in!W27=0,"",SER_hh_tes_in!W27/SER_hh_fec_in!W27)</f>
        <v>1</v>
      </c>
      <c r="X27" s="148">
        <f>IF(SER_hh_tes_in!X27=0,"",SER_hh_tes_in!X27/SER_hh_fec_in!X27)</f>
        <v>1</v>
      </c>
      <c r="Y27" s="148">
        <f>IF(SER_hh_tes_in!Y27=0,"",SER_hh_tes_in!Y27/SER_hh_fec_in!Y27)</f>
        <v>1</v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0.70412610849667057</v>
      </c>
      <c r="D29" s="135">
        <f>IF(SER_hh_tes_in!D29=0,"",SER_hh_tes_in!D29/SER_hh_fec_in!D29)</f>
        <v>0.70432659152665622</v>
      </c>
      <c r="E29" s="135">
        <f>IF(SER_hh_tes_in!E29=0,"",SER_hh_tes_in!E29/SER_hh_fec_in!E29)</f>
        <v>0.70180447562511139</v>
      </c>
      <c r="F29" s="135">
        <f>IF(SER_hh_tes_in!F29=0,"",SER_hh_tes_in!F29/SER_hh_fec_in!F29)</f>
        <v>0.69725941939456471</v>
      </c>
      <c r="G29" s="135">
        <f>IF(SER_hh_tes_in!G29=0,"",SER_hh_tes_in!G29/SER_hh_fec_in!G29)</f>
        <v>0.69852404848711369</v>
      </c>
      <c r="H29" s="135">
        <f>IF(SER_hh_tes_in!H29=0,"",SER_hh_tes_in!H29/SER_hh_fec_in!H29)</f>
        <v>0.69053491862862948</v>
      </c>
      <c r="I29" s="135">
        <f>IF(SER_hh_tes_in!I29=0,"",SER_hh_tes_in!I29/SER_hh_fec_in!I29)</f>
        <v>0.69975331450895595</v>
      </c>
      <c r="J29" s="135">
        <f>IF(SER_hh_tes_in!J29=0,"",SER_hh_tes_in!J29/SER_hh_fec_in!J29)</f>
        <v>0.66208178572589882</v>
      </c>
      <c r="K29" s="135">
        <f>IF(SER_hh_tes_in!K29=0,"",SER_hh_tes_in!K29/SER_hh_fec_in!K29)</f>
        <v>0.70782633300863318</v>
      </c>
      <c r="L29" s="135">
        <f>IF(SER_hh_tes_in!L29=0,"",SER_hh_tes_in!L29/SER_hh_fec_in!L29)</f>
        <v>0.64957941939942099</v>
      </c>
      <c r="M29" s="135">
        <f>IF(SER_hh_tes_in!M29=0,"",SER_hh_tes_in!M29/SER_hh_fec_in!M29)</f>
        <v>0.69812487959266933</v>
      </c>
      <c r="N29" s="135">
        <f>IF(SER_hh_tes_in!N29=0,"",SER_hh_tes_in!N29/SER_hh_fec_in!N29)</f>
        <v>0.69719602123882318</v>
      </c>
      <c r="O29" s="135">
        <f>IF(SER_hh_tes_in!O29=0,"",SER_hh_tes_in!O29/SER_hh_fec_in!O29)</f>
        <v>0.72102941379048524</v>
      </c>
      <c r="P29" s="135">
        <f>IF(SER_hh_tes_in!P29=0,"",SER_hh_tes_in!P29/SER_hh_fec_in!P29)</f>
        <v>0.72805215198237683</v>
      </c>
      <c r="Q29" s="135">
        <f>IF(SER_hh_tes_in!Q29=0,"",SER_hh_tes_in!Q29/SER_hh_fec_in!Q29)</f>
        <v>0.73518021979728876</v>
      </c>
      <c r="R29" s="135">
        <f>IF(SER_hh_tes_in!R29=0,"",SER_hh_tes_in!R29/SER_hh_fec_in!R29)</f>
        <v>0.73658762171691794</v>
      </c>
      <c r="S29" s="135">
        <f>IF(SER_hh_tes_in!S29=0,"",SER_hh_tes_in!S29/SER_hh_fec_in!S29)</f>
        <v>0.71776655235663089</v>
      </c>
      <c r="T29" s="135">
        <f>IF(SER_hh_tes_in!T29=0,"",SER_hh_tes_in!T29/SER_hh_fec_in!T29)</f>
        <v>0.70909776966950189</v>
      </c>
      <c r="U29" s="135">
        <f>IF(SER_hh_tes_in!U29=0,"",SER_hh_tes_in!U29/SER_hh_fec_in!U29)</f>
        <v>0.73592466528636125</v>
      </c>
      <c r="V29" s="135">
        <f>IF(SER_hh_tes_in!V29=0,"",SER_hh_tes_in!V29/SER_hh_fec_in!V29)</f>
        <v>0.75357426589325915</v>
      </c>
      <c r="W29" s="135">
        <f>IF(SER_hh_tes_in!W29=0,"",SER_hh_tes_in!W29/SER_hh_fec_in!W29)</f>
        <v>0.77267609375216983</v>
      </c>
      <c r="X29" s="135">
        <f>IF(SER_hh_tes_in!X29=0,"",SER_hh_tes_in!X29/SER_hh_fec_in!X29)</f>
        <v>0.76788114232289317</v>
      </c>
      <c r="Y29" s="135">
        <f>IF(SER_hh_tes_in!Y29=0,"",SER_hh_tes_in!Y29/SER_hh_fec_in!Y29)</f>
        <v>0.79769811075171759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0.54238054385961798</v>
      </c>
      <c r="D30" s="136" t="str">
        <f>IF(SER_hh_tes_in!D30=0,"",SER_hh_tes_in!D30/SER_hh_fec_in!D30)</f>
        <v/>
      </c>
      <c r="E30" s="136" t="str">
        <f>IF(SER_hh_tes_in!E30=0,"",SER_hh_tes_in!E30/SER_hh_fec_in!E30)</f>
        <v/>
      </c>
      <c r="F30" s="136" t="str">
        <f>IF(SER_hh_tes_in!F30=0,"",SER_hh_tes_in!F30/SER_hh_fec_in!F30)</f>
        <v/>
      </c>
      <c r="G30" s="136" t="str">
        <f>IF(SER_hh_tes_in!G30=0,"",SER_hh_tes_in!G30/SER_hh_fec_in!G30)</f>
        <v/>
      </c>
      <c r="H30" s="136" t="str">
        <f>IF(SER_hh_tes_in!H30=0,"",SER_hh_tes_in!H30/SER_hh_fec_in!H30)</f>
        <v/>
      </c>
      <c r="I30" s="136" t="str">
        <f>IF(SER_hh_tes_in!I30=0,"",SER_hh_tes_in!I30/SER_hh_fec_in!I30)</f>
        <v/>
      </c>
      <c r="J30" s="136" t="str">
        <f>IF(SER_hh_tes_in!J30=0,"",SER_hh_tes_in!J30/SER_hh_fec_in!J30)</f>
        <v/>
      </c>
      <c r="K30" s="136" t="str">
        <f>IF(SER_hh_tes_in!K30=0,"",SER_hh_tes_in!K30/SER_hh_fec_in!K30)</f>
        <v/>
      </c>
      <c r="L30" s="136">
        <f>IF(SER_hh_tes_in!L30=0,"",SER_hh_tes_in!L30/SER_hh_fec_in!L30)</f>
        <v>0.54893282105554608</v>
      </c>
      <c r="M30" s="136">
        <f>IF(SER_hh_tes_in!M30=0,"",SER_hh_tes_in!M30/SER_hh_fec_in!M30)</f>
        <v>0.54948606177332826</v>
      </c>
      <c r="N30" s="136">
        <f>IF(SER_hh_tes_in!N30=0,"",SER_hh_tes_in!N30/SER_hh_fec_in!N30)</f>
        <v>0.54979529731102683</v>
      </c>
      <c r="O30" s="136">
        <f>IF(SER_hh_tes_in!O30=0,"",SER_hh_tes_in!O30/SER_hh_fec_in!O30)</f>
        <v>0.54998011926868096</v>
      </c>
      <c r="P30" s="136">
        <f>IF(SER_hh_tes_in!P30=0,"",SER_hh_tes_in!P30/SER_hh_fec_in!P30)</f>
        <v>0.55049583438816496</v>
      </c>
      <c r="Q30" s="136">
        <f>IF(SER_hh_tes_in!Q30=0,"",SER_hh_tes_in!Q30/SER_hh_fec_in!Q30)</f>
        <v>0.5525949153978359</v>
      </c>
      <c r="R30" s="136">
        <f>IF(SER_hh_tes_in!R30=0,"",SER_hh_tes_in!R30/SER_hh_fec_in!R30)</f>
        <v>0.55810867852347468</v>
      </c>
      <c r="S30" s="136">
        <f>IF(SER_hh_tes_in!S30=0,"",SER_hh_tes_in!S30/SER_hh_fec_in!S30)</f>
        <v>0.5658864714671713</v>
      </c>
      <c r="T30" s="136">
        <f>IF(SER_hh_tes_in!T30=0,"",SER_hh_tes_in!T30/SER_hh_fec_in!T30)</f>
        <v>0.57442023533118491</v>
      </c>
      <c r="U30" s="136">
        <f>IF(SER_hh_tes_in!U30=0,"",SER_hh_tes_in!U30/SER_hh_fec_in!U30)</f>
        <v>0.58220191121779674</v>
      </c>
      <c r="V30" s="136">
        <f>IF(SER_hh_tes_in!V30=0,"",SER_hh_tes_in!V30/SER_hh_fec_in!V30)</f>
        <v>0.58772344022927636</v>
      </c>
      <c r="W30" s="136">
        <f>IF(SER_hh_tes_in!W30=0,"",SER_hh_tes_in!W30/SER_hh_fec_in!W30)</f>
        <v>0.59037712899397377</v>
      </c>
      <c r="X30" s="136">
        <f>IF(SER_hh_tes_in!X30=0,"",SER_hh_tes_in!X30/SER_hh_fec_in!X30)</f>
        <v>0.59076746501470445</v>
      </c>
      <c r="Y30" s="136">
        <f>IF(SER_hh_tes_in!Y30=0,"",SER_hh_tes_in!Y30/SER_hh_fec_in!Y30)</f>
        <v>0.59080649861677748</v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0.54910736252479719</v>
      </c>
      <c r="D31" s="136">
        <f>IF(SER_hh_tes_in!D31=0,"",SER_hh_tes_in!D31/SER_hh_fec_in!D31)</f>
        <v>0.5498633457590586</v>
      </c>
      <c r="E31" s="136">
        <f>IF(SER_hh_tes_in!E31=0,"",SER_hh_tes_in!E31/SER_hh_fec_in!E31)</f>
        <v>0.55061939709123253</v>
      </c>
      <c r="F31" s="136">
        <f>IF(SER_hh_tes_in!F31=0,"",SER_hh_tes_in!F31/SER_hh_fec_in!F31)</f>
        <v>0.55137545770948504</v>
      </c>
      <c r="G31" s="136">
        <f>IF(SER_hh_tes_in!G31=0,"",SER_hh_tes_in!G31/SER_hh_fec_in!G31)</f>
        <v>0.55213158104190918</v>
      </c>
      <c r="H31" s="136">
        <f>IF(SER_hh_tes_in!H31=0,"",SER_hh_tes_in!H31/SER_hh_fec_in!H31)</f>
        <v>0.55288776054958677</v>
      </c>
      <c r="I31" s="136">
        <f>IF(SER_hh_tes_in!I31=0,"",SER_hh_tes_in!I31/SER_hh_fec_in!I31)</f>
        <v>0.55364400939720093</v>
      </c>
      <c r="J31" s="136">
        <f>IF(SER_hh_tes_in!J31=0,"",SER_hh_tes_in!J31/SER_hh_fec_in!J31)</f>
        <v>0.55440038151581439</v>
      </c>
      <c r="K31" s="136">
        <f>IF(SER_hh_tes_in!K31=0,"",SER_hh_tes_in!K31/SER_hh_fec_in!K31)</f>
        <v>0.55515692276101491</v>
      </c>
      <c r="L31" s="136">
        <f>IF(SER_hh_tes_in!L31=0,"",SER_hh_tes_in!L31/SER_hh_fec_in!L31)</f>
        <v>0.55591364540105193</v>
      </c>
      <c r="M31" s="136">
        <f>IF(SER_hh_tes_in!M31=0,"",SER_hh_tes_in!M31/SER_hh_fec_in!M31)</f>
        <v>0.55648833305715817</v>
      </c>
      <c r="N31" s="136">
        <f>IF(SER_hh_tes_in!N31=0,"",SER_hh_tes_in!N31/SER_hh_fec_in!N31)</f>
        <v>0.5568095564245511</v>
      </c>
      <c r="O31" s="136">
        <f>IF(SER_hh_tes_in!O31=0,"",SER_hh_tes_in!O31/SER_hh_fec_in!O31)</f>
        <v>0.55700154319310813</v>
      </c>
      <c r="P31" s="136">
        <f>IF(SER_hh_tes_in!P31=0,"",SER_hh_tes_in!P31/SER_hh_fec_in!P31)</f>
        <v>0.55753725053298542</v>
      </c>
      <c r="Q31" s="136">
        <f>IF(SER_hh_tes_in!Q31=0,"",SER_hh_tes_in!Q31/SER_hh_fec_in!Q31)</f>
        <v>0.55971770454992997</v>
      </c>
      <c r="R31" s="136">
        <f>IF(SER_hh_tes_in!R31=0,"",SER_hh_tes_in!R31/SER_hh_fec_in!R31)</f>
        <v>0.56544521430319272</v>
      </c>
      <c r="S31" s="136">
        <f>IF(SER_hh_tes_in!S31=0,"",SER_hh_tes_in!S31/SER_hh_fec_in!S31)</f>
        <v>0.57352452128987397</v>
      </c>
      <c r="T31" s="136">
        <f>IF(SER_hh_tes_in!T31=0,"",SER_hh_tes_in!T31/SER_hh_fec_in!T31)</f>
        <v>0.58238910517740128</v>
      </c>
      <c r="U31" s="136">
        <f>IF(SER_hh_tes_in!U31=0,"",SER_hh_tes_in!U31/SER_hh_fec_in!U31)</f>
        <v>0.59047244563322365</v>
      </c>
      <c r="V31" s="136">
        <f>IF(SER_hh_tes_in!V31=0,"",SER_hh_tes_in!V31/SER_hh_fec_in!V31)</f>
        <v>0.5962080223247791</v>
      </c>
      <c r="W31" s="136">
        <f>IF(SER_hh_tes_in!W31=0,"",SER_hh_tes_in!W31/SER_hh_fec_in!W31)</f>
        <v>0.59896458402966168</v>
      </c>
      <c r="X31" s="136">
        <f>IF(SER_hh_tes_in!X31=0,"",SER_hh_tes_in!X31/SER_hh_fec_in!X31)</f>
        <v>0.5993605977653006</v>
      </c>
      <c r="Y31" s="136">
        <f>IF(SER_hh_tes_in!Y31=0,"",SER_hh_tes_in!Y31/SER_hh_fec_in!Y31)</f>
        <v>0.59940019913886455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>
        <f>IF(SER_hh_tes_in!J32=0,"",SER_hh_tes_in!J32/SER_hh_fec_in!J32)</f>
        <v>0.55647595708882935</v>
      </c>
      <c r="K32" s="136">
        <f>IF(SER_hh_tes_in!K32=0,"",SER_hh_tes_in!K32/SER_hh_fec_in!K32)</f>
        <v>0.55675318605982826</v>
      </c>
      <c r="L32" s="136">
        <f>IF(SER_hh_tes_in!L32=0,"",SER_hh_tes_in!L32/SER_hh_fec_in!L32)</f>
        <v>0.55703048150162993</v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>
        <f>IF(SER_hh_tes_in!Q32=0,"",SER_hh_tes_in!Q32/SER_hh_fec_in!Q32)</f>
        <v>0.55842445097804982</v>
      </c>
      <c r="R32" s="136">
        <f>IF(SER_hh_tes_in!R32=0,"",SER_hh_tes_in!R32/SER_hh_fec_in!R32)</f>
        <v>0.56052325477144005</v>
      </c>
      <c r="S32" s="136">
        <f>IF(SER_hh_tes_in!S32=0,"",SER_hh_tes_in!S32/SER_hh_fec_in!S32)</f>
        <v>0.56348385735128748</v>
      </c>
      <c r="T32" s="136">
        <f>IF(SER_hh_tes_in!T32=0,"",SER_hh_tes_in!T32/SER_hh_fec_in!T32)</f>
        <v>0.56673221887164449</v>
      </c>
      <c r="U32" s="136">
        <f>IF(SER_hh_tes_in!U32=0,"",SER_hh_tes_in!U32/SER_hh_fec_in!U32)</f>
        <v>0.56969429948657146</v>
      </c>
      <c r="V32" s="136">
        <f>IF(SER_hh_tes_in!V32=0,"",SER_hh_tes_in!V32/SER_hh_fec_in!V32)</f>
        <v>0.57179605935012467</v>
      </c>
      <c r="W32" s="136">
        <f>IF(SER_hh_tes_in!W32=0,"",SER_hh_tes_in!W32/SER_hh_fec_in!W32)</f>
        <v>0.57280618109799697</v>
      </c>
      <c r="X32" s="136">
        <f>IF(SER_hh_tes_in!X32=0,"",SER_hh_tes_in!X32/SER_hh_fec_in!X32)</f>
        <v>0.57318489984301457</v>
      </c>
      <c r="Y32" s="136">
        <f>IF(SER_hh_tes_in!Y32=0,"",SER_hh_tes_in!Y32/SER_hh_fec_in!Y32)</f>
        <v>0.57322277171751634</v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0.72198310311237801</v>
      </c>
      <c r="D33" s="149">
        <f>IF(SER_hh_tes_in!D33=0,"",SER_hh_tes_in!D33/SER_hh_fec_in!D33)</f>
        <v>0.72345066710250139</v>
      </c>
      <c r="E33" s="149">
        <f>IF(SER_hh_tes_in!E33=0,"",SER_hh_tes_in!E33/SER_hh_fec_in!E33)</f>
        <v>0.72498742707425146</v>
      </c>
      <c r="F33" s="149">
        <f>IF(SER_hh_tes_in!F33=0,"",SER_hh_tes_in!F33/SER_hh_fec_in!F33)</f>
        <v>0.726533622861678</v>
      </c>
      <c r="G33" s="149">
        <f>IF(SER_hh_tes_in!G33=0,"",SER_hh_tes_in!G33/SER_hh_fec_in!G33)</f>
        <v>0.72814354407814119</v>
      </c>
      <c r="H33" s="149">
        <f>IF(SER_hh_tes_in!H33=0,"",SER_hh_tes_in!H33/SER_hh_fec_in!H33)</f>
        <v>0.72981054636611131</v>
      </c>
      <c r="I33" s="149">
        <f>IF(SER_hh_tes_in!I33=0,"",SER_hh_tes_in!I33/SER_hh_fec_in!I33)</f>
        <v>0.73154800668790698</v>
      </c>
      <c r="J33" s="149">
        <f>IF(SER_hh_tes_in!J33=0,"",SER_hh_tes_in!J33/SER_hh_fec_in!J33)</f>
        <v>0.73341072573650323</v>
      </c>
      <c r="K33" s="149">
        <f>IF(SER_hh_tes_in!K33=0,"",SER_hh_tes_in!K33/SER_hh_fec_in!K33)</f>
        <v>0.735445298515226</v>
      </c>
      <c r="L33" s="149">
        <f>IF(SER_hh_tes_in!L33=0,"",SER_hh_tes_in!L33/SER_hh_fec_in!L33)</f>
        <v>0.73766419109776282</v>
      </c>
      <c r="M33" s="149">
        <f>IF(SER_hh_tes_in!M33=0,"",SER_hh_tes_in!M33/SER_hh_fec_in!M33)</f>
        <v>0.74083671716509425</v>
      </c>
      <c r="N33" s="149">
        <f>IF(SER_hh_tes_in!N33=0,"",SER_hh_tes_in!N33/SER_hh_fec_in!N33)</f>
        <v>0.74518189301030979</v>
      </c>
      <c r="O33" s="149">
        <f>IF(SER_hh_tes_in!O33=0,"",SER_hh_tes_in!O33/SER_hh_fec_in!O33)</f>
        <v>0.75121908000340332</v>
      </c>
      <c r="P33" s="149">
        <f>IF(SER_hh_tes_in!P33=0,"",SER_hh_tes_in!P33/SER_hh_fec_in!P33)</f>
        <v>0.75920300892633241</v>
      </c>
      <c r="Q33" s="149">
        <f>IF(SER_hh_tes_in!Q33=0,"",SER_hh_tes_in!Q33/SER_hh_fec_in!Q33)</f>
        <v>0.76953429082517755</v>
      </c>
      <c r="R33" s="149">
        <f>IF(SER_hh_tes_in!R33=0,"",SER_hh_tes_in!R33/SER_hh_fec_in!R33)</f>
        <v>0.78359269544860632</v>
      </c>
      <c r="S33" s="149">
        <f>IF(SER_hh_tes_in!S33=0,"",SER_hh_tes_in!S33/SER_hh_fec_in!S33)</f>
        <v>0.80118434886635914</v>
      </c>
      <c r="T33" s="149">
        <f>IF(SER_hh_tes_in!T33=0,"",SER_hh_tes_in!T33/SER_hh_fec_in!T33)</f>
        <v>0.82012272979967771</v>
      </c>
      <c r="U33" s="149">
        <f>IF(SER_hh_tes_in!U33=0,"",SER_hh_tes_in!U33/SER_hh_fec_in!U33)</f>
        <v>0.83822131696985547</v>
      </c>
      <c r="V33" s="149">
        <f>IF(SER_hh_tes_in!V33=0,"",SER_hh_tes_in!V33/SER_hh_fec_in!V33)</f>
        <v>0.85329358909816178</v>
      </c>
      <c r="W33" s="149">
        <f>IF(SER_hh_tes_in!W33=0,"",SER_hh_tes_in!W33/SER_hh_fec_in!W33)</f>
        <v>0.86457984890901374</v>
      </c>
      <c r="X33" s="149">
        <f>IF(SER_hh_tes_in!X33=0,"",SER_hh_tes_in!X33/SER_hh_fec_in!X33)</f>
        <v>0.87216552755941501</v>
      </c>
      <c r="Y33" s="149">
        <f>IF(SER_hh_tes_in!Y33=0,"",SER_hh_tes_in!Y33/SER_hh_fec_in!Y33)</f>
        <v>0.87889247571213158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7.454519287382448</v>
      </c>
      <c r="D3" s="125">
        <f t="shared" si="0"/>
        <v>7.0626220661309764</v>
      </c>
      <c r="E3" s="125">
        <f t="shared" si="0"/>
        <v>7.7376068994288687</v>
      </c>
      <c r="F3" s="125">
        <f t="shared" si="0"/>
        <v>7.5972274603042518</v>
      </c>
      <c r="G3" s="125">
        <f t="shared" si="0"/>
        <v>9.0486202642101201</v>
      </c>
      <c r="H3" s="125">
        <f t="shared" si="0"/>
        <v>18.313441989656276</v>
      </c>
      <c r="I3" s="125">
        <f t="shared" si="0"/>
        <v>12.089548403007884</v>
      </c>
      <c r="J3" s="125">
        <f t="shared" si="0"/>
        <v>6.3131321406632397</v>
      </c>
      <c r="K3" s="125">
        <f t="shared" si="0"/>
        <v>3.6905184342674122</v>
      </c>
      <c r="L3" s="125">
        <f t="shared" si="0"/>
        <v>6.5372901136322419</v>
      </c>
      <c r="M3" s="125">
        <f t="shared" si="0"/>
        <v>5.0255609301169457</v>
      </c>
      <c r="N3" s="125">
        <f t="shared" si="0"/>
        <v>5.0798020146149048</v>
      </c>
      <c r="O3" s="125">
        <f t="shared" si="0"/>
        <v>4.4608637917559033</v>
      </c>
      <c r="P3" s="125">
        <f t="shared" si="0"/>
        <v>5.1503622337667627</v>
      </c>
      <c r="Q3" s="125">
        <f t="shared" si="0"/>
        <v>11.37605594421578</v>
      </c>
      <c r="R3" s="125">
        <f t="shared" ref="R3:W3" si="1">SUM(R4,R16,R19,R29)</f>
        <v>4.5023955126688531</v>
      </c>
      <c r="S3" s="125">
        <f t="shared" si="1"/>
        <v>3.1537741617960053</v>
      </c>
      <c r="T3" s="125">
        <f t="shared" si="1"/>
        <v>3.2502269344762258</v>
      </c>
      <c r="U3" s="125">
        <f t="shared" si="1"/>
        <v>3.0673637873349806</v>
      </c>
      <c r="V3" s="125">
        <f t="shared" si="1"/>
        <v>2.6374433695715909</v>
      </c>
      <c r="W3" s="125">
        <f t="shared" si="1"/>
        <v>3.0114248068427525</v>
      </c>
      <c r="X3" s="125">
        <f t="shared" ref="X3:Y3" si="2">SUM(X4,X16,X19,X29)</f>
        <v>2.6151804661106488</v>
      </c>
      <c r="Y3" s="125">
        <f t="shared" si="2"/>
        <v>3.0121004334540102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5.2092844511413539</v>
      </c>
      <c r="D4" s="130">
        <f t="shared" si="3"/>
        <v>4.1808852394948746</v>
      </c>
      <c r="E4" s="130">
        <f t="shared" si="3"/>
        <v>4.4117401430689984</v>
      </c>
      <c r="F4" s="130">
        <f t="shared" si="3"/>
        <v>3.6049213656588206</v>
      </c>
      <c r="G4" s="130">
        <f t="shared" si="3"/>
        <v>4.8474247064420011</v>
      </c>
      <c r="H4" s="130">
        <f t="shared" si="3"/>
        <v>12.739470405758622</v>
      </c>
      <c r="I4" s="130">
        <f t="shared" si="3"/>
        <v>5.848227373972346</v>
      </c>
      <c r="J4" s="130">
        <f t="shared" si="3"/>
        <v>2.3113525868635589</v>
      </c>
      <c r="K4" s="130">
        <f t="shared" si="3"/>
        <v>2.2708110498810203</v>
      </c>
      <c r="L4" s="130">
        <f t="shared" si="3"/>
        <v>2.9159250898557385</v>
      </c>
      <c r="M4" s="130">
        <f t="shared" si="3"/>
        <v>1.5996868014311389</v>
      </c>
      <c r="N4" s="130">
        <f t="shared" si="3"/>
        <v>2.9567555786405908</v>
      </c>
      <c r="O4" s="130">
        <f t="shared" si="3"/>
        <v>3.1906857767158354</v>
      </c>
      <c r="P4" s="130">
        <f t="shared" si="3"/>
        <v>3.3087047725077672</v>
      </c>
      <c r="Q4" s="130">
        <f t="shared" si="3"/>
        <v>9.460822869100058</v>
      </c>
      <c r="R4" s="130">
        <f t="shared" ref="R4:W4" si="4">SUM(R5:R15)</f>
        <v>2.9430685152488101</v>
      </c>
      <c r="S4" s="130">
        <f t="shared" si="4"/>
        <v>1.3569696650579521</v>
      </c>
      <c r="T4" s="130">
        <f t="shared" si="4"/>
        <v>1.1421173833270775</v>
      </c>
      <c r="U4" s="130">
        <f t="shared" si="4"/>
        <v>1.2460764770710799</v>
      </c>
      <c r="V4" s="130">
        <f t="shared" si="4"/>
        <v>1.4147656532650579</v>
      </c>
      <c r="W4" s="130">
        <f t="shared" si="4"/>
        <v>1.3201263996261727</v>
      </c>
      <c r="X4" s="130">
        <f t="shared" ref="X4:Y4" si="5">SUM(X5:X15)</f>
        <v>0.7808718030825188</v>
      </c>
      <c r="Y4" s="130">
        <f t="shared" si="5"/>
        <v>1.2974448439950148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0.75662710290337298</v>
      </c>
      <c r="D5" s="132">
        <v>1.989520973139836</v>
      </c>
      <c r="E5" s="132">
        <v>1.4737272442629163</v>
      </c>
      <c r="F5" s="132">
        <v>0.45824249826713725</v>
      </c>
      <c r="G5" s="132">
        <v>0</v>
      </c>
      <c r="H5" s="132">
        <v>0</v>
      </c>
      <c r="I5" s="132">
        <v>0</v>
      </c>
      <c r="J5" s="132">
        <v>0.2605353999499217</v>
      </c>
      <c r="K5" s="132">
        <v>9.1300234769801134E-2</v>
      </c>
      <c r="L5" s="132">
        <v>6.2243344174690872E-2</v>
      </c>
      <c r="M5" s="132">
        <v>0.42451131204258991</v>
      </c>
      <c r="N5" s="132">
        <v>0.19801422398747598</v>
      </c>
      <c r="O5" s="132">
        <v>0.28818835253774888</v>
      </c>
      <c r="P5" s="132">
        <v>8.459347352516422E-2</v>
      </c>
      <c r="Q5" s="132">
        <v>0.52402006689777303</v>
      </c>
      <c r="R5" s="132">
        <v>0.41463899430417211</v>
      </c>
      <c r="S5" s="132">
        <v>0.14417353211634421</v>
      </c>
      <c r="T5" s="132">
        <v>2.3197913320071595E-2</v>
      </c>
      <c r="U5" s="132">
        <v>7.0401064576878725E-2</v>
      </c>
      <c r="V5" s="132">
        <v>0</v>
      </c>
      <c r="W5" s="132">
        <v>0</v>
      </c>
      <c r="X5" s="132">
        <v>0</v>
      </c>
      <c r="Y5" s="132">
        <v>0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2.8832580928373499</v>
      </c>
      <c r="D7" s="132">
        <v>0</v>
      </c>
      <c r="E7" s="132">
        <v>0</v>
      </c>
      <c r="F7" s="132">
        <v>0</v>
      </c>
      <c r="G7" s="132">
        <v>0</v>
      </c>
      <c r="H7" s="132">
        <v>1.3046185323036017</v>
      </c>
      <c r="I7" s="132">
        <v>0</v>
      </c>
      <c r="J7" s="132">
        <v>0</v>
      </c>
      <c r="K7" s="132">
        <v>1.3739570625452631</v>
      </c>
      <c r="L7" s="132">
        <v>1.4874904495564387</v>
      </c>
      <c r="M7" s="132">
        <v>0</v>
      </c>
      <c r="N7" s="132">
        <v>1.2978804134613553</v>
      </c>
      <c r="O7" s="132">
        <v>1.7722506389240038</v>
      </c>
      <c r="P7" s="132">
        <v>0.66559214835070757</v>
      </c>
      <c r="Q7" s="132">
        <v>6.1598907785344643</v>
      </c>
      <c r="R7" s="132">
        <v>0.78862384893812487</v>
      </c>
      <c r="S7" s="132">
        <v>0</v>
      </c>
      <c r="T7" s="132">
        <v>0</v>
      </c>
      <c r="U7" s="132">
        <v>0</v>
      </c>
      <c r="V7" s="132">
        <v>0</v>
      </c>
      <c r="W7" s="132">
        <v>0.1294177736074815</v>
      </c>
      <c r="X7" s="132">
        <v>0.44662631677650105</v>
      </c>
      <c r="Y7" s="132">
        <v>1.2974448439950148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1.5693992554006315</v>
      </c>
      <c r="D9" s="132">
        <v>2.1913642663550386</v>
      </c>
      <c r="E9" s="132">
        <v>2.9380128988060816</v>
      </c>
      <c r="F9" s="132">
        <v>3.1466788673916835</v>
      </c>
      <c r="G9" s="132">
        <v>4.8474247064420011</v>
      </c>
      <c r="H9" s="132">
        <v>11.43485187345502</v>
      </c>
      <c r="I9" s="132">
        <v>5.848227373972346</v>
      </c>
      <c r="J9" s="132">
        <v>2.0508171869136373</v>
      </c>
      <c r="K9" s="132">
        <v>0.80555375256595618</v>
      </c>
      <c r="L9" s="132">
        <v>1.3661912961246088</v>
      </c>
      <c r="M9" s="132">
        <v>1.1751754893885491</v>
      </c>
      <c r="N9" s="132">
        <v>1.4608609411917595</v>
      </c>
      <c r="O9" s="132">
        <v>1.1302467852540827</v>
      </c>
      <c r="P9" s="132">
        <v>2.5585191506318954</v>
      </c>
      <c r="Q9" s="132">
        <v>2.7769120236678204</v>
      </c>
      <c r="R9" s="132">
        <v>1.7398056720065131</v>
      </c>
      <c r="S9" s="132">
        <v>1.2127961329416079</v>
      </c>
      <c r="T9" s="132">
        <v>1.1189194700070058</v>
      </c>
      <c r="U9" s="132">
        <v>1.1756754124942013</v>
      </c>
      <c r="V9" s="132">
        <v>1.4147656532650579</v>
      </c>
      <c r="W9" s="132">
        <v>1.1907086260186912</v>
      </c>
      <c r="X9" s="132">
        <v>0.33424548630601769</v>
      </c>
      <c r="Y9" s="132">
        <v>0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1.42498241649334</v>
      </c>
      <c r="D19" s="130">
        <f t="shared" si="9"/>
        <v>1.8273909467620228</v>
      </c>
      <c r="E19" s="130">
        <f t="shared" si="9"/>
        <v>1.8977880631289972</v>
      </c>
      <c r="F19" s="130">
        <f t="shared" si="9"/>
        <v>2.1209827153637195</v>
      </c>
      <c r="G19" s="130">
        <f t="shared" si="9"/>
        <v>2.4126454559797743</v>
      </c>
      <c r="H19" s="130">
        <f t="shared" si="9"/>
        <v>3.0815819265973112</v>
      </c>
      <c r="I19" s="130">
        <f t="shared" si="9"/>
        <v>4.0545647930168531</v>
      </c>
      <c r="J19" s="130">
        <f t="shared" si="9"/>
        <v>2.8070938595905157</v>
      </c>
      <c r="K19" s="130">
        <f t="shared" si="9"/>
        <v>1.0770844981578289</v>
      </c>
      <c r="L19" s="130">
        <f t="shared" si="9"/>
        <v>0.4688842399911427</v>
      </c>
      <c r="M19" s="130">
        <f t="shared" si="9"/>
        <v>1.1778631508542095</v>
      </c>
      <c r="N19" s="130">
        <f t="shared" si="9"/>
        <v>0.63795634683221403</v>
      </c>
      <c r="O19" s="130">
        <f t="shared" si="9"/>
        <v>0.38586458591218309</v>
      </c>
      <c r="P19" s="130">
        <f t="shared" si="9"/>
        <v>0.87806912293274031</v>
      </c>
      <c r="Q19" s="130">
        <f t="shared" si="9"/>
        <v>0.86988256626945859</v>
      </c>
      <c r="R19" s="130">
        <f t="shared" ref="R19:W19" si="10">SUM(R20:R27)</f>
        <v>0.71980433160109136</v>
      </c>
      <c r="S19" s="130">
        <f t="shared" si="10"/>
        <v>0.76809303541539986</v>
      </c>
      <c r="T19" s="130">
        <f t="shared" si="10"/>
        <v>0.84709793045379478</v>
      </c>
      <c r="U19" s="130">
        <f t="shared" si="10"/>
        <v>0.77414316267107319</v>
      </c>
      <c r="V19" s="130">
        <f t="shared" si="10"/>
        <v>0.33802532478803332</v>
      </c>
      <c r="W19" s="130">
        <f t="shared" si="10"/>
        <v>0.52255623017501263</v>
      </c>
      <c r="X19" s="130">
        <f t="shared" ref="X19:Y19" si="11">SUM(X20:X27)</f>
        <v>0.48710389715441443</v>
      </c>
      <c r="Y19" s="130">
        <f t="shared" si="11"/>
        <v>0.71681734393801144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0.74828467063719684</v>
      </c>
      <c r="D22" s="132">
        <v>0.48406157314237819</v>
      </c>
      <c r="E22" s="132">
        <v>4.7910925717683191E-2</v>
      </c>
      <c r="F22" s="132">
        <v>0</v>
      </c>
      <c r="G22" s="132">
        <v>0</v>
      </c>
      <c r="H22" s="132">
        <v>0.24495800542376206</v>
      </c>
      <c r="I22" s="132">
        <v>1.0290351443858752</v>
      </c>
      <c r="J22" s="132">
        <v>0.87089116233438968</v>
      </c>
      <c r="K22" s="132">
        <v>0.3889375665412822</v>
      </c>
      <c r="L22" s="132">
        <v>0.20305541178308459</v>
      </c>
      <c r="M22" s="132">
        <v>0.51927589380337669</v>
      </c>
      <c r="N22" s="132">
        <v>0.18728234762576568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3.9570194063734832E-4</v>
      </c>
      <c r="W22" s="132">
        <v>0.1048238919991465</v>
      </c>
      <c r="X22" s="132">
        <v>0.19828107686437663</v>
      </c>
      <c r="Y22" s="132">
        <v>0.40097810056632782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0.67669774585614317</v>
      </c>
      <c r="D23" s="132">
        <v>1.3433293736196446</v>
      </c>
      <c r="E23" s="132">
        <v>1.8498771374113139</v>
      </c>
      <c r="F23" s="132">
        <v>2.1209827153637195</v>
      </c>
      <c r="G23" s="132">
        <v>2.4126454559797743</v>
      </c>
      <c r="H23" s="132">
        <v>2.8366239211735493</v>
      </c>
      <c r="I23" s="132">
        <v>3.0255296486309784</v>
      </c>
      <c r="J23" s="132">
        <v>1.9362026972561259</v>
      </c>
      <c r="K23" s="132">
        <v>0.68814693161654672</v>
      </c>
      <c r="L23" s="132">
        <v>0.26582882820805814</v>
      </c>
      <c r="M23" s="132">
        <v>0.65858725705083287</v>
      </c>
      <c r="N23" s="132">
        <v>0.45067399920644841</v>
      </c>
      <c r="O23" s="132">
        <v>0.38586458591218309</v>
      </c>
      <c r="P23" s="132">
        <v>0.87806912293274031</v>
      </c>
      <c r="Q23" s="132">
        <v>0.86988256626945859</v>
      </c>
      <c r="R23" s="132">
        <v>0.71980433160109136</v>
      </c>
      <c r="S23" s="132">
        <v>0.76809303541539986</v>
      </c>
      <c r="T23" s="132">
        <v>0.84709793045379478</v>
      </c>
      <c r="U23" s="132">
        <v>0.77414316267107319</v>
      </c>
      <c r="V23" s="132">
        <v>0.33762962284739595</v>
      </c>
      <c r="W23" s="132">
        <v>0.41773233817586614</v>
      </c>
      <c r="X23" s="132">
        <v>0.28882282029003781</v>
      </c>
      <c r="Y23" s="132">
        <v>0.31583924337168356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0.82025241974775387</v>
      </c>
      <c r="D29" s="130">
        <f t="shared" si="12"/>
        <v>1.0543458798740788</v>
      </c>
      <c r="E29" s="130">
        <f t="shared" si="12"/>
        <v>1.4280786932308724</v>
      </c>
      <c r="F29" s="130">
        <f t="shared" si="12"/>
        <v>1.8713233792817126</v>
      </c>
      <c r="G29" s="130">
        <f t="shared" si="12"/>
        <v>1.7885501017883452</v>
      </c>
      <c r="H29" s="130">
        <f t="shared" si="12"/>
        <v>2.4923896573003423</v>
      </c>
      <c r="I29" s="130">
        <f t="shared" si="12"/>
        <v>2.1867562360186841</v>
      </c>
      <c r="J29" s="130">
        <f t="shared" si="12"/>
        <v>1.1946856942091653</v>
      </c>
      <c r="K29" s="130">
        <f t="shared" si="12"/>
        <v>0.34262288622856318</v>
      </c>
      <c r="L29" s="130">
        <f t="shared" si="12"/>
        <v>3.1524807837853603</v>
      </c>
      <c r="M29" s="130">
        <f t="shared" si="12"/>
        <v>2.2480109778315978</v>
      </c>
      <c r="N29" s="130">
        <f t="shared" si="12"/>
        <v>1.4850900891420999</v>
      </c>
      <c r="O29" s="130">
        <f t="shared" si="12"/>
        <v>0.88431342912788513</v>
      </c>
      <c r="P29" s="130">
        <f t="shared" si="12"/>
        <v>0.96358833832625546</v>
      </c>
      <c r="Q29" s="130">
        <f t="shared" si="12"/>
        <v>1.0453505088462645</v>
      </c>
      <c r="R29" s="130">
        <f t="shared" ref="R29:W29" si="13">SUM(R30:R33)</f>
        <v>0.8395226658189513</v>
      </c>
      <c r="S29" s="130">
        <f t="shared" si="13"/>
        <v>1.0287114613226533</v>
      </c>
      <c r="T29" s="130">
        <f t="shared" si="13"/>
        <v>1.2610116206953537</v>
      </c>
      <c r="U29" s="130">
        <f t="shared" si="13"/>
        <v>1.0471441475928276</v>
      </c>
      <c r="V29" s="130">
        <f t="shared" si="13"/>
        <v>0.88465239151849961</v>
      </c>
      <c r="W29" s="130">
        <f t="shared" si="13"/>
        <v>1.1687421770415674</v>
      </c>
      <c r="X29" s="130">
        <f t="shared" ref="X29:Y29" si="14">SUM(X30:X33)</f>
        <v>1.3472047658737156</v>
      </c>
      <c r="Y29" s="130">
        <f t="shared" si="14"/>
        <v>0.99783824552098421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0.35847030735725149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2.7663173890104069</v>
      </c>
      <c r="M30" s="132">
        <v>1.3819758761659191</v>
      </c>
      <c r="N30" s="132">
        <v>0.84458945048385425</v>
      </c>
      <c r="O30" s="132">
        <v>0.10533723864611684</v>
      </c>
      <c r="P30" s="132">
        <v>3.7825492717988601E-2</v>
      </c>
      <c r="Q30" s="132">
        <v>6.2419290501543281E-2</v>
      </c>
      <c r="R30" s="132">
        <v>0.18922197893133832</v>
      </c>
      <c r="S30" s="132">
        <v>0.45683035621382673</v>
      </c>
      <c r="T30" s="132">
        <v>0.76444354194964426</v>
      </c>
      <c r="U30" s="132">
        <v>0.62229006073895587</v>
      </c>
      <c r="V30" s="132">
        <v>0.51701034049843664</v>
      </c>
      <c r="W30" s="132">
        <v>0.78298746964620591</v>
      </c>
      <c r="X30" s="132">
        <v>1.0442857154775025</v>
      </c>
      <c r="Y30" s="132">
        <v>0.64085229705993896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0.46178211239050232</v>
      </c>
      <c r="D31" s="132">
        <v>1.0543458798740788</v>
      </c>
      <c r="E31" s="132">
        <v>1.4280786932308724</v>
      </c>
      <c r="F31" s="132">
        <v>1.8713233792817126</v>
      </c>
      <c r="G31" s="132">
        <v>1.7885501017883452</v>
      </c>
      <c r="H31" s="132">
        <v>2.4923896573003423</v>
      </c>
      <c r="I31" s="132">
        <v>2.1867562360186841</v>
      </c>
      <c r="J31" s="132">
        <v>1.1946856942091653</v>
      </c>
      <c r="K31" s="132">
        <v>0.34262288622856318</v>
      </c>
      <c r="L31" s="132">
        <v>0.38616339477495348</v>
      </c>
      <c r="M31" s="132">
        <v>0.86603510166567854</v>
      </c>
      <c r="N31" s="132">
        <v>0.64050063865824558</v>
      </c>
      <c r="O31" s="132">
        <v>0.77897619048176825</v>
      </c>
      <c r="P31" s="132">
        <v>0.92576284560826683</v>
      </c>
      <c r="Q31" s="132">
        <v>0.98293121834472119</v>
      </c>
      <c r="R31" s="132">
        <v>0.650300686887613</v>
      </c>
      <c r="S31" s="132">
        <v>0.5718811051088265</v>
      </c>
      <c r="T31" s="132">
        <v>0.49656807874570952</v>
      </c>
      <c r="U31" s="132">
        <v>0.42485408685387183</v>
      </c>
      <c r="V31" s="132">
        <v>0.36764205102006292</v>
      </c>
      <c r="W31" s="132">
        <v>0.38575470739536144</v>
      </c>
      <c r="X31" s="132">
        <v>0.3029190503962132</v>
      </c>
      <c r="Y31" s="132">
        <v>0.35698594846104525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93381.055354386117</v>
      </c>
      <c r="D3" s="125">
        <f>IF(SER_hh_fec_in!D3=0,0,11630*1000*SER_hh_fec_in!D3/SER_hh_num_in!D3)</f>
        <v>78231.328557417539</v>
      </c>
      <c r="E3" s="125">
        <f>IF(SER_hh_fec_in!E3=0,0,11630*1000*SER_hh_fec_in!E3/SER_hh_num_in!E3)</f>
        <v>81940.925715070975</v>
      </c>
      <c r="F3" s="125">
        <f>IF(SER_hh_fec_in!F3=0,0,11630*1000*SER_hh_fec_in!F3/SER_hh_num_in!F3)</f>
        <v>70561.375657214259</v>
      </c>
      <c r="G3" s="125">
        <f>IF(SER_hh_fec_in!G3=0,0,11630*1000*SER_hh_fec_in!G3/SER_hh_num_in!G3)</f>
        <v>93712.801254185397</v>
      </c>
      <c r="H3" s="125">
        <f>IF(SER_hh_fec_in!H3=0,0,11630*1000*SER_hh_fec_in!H3/SER_hh_num_in!H3)</f>
        <v>90492.86934656433</v>
      </c>
      <c r="I3" s="125">
        <f>IF(SER_hh_fec_in!I3=0,0,11630*1000*SER_hh_fec_in!I3/SER_hh_num_in!I3)</f>
        <v>82437.351498140808</v>
      </c>
      <c r="J3" s="125">
        <f>IF(SER_hh_fec_in!J3=0,0,11630*1000*SER_hh_fec_in!J3/SER_hh_num_in!J3)</f>
        <v>81312.959494315204</v>
      </c>
      <c r="K3" s="125">
        <f>IF(SER_hh_fec_in!K3=0,0,11630*1000*SER_hh_fec_in!K3/SER_hh_num_in!K3)</f>
        <v>75746.756782152661</v>
      </c>
      <c r="L3" s="125">
        <f>IF(SER_hh_fec_in!L3=0,0,11630*1000*SER_hh_fec_in!L3/SER_hh_num_in!L3)</f>
        <v>83492.221096949244</v>
      </c>
      <c r="M3" s="125">
        <f>IF(SER_hh_fec_in!M3=0,0,11630*1000*SER_hh_fec_in!M3/SER_hh_num_in!M3)</f>
        <v>73944.536079859085</v>
      </c>
      <c r="N3" s="125">
        <f>IF(SER_hh_fec_in!N3=0,0,11630*1000*SER_hh_fec_in!N3/SER_hh_num_in!N3)</f>
        <v>78878.272015667098</v>
      </c>
      <c r="O3" s="125">
        <f>IF(SER_hh_fec_in!O3=0,0,11630*1000*SER_hh_fec_in!O3/SER_hh_num_in!O3)</f>
        <v>57852.088708987831</v>
      </c>
      <c r="P3" s="125">
        <f>IF(SER_hh_fec_in!P3=0,0,11630*1000*SER_hh_fec_in!P3/SER_hh_num_in!P3)</f>
        <v>54513.158586373233</v>
      </c>
      <c r="Q3" s="125">
        <f>IF(SER_hh_fec_in!Q3=0,0,11630*1000*SER_hh_fec_in!Q3/SER_hh_num_in!Q3)</f>
        <v>66541.186220995674</v>
      </c>
      <c r="R3" s="125">
        <f>IF(SER_hh_fec_in!R3=0,0,11630*1000*SER_hh_fec_in!R3/SER_hh_num_in!R3)</f>
        <v>65775.211898156471</v>
      </c>
      <c r="S3" s="125">
        <f>IF(SER_hh_fec_in!S3=0,0,11630*1000*SER_hh_fec_in!S3/SER_hh_num_in!S3)</f>
        <v>73025.909575972037</v>
      </c>
      <c r="T3" s="125">
        <f>IF(SER_hh_fec_in!T3=0,0,11630*1000*SER_hh_fec_in!T3/SER_hh_num_in!T3)</f>
        <v>73595.114655369805</v>
      </c>
      <c r="U3" s="125">
        <f>IF(SER_hh_fec_in!U3=0,0,11630*1000*SER_hh_fec_in!U3/SER_hh_num_in!U3)</f>
        <v>64371.992274185381</v>
      </c>
      <c r="V3" s="125">
        <f>IF(SER_hh_fec_in!V3=0,0,11630*1000*SER_hh_fec_in!V3/SER_hh_num_in!V3)</f>
        <v>50516.53497800207</v>
      </c>
      <c r="W3" s="125">
        <f>IF(SER_hh_fec_in!W3=0,0,11630*1000*SER_hh_fec_in!W3/SER_hh_num_in!W3)</f>
        <v>58561.574363488216</v>
      </c>
      <c r="X3" s="125">
        <f>IF(SER_hh_fec_in!X3=0,0,11630*1000*SER_hh_fec_in!X3/SER_hh_num_in!X3)</f>
        <v>51345.240782569417</v>
      </c>
      <c r="Y3" s="125">
        <f>IF(SER_hh_fec_in!Y3=0,0,11630*1000*SER_hh_fec_in!Y3/SER_hh_num_in!Y3)</f>
        <v>47855.697869389282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50142.58403658028</v>
      </c>
      <c r="D4" s="130">
        <f>IF(SER_hh_fec_in!D4=0,0,11630*1000*SER_hh_fec_in!D4/SER_hh_num_in!D4)</f>
        <v>40827.913502471827</v>
      </c>
      <c r="E4" s="130">
        <f>IF(SER_hh_fec_in!E4=0,0,11630*1000*SER_hh_fec_in!E4/SER_hh_num_in!E4)</f>
        <v>43460.932489453655</v>
      </c>
      <c r="F4" s="130">
        <f>IF(SER_hh_fec_in!F4=0,0,11630*1000*SER_hh_fec_in!F4/SER_hh_num_in!F4)</f>
        <v>32873.031782365302</v>
      </c>
      <c r="G4" s="130">
        <f>IF(SER_hh_fec_in!G4=0,0,11630*1000*SER_hh_fec_in!G4/SER_hh_num_in!G4)</f>
        <v>57374.851509126027</v>
      </c>
      <c r="H4" s="130">
        <f>IF(SER_hh_fec_in!H4=0,0,11630*1000*SER_hh_fec_in!H4/SER_hh_num_in!H4)</f>
        <v>52208.670095169153</v>
      </c>
      <c r="I4" s="130">
        <f>IF(SER_hh_fec_in!I4=0,0,11630*1000*SER_hh_fec_in!I4/SER_hh_num_in!I4)</f>
        <v>38351.299785923489</v>
      </c>
      <c r="J4" s="130">
        <f>IF(SER_hh_fec_in!J4=0,0,11630*1000*SER_hh_fec_in!J4/SER_hh_num_in!J4)</f>
        <v>40513.270987406831</v>
      </c>
      <c r="K4" s="130">
        <f>IF(SER_hh_fec_in!K4=0,0,11630*1000*SER_hh_fec_in!K4/SER_hh_num_in!K4)</f>
        <v>38045.340039757328</v>
      </c>
      <c r="L4" s="130">
        <f>IF(SER_hh_fec_in!L4=0,0,11630*1000*SER_hh_fec_in!L4/SER_hh_num_in!L4)</f>
        <v>45014.039470326599</v>
      </c>
      <c r="M4" s="130">
        <f>IF(SER_hh_fec_in!M4=0,0,11630*1000*SER_hh_fec_in!M4/SER_hh_num_in!M4)</f>
        <v>38664.130534971075</v>
      </c>
      <c r="N4" s="130">
        <f>IF(SER_hh_fec_in!N4=0,0,11630*1000*SER_hh_fec_in!N4/SER_hh_num_in!N4)</f>
        <v>36678.753364470242</v>
      </c>
      <c r="O4" s="130">
        <f>IF(SER_hh_fec_in!O4=0,0,11630*1000*SER_hh_fec_in!O4/SER_hh_num_in!O4)</f>
        <v>23884.612685125216</v>
      </c>
      <c r="P4" s="130">
        <f>IF(SER_hh_fec_in!P4=0,0,11630*1000*SER_hh_fec_in!P4/SER_hh_num_in!P4)</f>
        <v>20813.109459206251</v>
      </c>
      <c r="Q4" s="130">
        <f>IF(SER_hh_fec_in!Q4=0,0,11630*1000*SER_hh_fec_in!Q4/SER_hh_num_in!Q4)</f>
        <v>31778.304782430652</v>
      </c>
      <c r="R4" s="130">
        <f>IF(SER_hh_fec_in!R4=0,0,11630*1000*SER_hh_fec_in!R4/SER_hh_num_in!R4)</f>
        <v>31812.241447044988</v>
      </c>
      <c r="S4" s="130">
        <f>IF(SER_hh_fec_in!S4=0,0,11630*1000*SER_hh_fec_in!S4/SER_hh_num_in!S4)</f>
        <v>37768.637798184398</v>
      </c>
      <c r="T4" s="130">
        <f>IF(SER_hh_fec_in!T4=0,0,11630*1000*SER_hh_fec_in!T4/SER_hh_num_in!T4)</f>
        <v>38526.713507464068</v>
      </c>
      <c r="U4" s="130">
        <f>IF(SER_hh_fec_in!U4=0,0,11630*1000*SER_hh_fec_in!U4/SER_hh_num_in!U4)</f>
        <v>29677.938343582871</v>
      </c>
      <c r="V4" s="130">
        <f>IF(SER_hh_fec_in!V4=0,0,11630*1000*SER_hh_fec_in!V4/SER_hh_num_in!V4)</f>
        <v>21290.375444599904</v>
      </c>
      <c r="W4" s="130">
        <f>IF(SER_hh_fec_in!W4=0,0,11630*1000*SER_hh_fec_in!W4/SER_hh_num_in!W4)</f>
        <v>25381.901501833887</v>
      </c>
      <c r="X4" s="130">
        <f>IF(SER_hh_fec_in!X4=0,0,11630*1000*SER_hh_fec_in!X4/SER_hh_num_in!X4)</f>
        <v>17986.566945082439</v>
      </c>
      <c r="Y4" s="130">
        <f>IF(SER_hh_fec_in!Y4=0,0,11630*1000*SER_hh_fec_in!Y4/SER_hh_num_in!Y4)</f>
        <v>13698.884946115833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54720.780208353695</v>
      </c>
      <c r="D5" s="132">
        <f>IF(SER_hh_fec_in!D5=0,0,11630*1000*SER_hh_fec_in!D5/SER_hh_num_in!D5)</f>
        <v>65897.996982181183</v>
      </c>
      <c r="E5" s="132">
        <f>IF(SER_hh_fec_in!E5=0,0,11630*1000*SER_hh_fec_in!E5/SER_hh_num_in!E5)</f>
        <v>70825.899620220269</v>
      </c>
      <c r="F5" s="132">
        <f>IF(SER_hh_fec_in!F5=0,0,11630*1000*SER_hh_fec_in!F5/SER_hh_num_in!F5)</f>
        <v>48146.03969738567</v>
      </c>
      <c r="G5" s="132">
        <f>IF(SER_hh_fec_in!G5=0,0,11630*1000*SER_hh_fec_in!G5/SER_hh_num_in!G5)</f>
        <v>0</v>
      </c>
      <c r="H5" s="132">
        <f>IF(SER_hh_fec_in!H5=0,0,11630*1000*SER_hh_fec_in!H5/SER_hh_num_in!H5)</f>
        <v>0</v>
      </c>
      <c r="I5" s="132">
        <f>IF(SER_hh_fec_in!I5=0,0,11630*1000*SER_hh_fec_in!I5/SER_hh_num_in!I5)</f>
        <v>0</v>
      </c>
      <c r="J5" s="132">
        <f>IF(SER_hh_fec_in!J5=0,0,11630*1000*SER_hh_fec_in!J5/SER_hh_num_in!J5)</f>
        <v>67554.013135873814</v>
      </c>
      <c r="K5" s="132">
        <f>IF(SER_hh_fec_in!K5=0,0,11630*1000*SER_hh_fec_in!K5/SER_hh_num_in!K5)</f>
        <v>56302.270905825622</v>
      </c>
      <c r="L5" s="132">
        <f>IF(SER_hh_fec_in!L5=0,0,11630*1000*SER_hh_fec_in!L5/SER_hh_num_in!L5)</f>
        <v>53389.527605169074</v>
      </c>
      <c r="M5" s="132">
        <f>IF(SER_hh_fec_in!M5=0,0,11630*1000*SER_hh_fec_in!M5/SER_hh_num_in!M5)</f>
        <v>58747.1094989661</v>
      </c>
      <c r="N5" s="132">
        <f>IF(SER_hh_fec_in!N5=0,0,11630*1000*SER_hh_fec_in!N5/SER_hh_num_in!N5)</f>
        <v>43592.569357337023</v>
      </c>
      <c r="O5" s="132">
        <f>IF(SER_hh_fec_in!O5=0,0,11630*1000*SER_hh_fec_in!O5/SER_hh_num_in!O5)</f>
        <v>56691.266279870972</v>
      </c>
      <c r="P5" s="132">
        <f>IF(SER_hh_fec_in!P5=0,0,11630*1000*SER_hh_fec_in!P5/SER_hh_num_in!P5)</f>
        <v>25081.301488616555</v>
      </c>
      <c r="Q5" s="132">
        <f>IF(SER_hh_fec_in!Q5=0,0,11630*1000*SER_hh_fec_in!Q5/SER_hh_num_in!Q5)</f>
        <v>63223.693179728129</v>
      </c>
      <c r="R5" s="132">
        <f>IF(SER_hh_fec_in!R5=0,0,11630*1000*SER_hh_fec_in!R5/SER_hh_num_in!R5)</f>
        <v>66851.210066167929</v>
      </c>
      <c r="S5" s="132">
        <f>IF(SER_hh_fec_in!S5=0,0,11630*1000*SER_hh_fec_in!S5/SER_hh_num_in!S5)</f>
        <v>45516.308876007432</v>
      </c>
      <c r="T5" s="132">
        <f>IF(SER_hh_fec_in!T5=0,0,11630*1000*SER_hh_fec_in!T5/SER_hh_num_in!T5)</f>
        <v>32180.910652517909</v>
      </c>
      <c r="U5" s="132">
        <f>IF(SER_hh_fec_in!U5=0,0,11630*1000*SER_hh_fec_in!U5/SER_hh_num_in!U5)</f>
        <v>48528.61658843801</v>
      </c>
      <c r="V5" s="132">
        <f>IF(SER_hh_fec_in!V5=0,0,11630*1000*SER_hh_fec_in!V5/SER_hh_num_in!V5)</f>
        <v>0</v>
      </c>
      <c r="W5" s="132">
        <f>IF(SER_hh_fec_in!W5=0,0,11630*1000*SER_hh_fec_in!W5/SER_hh_num_in!W5)</f>
        <v>0</v>
      </c>
      <c r="X5" s="132">
        <f>IF(SER_hh_fec_in!X5=0,0,11630*1000*SER_hh_fec_in!X5/SER_hh_num_in!X5)</f>
        <v>0</v>
      </c>
      <c r="Y5" s="132">
        <f>IF(SER_hh_fec_in!Y5=0,0,11630*1000*SER_hh_fec_in!Y5/SER_hh_num_in!Y5)</f>
        <v>0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104113.10470032317</v>
      </c>
      <c r="D7" s="132">
        <f>IF(SER_hh_fec_in!D7=0,0,11630*1000*SER_hh_fec_in!D7/SER_hh_num_in!D7)</f>
        <v>0</v>
      </c>
      <c r="E7" s="132">
        <f>IF(SER_hh_fec_in!E7=0,0,11630*1000*SER_hh_fec_in!E7/SER_hh_num_in!E7)</f>
        <v>0</v>
      </c>
      <c r="F7" s="132">
        <f>IF(SER_hh_fec_in!F7=0,0,11630*1000*SER_hh_fec_in!F7/SER_hh_num_in!F7)</f>
        <v>0</v>
      </c>
      <c r="G7" s="132">
        <f>IF(SER_hh_fec_in!G7=0,0,11630*1000*SER_hh_fec_in!G7/SER_hh_num_in!G7)</f>
        <v>0</v>
      </c>
      <c r="H7" s="132">
        <f>IF(SER_hh_fec_in!H7=0,0,11630*1000*SER_hh_fec_in!H7/SER_hh_num_in!H7)</f>
        <v>91611.881067454</v>
      </c>
      <c r="I7" s="132">
        <f>IF(SER_hh_fec_in!I7=0,0,11630*1000*SER_hh_fec_in!I7/SER_hh_num_in!I7)</f>
        <v>0</v>
      </c>
      <c r="J7" s="132">
        <f>IF(SER_hh_fec_in!J7=0,0,11630*1000*SER_hh_fec_in!J7/SER_hh_num_in!J7)</f>
        <v>0</v>
      </c>
      <c r="K7" s="132">
        <f>IF(SER_hh_fec_in!K7=0,0,11630*1000*SER_hh_fec_in!K7/SER_hh_num_in!K7)</f>
        <v>90212.099503772624</v>
      </c>
      <c r="L7" s="132">
        <f>IF(SER_hh_fec_in!L7=0,0,11630*1000*SER_hh_fec_in!L7/SER_hh_num_in!L7)</f>
        <v>61132.147970708458</v>
      </c>
      <c r="M7" s="132">
        <f>IF(SER_hh_fec_in!M7=0,0,11630*1000*SER_hh_fec_in!M7/SER_hh_num_in!M7)</f>
        <v>0</v>
      </c>
      <c r="N7" s="132">
        <f>IF(SER_hh_fec_in!N7=0,0,11630*1000*SER_hh_fec_in!N7/SER_hh_num_in!N7)</f>
        <v>60471.705021434427</v>
      </c>
      <c r="O7" s="132">
        <f>IF(SER_hh_fec_in!O7=0,0,11630*1000*SER_hh_fec_in!O7/SER_hh_num_in!O7)</f>
        <v>42302.134748182994</v>
      </c>
      <c r="P7" s="132">
        <f>IF(SER_hh_fec_in!P7=0,0,11630*1000*SER_hh_fec_in!P7/SER_hh_num_in!P7)</f>
        <v>24030.035819759469</v>
      </c>
      <c r="Q7" s="132">
        <f>IF(SER_hh_fec_in!Q7=0,0,11630*1000*SER_hh_fec_in!Q7/SER_hh_num_in!Q7)</f>
        <v>62776.362187524741</v>
      </c>
      <c r="R7" s="132">
        <f>IF(SER_hh_fec_in!R7=0,0,11630*1000*SER_hh_fec_in!R7/SER_hh_num_in!R7)</f>
        <v>56804.903938041971</v>
      </c>
      <c r="S7" s="132">
        <f>IF(SER_hh_fec_in!S7=0,0,11630*1000*SER_hh_fec_in!S7/SER_hh_num_in!S7)</f>
        <v>0</v>
      </c>
      <c r="T7" s="132">
        <f>IF(SER_hh_fec_in!T7=0,0,11630*1000*SER_hh_fec_in!T7/SER_hh_num_in!T7)</f>
        <v>0</v>
      </c>
      <c r="U7" s="132">
        <f>IF(SER_hh_fec_in!U7=0,0,11630*1000*SER_hh_fec_in!U7/SER_hh_num_in!U7)</f>
        <v>0</v>
      </c>
      <c r="V7" s="132">
        <f>IF(SER_hh_fec_in!V7=0,0,11630*1000*SER_hh_fec_in!V7/SER_hh_num_in!V7)</f>
        <v>0</v>
      </c>
      <c r="W7" s="132">
        <f>IF(SER_hh_fec_in!W7=0,0,11630*1000*SER_hh_fec_in!W7/SER_hh_num_in!W7)</f>
        <v>35281.834110355405</v>
      </c>
      <c r="X7" s="132">
        <f>IF(SER_hh_fec_in!X7=0,0,11630*1000*SER_hh_fec_in!X7/SER_hh_num_in!X7)</f>
        <v>35059.567720288753</v>
      </c>
      <c r="Y7" s="132">
        <f>IF(SER_hh_fec_in!Y7=0,0,11630*1000*SER_hh_fec_in!Y7/SER_hh_num_in!Y7)</f>
        <v>43505.999138558058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0</v>
      </c>
      <c r="D8" s="132">
        <f>IF(SER_hh_fec_in!D8=0,0,11630*1000*SER_hh_fec_in!D8/SER_hh_num_in!D8)</f>
        <v>0</v>
      </c>
      <c r="E8" s="132">
        <f>IF(SER_hh_fec_in!E8=0,0,11630*1000*SER_hh_fec_in!E8/SER_hh_num_in!E8)</f>
        <v>0</v>
      </c>
      <c r="F8" s="132">
        <f>IF(SER_hh_fec_in!F8=0,0,11630*1000*SER_hh_fec_in!F8/SER_hh_num_in!F8)</f>
        <v>0</v>
      </c>
      <c r="G8" s="132">
        <f>IF(SER_hh_fec_in!G8=0,0,11630*1000*SER_hh_fec_in!G8/SER_hh_num_in!G8)</f>
        <v>0</v>
      </c>
      <c r="H8" s="132">
        <f>IF(SER_hh_fec_in!H8=0,0,11630*1000*SER_hh_fec_in!H8/SER_hh_num_in!H8)</f>
        <v>0</v>
      </c>
      <c r="I8" s="132">
        <f>IF(SER_hh_fec_in!I8=0,0,11630*1000*SER_hh_fec_in!I8/SER_hh_num_in!I8)</f>
        <v>0</v>
      </c>
      <c r="J8" s="132">
        <f>IF(SER_hh_fec_in!J8=0,0,11630*1000*SER_hh_fec_in!J8/SER_hh_num_in!J8)</f>
        <v>0</v>
      </c>
      <c r="K8" s="132">
        <f>IF(SER_hh_fec_in!K8=0,0,11630*1000*SER_hh_fec_in!K8/SER_hh_num_in!K8)</f>
        <v>0</v>
      </c>
      <c r="L8" s="132">
        <f>IF(SER_hh_fec_in!L8=0,0,11630*1000*SER_hh_fec_in!L8/SER_hh_num_in!L8)</f>
        <v>0</v>
      </c>
      <c r="M8" s="132">
        <f>IF(SER_hh_fec_in!M8=0,0,11630*1000*SER_hh_fec_in!M8/SER_hh_num_in!M8)</f>
        <v>0</v>
      </c>
      <c r="N8" s="132">
        <f>IF(SER_hh_fec_in!N8=0,0,11630*1000*SER_hh_fec_in!N8/SER_hh_num_in!N8)</f>
        <v>0</v>
      </c>
      <c r="O8" s="132">
        <f>IF(SER_hh_fec_in!O8=0,0,11630*1000*SER_hh_fec_in!O8/SER_hh_num_in!O8)</f>
        <v>0</v>
      </c>
      <c r="P8" s="132">
        <f>IF(SER_hh_fec_in!P8=0,0,11630*1000*SER_hh_fec_in!P8/SER_hh_num_in!P8)</f>
        <v>0</v>
      </c>
      <c r="Q8" s="132">
        <f>IF(SER_hh_fec_in!Q8=0,0,11630*1000*SER_hh_fec_in!Q8/SER_hh_num_in!Q8)</f>
        <v>0</v>
      </c>
      <c r="R8" s="132">
        <f>IF(SER_hh_fec_in!R8=0,0,11630*1000*SER_hh_fec_in!R8/SER_hh_num_in!R8)</f>
        <v>0</v>
      </c>
      <c r="S8" s="132">
        <f>IF(SER_hh_fec_in!S8=0,0,11630*1000*SER_hh_fec_in!S8/SER_hh_num_in!S8)</f>
        <v>0</v>
      </c>
      <c r="T8" s="132">
        <f>IF(SER_hh_fec_in!T8=0,0,11630*1000*SER_hh_fec_in!T8/SER_hh_num_in!T8)</f>
        <v>0</v>
      </c>
      <c r="U8" s="132">
        <f>IF(SER_hh_fec_in!U8=0,0,11630*1000*SER_hh_fec_in!U8/SER_hh_num_in!U8)</f>
        <v>0</v>
      </c>
      <c r="V8" s="132">
        <f>IF(SER_hh_fec_in!V8=0,0,11630*1000*SER_hh_fec_in!V8/SER_hh_num_in!V8)</f>
        <v>0</v>
      </c>
      <c r="W8" s="132">
        <f>IF(SER_hh_fec_in!W8=0,0,11630*1000*SER_hh_fec_in!W8/SER_hh_num_in!W8)</f>
        <v>0</v>
      </c>
      <c r="X8" s="132">
        <f>IF(SER_hh_fec_in!X8=0,0,11630*1000*SER_hh_fec_in!X8/SER_hh_num_in!X8)</f>
        <v>0</v>
      </c>
      <c r="Y8" s="132">
        <f>IF(SER_hh_fec_in!Y8=0,0,11630*1000*SER_hh_fec_in!Y8/SER_hh_num_in!Y8)</f>
        <v>0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77093.842542263883</v>
      </c>
      <c r="D9" s="132">
        <f>IF(SER_hh_fec_in!D9=0,0,11630*1000*SER_hh_fec_in!D9/SER_hh_num_in!D9)</f>
        <v>63984.698937794106</v>
      </c>
      <c r="E9" s="132">
        <f>IF(SER_hh_fec_in!E9=0,0,11630*1000*SER_hh_fec_in!E9/SER_hh_num_in!E9)</f>
        <v>70528.191091335917</v>
      </c>
      <c r="F9" s="132">
        <f>IF(SER_hh_fec_in!F9=0,0,11630*1000*SER_hh_fec_in!F9/SER_hh_num_in!F9)</f>
        <v>53815.529934319078</v>
      </c>
      <c r="G9" s="132">
        <f>IF(SER_hh_fec_in!G9=0,0,11630*1000*SER_hh_fec_in!G9/SER_hh_num_in!G9)</f>
        <v>67351.37217808023</v>
      </c>
      <c r="H9" s="132">
        <f>IF(SER_hh_fec_in!H9=0,0,11630*1000*SER_hh_fec_in!H9/SER_hh_num_in!H9)</f>
        <v>84130.424254915168</v>
      </c>
      <c r="I9" s="132">
        <f>IF(SER_hh_fec_in!I9=0,0,11630*1000*SER_hh_fec_in!I9/SER_hh_num_in!I9)</f>
        <v>74226.744006083158</v>
      </c>
      <c r="J9" s="132">
        <f>IF(SER_hh_fec_in!J9=0,0,11630*1000*SER_hh_fec_in!J9/SER_hh_num_in!J9)</f>
        <v>85883.521377399229</v>
      </c>
      <c r="K9" s="132">
        <f>IF(SER_hh_fec_in!K9=0,0,11630*1000*SER_hh_fec_in!K9/SER_hh_num_in!K9)</f>
        <v>52607.519916149839</v>
      </c>
      <c r="L9" s="132">
        <f>IF(SER_hh_fec_in!L9=0,0,11630*1000*SER_hh_fec_in!L9/SER_hh_num_in!L9)</f>
        <v>70297.234831283669</v>
      </c>
      <c r="M9" s="132">
        <f>IF(SER_hh_fec_in!M9=0,0,11630*1000*SER_hh_fec_in!M9/SER_hh_num_in!M9)</f>
        <v>70042.440255567009</v>
      </c>
      <c r="N9" s="132">
        <f>IF(SER_hh_fec_in!N9=0,0,11630*1000*SER_hh_fec_in!N9/SER_hh_num_in!N9)</f>
        <v>58483.398345900307</v>
      </c>
      <c r="O9" s="132">
        <f>IF(SER_hh_fec_in!O9=0,0,11630*1000*SER_hh_fec_in!O9/SER_hh_num_in!O9)</f>
        <v>47162.41177153444</v>
      </c>
      <c r="P9" s="132">
        <f>IF(SER_hh_fec_in!P9=0,0,11630*1000*SER_hh_fec_in!P9/SER_hh_num_in!P9)</f>
        <v>44910.029885571312</v>
      </c>
      <c r="Q9" s="132">
        <f>IF(SER_hh_fec_in!Q9=0,0,11630*1000*SER_hh_fec_in!Q9/SER_hh_num_in!Q9)</f>
        <v>47289.413260084562</v>
      </c>
      <c r="R9" s="132">
        <f>IF(SER_hh_fec_in!R9=0,0,11630*1000*SER_hh_fec_in!R9/SER_hh_num_in!R9)</f>
        <v>47585.220669274022</v>
      </c>
      <c r="S9" s="132">
        <f>IF(SER_hh_fec_in!S9=0,0,11630*1000*SER_hh_fec_in!S9/SER_hh_num_in!S9)</f>
        <v>45670.985452299414</v>
      </c>
      <c r="T9" s="132">
        <f>IF(SER_hh_fec_in!T9=0,0,11630*1000*SER_hh_fec_in!T9/SER_hh_num_in!T9)</f>
        <v>47035.894361088089</v>
      </c>
      <c r="U9" s="132">
        <f>IF(SER_hh_fec_in!U9=0,0,11630*1000*SER_hh_fec_in!U9/SER_hh_num_in!U9)</f>
        <v>38359.582653849509</v>
      </c>
      <c r="V9" s="132">
        <f>IF(SER_hh_fec_in!V9=0,0,11630*1000*SER_hh_fec_in!V9/SER_hh_num_in!V9)</f>
        <v>36950.849055006969</v>
      </c>
      <c r="W9" s="132">
        <f>IF(SER_hh_fec_in!W9=0,0,11630*1000*SER_hh_fec_in!W9/SER_hh_num_in!W9)</f>
        <v>43498.952430107449</v>
      </c>
      <c r="X9" s="132">
        <f>IF(SER_hh_fec_in!X9=0,0,11630*1000*SER_hh_fec_in!X9/SER_hh_num_in!X9)</f>
        <v>38158.400915598511</v>
      </c>
      <c r="Y9" s="132">
        <f>IF(SER_hh_fec_in!Y9=0,0,11630*1000*SER_hh_fec_in!Y9/SER_hh_num_in!Y9)</f>
        <v>0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0</v>
      </c>
      <c r="D10" s="132">
        <f>IF(SER_hh_fec_in!D10=0,0,11630*1000*SER_hh_fec_in!D10/SER_hh_num_in!D10)</f>
        <v>57975.466641586288</v>
      </c>
      <c r="E10" s="132">
        <f>IF(SER_hh_fec_in!E10=0,0,11630*1000*SER_hh_fec_in!E10/SER_hh_num_in!E10)</f>
        <v>83012.752722005622</v>
      </c>
      <c r="F10" s="132">
        <f>IF(SER_hh_fec_in!F10=0,0,11630*1000*SER_hh_fec_in!F10/SER_hh_num_in!F10)</f>
        <v>53340.130364449782</v>
      </c>
      <c r="G10" s="132">
        <f>IF(SER_hh_fec_in!G10=0,0,11630*1000*SER_hh_fec_in!G10/SER_hh_num_in!G10)</f>
        <v>73528.354714117391</v>
      </c>
      <c r="H10" s="132">
        <f>IF(SER_hh_fec_in!H10=0,0,11630*1000*SER_hh_fec_in!H10/SER_hh_num_in!H10)</f>
        <v>91239.778643736077</v>
      </c>
      <c r="I10" s="132">
        <f>IF(SER_hh_fec_in!I10=0,0,11630*1000*SER_hh_fec_in!I10/SER_hh_num_in!I10)</f>
        <v>72894.072918865379</v>
      </c>
      <c r="J10" s="132">
        <f>IF(SER_hh_fec_in!J10=0,0,11630*1000*SER_hh_fec_in!J10/SER_hh_num_in!J10)</f>
        <v>0</v>
      </c>
      <c r="K10" s="132">
        <f>IF(SER_hh_fec_in!K10=0,0,11630*1000*SER_hh_fec_in!K10/SER_hh_num_in!K10)</f>
        <v>0</v>
      </c>
      <c r="L10" s="132">
        <f>IF(SER_hh_fec_in!L10=0,0,11630*1000*SER_hh_fec_in!L10/SER_hh_num_in!L10)</f>
        <v>34087.547202938098</v>
      </c>
      <c r="M10" s="132">
        <f>IF(SER_hh_fec_in!M10=0,0,11630*1000*SER_hh_fec_in!M10/SER_hh_num_in!M10)</f>
        <v>27242.09213685049</v>
      </c>
      <c r="N10" s="132">
        <f>IF(SER_hh_fec_in!N10=0,0,11630*1000*SER_hh_fec_in!N10/SER_hh_num_in!N10)</f>
        <v>151063.14663400155</v>
      </c>
      <c r="O10" s="132">
        <f>IF(SER_hh_fec_in!O10=0,0,11630*1000*SER_hh_fec_in!O10/SER_hh_num_in!O10)</f>
        <v>73580.858925493012</v>
      </c>
      <c r="P10" s="132">
        <f>IF(SER_hh_fec_in!P10=0,0,11630*1000*SER_hh_fec_in!P10/SER_hh_num_in!P10)</f>
        <v>0</v>
      </c>
      <c r="Q10" s="132">
        <f>IF(SER_hh_fec_in!Q10=0,0,11630*1000*SER_hh_fec_in!Q10/SER_hh_num_in!Q10)</f>
        <v>33150.443765013319</v>
      </c>
      <c r="R10" s="132">
        <f>IF(SER_hh_fec_in!R10=0,0,11630*1000*SER_hh_fec_in!R10/SER_hh_num_in!R10)</f>
        <v>12593.932068653479</v>
      </c>
      <c r="S10" s="132">
        <f>IF(SER_hh_fec_in!S10=0,0,11630*1000*SER_hh_fec_in!S10/SER_hh_num_in!S10)</f>
        <v>68011.57017387345</v>
      </c>
      <c r="T10" s="132">
        <f>IF(SER_hh_fec_in!T10=0,0,11630*1000*SER_hh_fec_in!T10/SER_hh_num_in!T10)</f>
        <v>75982.863248165624</v>
      </c>
      <c r="U10" s="132">
        <f>IF(SER_hh_fec_in!U10=0,0,11630*1000*SER_hh_fec_in!U10/SER_hh_num_in!U10)</f>
        <v>70234.600432825551</v>
      </c>
      <c r="V10" s="132">
        <f>IF(SER_hh_fec_in!V10=0,0,11630*1000*SER_hh_fec_in!V10/SER_hh_num_in!V10)</f>
        <v>46325.087367370979</v>
      </c>
      <c r="W10" s="132">
        <f>IF(SER_hh_fec_in!W10=0,0,11630*1000*SER_hh_fec_in!W10/SER_hh_num_in!W10)</f>
        <v>58680.46281623096</v>
      </c>
      <c r="X10" s="132">
        <f>IF(SER_hh_fec_in!X10=0,0,11630*1000*SER_hh_fec_in!X10/SER_hh_num_in!X10)</f>
        <v>63932.728234353468</v>
      </c>
      <c r="Y10" s="132">
        <f>IF(SER_hh_fec_in!Y10=0,0,11630*1000*SER_hh_fec_in!Y10/SER_hh_num_in!Y10)</f>
        <v>0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0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68084.152537020433</v>
      </c>
      <c r="H11" s="132">
        <f>IF(SER_hh_fec_in!H11=0,0,11630*1000*SER_hh_fec_in!H11/SER_hh_num_in!H11)</f>
        <v>52877.026133293213</v>
      </c>
      <c r="I11" s="132">
        <f>IF(SER_hh_fec_in!I11=0,0,11630*1000*SER_hh_fec_in!I11/SER_hh_num_in!I11)</f>
        <v>44172.031085632647</v>
      </c>
      <c r="J11" s="132">
        <f>IF(SER_hh_fec_in!J11=0,0,11630*1000*SER_hh_fec_in!J11/SER_hh_num_in!J11)</f>
        <v>43056.357988495343</v>
      </c>
      <c r="K11" s="132">
        <f>IF(SER_hh_fec_in!K11=0,0,11630*1000*SER_hh_fec_in!K11/SER_hh_num_in!K11)</f>
        <v>41953.752082669358</v>
      </c>
      <c r="L11" s="132">
        <f>IF(SER_hh_fec_in!L11=0,0,11630*1000*SER_hh_fec_in!L11/SER_hh_num_in!L11)</f>
        <v>0</v>
      </c>
      <c r="M11" s="132">
        <f>IF(SER_hh_fec_in!M11=0,0,11630*1000*SER_hh_fec_in!M11/SER_hh_num_in!M11)</f>
        <v>0</v>
      </c>
      <c r="N11" s="132">
        <f>IF(SER_hh_fec_in!N11=0,0,11630*1000*SER_hh_fec_in!N11/SER_hh_num_in!N11)</f>
        <v>38982.843048611881</v>
      </c>
      <c r="O11" s="132">
        <f>IF(SER_hh_fec_in!O11=0,0,11630*1000*SER_hh_fec_in!O11/SER_hh_num_in!O11)</f>
        <v>36028.432183797748</v>
      </c>
      <c r="P11" s="132">
        <f>IF(SER_hh_fec_in!P11=0,0,11630*1000*SER_hh_fec_in!P11/SER_hh_num_in!P11)</f>
        <v>34446.96482606043</v>
      </c>
      <c r="Q11" s="132">
        <f>IF(SER_hh_fec_in!Q11=0,0,11630*1000*SER_hh_fec_in!Q11/SER_hh_num_in!Q11)</f>
        <v>33519.301585771726</v>
      </c>
      <c r="R11" s="132">
        <f>IF(SER_hh_fec_in!R11=0,0,11630*1000*SER_hh_fec_in!R11/SER_hh_num_in!R11)</f>
        <v>35021.727742021903</v>
      </c>
      <c r="S11" s="132">
        <f>IF(SER_hh_fec_in!S11=0,0,11630*1000*SER_hh_fec_in!S11/SER_hh_num_in!S11)</f>
        <v>34744.287824916777</v>
      </c>
      <c r="T11" s="132">
        <f>IF(SER_hh_fec_in!T11=0,0,11630*1000*SER_hh_fec_in!T11/SER_hh_num_in!T11)</f>
        <v>33890.423459351237</v>
      </c>
      <c r="U11" s="132">
        <f>IF(SER_hh_fec_in!U11=0,0,11630*1000*SER_hh_fec_in!U11/SER_hh_num_in!U11)</f>
        <v>33047.346889272165</v>
      </c>
      <c r="V11" s="132">
        <f>IF(SER_hh_fec_in!V11=0,0,11630*1000*SER_hh_fec_in!V11/SER_hh_num_in!V11)</f>
        <v>32713.51601846698</v>
      </c>
      <c r="W11" s="132">
        <f>IF(SER_hh_fec_in!W11=0,0,11630*1000*SER_hh_fec_in!W11/SER_hh_num_in!W11)</f>
        <v>31074.38063960295</v>
      </c>
      <c r="X11" s="132">
        <f>IF(SER_hh_fec_in!X11=0,0,11630*1000*SER_hh_fec_in!X11/SER_hh_num_in!X11)</f>
        <v>28505.788771997992</v>
      </c>
      <c r="Y11" s="132">
        <f>IF(SER_hh_fec_in!Y11=0,0,11630*1000*SER_hh_fec_in!Y11/SER_hh_num_in!Y11)</f>
        <v>29480.489081820127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53454.967587468062</v>
      </c>
      <c r="D12" s="132">
        <f>IF(SER_hh_fec_in!D12=0,0,11630*1000*SER_hh_fec_in!D12/SER_hh_num_in!D12)</f>
        <v>46321.055375172393</v>
      </c>
      <c r="E12" s="132">
        <f>IF(SER_hh_fec_in!E12=0,0,11630*1000*SER_hh_fec_in!E12/SER_hh_num_in!E12)</f>
        <v>46840.594452387806</v>
      </c>
      <c r="F12" s="132">
        <f>IF(SER_hh_fec_in!F12=0,0,11630*1000*SER_hh_fec_in!F12/SER_hh_num_in!F12)</f>
        <v>38285.56648957065</v>
      </c>
      <c r="G12" s="132">
        <f>IF(SER_hh_fec_in!G12=0,0,11630*1000*SER_hh_fec_in!G12/SER_hh_num_in!G12)</f>
        <v>0</v>
      </c>
      <c r="H12" s="132">
        <f>IF(SER_hh_fec_in!H12=0,0,11630*1000*SER_hh_fec_in!H12/SER_hh_num_in!H12)</f>
        <v>59107.477450245962</v>
      </c>
      <c r="I12" s="132">
        <f>IF(SER_hh_fec_in!I12=0,0,11630*1000*SER_hh_fec_in!I12/SER_hh_num_in!I12)</f>
        <v>43946.973720630223</v>
      </c>
      <c r="J12" s="132">
        <f>IF(SER_hh_fec_in!J12=0,0,11630*1000*SER_hh_fec_in!J12/SER_hh_num_in!J12)</f>
        <v>0</v>
      </c>
      <c r="K12" s="132">
        <f>IF(SER_hh_fec_in!K12=0,0,11630*1000*SER_hh_fec_in!K12/SER_hh_num_in!K12)</f>
        <v>43876.710362306338</v>
      </c>
      <c r="L12" s="132">
        <f>IF(SER_hh_fec_in!L12=0,0,11630*1000*SER_hh_fec_in!L12/SER_hh_num_in!L12)</f>
        <v>44408.27328814919</v>
      </c>
      <c r="M12" s="132">
        <f>IF(SER_hh_fec_in!M12=0,0,11630*1000*SER_hh_fec_in!M12/SER_hh_num_in!M12)</f>
        <v>58753.123265490627</v>
      </c>
      <c r="N12" s="132">
        <f>IF(SER_hh_fec_in!N12=0,0,11630*1000*SER_hh_fec_in!N12/SER_hh_num_in!N12)</f>
        <v>39700.683094053282</v>
      </c>
      <c r="O12" s="132">
        <f>IF(SER_hh_fec_in!O12=0,0,11630*1000*SER_hh_fec_in!O12/SER_hh_num_in!O12)</f>
        <v>37427.675325047021</v>
      </c>
      <c r="P12" s="132">
        <f>IF(SER_hh_fec_in!P12=0,0,11630*1000*SER_hh_fec_in!P12/SER_hh_num_in!P12)</f>
        <v>36056.764695271238</v>
      </c>
      <c r="Q12" s="132">
        <f>IF(SER_hh_fec_in!Q12=0,0,11630*1000*SER_hh_fec_in!Q12/SER_hh_num_in!Q12)</f>
        <v>38854.235929185001</v>
      </c>
      <c r="R12" s="132">
        <f>IF(SER_hh_fec_in!R12=0,0,11630*1000*SER_hh_fec_in!R12/SER_hh_num_in!R12)</f>
        <v>50969.334933713406</v>
      </c>
      <c r="S12" s="132">
        <f>IF(SER_hh_fec_in!S12=0,0,11630*1000*SER_hh_fec_in!S12/SER_hh_num_in!S12)</f>
        <v>35829.528077886825</v>
      </c>
      <c r="T12" s="132">
        <f>IF(SER_hh_fec_in!T12=0,0,11630*1000*SER_hh_fec_in!T12/SER_hh_num_in!T12)</f>
        <v>44572.346934037902</v>
      </c>
      <c r="U12" s="132">
        <f>IF(SER_hh_fec_in!U12=0,0,11630*1000*SER_hh_fec_in!U12/SER_hh_num_in!U12)</f>
        <v>39657.730911016428</v>
      </c>
      <c r="V12" s="132">
        <f>IF(SER_hh_fec_in!V12=0,0,11630*1000*SER_hh_fec_in!V12/SER_hh_num_in!V12)</f>
        <v>28533.626495893586</v>
      </c>
      <c r="W12" s="132">
        <f>IF(SER_hh_fec_in!W12=0,0,11630*1000*SER_hh_fec_in!W12/SER_hh_num_in!W12)</f>
        <v>34810.539183501271</v>
      </c>
      <c r="X12" s="132">
        <f>IF(SER_hh_fec_in!X12=0,0,11630*1000*SER_hh_fec_in!X12/SER_hh_num_in!X12)</f>
        <v>27912.769584755923</v>
      </c>
      <c r="Y12" s="132">
        <f>IF(SER_hh_fec_in!Y12=0,0,11630*1000*SER_hh_fec_in!Y12/SER_hh_num_in!Y12)</f>
        <v>0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16787.703794845613</v>
      </c>
      <c r="D13" s="132">
        <f>IF(SER_hh_fec_in!D13=0,0,11630*1000*SER_hh_fec_in!D13/SER_hh_num_in!D13)</f>
        <v>19551.360494467735</v>
      </c>
      <c r="E13" s="132">
        <f>IF(SER_hh_fec_in!E13=0,0,11630*1000*SER_hh_fec_in!E13/SER_hh_num_in!E13)</f>
        <v>20789.220326929833</v>
      </c>
      <c r="F13" s="132">
        <f>IF(SER_hh_fec_in!F13=0,0,11630*1000*SER_hh_fec_in!F13/SER_hh_num_in!F13)</f>
        <v>18139.521796715951</v>
      </c>
      <c r="G13" s="132">
        <f>IF(SER_hh_fec_in!G13=0,0,11630*1000*SER_hh_fec_in!G13/SER_hh_num_in!G13)</f>
        <v>19116.013740292969</v>
      </c>
      <c r="H13" s="132">
        <f>IF(SER_hh_fec_in!H13=0,0,11630*1000*SER_hh_fec_in!H13/SER_hh_num_in!H13)</f>
        <v>20832.886220292799</v>
      </c>
      <c r="I13" s="132">
        <f>IF(SER_hh_fec_in!I13=0,0,11630*1000*SER_hh_fec_in!I13/SER_hh_num_in!I13)</f>
        <v>17975.762181420159</v>
      </c>
      <c r="J13" s="132">
        <f>IF(SER_hh_fec_in!J13=0,0,11630*1000*SER_hh_fec_in!J13/SER_hh_num_in!J13)</f>
        <v>15874.282769462614</v>
      </c>
      <c r="K13" s="132">
        <f>IF(SER_hh_fec_in!K13=0,0,11630*1000*SER_hh_fec_in!K13/SER_hh_num_in!K13)</f>
        <v>16120.506721056478</v>
      </c>
      <c r="L13" s="132">
        <f>IF(SER_hh_fec_in!L13=0,0,11630*1000*SER_hh_fec_in!L13/SER_hh_num_in!L13)</f>
        <v>16367.106872564558</v>
      </c>
      <c r="M13" s="132">
        <f>IF(SER_hh_fec_in!M13=0,0,11630*1000*SER_hh_fec_in!M13/SER_hh_num_in!M13)</f>
        <v>14581.476324744979</v>
      </c>
      <c r="N13" s="132">
        <f>IF(SER_hh_fec_in!N13=0,0,11630*1000*SER_hh_fec_in!N13/SER_hh_num_in!N13)</f>
        <v>12307.00725753539</v>
      </c>
      <c r="O13" s="132">
        <f>IF(SER_hh_fec_in!O13=0,0,11630*1000*SER_hh_fec_in!O13/SER_hh_num_in!O13)</f>
        <v>12469.591940762164</v>
      </c>
      <c r="P13" s="132">
        <f>IF(SER_hh_fec_in!P13=0,0,11630*1000*SER_hh_fec_in!P13/SER_hh_num_in!P13)</f>
        <v>10113.800378741906</v>
      </c>
      <c r="Q13" s="132">
        <f>IF(SER_hh_fec_in!Q13=0,0,11630*1000*SER_hh_fec_in!Q13/SER_hh_num_in!Q13)</f>
        <v>10048.904723763053</v>
      </c>
      <c r="R13" s="132">
        <f>IF(SER_hh_fec_in!R13=0,0,11630*1000*SER_hh_fec_in!R13/SER_hh_num_in!R13)</f>
        <v>9594.745140416735</v>
      </c>
      <c r="S13" s="132">
        <f>IF(SER_hh_fec_in!S13=0,0,11630*1000*SER_hh_fec_in!S13/SER_hh_num_in!S13)</f>
        <v>9163.521978047369</v>
      </c>
      <c r="T13" s="132">
        <f>IF(SER_hh_fec_in!T13=0,0,11630*1000*SER_hh_fec_in!T13/SER_hh_num_in!T13)</f>
        <v>8543.0488372356358</v>
      </c>
      <c r="U13" s="132">
        <f>IF(SER_hh_fec_in!U13=0,0,11630*1000*SER_hh_fec_in!U13/SER_hh_num_in!U13)</f>
        <v>8485.3009316153584</v>
      </c>
      <c r="V13" s="132">
        <f>IF(SER_hh_fec_in!V13=0,0,11630*1000*SER_hh_fec_in!V13/SER_hh_num_in!V13)</f>
        <v>8006.9959934505323</v>
      </c>
      <c r="W13" s="132">
        <f>IF(SER_hh_fec_in!W13=0,0,11630*1000*SER_hh_fec_in!W13/SER_hh_num_in!W13)</f>
        <v>7973.6217390954935</v>
      </c>
      <c r="X13" s="132">
        <f>IF(SER_hh_fec_in!X13=0,0,11630*1000*SER_hh_fec_in!X13/SER_hh_num_in!X13)</f>
        <v>7678.6487900691745</v>
      </c>
      <c r="Y13" s="132">
        <f>IF(SER_hh_fec_in!Y13=0,0,11630*1000*SER_hh_fec_in!Y13/SER_hh_num_in!Y13)</f>
        <v>7706.5008523619026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44442.628086179393</v>
      </c>
      <c r="D14" s="65">
        <f>IF(SER_hh_fec_in!D14=0,0,11630*1000*SER_hh_fec_in!D14/SER_hh_num_in!D14)</f>
        <v>56413.280270639683</v>
      </c>
      <c r="E14" s="65">
        <f>IF(SER_hh_fec_in!E14=0,0,11630*1000*SER_hh_fec_in!E14/SER_hh_num_in!E14)</f>
        <v>59558.187605614999</v>
      </c>
      <c r="F14" s="65">
        <f>IF(SER_hh_fec_in!F14=0,0,11630*1000*SER_hh_fec_in!F14/SER_hh_num_in!F14)</f>
        <v>38720.830327560107</v>
      </c>
      <c r="G14" s="65">
        <f>IF(SER_hh_fec_in!G14=0,0,11630*1000*SER_hh_fec_in!G14/SER_hh_num_in!G14)</f>
        <v>0</v>
      </c>
      <c r="H14" s="65">
        <f>IF(SER_hh_fec_in!H14=0,0,11630*1000*SER_hh_fec_in!H14/SER_hh_num_in!H14)</f>
        <v>64561.055702302772</v>
      </c>
      <c r="I14" s="65">
        <f>IF(SER_hh_fec_in!I14=0,0,11630*1000*SER_hh_fec_in!I14/SER_hh_num_in!I14)</f>
        <v>45810.637913809471</v>
      </c>
      <c r="J14" s="65">
        <f>IF(SER_hh_fec_in!J14=0,0,11630*1000*SER_hh_fec_in!J14/SER_hh_num_in!J14)</f>
        <v>57246.949646789086</v>
      </c>
      <c r="K14" s="65">
        <f>IF(SER_hh_fec_in!K14=0,0,11630*1000*SER_hh_fec_in!K14/SER_hh_num_in!K14)</f>
        <v>43594.444282047829</v>
      </c>
      <c r="L14" s="65">
        <f>IF(SER_hh_fec_in!L14=0,0,11630*1000*SER_hh_fec_in!L14/SER_hh_num_in!L14)</f>
        <v>55789.549383815924</v>
      </c>
      <c r="M14" s="65">
        <f>IF(SER_hh_fec_in!M14=0,0,11630*1000*SER_hh_fec_in!M14/SER_hh_num_in!M14)</f>
        <v>64796.778406293561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50009.232256497387</v>
      </c>
      <c r="S14" s="65">
        <f>IF(SER_hh_fec_in!S14=0,0,11630*1000*SER_hh_fec_in!S14/SER_hh_num_in!S14)</f>
        <v>40584.666840137208</v>
      </c>
      <c r="T14" s="65">
        <f>IF(SER_hh_fec_in!T14=0,0,11630*1000*SER_hh_fec_in!T14/SER_hh_num_in!T14)</f>
        <v>44357.495156633297</v>
      </c>
      <c r="U14" s="65">
        <f>IF(SER_hh_fec_in!U14=0,0,11630*1000*SER_hh_fec_in!U14/SER_hh_num_in!U14)</f>
        <v>55673.33877924164</v>
      </c>
      <c r="V14" s="65">
        <f>IF(SER_hh_fec_in!V14=0,0,11630*1000*SER_hh_fec_in!V14/SER_hh_num_in!V14)</f>
        <v>15909.387698087248</v>
      </c>
      <c r="W14" s="65">
        <f>IF(SER_hh_fec_in!W14=0,0,11630*1000*SER_hh_fec_in!W14/SER_hh_num_in!W14)</f>
        <v>41714.181591277993</v>
      </c>
      <c r="X14" s="65">
        <f>IF(SER_hh_fec_in!X14=0,0,11630*1000*SER_hh_fec_in!X14/SER_hh_num_in!X14)</f>
        <v>33101.559792206957</v>
      </c>
      <c r="Y14" s="65">
        <f>IF(SER_hh_fec_in!Y14=0,0,11630*1000*SER_hh_fec_in!Y14/SER_hh_num_in!Y14)</f>
        <v>26404.022838149263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272.55271275129115</v>
      </c>
      <c r="D15" s="134">
        <f>IF(SER_hh_fec_in!D15=0,0,11630*1000*SER_hh_fec_in!D15/SER_hh_num_in!D15)</f>
        <v>237.08778320740089</v>
      </c>
      <c r="E15" s="134">
        <f>IF(SER_hh_fec_in!E15=0,0,11630*1000*SER_hh_fec_in!E15/SER_hh_num_in!E15)</f>
        <v>232.47569586718112</v>
      </c>
      <c r="F15" s="134">
        <f>IF(SER_hh_fec_in!F15=0,0,11630*1000*SER_hh_fec_in!F15/SER_hh_num_in!F15)</f>
        <v>201.30046600748059</v>
      </c>
      <c r="G15" s="134">
        <f>IF(SER_hh_fec_in!G15=0,0,11630*1000*SER_hh_fec_in!G15/SER_hh_num_in!G15)</f>
        <v>304.45152569922658</v>
      </c>
      <c r="H15" s="134">
        <f>IF(SER_hh_fec_in!H15=0,0,11630*1000*SER_hh_fec_in!H15/SER_hh_num_in!H15)</f>
        <v>445.64163759374861</v>
      </c>
      <c r="I15" s="134">
        <f>IF(SER_hh_fec_in!I15=0,0,11630*1000*SER_hh_fec_in!I15/SER_hh_num_in!I15)</f>
        <v>330.1256413630403</v>
      </c>
      <c r="J15" s="134">
        <f>IF(SER_hh_fec_in!J15=0,0,11630*1000*SER_hh_fec_in!J15/SER_hh_num_in!J15)</f>
        <v>721.67854140421116</v>
      </c>
      <c r="K15" s="134">
        <f>IF(SER_hh_fec_in!K15=0,0,11630*1000*SER_hh_fec_in!K15/SER_hh_num_in!K15)</f>
        <v>354.47103923953728</v>
      </c>
      <c r="L15" s="134">
        <f>IF(SER_hh_fec_in!L15=0,0,11630*1000*SER_hh_fec_in!L15/SER_hh_num_in!L15)</f>
        <v>322.45466675878134</v>
      </c>
      <c r="M15" s="134">
        <f>IF(SER_hh_fec_in!M15=0,0,11630*1000*SER_hh_fec_in!M15/SER_hh_num_in!M15)</f>
        <v>207.63763153018218</v>
      </c>
      <c r="N15" s="134">
        <f>IF(SER_hh_fec_in!N15=0,0,11630*1000*SER_hh_fec_in!N15/SER_hh_num_in!N15)</f>
        <v>323.96310727609256</v>
      </c>
      <c r="O15" s="134">
        <f>IF(SER_hh_fec_in!O15=0,0,11630*1000*SER_hh_fec_in!O15/SER_hh_num_in!O15)</f>
        <v>272.49378703225074</v>
      </c>
      <c r="P15" s="134">
        <f>IF(SER_hh_fec_in!P15=0,0,11630*1000*SER_hh_fec_in!P15/SER_hh_num_in!P15)</f>
        <v>266.77089285186071</v>
      </c>
      <c r="Q15" s="134">
        <f>IF(SER_hh_fec_in!Q15=0,0,11630*1000*SER_hh_fec_in!Q15/SER_hh_num_in!Q15)</f>
        <v>348.89405356060962</v>
      </c>
      <c r="R15" s="134">
        <f>IF(SER_hh_fec_in!R15=0,0,11630*1000*SER_hh_fec_in!R15/SER_hh_num_in!R15)</f>
        <v>228.0360203878206</v>
      </c>
      <c r="S15" s="134">
        <f>IF(SER_hh_fec_in!S15=0,0,11630*1000*SER_hh_fec_in!S15/SER_hh_num_in!S15)</f>
        <v>249.06202101605291</v>
      </c>
      <c r="T15" s="134">
        <f>IF(SER_hh_fec_in!T15=0,0,11630*1000*SER_hh_fec_in!T15/SER_hh_num_in!T15)</f>
        <v>263.88084761800582</v>
      </c>
      <c r="U15" s="134">
        <f>IF(SER_hh_fec_in!U15=0,0,11630*1000*SER_hh_fec_in!U15/SER_hh_num_in!U15)</f>
        <v>250.3733452050985</v>
      </c>
      <c r="V15" s="134">
        <f>IF(SER_hh_fec_in!V15=0,0,11630*1000*SER_hh_fec_in!V15/SER_hh_num_in!V15)</f>
        <v>194.90811682134071</v>
      </c>
      <c r="W15" s="134">
        <f>IF(SER_hh_fec_in!W15=0,0,11630*1000*SER_hh_fec_in!W15/SER_hh_num_in!W15)</f>
        <v>237.10326286811849</v>
      </c>
      <c r="X15" s="134">
        <f>IF(SER_hh_fec_in!X15=0,0,11630*1000*SER_hh_fec_in!X15/SER_hh_num_in!X15)</f>
        <v>173.69141276564105</v>
      </c>
      <c r="Y15" s="134">
        <f>IF(SER_hh_fec_in!Y15=0,0,11630*1000*SER_hh_fec_in!Y15/SER_hh_num_in!Y15)</f>
        <v>354.08338823820333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13107.265383555507</v>
      </c>
      <c r="D16" s="130">
        <f>IF(SER_hh_fec_in!D16=0,0,11630*1000*SER_hh_fec_in!D16/SER_hh_num_in!D16)</f>
        <v>9244.157005686724</v>
      </c>
      <c r="E16" s="130">
        <f>IF(SER_hh_fec_in!E16=0,0,11630*1000*SER_hh_fec_in!E16/SER_hh_num_in!E16)</f>
        <v>9788.9553785915577</v>
      </c>
      <c r="F16" s="130">
        <f>IF(SER_hh_fec_in!F16=0,0,11630*1000*SER_hh_fec_in!F16/SER_hh_num_in!F16)</f>
        <v>7363.0453359246776</v>
      </c>
      <c r="G16" s="130">
        <f>IF(SER_hh_fec_in!G16=0,0,11630*1000*SER_hh_fec_in!G16/SER_hh_num_in!G16)</f>
        <v>7125.0222795109312</v>
      </c>
      <c r="H16" s="130">
        <f>IF(SER_hh_fec_in!H16=0,0,11630*1000*SER_hh_fec_in!H16/SER_hh_num_in!H16)</f>
        <v>7904.5530957979609</v>
      </c>
      <c r="I16" s="130">
        <f>IF(SER_hh_fec_in!I16=0,0,11630*1000*SER_hh_fec_in!I16/SER_hh_num_in!I16)</f>
        <v>13610.222634027648</v>
      </c>
      <c r="J16" s="130">
        <f>IF(SER_hh_fec_in!J16=0,0,11630*1000*SER_hh_fec_in!J16/SER_hh_num_in!J16)</f>
        <v>8290.7122866333139</v>
      </c>
      <c r="K16" s="130">
        <f>IF(SER_hh_fec_in!K16=0,0,11630*1000*SER_hh_fec_in!K16/SER_hh_num_in!K16)</f>
        <v>6823.1394196636538</v>
      </c>
      <c r="L16" s="130">
        <f>IF(SER_hh_fec_in!L16=0,0,11630*1000*SER_hh_fec_in!L16/SER_hh_num_in!L16)</f>
        <v>8121.3905500344517</v>
      </c>
      <c r="M16" s="130">
        <f>IF(SER_hh_fec_in!M16=0,0,11630*1000*SER_hh_fec_in!M16/SER_hh_num_in!M16)</f>
        <v>6398.1755914818095</v>
      </c>
      <c r="N16" s="130">
        <f>IF(SER_hh_fec_in!N16=0,0,11630*1000*SER_hh_fec_in!N16/SER_hh_num_in!N16)</f>
        <v>12577.911856246406</v>
      </c>
      <c r="O16" s="130">
        <f>IF(SER_hh_fec_in!O16=0,0,11630*1000*SER_hh_fec_in!O16/SER_hh_num_in!O16)</f>
        <v>5731.4294991129473</v>
      </c>
      <c r="P16" s="130">
        <f>IF(SER_hh_fec_in!P16=0,0,11630*1000*SER_hh_fec_in!P16/SER_hh_num_in!P16)</f>
        <v>4970.4803419089903</v>
      </c>
      <c r="Q16" s="130">
        <f>IF(SER_hh_fec_in!Q16=0,0,11630*1000*SER_hh_fec_in!Q16/SER_hh_num_in!Q16)</f>
        <v>6784.0798812915427</v>
      </c>
      <c r="R16" s="130">
        <f>IF(SER_hh_fec_in!R16=0,0,11630*1000*SER_hh_fec_in!R16/SER_hh_num_in!R16)</f>
        <v>5970.0926823292884</v>
      </c>
      <c r="S16" s="130">
        <f>IF(SER_hh_fec_in!S16=0,0,11630*1000*SER_hh_fec_in!S16/SER_hh_num_in!S16)</f>
        <v>6103.266876802536</v>
      </c>
      <c r="T16" s="130">
        <f>IF(SER_hh_fec_in!T16=0,0,11630*1000*SER_hh_fec_in!T16/SER_hh_num_in!T16)</f>
        <v>4425.8565155666693</v>
      </c>
      <c r="U16" s="130">
        <f>IF(SER_hh_fec_in!U16=0,0,11630*1000*SER_hh_fec_in!U16/SER_hh_num_in!U16)</f>
        <v>4723.0289238675314</v>
      </c>
      <c r="V16" s="130">
        <f>IF(SER_hh_fec_in!V16=0,0,11630*1000*SER_hh_fec_in!V16/SER_hh_num_in!V16)</f>
        <v>4434.0004781480211</v>
      </c>
      <c r="W16" s="130">
        <f>IF(SER_hh_fec_in!W16=0,0,11630*1000*SER_hh_fec_in!W16/SER_hh_num_in!W16)</f>
        <v>5832.0993647641881</v>
      </c>
      <c r="X16" s="130">
        <f>IF(SER_hh_fec_in!X16=0,0,11630*1000*SER_hh_fec_in!X16/SER_hh_num_in!X16)</f>
        <v>5016.5186577193717</v>
      </c>
      <c r="Y16" s="130">
        <f>IF(SER_hh_fec_in!Y16=0,0,11630*1000*SER_hh_fec_in!Y16/SER_hh_num_in!Y16)</f>
        <v>6231.4126182569198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0</v>
      </c>
      <c r="D17" s="132">
        <f>IF(SER_hh_fec_in!D17=0,0,11630*1000*SER_hh_fec_in!D17/SER_hh_num_in!D17)</f>
        <v>0</v>
      </c>
      <c r="E17" s="132">
        <f>IF(SER_hh_fec_in!E17=0,0,11630*1000*SER_hh_fec_in!E17/SER_hh_num_in!E17)</f>
        <v>0</v>
      </c>
      <c r="F17" s="132">
        <f>IF(SER_hh_fec_in!F17=0,0,11630*1000*SER_hh_fec_in!F17/SER_hh_num_in!F17)</f>
        <v>0</v>
      </c>
      <c r="G17" s="132">
        <f>IF(SER_hh_fec_in!G17=0,0,11630*1000*SER_hh_fec_in!G17/SER_hh_num_in!G17)</f>
        <v>0</v>
      </c>
      <c r="H17" s="132">
        <f>IF(SER_hh_fec_in!H17=0,0,11630*1000*SER_hh_fec_in!H17/SER_hh_num_in!H17)</f>
        <v>0</v>
      </c>
      <c r="I17" s="132">
        <f>IF(SER_hh_fec_in!I17=0,0,11630*1000*SER_hh_fec_in!I17/SER_hh_num_in!I17)</f>
        <v>0</v>
      </c>
      <c r="J17" s="132">
        <f>IF(SER_hh_fec_in!J17=0,0,11630*1000*SER_hh_fec_in!J17/SER_hh_num_in!J17)</f>
        <v>0</v>
      </c>
      <c r="K17" s="132">
        <f>IF(SER_hh_fec_in!K17=0,0,11630*1000*SER_hh_fec_in!K17/SER_hh_num_in!K17)</f>
        <v>0</v>
      </c>
      <c r="L17" s="132">
        <f>IF(SER_hh_fec_in!L17=0,0,11630*1000*SER_hh_fec_in!L17/SER_hh_num_in!L17)</f>
        <v>0</v>
      </c>
      <c r="M17" s="132">
        <f>IF(SER_hh_fec_in!M17=0,0,11630*1000*SER_hh_fec_in!M17/SER_hh_num_in!M17)</f>
        <v>0</v>
      </c>
      <c r="N17" s="132">
        <f>IF(SER_hh_fec_in!N17=0,0,11630*1000*SER_hh_fec_in!N17/SER_hh_num_in!N17)</f>
        <v>0</v>
      </c>
      <c r="O17" s="132">
        <f>IF(SER_hh_fec_in!O17=0,0,11630*1000*SER_hh_fec_in!O17/SER_hh_num_in!O17)</f>
        <v>0</v>
      </c>
      <c r="P17" s="132">
        <f>IF(SER_hh_fec_in!P17=0,0,11630*1000*SER_hh_fec_in!P17/SER_hh_num_in!P17)</f>
        <v>0</v>
      </c>
      <c r="Q17" s="132">
        <f>IF(SER_hh_fec_in!Q17=0,0,11630*1000*SER_hh_fec_in!Q17/SER_hh_num_in!Q17)</f>
        <v>0</v>
      </c>
      <c r="R17" s="132">
        <f>IF(SER_hh_fec_in!R17=0,0,11630*1000*SER_hh_fec_in!R17/SER_hh_num_in!R17)</f>
        <v>0</v>
      </c>
      <c r="S17" s="132">
        <f>IF(SER_hh_fec_in!S17=0,0,11630*1000*SER_hh_fec_in!S17/SER_hh_num_in!S17)</f>
        <v>0</v>
      </c>
      <c r="T17" s="132">
        <f>IF(SER_hh_fec_in!T17=0,0,11630*1000*SER_hh_fec_in!T17/SER_hh_num_in!T17)</f>
        <v>0</v>
      </c>
      <c r="U17" s="132">
        <f>IF(SER_hh_fec_in!U17=0,0,11630*1000*SER_hh_fec_in!U17/SER_hh_num_in!U17)</f>
        <v>0</v>
      </c>
      <c r="V17" s="132">
        <f>IF(SER_hh_fec_in!V17=0,0,11630*1000*SER_hh_fec_in!V17/SER_hh_num_in!V17)</f>
        <v>0</v>
      </c>
      <c r="W17" s="132">
        <f>IF(SER_hh_fec_in!W17=0,0,11630*1000*SER_hh_fec_in!W17/SER_hh_num_in!W17)</f>
        <v>0</v>
      </c>
      <c r="X17" s="132">
        <f>IF(SER_hh_fec_in!X17=0,0,11630*1000*SER_hh_fec_in!X17/SER_hh_num_in!X17)</f>
        <v>0</v>
      </c>
      <c r="Y17" s="132">
        <f>IF(SER_hh_fec_in!Y17=0,0,11630*1000*SER_hh_fec_in!Y17/SER_hh_num_in!Y17)</f>
        <v>0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13107.265383555507</v>
      </c>
      <c r="D18" s="132">
        <f>IF(SER_hh_fec_in!D18=0,0,11630*1000*SER_hh_fec_in!D18/SER_hh_num_in!D18)</f>
        <v>9244.157005686724</v>
      </c>
      <c r="E18" s="132">
        <f>IF(SER_hh_fec_in!E18=0,0,11630*1000*SER_hh_fec_in!E18/SER_hh_num_in!E18)</f>
        <v>9788.9553785915577</v>
      </c>
      <c r="F18" s="132">
        <f>IF(SER_hh_fec_in!F18=0,0,11630*1000*SER_hh_fec_in!F18/SER_hh_num_in!F18)</f>
        <v>7363.0453359246776</v>
      </c>
      <c r="G18" s="132">
        <f>IF(SER_hh_fec_in!G18=0,0,11630*1000*SER_hh_fec_in!G18/SER_hh_num_in!G18)</f>
        <v>7125.0222795109312</v>
      </c>
      <c r="H18" s="132">
        <f>IF(SER_hh_fec_in!H18=0,0,11630*1000*SER_hh_fec_in!H18/SER_hh_num_in!H18)</f>
        <v>7904.5530957979609</v>
      </c>
      <c r="I18" s="132">
        <f>IF(SER_hh_fec_in!I18=0,0,11630*1000*SER_hh_fec_in!I18/SER_hh_num_in!I18)</f>
        <v>13610.222634027648</v>
      </c>
      <c r="J18" s="132">
        <f>IF(SER_hh_fec_in!J18=0,0,11630*1000*SER_hh_fec_in!J18/SER_hh_num_in!J18)</f>
        <v>8290.7122866333139</v>
      </c>
      <c r="K18" s="132">
        <f>IF(SER_hh_fec_in!K18=0,0,11630*1000*SER_hh_fec_in!K18/SER_hh_num_in!K18)</f>
        <v>6823.1394196636538</v>
      </c>
      <c r="L18" s="132">
        <f>IF(SER_hh_fec_in!L18=0,0,11630*1000*SER_hh_fec_in!L18/SER_hh_num_in!L18)</f>
        <v>8121.3905500344517</v>
      </c>
      <c r="M18" s="132">
        <f>IF(SER_hh_fec_in!M18=0,0,11630*1000*SER_hh_fec_in!M18/SER_hh_num_in!M18)</f>
        <v>6398.1755914818095</v>
      </c>
      <c r="N18" s="132">
        <f>IF(SER_hh_fec_in!N18=0,0,11630*1000*SER_hh_fec_in!N18/SER_hh_num_in!N18)</f>
        <v>12577.911856246406</v>
      </c>
      <c r="O18" s="132">
        <f>IF(SER_hh_fec_in!O18=0,0,11630*1000*SER_hh_fec_in!O18/SER_hh_num_in!O18)</f>
        <v>5731.4294991129473</v>
      </c>
      <c r="P18" s="132">
        <f>IF(SER_hh_fec_in!P18=0,0,11630*1000*SER_hh_fec_in!P18/SER_hh_num_in!P18)</f>
        <v>4970.4803419089903</v>
      </c>
      <c r="Q18" s="132">
        <f>IF(SER_hh_fec_in!Q18=0,0,11630*1000*SER_hh_fec_in!Q18/SER_hh_num_in!Q18)</f>
        <v>6784.0798812915427</v>
      </c>
      <c r="R18" s="132">
        <f>IF(SER_hh_fec_in!R18=0,0,11630*1000*SER_hh_fec_in!R18/SER_hh_num_in!R18)</f>
        <v>5970.0926823292884</v>
      </c>
      <c r="S18" s="132">
        <f>IF(SER_hh_fec_in!S18=0,0,11630*1000*SER_hh_fec_in!S18/SER_hh_num_in!S18)</f>
        <v>6103.266876802536</v>
      </c>
      <c r="T18" s="132">
        <f>IF(SER_hh_fec_in!T18=0,0,11630*1000*SER_hh_fec_in!T18/SER_hh_num_in!T18)</f>
        <v>4425.8565155666693</v>
      </c>
      <c r="U18" s="132">
        <f>IF(SER_hh_fec_in!U18=0,0,11630*1000*SER_hh_fec_in!U18/SER_hh_num_in!U18)</f>
        <v>4723.0289238675314</v>
      </c>
      <c r="V18" s="132">
        <f>IF(SER_hh_fec_in!V18=0,0,11630*1000*SER_hh_fec_in!V18/SER_hh_num_in!V18)</f>
        <v>4434.0004781480211</v>
      </c>
      <c r="W18" s="132">
        <f>IF(SER_hh_fec_in!W18=0,0,11630*1000*SER_hh_fec_in!W18/SER_hh_num_in!W18)</f>
        <v>5832.0993647641881</v>
      </c>
      <c r="X18" s="132">
        <f>IF(SER_hh_fec_in!X18=0,0,11630*1000*SER_hh_fec_in!X18/SER_hh_num_in!X18)</f>
        <v>5016.5186577193717</v>
      </c>
      <c r="Y18" s="132">
        <f>IF(SER_hh_fec_in!Y18=0,0,11630*1000*SER_hh_fec_in!Y18/SER_hh_num_in!Y18)</f>
        <v>6231.4126182569198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15598.039013958276</v>
      </c>
      <c r="D19" s="130">
        <f>IF(SER_hh_fec_in!D19=0,0,11630*1000*SER_hh_fec_in!D19/SER_hh_num_in!D19)</f>
        <v>15111.482348570615</v>
      </c>
      <c r="E19" s="130">
        <f>IF(SER_hh_fec_in!E19=0,0,11630*1000*SER_hh_fec_in!E19/SER_hh_num_in!E19)</f>
        <v>14834.778319849076</v>
      </c>
      <c r="F19" s="130">
        <f>IF(SER_hh_fec_in!F19=0,0,11630*1000*SER_hh_fec_in!F19/SER_hh_num_in!F19)</f>
        <v>14602.921344532373</v>
      </c>
      <c r="G19" s="130">
        <f>IF(SER_hh_fec_in!G19=0,0,11630*1000*SER_hh_fec_in!G19/SER_hh_num_in!G19)</f>
        <v>14617.050372654103</v>
      </c>
      <c r="H19" s="130">
        <f>IF(SER_hh_fec_in!H19=0,0,11630*1000*SER_hh_fec_in!H19/SER_hh_num_in!H19)</f>
        <v>14959.257410708744</v>
      </c>
      <c r="I19" s="130">
        <f>IF(SER_hh_fec_in!I19=0,0,11630*1000*SER_hh_fec_in!I19/SER_hh_num_in!I19)</f>
        <v>15135.652889335794</v>
      </c>
      <c r="J19" s="130">
        <f>IF(SER_hh_fec_in!J19=0,0,11630*1000*SER_hh_fec_in!J19/SER_hh_num_in!J19)</f>
        <v>14882.300734513212</v>
      </c>
      <c r="K19" s="130">
        <f>IF(SER_hh_fec_in!K19=0,0,11630*1000*SER_hh_fec_in!K19/SER_hh_num_in!K19)</f>
        <v>15162.010116407786</v>
      </c>
      <c r="L19" s="130">
        <f>IF(SER_hh_fec_in!L19=0,0,11630*1000*SER_hh_fec_in!L19/SER_hh_num_in!L19)</f>
        <v>11770.208496983862</v>
      </c>
      <c r="M19" s="130">
        <f>IF(SER_hh_fec_in!M19=0,0,11630*1000*SER_hh_fec_in!M19/SER_hh_num_in!M19)</f>
        <v>12410.820509415833</v>
      </c>
      <c r="N19" s="130">
        <f>IF(SER_hh_fec_in!N19=0,0,11630*1000*SER_hh_fec_in!N19/SER_hh_num_in!N19)</f>
        <v>12344.473708177093</v>
      </c>
      <c r="O19" s="130">
        <f>IF(SER_hh_fec_in!O19=0,0,11630*1000*SER_hh_fec_in!O19/SER_hh_num_in!O19)</f>
        <v>11944.333726186309</v>
      </c>
      <c r="P19" s="130">
        <f>IF(SER_hh_fec_in!P19=0,0,11630*1000*SER_hh_fec_in!P19/SER_hh_num_in!P19)</f>
        <v>12609.315108621857</v>
      </c>
      <c r="Q19" s="130">
        <f>IF(SER_hh_fec_in!Q19=0,0,11630*1000*SER_hh_fec_in!Q19/SER_hh_num_in!Q19)</f>
        <v>11932.186179493587</v>
      </c>
      <c r="R19" s="130">
        <f>IF(SER_hh_fec_in!R19=0,0,11630*1000*SER_hh_fec_in!R19/SER_hh_num_in!R19)</f>
        <v>12126.110051784975</v>
      </c>
      <c r="S19" s="130">
        <f>IF(SER_hh_fec_in!S19=0,0,11630*1000*SER_hh_fec_in!S19/SER_hh_num_in!S19)</f>
        <v>12229.326306562236</v>
      </c>
      <c r="T19" s="130">
        <f>IF(SER_hh_fec_in!T19=0,0,11630*1000*SER_hh_fec_in!T19/SER_hh_num_in!T19)</f>
        <v>12433.703258144764</v>
      </c>
      <c r="U19" s="130">
        <f>IF(SER_hh_fec_in!U19=0,0,11630*1000*SER_hh_fec_in!U19/SER_hh_num_in!U19)</f>
        <v>12283.195167372551</v>
      </c>
      <c r="V19" s="130">
        <f>IF(SER_hh_fec_in!V19=0,0,11630*1000*SER_hh_fec_in!V19/SER_hh_num_in!V19)</f>
        <v>10419.500006545093</v>
      </c>
      <c r="W19" s="130">
        <f>IF(SER_hh_fec_in!W19=0,0,11630*1000*SER_hh_fec_in!W19/SER_hh_num_in!W19)</f>
        <v>11590.893806712334</v>
      </c>
      <c r="X19" s="130">
        <f>IF(SER_hh_fec_in!X19=0,0,11630*1000*SER_hh_fec_in!X19/SER_hh_num_in!X19)</f>
        <v>11783.044301429667</v>
      </c>
      <c r="Y19" s="130">
        <f>IF(SER_hh_fec_in!Y19=0,0,11630*1000*SER_hh_fec_in!Y19/SER_hh_num_in!Y19)</f>
        <v>12116.324136270148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0</v>
      </c>
      <c r="D21" s="132">
        <f>IF(SER_hh_fec_in!D21=0,0,11630*1000*SER_hh_fec_in!D21/SER_hh_num_in!D21)</f>
        <v>0</v>
      </c>
      <c r="E21" s="132">
        <f>IF(SER_hh_fec_in!E21=0,0,11630*1000*SER_hh_fec_in!E21/SER_hh_num_in!E21)</f>
        <v>0</v>
      </c>
      <c r="F21" s="132">
        <f>IF(SER_hh_fec_in!F21=0,0,11630*1000*SER_hh_fec_in!F21/SER_hh_num_in!F21)</f>
        <v>0</v>
      </c>
      <c r="G21" s="132">
        <f>IF(SER_hh_fec_in!G21=0,0,11630*1000*SER_hh_fec_in!G21/SER_hh_num_in!G21)</f>
        <v>0</v>
      </c>
      <c r="H21" s="132">
        <f>IF(SER_hh_fec_in!H21=0,0,11630*1000*SER_hh_fec_in!H21/SER_hh_num_in!H21)</f>
        <v>0</v>
      </c>
      <c r="I21" s="132">
        <f>IF(SER_hh_fec_in!I21=0,0,11630*1000*SER_hh_fec_in!I21/SER_hh_num_in!I21)</f>
        <v>0</v>
      </c>
      <c r="J21" s="132">
        <f>IF(SER_hh_fec_in!J21=0,0,11630*1000*SER_hh_fec_in!J21/SER_hh_num_in!J21)</f>
        <v>0</v>
      </c>
      <c r="K21" s="132">
        <f>IF(SER_hh_fec_in!K21=0,0,11630*1000*SER_hh_fec_in!K21/SER_hh_num_in!K21)</f>
        <v>0</v>
      </c>
      <c r="L21" s="132">
        <f>IF(SER_hh_fec_in!L21=0,0,11630*1000*SER_hh_fec_in!L21/SER_hh_num_in!L21)</f>
        <v>0</v>
      </c>
      <c r="M21" s="132">
        <f>IF(SER_hh_fec_in!M21=0,0,11630*1000*SER_hh_fec_in!M21/SER_hh_num_in!M21)</f>
        <v>0</v>
      </c>
      <c r="N21" s="132">
        <f>IF(SER_hh_fec_in!N21=0,0,11630*1000*SER_hh_fec_in!N21/SER_hh_num_in!N21)</f>
        <v>0</v>
      </c>
      <c r="O21" s="132">
        <f>IF(SER_hh_fec_in!O21=0,0,11630*1000*SER_hh_fec_in!O21/SER_hh_num_in!O21)</f>
        <v>0</v>
      </c>
      <c r="P21" s="132">
        <f>IF(SER_hh_fec_in!P21=0,0,11630*1000*SER_hh_fec_in!P21/SER_hh_num_in!P21)</f>
        <v>0</v>
      </c>
      <c r="Q21" s="132">
        <f>IF(SER_hh_fec_in!Q21=0,0,11630*1000*SER_hh_fec_in!Q21/SER_hh_num_in!Q21)</f>
        <v>0</v>
      </c>
      <c r="R21" s="132">
        <f>IF(SER_hh_fec_in!R21=0,0,11630*1000*SER_hh_fec_in!R21/SER_hh_num_in!R21)</f>
        <v>0</v>
      </c>
      <c r="S21" s="132">
        <f>IF(SER_hh_fec_in!S21=0,0,11630*1000*SER_hh_fec_in!S21/SER_hh_num_in!S21)</f>
        <v>0</v>
      </c>
      <c r="T21" s="132">
        <f>IF(SER_hh_fec_in!T21=0,0,11630*1000*SER_hh_fec_in!T21/SER_hh_num_in!T21)</f>
        <v>0</v>
      </c>
      <c r="U21" s="132">
        <f>IF(SER_hh_fec_in!U21=0,0,11630*1000*SER_hh_fec_in!U21/SER_hh_num_in!U21)</f>
        <v>0</v>
      </c>
      <c r="V21" s="132">
        <f>IF(SER_hh_fec_in!V21=0,0,11630*1000*SER_hh_fec_in!V21/SER_hh_num_in!V21)</f>
        <v>0</v>
      </c>
      <c r="W21" s="132">
        <f>IF(SER_hh_fec_in!W21=0,0,11630*1000*SER_hh_fec_in!W21/SER_hh_num_in!W21)</f>
        <v>0</v>
      </c>
      <c r="X21" s="132">
        <f>IF(SER_hh_fec_in!X21=0,0,11630*1000*SER_hh_fec_in!X21/SER_hh_num_in!X21)</f>
        <v>0</v>
      </c>
      <c r="Y21" s="132">
        <f>IF(SER_hh_fec_in!Y21=0,0,11630*1000*SER_hh_fec_in!Y21/SER_hh_num_in!Y21)</f>
        <v>0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20683.698395532592</v>
      </c>
      <c r="D22" s="132">
        <f>IF(SER_hh_fec_in!D22=0,0,11630*1000*SER_hh_fec_in!D22/SER_hh_num_in!D22)</f>
        <v>20716.727325664826</v>
      </c>
      <c r="E22" s="132">
        <f>IF(SER_hh_fec_in!E22=0,0,11630*1000*SER_hh_fec_in!E22/SER_hh_num_in!E22)</f>
        <v>20227.322255002571</v>
      </c>
      <c r="F22" s="132">
        <f>IF(SER_hh_fec_in!F22=0,0,11630*1000*SER_hh_fec_in!F22/SER_hh_num_in!F22)</f>
        <v>0</v>
      </c>
      <c r="G22" s="132">
        <f>IF(SER_hh_fec_in!G22=0,0,11630*1000*SER_hh_fec_in!G22/SER_hh_num_in!G22)</f>
        <v>0</v>
      </c>
      <c r="H22" s="132">
        <f>IF(SER_hh_fec_in!H22=0,0,11630*1000*SER_hh_fec_in!H22/SER_hh_num_in!H22)</f>
        <v>18352.320222506685</v>
      </c>
      <c r="I22" s="132">
        <f>IF(SER_hh_fec_in!I22=0,0,11630*1000*SER_hh_fec_in!I22/SER_hh_num_in!I22)</f>
        <v>18751.052980477038</v>
      </c>
      <c r="J22" s="132">
        <f>IF(SER_hh_fec_in!J22=0,0,11630*1000*SER_hh_fec_in!J22/SER_hh_num_in!J22)</f>
        <v>19010.765712831282</v>
      </c>
      <c r="K22" s="132">
        <f>IF(SER_hh_fec_in!K22=0,0,11630*1000*SER_hh_fec_in!K22/SER_hh_num_in!K22)</f>
        <v>19019.404946867275</v>
      </c>
      <c r="L22" s="132">
        <f>IF(SER_hh_fec_in!L22=0,0,11630*1000*SER_hh_fec_in!L22/SER_hh_num_in!L22)</f>
        <v>9567.3567682570301</v>
      </c>
      <c r="M22" s="132">
        <f>IF(SER_hh_fec_in!M22=0,0,11630*1000*SER_hh_fec_in!M22/SER_hh_num_in!M22)</f>
        <v>18965.753151106837</v>
      </c>
      <c r="N22" s="132">
        <f>IF(SER_hh_fec_in!N22=0,0,11630*1000*SER_hh_fec_in!N22/SER_hh_num_in!N22)</f>
        <v>19877.922445144952</v>
      </c>
      <c r="O22" s="132">
        <f>IF(SER_hh_fec_in!O22=0,0,11630*1000*SER_hh_fec_in!O22/SER_hh_num_in!O22)</f>
        <v>0</v>
      </c>
      <c r="P22" s="132">
        <f>IF(SER_hh_fec_in!P22=0,0,11630*1000*SER_hh_fec_in!P22/SER_hh_num_in!P22)</f>
        <v>0</v>
      </c>
      <c r="Q22" s="132">
        <f>IF(SER_hh_fec_in!Q22=0,0,11630*1000*SER_hh_fec_in!Q22/SER_hh_num_in!Q22)</f>
        <v>0</v>
      </c>
      <c r="R22" s="132">
        <f>IF(SER_hh_fec_in!R22=0,0,11630*1000*SER_hh_fec_in!R22/SER_hh_num_in!R22)</f>
        <v>0</v>
      </c>
      <c r="S22" s="132">
        <f>IF(SER_hh_fec_in!S22=0,0,11630*1000*SER_hh_fec_in!S22/SER_hh_num_in!S22)</f>
        <v>0</v>
      </c>
      <c r="T22" s="132">
        <f>IF(SER_hh_fec_in!T22=0,0,11630*1000*SER_hh_fec_in!T22/SER_hh_num_in!T22)</f>
        <v>0</v>
      </c>
      <c r="U22" s="132">
        <f>IF(SER_hh_fec_in!U22=0,0,11630*1000*SER_hh_fec_in!U22/SER_hh_num_in!U22)</f>
        <v>0</v>
      </c>
      <c r="V22" s="132">
        <f>IF(SER_hh_fec_in!V22=0,0,11630*1000*SER_hh_fec_in!V22/SER_hh_num_in!V22)</f>
        <v>11195.940181362954</v>
      </c>
      <c r="W22" s="132">
        <f>IF(SER_hh_fec_in!W22=0,0,11630*1000*SER_hh_fec_in!W22/SER_hh_num_in!W22)</f>
        <v>12492.52679322865</v>
      </c>
      <c r="X22" s="132">
        <f>IF(SER_hh_fec_in!X22=0,0,11630*1000*SER_hh_fec_in!X22/SER_hh_num_in!X22)</f>
        <v>12501.19613059565</v>
      </c>
      <c r="Y22" s="132">
        <f>IF(SER_hh_fec_in!Y22=0,0,11630*1000*SER_hh_fec_in!Y22/SER_hh_num_in!Y22)</f>
        <v>16774.211325775315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18510.689633140446</v>
      </c>
      <c r="D23" s="132">
        <f>IF(SER_hh_fec_in!D23=0,0,11630*1000*SER_hh_fec_in!D23/SER_hh_num_in!D23)</f>
        <v>16468.056268854303</v>
      </c>
      <c r="E23" s="132">
        <f>IF(SER_hh_fec_in!E23=0,0,11630*1000*SER_hh_fec_in!E23/SER_hh_num_in!E23)</f>
        <v>17234.088436982889</v>
      </c>
      <c r="F23" s="132">
        <f>IF(SER_hh_fec_in!F23=0,0,11630*1000*SER_hh_fec_in!F23/SER_hh_num_in!F23)</f>
        <v>16784.388155076937</v>
      </c>
      <c r="G23" s="132">
        <f>IF(SER_hh_fec_in!G23=0,0,11630*1000*SER_hh_fec_in!G23/SER_hh_num_in!G23)</f>
        <v>16225.364962205636</v>
      </c>
      <c r="H23" s="132">
        <f>IF(SER_hh_fec_in!H23=0,0,11630*1000*SER_hh_fec_in!H23/SER_hh_num_in!H23)</f>
        <v>16634.383991238326</v>
      </c>
      <c r="I23" s="132">
        <f>IF(SER_hh_fec_in!I23=0,0,11630*1000*SER_hh_fec_in!I23/SER_hh_num_in!I23)</f>
        <v>17343.490495976752</v>
      </c>
      <c r="J23" s="132">
        <f>IF(SER_hh_fec_in!J23=0,0,11630*1000*SER_hh_fec_in!J23/SER_hh_num_in!J23)</f>
        <v>16906.887929345845</v>
      </c>
      <c r="K23" s="132">
        <f>IF(SER_hh_fec_in!K23=0,0,11630*1000*SER_hh_fec_in!K23/SER_hh_num_in!K23)</f>
        <v>16831.309878641878</v>
      </c>
      <c r="L23" s="132">
        <f>IF(SER_hh_fec_in!L23=0,0,11630*1000*SER_hh_fec_in!L23/SER_hh_num_in!L23)</f>
        <v>7700.4175461863506</v>
      </c>
      <c r="M23" s="132">
        <f>IF(SER_hh_fec_in!M23=0,0,11630*1000*SER_hh_fec_in!M23/SER_hh_num_in!M23)</f>
        <v>15311.140628545667</v>
      </c>
      <c r="N23" s="132">
        <f>IF(SER_hh_fec_in!N23=0,0,11630*1000*SER_hh_fec_in!N23/SER_hh_num_in!N23)</f>
        <v>15758.096684121083</v>
      </c>
      <c r="O23" s="132">
        <f>IF(SER_hh_fec_in!O23=0,0,11630*1000*SER_hh_fec_in!O23/SER_hh_num_in!O23)</f>
        <v>11607.08874863315</v>
      </c>
      <c r="P23" s="132">
        <f>IF(SER_hh_fec_in!P23=0,0,11630*1000*SER_hh_fec_in!P23/SER_hh_num_in!P23)</f>
        <v>15366.130128565106</v>
      </c>
      <c r="Q23" s="132">
        <f>IF(SER_hh_fec_in!Q23=0,0,11630*1000*SER_hh_fec_in!Q23/SER_hh_num_in!Q23)</f>
        <v>13894.605705790513</v>
      </c>
      <c r="R23" s="132">
        <f>IF(SER_hh_fec_in!R23=0,0,11630*1000*SER_hh_fec_in!R23/SER_hh_num_in!R23)</f>
        <v>13859.94166603667</v>
      </c>
      <c r="S23" s="132">
        <f>IF(SER_hh_fec_in!S23=0,0,11630*1000*SER_hh_fec_in!S23/SER_hh_num_in!S23)</f>
        <v>13848.908929963432</v>
      </c>
      <c r="T23" s="132">
        <f>IF(SER_hh_fec_in!T23=0,0,11630*1000*SER_hh_fec_in!T23/SER_hh_num_in!T23)</f>
        <v>14726.6179296068</v>
      </c>
      <c r="U23" s="132">
        <f>IF(SER_hh_fec_in!U23=0,0,11630*1000*SER_hh_fec_in!U23/SER_hh_num_in!U23)</f>
        <v>14548.636257184849</v>
      </c>
      <c r="V23" s="132">
        <f>IF(SER_hh_fec_in!V23=0,0,11630*1000*SER_hh_fec_in!V23/SER_hh_num_in!V23)</f>
        <v>9269.6990369780087</v>
      </c>
      <c r="W23" s="132">
        <f>IF(SER_hh_fec_in!W23=0,0,11630*1000*SER_hh_fec_in!W23/SER_hh_num_in!W23)</f>
        <v>14012.043073345787</v>
      </c>
      <c r="X23" s="132">
        <f>IF(SER_hh_fec_in!X23=0,0,11630*1000*SER_hh_fec_in!X23/SER_hh_num_in!X23)</f>
        <v>10861.948280055714</v>
      </c>
      <c r="Y23" s="132">
        <f>IF(SER_hh_fec_in!Y23=0,0,11630*1000*SER_hh_fec_in!Y23/SER_hh_num_in!Y23)</f>
        <v>13890.056267043523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0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0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0</v>
      </c>
      <c r="K24" s="132">
        <f>IF(SER_hh_fec_in!K24=0,0,11630*1000*SER_hh_fec_in!K24/SER_hh_num_in!K24)</f>
        <v>0</v>
      </c>
      <c r="L24" s="132">
        <f>IF(SER_hh_fec_in!L24=0,0,11630*1000*SER_hh_fec_in!L24/SER_hh_num_in!L24)</f>
        <v>0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0</v>
      </c>
      <c r="O24" s="132">
        <f>IF(SER_hh_fec_in!O24=0,0,11630*1000*SER_hh_fec_in!O24/SER_hh_num_in!O24)</f>
        <v>0</v>
      </c>
      <c r="P24" s="132">
        <f>IF(SER_hh_fec_in!P24=0,0,11630*1000*SER_hh_fec_in!P24/SER_hh_num_in!P24)</f>
        <v>0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0</v>
      </c>
      <c r="W24" s="132">
        <f>IF(SER_hh_fec_in!W24=0,0,11630*1000*SER_hh_fec_in!W24/SER_hh_num_in!W24)</f>
        <v>0</v>
      </c>
      <c r="X24" s="132">
        <f>IF(SER_hh_fec_in!X24=0,0,11630*1000*SER_hh_fec_in!X24/SER_hh_num_in!X24)</f>
        <v>0</v>
      </c>
      <c r="Y24" s="132">
        <f>IF(SER_hh_fec_in!Y24=0,0,11630*1000*SER_hh_fec_in!Y24/SER_hh_num_in!Y24)</f>
        <v>0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13223.925477069424</v>
      </c>
      <c r="D25" s="132">
        <f>IF(SER_hh_fec_in!D25=0,0,11630*1000*SER_hh_fec_in!D25/SER_hh_num_in!D25)</f>
        <v>12978.198540045301</v>
      </c>
      <c r="E25" s="132">
        <f>IF(SER_hh_fec_in!E25=0,0,11630*1000*SER_hh_fec_in!E25/SER_hh_num_in!E25)</f>
        <v>12858.733180222271</v>
      </c>
      <c r="F25" s="132">
        <f>IF(SER_hh_fec_in!F25=0,0,11630*1000*SER_hh_fec_in!F25/SER_hh_num_in!F25)</f>
        <v>12702.425034388141</v>
      </c>
      <c r="G25" s="132">
        <f>IF(SER_hh_fec_in!G25=0,0,11630*1000*SER_hh_fec_in!G25/SER_hh_num_in!G25)</f>
        <v>12601.423884752703</v>
      </c>
      <c r="H25" s="132">
        <f>IF(SER_hh_fec_in!H25=0,0,11630*1000*SER_hh_fec_in!H25/SER_hh_num_in!H25)</f>
        <v>12522.048968163952</v>
      </c>
      <c r="I25" s="132">
        <f>IF(SER_hh_fec_in!I25=0,0,11630*1000*SER_hh_fec_in!I25/SER_hh_num_in!I25)</f>
        <v>12526.379036007338</v>
      </c>
      <c r="J25" s="132">
        <f>IF(SER_hh_fec_in!J25=0,0,11630*1000*SER_hh_fec_in!J25/SER_hh_num_in!J25)</f>
        <v>12664.580338005753</v>
      </c>
      <c r="K25" s="132">
        <f>IF(SER_hh_fec_in!K25=0,0,11630*1000*SER_hh_fec_in!K25/SER_hh_num_in!K25)</f>
        <v>12815.899696609205</v>
      </c>
      <c r="L25" s="132">
        <f>IF(SER_hh_fec_in!L25=0,0,11630*1000*SER_hh_fec_in!L25/SER_hh_num_in!L25)</f>
        <v>6014.108584215167</v>
      </c>
      <c r="M25" s="132">
        <f>IF(SER_hh_fec_in!M25=0,0,11630*1000*SER_hh_fec_in!M25/SER_hh_num_in!M25)</f>
        <v>12190.900885614374</v>
      </c>
      <c r="N25" s="132">
        <f>IF(SER_hh_fec_in!N25=0,0,11630*1000*SER_hh_fec_in!N25/SER_hh_num_in!N25)</f>
        <v>12942.078270605241</v>
      </c>
      <c r="O25" s="132">
        <f>IF(SER_hh_fec_in!O25=0,0,11630*1000*SER_hh_fec_in!O25/SER_hh_num_in!O25)</f>
        <v>10353.203477012821</v>
      </c>
      <c r="P25" s="132">
        <f>IF(SER_hh_fec_in!P25=0,0,11630*1000*SER_hh_fec_in!P25/SER_hh_num_in!P25)</f>
        <v>13646.240728948569</v>
      </c>
      <c r="Q25" s="132">
        <f>IF(SER_hh_fec_in!Q25=0,0,11630*1000*SER_hh_fec_in!Q25/SER_hh_num_in!Q25)</f>
        <v>12769.201833785874</v>
      </c>
      <c r="R25" s="132">
        <f>IF(SER_hh_fec_in!R25=0,0,11630*1000*SER_hh_fec_in!R25/SER_hh_num_in!R25)</f>
        <v>13018.870177848105</v>
      </c>
      <c r="S25" s="132">
        <f>IF(SER_hh_fec_in!S25=0,0,11630*1000*SER_hh_fec_in!S25/SER_hh_num_in!S25)</f>
        <v>13202.592112787088</v>
      </c>
      <c r="T25" s="132">
        <f>IF(SER_hh_fec_in!T25=0,0,11630*1000*SER_hh_fec_in!T25/SER_hh_num_in!T25)</f>
        <v>13844.610047603241</v>
      </c>
      <c r="U25" s="132">
        <f>IF(SER_hh_fec_in!U25=0,0,11630*1000*SER_hh_fec_in!U25/SER_hh_num_in!U25)</f>
        <v>13478.215267530819</v>
      </c>
      <c r="V25" s="132">
        <f>IF(SER_hh_fec_in!V25=0,0,11630*1000*SER_hh_fec_in!V25/SER_hh_num_in!V25)</f>
        <v>9145.390120480215</v>
      </c>
      <c r="W25" s="132">
        <f>IF(SER_hh_fec_in!W25=0,0,11630*1000*SER_hh_fec_in!W25/SER_hh_num_in!W25)</f>
        <v>12535.760599804222</v>
      </c>
      <c r="X25" s="132">
        <f>IF(SER_hh_fec_in!X25=0,0,11630*1000*SER_hh_fec_in!X25/SER_hh_num_in!X25)</f>
        <v>12723.677845840033</v>
      </c>
      <c r="Y25" s="132">
        <f>IF(SER_hh_fec_in!Y25=0,0,11630*1000*SER_hh_fec_in!Y25/SER_hh_num_in!Y25)</f>
        <v>12353.623327692312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15922.993318822355</v>
      </c>
      <c r="D26" s="65">
        <f>IF(SER_hh_fec_in!D26=0,0,11630*1000*SER_hh_fec_in!D26/SER_hh_num_in!D26)</f>
        <v>15878.744871589884</v>
      </c>
      <c r="E26" s="65">
        <f>IF(SER_hh_fec_in!E26=0,0,11630*1000*SER_hh_fec_in!E26/SER_hh_num_in!E26)</f>
        <v>15356.518131153842</v>
      </c>
      <c r="F26" s="65">
        <f>IF(SER_hh_fec_in!F26=0,0,11630*1000*SER_hh_fec_in!F26/SER_hh_num_in!F26)</f>
        <v>14971.420715732211</v>
      </c>
      <c r="G26" s="65">
        <f>IF(SER_hh_fec_in!G26=0,0,11630*1000*SER_hh_fec_in!G26/SER_hh_num_in!G26)</f>
        <v>14982.785207636316</v>
      </c>
      <c r="H26" s="65">
        <f>IF(SER_hh_fec_in!H26=0,0,11630*1000*SER_hh_fec_in!H26/SER_hh_num_in!H26)</f>
        <v>15136.956066760024</v>
      </c>
      <c r="I26" s="65">
        <f>IF(SER_hh_fec_in!I26=0,0,11630*1000*SER_hh_fec_in!I26/SER_hh_num_in!I26)</f>
        <v>14807.845348266012</v>
      </c>
      <c r="J26" s="65">
        <f>IF(SER_hh_fec_in!J26=0,0,11630*1000*SER_hh_fec_in!J26/SER_hh_num_in!J26)</f>
        <v>14580.619887983896</v>
      </c>
      <c r="K26" s="65">
        <f>IF(SER_hh_fec_in!K26=0,0,11630*1000*SER_hh_fec_in!K26/SER_hh_num_in!K26)</f>
        <v>15166.316202766817</v>
      </c>
      <c r="L26" s="65">
        <f>IF(SER_hh_fec_in!L26=0,0,11630*1000*SER_hh_fec_in!L26/SER_hh_num_in!L26)</f>
        <v>4605.9963431097749</v>
      </c>
      <c r="M26" s="65">
        <f>IF(SER_hh_fec_in!M26=0,0,11630*1000*SER_hh_fec_in!M26/SER_hh_num_in!M26)</f>
        <v>4276.1518945643575</v>
      </c>
      <c r="N26" s="65">
        <f>IF(SER_hh_fec_in!N26=0,0,11630*1000*SER_hh_fec_in!N26/SER_hh_num_in!N26)</f>
        <v>3751.3634172587222</v>
      </c>
      <c r="O26" s="65">
        <f>IF(SER_hh_fec_in!O26=0,0,11630*1000*SER_hh_fec_in!O26/SER_hh_num_in!O26)</f>
        <v>3809.435716308335</v>
      </c>
      <c r="P26" s="65">
        <f>IF(SER_hh_fec_in!P26=0,0,11630*1000*SER_hh_fec_in!P26/SER_hh_num_in!P26)</f>
        <v>6224.6616113921718</v>
      </c>
      <c r="Q26" s="65">
        <f>IF(SER_hh_fec_in!Q26=0,0,11630*1000*SER_hh_fec_in!Q26/SER_hh_num_in!Q26)</f>
        <v>3418.3864937011654</v>
      </c>
      <c r="R26" s="65">
        <f>IF(SER_hh_fec_in!R26=0,0,11630*1000*SER_hh_fec_in!R26/SER_hh_num_in!R26)</f>
        <v>3755.0044192505416</v>
      </c>
      <c r="S26" s="65">
        <f>IF(SER_hh_fec_in!S26=0,0,11630*1000*SER_hh_fec_in!S26/SER_hh_num_in!S26)</f>
        <v>4056.4035679243257</v>
      </c>
      <c r="T26" s="65">
        <f>IF(SER_hh_fec_in!T26=0,0,11630*1000*SER_hh_fec_in!T26/SER_hh_num_in!T26)</f>
        <v>4377.4594649241799</v>
      </c>
      <c r="U26" s="65">
        <f>IF(SER_hh_fec_in!U26=0,0,11630*1000*SER_hh_fec_in!U26/SER_hh_num_in!U26)</f>
        <v>3857.2252976763866</v>
      </c>
      <c r="V26" s="65">
        <f>IF(SER_hh_fec_in!V26=0,0,11630*1000*SER_hh_fec_in!V26/SER_hh_num_in!V26)</f>
        <v>3044.8904466862537</v>
      </c>
      <c r="W26" s="65">
        <f>IF(SER_hh_fec_in!W26=0,0,11630*1000*SER_hh_fec_in!W26/SER_hh_num_in!W26)</f>
        <v>5871.4277221680159</v>
      </c>
      <c r="X26" s="65">
        <f>IF(SER_hh_fec_in!X26=0,0,11630*1000*SER_hh_fec_in!X26/SER_hh_num_in!X26)</f>
        <v>3283.4685971133235</v>
      </c>
      <c r="Y26" s="65">
        <f>IF(SER_hh_fec_in!Y26=0,0,11630*1000*SER_hh_fec_in!Y26/SER_hh_num_in!Y26)</f>
        <v>3325.5979193169728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0</v>
      </c>
      <c r="D27" s="145">
        <f>IF(SER_hh_fec_in!D27=0,0,11630*1000*SER_hh_fec_in!D27/SER_hh_num_in!D19)</f>
        <v>0</v>
      </c>
      <c r="E27" s="145">
        <f>IF(SER_hh_fec_in!E27=0,0,11630*1000*SER_hh_fec_in!E27/SER_hh_num_in!E19)</f>
        <v>0</v>
      </c>
      <c r="F27" s="145">
        <f>IF(SER_hh_fec_in!F27=0,0,11630*1000*SER_hh_fec_in!F27/SER_hh_num_in!F19)</f>
        <v>0</v>
      </c>
      <c r="G27" s="145">
        <f>IF(SER_hh_fec_in!G27=0,0,11630*1000*SER_hh_fec_in!G27/SER_hh_num_in!G19)</f>
        <v>0</v>
      </c>
      <c r="H27" s="145">
        <f>IF(SER_hh_fec_in!H27=0,0,11630*1000*SER_hh_fec_in!H27/SER_hh_num_in!H19)</f>
        <v>0</v>
      </c>
      <c r="I27" s="145">
        <f>IF(SER_hh_fec_in!I27=0,0,11630*1000*SER_hh_fec_in!I27/SER_hh_num_in!I19)</f>
        <v>0</v>
      </c>
      <c r="J27" s="145">
        <f>IF(SER_hh_fec_in!J27=0,0,11630*1000*SER_hh_fec_in!J27/SER_hh_num_in!J19)</f>
        <v>0</v>
      </c>
      <c r="K27" s="145">
        <f>IF(SER_hh_fec_in!K27=0,0,11630*1000*SER_hh_fec_in!K27/SER_hh_num_in!K19)</f>
        <v>0</v>
      </c>
      <c r="L27" s="145">
        <f>IF(SER_hh_fec_in!L27=0,0,11630*1000*SER_hh_fec_in!L27/SER_hh_num_in!L19)</f>
        <v>6318.4852009329061</v>
      </c>
      <c r="M27" s="145">
        <f>IF(SER_hh_fec_in!M27=0,0,11630*1000*SER_hh_fec_in!M27/SER_hh_num_in!M19)</f>
        <v>4990.5088725152673</v>
      </c>
      <c r="N27" s="145">
        <f>IF(SER_hh_fec_in!N27=0,0,11630*1000*SER_hh_fec_in!N27/SER_hh_num_in!N19)</f>
        <v>4504.3012254732721</v>
      </c>
      <c r="O27" s="145">
        <f>IF(SER_hh_fec_in!O27=0,0,11630*1000*SER_hh_fec_in!O27/SER_hh_num_in!O19)</f>
        <v>5432.2077924568212</v>
      </c>
      <c r="P27" s="145">
        <f>IF(SER_hh_fec_in!P27=0,0,11630*1000*SER_hh_fec_in!P27/SER_hh_num_in!P19)</f>
        <v>3086.1721103428881</v>
      </c>
      <c r="Q27" s="145">
        <f>IF(SER_hh_fec_in!Q27=0,0,11630*1000*SER_hh_fec_in!Q27/SER_hh_num_in!Q19)</f>
        <v>4698.3365708125102</v>
      </c>
      <c r="R27" s="145">
        <f>IF(SER_hh_fec_in!R27=0,0,11630*1000*SER_hh_fec_in!R27/SER_hh_num_in!R19)</f>
        <v>4150.5413649096872</v>
      </c>
      <c r="S27" s="145">
        <f>IF(SER_hh_fec_in!S27=0,0,11630*1000*SER_hh_fec_in!S27/SER_hh_num_in!S19)</f>
        <v>4134.3905098369223</v>
      </c>
      <c r="T27" s="145">
        <f>IF(SER_hh_fec_in!T27=0,0,11630*1000*SER_hh_fec_in!T27/SER_hh_num_in!T19)</f>
        <v>3754.9997985620898</v>
      </c>
      <c r="U27" s="145">
        <f>IF(SER_hh_fec_in!U27=0,0,11630*1000*SER_hh_fec_in!U27/SER_hh_num_in!U19)</f>
        <v>4268.6962121467241</v>
      </c>
      <c r="V27" s="145">
        <f>IF(SER_hh_fec_in!V27=0,0,11630*1000*SER_hh_fec_in!V27/SER_hh_num_in!V19)</f>
        <v>4661.6124627627341</v>
      </c>
      <c r="W27" s="145">
        <f>IF(SER_hh_fec_in!W27=0,0,11630*1000*SER_hh_fec_in!W27/SER_hh_num_in!W19)</f>
        <v>2864.1683623293547</v>
      </c>
      <c r="X27" s="145">
        <f>IF(SER_hh_fec_in!X27=0,0,11630*1000*SER_hh_fec_in!X27/SER_hh_num_in!X19)</f>
        <v>4337.874734170362</v>
      </c>
      <c r="Y27" s="145">
        <f>IF(SER_hh_fec_in!Y27=0,0,11630*1000*SER_hh_fec_in!Y27/SER_hh_num_in!Y19)</f>
        <v>4408.0103037371136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0</v>
      </c>
      <c r="D28" s="146">
        <f>IF(SER_hh_fec_in!D27=0,0,11630*1000*SER_hh_fec_in!D27/SER_hh_num_in!D27)</f>
        <v>0</v>
      </c>
      <c r="E28" s="146">
        <f>IF(SER_hh_fec_in!E27=0,0,11630*1000*SER_hh_fec_in!E27/SER_hh_num_in!E27)</f>
        <v>0</v>
      </c>
      <c r="F28" s="146">
        <f>IF(SER_hh_fec_in!F27=0,0,11630*1000*SER_hh_fec_in!F27/SER_hh_num_in!F27)</f>
        <v>0</v>
      </c>
      <c r="G28" s="146">
        <f>IF(SER_hh_fec_in!G27=0,0,11630*1000*SER_hh_fec_in!G27/SER_hh_num_in!G27)</f>
        <v>0</v>
      </c>
      <c r="H28" s="146">
        <f>IF(SER_hh_fec_in!H27=0,0,11630*1000*SER_hh_fec_in!H27/SER_hh_num_in!H27)</f>
        <v>0</v>
      </c>
      <c r="I28" s="146">
        <f>IF(SER_hh_fec_in!I27=0,0,11630*1000*SER_hh_fec_in!I27/SER_hh_num_in!I27)</f>
        <v>0</v>
      </c>
      <c r="J28" s="146">
        <f>IF(SER_hh_fec_in!J27=0,0,11630*1000*SER_hh_fec_in!J27/SER_hh_num_in!J27)</f>
        <v>0</v>
      </c>
      <c r="K28" s="146">
        <f>IF(SER_hh_fec_in!K27=0,0,11630*1000*SER_hh_fec_in!K27/SER_hh_num_in!K27)</f>
        <v>0</v>
      </c>
      <c r="L28" s="146">
        <f>IF(SER_hh_fec_in!L27=0,0,11630*1000*SER_hh_fec_in!L27/SER_hh_num_in!L27)</f>
        <v>6318.4852009329061</v>
      </c>
      <c r="M28" s="146">
        <f>IF(SER_hh_fec_in!M27=0,0,11630*1000*SER_hh_fec_in!M27/SER_hh_num_in!M27)</f>
        <v>6785.6170329977085</v>
      </c>
      <c r="N28" s="146">
        <f>IF(SER_hh_fec_in!N27=0,0,11630*1000*SER_hh_fec_in!N27/SER_hh_num_in!N27)</f>
        <v>7047.0019647804793</v>
      </c>
      <c r="O28" s="146">
        <f>IF(SER_hh_fec_in!O27=0,0,11630*1000*SER_hh_fec_in!O27/SER_hh_num_in!O27)</f>
        <v>6674.1518409174068</v>
      </c>
      <c r="P28" s="146">
        <f>IF(SER_hh_fec_in!P27=0,0,11630*1000*SER_hh_fec_in!P27/SER_hh_num_in!P27)</f>
        <v>6904.0340289064006</v>
      </c>
      <c r="Q28" s="146">
        <f>IF(SER_hh_fec_in!Q27=0,0,11630*1000*SER_hh_fec_in!Q27/SER_hh_num_in!Q27)</f>
        <v>7099.3683817185383</v>
      </c>
      <c r="R28" s="146">
        <f>IF(SER_hh_fec_in!R27=0,0,11630*1000*SER_hh_fec_in!R27/SER_hh_num_in!R27)</f>
        <v>6870.506372123612</v>
      </c>
      <c r="S28" s="146">
        <f>IF(SER_hh_fec_in!S27=0,0,11630*1000*SER_hh_fec_in!S27/SER_hh_num_in!S27)</f>
        <v>6726.5682556435277</v>
      </c>
      <c r="T28" s="146">
        <f>IF(SER_hh_fec_in!T27=0,0,11630*1000*SER_hh_fec_in!T27/SER_hh_num_in!T27)</f>
        <v>7140.1718642696569</v>
      </c>
      <c r="U28" s="146">
        <f>IF(SER_hh_fec_in!U27=0,0,11630*1000*SER_hh_fec_in!U27/SER_hh_num_in!U27)</f>
        <v>7183.4999941519955</v>
      </c>
      <c r="V28" s="146">
        <f>IF(SER_hh_fec_in!V27=0,0,11630*1000*SER_hh_fec_in!V27/SER_hh_num_in!V27)</f>
        <v>5729.2190651078872</v>
      </c>
      <c r="W28" s="146">
        <f>IF(SER_hh_fec_in!W27=0,0,11630*1000*SER_hh_fec_in!W27/SER_hh_num_in!W27)</f>
        <v>6810.7903296804498</v>
      </c>
      <c r="X28" s="146">
        <f>IF(SER_hh_fec_in!X27=0,0,11630*1000*SER_hh_fec_in!X27/SER_hh_num_in!X27)</f>
        <v>6608.9796165330972</v>
      </c>
      <c r="Y28" s="146">
        <f>IF(SER_hh_fec_in!Y27=0,0,11630*1000*SER_hh_fec_in!Y27/SER_hh_num_in!Y27)</f>
        <v>6998.3590229032015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16348.992727248289</v>
      </c>
      <c r="D29" s="130">
        <f>IF(SER_hh_fec_in!D29=0,0,11630*1000*SER_hh_fec_in!D29/SER_hh_num_in!D29)</f>
        <v>16099.22768309447</v>
      </c>
      <c r="E29" s="130">
        <f>IF(SER_hh_fec_in!E29=0,0,11630*1000*SER_hh_fec_in!E29/SER_hh_num_in!E29)</f>
        <v>15997.844472550194</v>
      </c>
      <c r="F29" s="130">
        <f>IF(SER_hh_fec_in!F29=0,0,11630*1000*SER_hh_fec_in!F29/SER_hh_num_in!F29)</f>
        <v>15973.085864186529</v>
      </c>
      <c r="G29" s="130">
        <f>IF(SER_hh_fec_in!G29=0,0,11630*1000*SER_hh_fec_in!G29/SER_hh_num_in!G29)</f>
        <v>15572.957054925433</v>
      </c>
      <c r="H29" s="130">
        <f>IF(SER_hh_fec_in!H29=0,0,11630*1000*SER_hh_fec_in!H29/SER_hh_num_in!H29)</f>
        <v>15752.211277543132</v>
      </c>
      <c r="I29" s="130">
        <f>IF(SER_hh_fec_in!I29=0,0,11630*1000*SER_hh_fec_in!I29/SER_hh_num_in!I29)</f>
        <v>15340.17618885388</v>
      </c>
      <c r="J29" s="130">
        <f>IF(SER_hh_fec_in!J29=0,0,11630*1000*SER_hh_fec_in!J29/SER_hh_num_in!J29)</f>
        <v>17626.675485761851</v>
      </c>
      <c r="K29" s="130">
        <f>IF(SER_hh_fec_in!K29=0,0,11630*1000*SER_hh_fec_in!K29/SER_hh_num_in!K29)</f>
        <v>15716.267206323881</v>
      </c>
      <c r="L29" s="130">
        <f>IF(SER_hh_fec_in!L29=0,0,11630*1000*SER_hh_fec_in!L29/SER_hh_num_in!L29)</f>
        <v>18586.582579604346</v>
      </c>
      <c r="M29" s="130">
        <f>IF(SER_hh_fec_in!M29=0,0,11630*1000*SER_hh_fec_in!M29/SER_hh_num_in!M29)</f>
        <v>16471.409443990378</v>
      </c>
      <c r="N29" s="130">
        <f>IF(SER_hh_fec_in!N29=0,0,11630*1000*SER_hh_fec_in!N29/SER_hh_num_in!N29)</f>
        <v>17277.133086773363</v>
      </c>
      <c r="O29" s="130">
        <f>IF(SER_hh_fec_in!O29=0,0,11630*1000*SER_hh_fec_in!O29/SER_hh_num_in!O29)</f>
        <v>16291.712798563354</v>
      </c>
      <c r="P29" s="130">
        <f>IF(SER_hh_fec_in!P29=0,0,11630*1000*SER_hh_fec_in!P29/SER_hh_num_in!P29)</f>
        <v>16120.253676636148</v>
      </c>
      <c r="Q29" s="130">
        <f>IF(SER_hh_fec_in!Q29=0,0,11630*1000*SER_hh_fec_in!Q29/SER_hh_num_in!Q29)</f>
        <v>16046.615377779908</v>
      </c>
      <c r="R29" s="130">
        <f>IF(SER_hh_fec_in!R29=0,0,11630*1000*SER_hh_fec_in!R29/SER_hh_num_in!R29)</f>
        <v>15866.76771699723</v>
      </c>
      <c r="S29" s="130">
        <f>IF(SER_hh_fec_in!S29=0,0,11630*1000*SER_hh_fec_in!S29/SER_hh_num_in!S29)</f>
        <v>16924.678594422876</v>
      </c>
      <c r="T29" s="130">
        <f>IF(SER_hh_fec_in!T29=0,0,11630*1000*SER_hh_fec_in!T29/SER_hh_num_in!T29)</f>
        <v>18208.8413741943</v>
      </c>
      <c r="U29" s="130">
        <f>IF(SER_hh_fec_in!U29=0,0,11630*1000*SER_hh_fec_in!U29/SER_hh_num_in!U29)</f>
        <v>17687.829839362432</v>
      </c>
      <c r="V29" s="130">
        <f>IF(SER_hh_fec_in!V29=0,0,11630*1000*SER_hh_fec_in!V29/SER_hh_num_in!V29)</f>
        <v>14372.659048709058</v>
      </c>
      <c r="W29" s="130">
        <f>IF(SER_hh_fec_in!W29=0,0,11630*1000*SER_hh_fec_in!W29/SER_hh_num_in!W29)</f>
        <v>15756.679690177818</v>
      </c>
      <c r="X29" s="130">
        <f>IF(SER_hh_fec_in!X29=0,0,11630*1000*SER_hh_fec_in!X29/SER_hh_num_in!X29)</f>
        <v>16559.110878337939</v>
      </c>
      <c r="Y29" s="130">
        <f>IF(SER_hh_fec_in!Y29=0,0,11630*1000*SER_hh_fec_in!Y29/SER_hh_num_in!Y29)</f>
        <v>15809.076168746378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42262.578396384677</v>
      </c>
      <c r="D30" s="132">
        <f>IF(SER_hh_fec_in!D30=0,0,11630*1000*SER_hh_fec_in!D30/SER_hh_num_in!D30)</f>
        <v>0</v>
      </c>
      <c r="E30" s="132">
        <f>IF(SER_hh_fec_in!E30=0,0,11630*1000*SER_hh_fec_in!E30/SER_hh_num_in!E30)</f>
        <v>0</v>
      </c>
      <c r="F30" s="132">
        <f>IF(SER_hh_fec_in!F30=0,0,11630*1000*SER_hh_fec_in!F30/SER_hh_num_in!F30)</f>
        <v>0</v>
      </c>
      <c r="G30" s="132">
        <f>IF(SER_hh_fec_in!G30=0,0,11630*1000*SER_hh_fec_in!G30/SER_hh_num_in!G30)</f>
        <v>0</v>
      </c>
      <c r="H30" s="132">
        <f>IF(SER_hh_fec_in!H30=0,0,11630*1000*SER_hh_fec_in!H30/SER_hh_num_in!H30)</f>
        <v>0</v>
      </c>
      <c r="I30" s="132">
        <f>IF(SER_hh_fec_in!I30=0,0,11630*1000*SER_hh_fec_in!I30/SER_hh_num_in!I30)</f>
        <v>0</v>
      </c>
      <c r="J30" s="132">
        <f>IF(SER_hh_fec_in!J30=0,0,11630*1000*SER_hh_fec_in!J30/SER_hh_num_in!J30)</f>
        <v>0</v>
      </c>
      <c r="K30" s="132">
        <f>IF(SER_hh_fec_in!K30=0,0,11630*1000*SER_hh_fec_in!K30/SER_hh_num_in!K30)</f>
        <v>0</v>
      </c>
      <c r="L30" s="132">
        <f>IF(SER_hh_fec_in!L30=0,0,11630*1000*SER_hh_fec_in!L30/SER_hh_num_in!L30)</f>
        <v>24557.332872431427</v>
      </c>
      <c r="M30" s="132">
        <f>IF(SER_hh_fec_in!M30=0,0,11630*1000*SER_hh_fec_in!M30/SER_hh_num_in!M30)</f>
        <v>22838.821687748241</v>
      </c>
      <c r="N30" s="132">
        <f>IF(SER_hh_fec_in!N30=0,0,11630*1000*SER_hh_fec_in!N30/SER_hh_num_in!N30)</f>
        <v>36075.809179592085</v>
      </c>
      <c r="O30" s="132">
        <f>IF(SER_hh_fec_in!O30=0,0,11630*1000*SER_hh_fec_in!O30/SER_hh_num_in!O30)</f>
        <v>25701.920664084588</v>
      </c>
      <c r="P30" s="132">
        <f>IF(SER_hh_fec_in!P30=0,0,11630*1000*SER_hh_fec_in!P30/SER_hh_num_in!P30)</f>
        <v>16076.337792011518</v>
      </c>
      <c r="Q30" s="132">
        <f>IF(SER_hh_fec_in!Q30=0,0,11630*1000*SER_hh_fec_in!Q30/SER_hh_num_in!Q30)</f>
        <v>16142.66307503503</v>
      </c>
      <c r="R30" s="132">
        <f>IF(SER_hh_fec_in!R30=0,0,11630*1000*SER_hh_fec_in!R30/SER_hh_num_in!R30)</f>
        <v>18759.220949409631</v>
      </c>
      <c r="S30" s="132">
        <f>IF(SER_hh_fec_in!S30=0,0,11630*1000*SER_hh_fec_in!S30/SER_hh_num_in!S30)</f>
        <v>22004.126326538044</v>
      </c>
      <c r="T30" s="132">
        <f>IF(SER_hh_fec_in!T30=0,0,11630*1000*SER_hh_fec_in!T30/SER_hh_num_in!T30)</f>
        <v>23422.98612178901</v>
      </c>
      <c r="U30" s="132">
        <f>IF(SER_hh_fec_in!U30=0,0,11630*1000*SER_hh_fec_in!U30/SER_hh_num_in!U30)</f>
        <v>22482.450723634305</v>
      </c>
      <c r="V30" s="132">
        <f>IF(SER_hh_fec_in!V30=0,0,11630*1000*SER_hh_fec_in!V30/SER_hh_num_in!V30)</f>
        <v>17730.480753176827</v>
      </c>
      <c r="W30" s="132">
        <f>IF(SER_hh_fec_in!W30=0,0,11630*1000*SER_hh_fec_in!W30/SER_hh_num_in!W30)</f>
        <v>19913.624745513887</v>
      </c>
      <c r="X30" s="132">
        <f>IF(SER_hh_fec_in!X30=0,0,11630*1000*SER_hh_fec_in!X30/SER_hh_num_in!X30)</f>
        <v>21533.189770409852</v>
      </c>
      <c r="Y30" s="132">
        <f>IF(SER_hh_fec_in!Y30=0,0,11630*1000*SER_hh_fec_in!Y30/SER_hh_num_in!Y30)</f>
        <v>22157.358799816913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20273.341184301851</v>
      </c>
      <c r="D31" s="132">
        <f>IF(SER_hh_fec_in!D31=0,0,11630*1000*SER_hh_fec_in!D31/SER_hh_num_in!D31)</f>
        <v>18829.429127704872</v>
      </c>
      <c r="E31" s="132">
        <f>IF(SER_hh_fec_in!E31=0,0,11630*1000*SER_hh_fec_in!E31/SER_hh_num_in!E31)</f>
        <v>19837.69011075762</v>
      </c>
      <c r="F31" s="132">
        <f>IF(SER_hh_fec_in!F31=0,0,11630*1000*SER_hh_fec_in!F31/SER_hh_num_in!F31)</f>
        <v>20107.034709367606</v>
      </c>
      <c r="G31" s="132">
        <f>IF(SER_hh_fec_in!G31=0,0,11630*1000*SER_hh_fec_in!G31/SER_hh_num_in!G31)</f>
        <v>18429.660663327406</v>
      </c>
      <c r="H31" s="132">
        <f>IF(SER_hh_fec_in!H31=0,0,11630*1000*SER_hh_fec_in!H31/SER_hh_num_in!H31)</f>
        <v>20328.483096451106</v>
      </c>
      <c r="I31" s="132">
        <f>IF(SER_hh_fec_in!I31=0,0,11630*1000*SER_hh_fec_in!I31/SER_hh_num_in!I31)</f>
        <v>20498.379672083523</v>
      </c>
      <c r="J31" s="132">
        <f>IF(SER_hh_fec_in!J31=0,0,11630*1000*SER_hh_fec_in!J31/SER_hh_num_in!J31)</f>
        <v>20249.56737143618</v>
      </c>
      <c r="K31" s="132">
        <f>IF(SER_hh_fec_in!K31=0,0,11630*1000*SER_hh_fec_in!K31/SER_hh_num_in!K31)</f>
        <v>20111.276757891083</v>
      </c>
      <c r="L31" s="132">
        <f>IF(SER_hh_fec_in!L31=0,0,11630*1000*SER_hh_fec_in!L31/SER_hh_num_in!L31)</f>
        <v>20520.804715990911</v>
      </c>
      <c r="M31" s="132">
        <f>IF(SER_hh_fec_in!M31=0,0,11630*1000*SER_hh_fec_in!M31/SER_hh_num_in!M31)</f>
        <v>20689.039982979713</v>
      </c>
      <c r="N31" s="132">
        <f>IF(SER_hh_fec_in!N31=0,0,11630*1000*SER_hh_fec_in!N31/SER_hh_num_in!N31)</f>
        <v>21042.919924724163</v>
      </c>
      <c r="O31" s="132">
        <f>IF(SER_hh_fec_in!O31=0,0,11630*1000*SER_hh_fec_in!O31/SER_hh_num_in!O31)</f>
        <v>21191.217020243024</v>
      </c>
      <c r="P31" s="132">
        <f>IF(SER_hh_fec_in!P31=0,0,11630*1000*SER_hh_fec_in!P31/SER_hh_num_in!P31)</f>
        <v>21173.121973740574</v>
      </c>
      <c r="Q31" s="132">
        <f>IF(SER_hh_fec_in!Q31=0,0,11630*1000*SER_hh_fec_in!Q31/SER_hh_num_in!Q31)</f>
        <v>21246.115163072704</v>
      </c>
      <c r="R31" s="132">
        <f>IF(SER_hh_fec_in!R31=0,0,11630*1000*SER_hh_fec_in!R31/SER_hh_num_in!R31)</f>
        <v>21039.651178794506</v>
      </c>
      <c r="S31" s="132">
        <f>IF(SER_hh_fec_in!S31=0,0,11630*1000*SER_hh_fec_in!S31/SER_hh_num_in!S31)</f>
        <v>21455.63210111552</v>
      </c>
      <c r="T31" s="132">
        <f>IF(SER_hh_fec_in!T31=0,0,11630*1000*SER_hh_fec_in!T31/SER_hh_num_in!T31)</f>
        <v>21731.237240222261</v>
      </c>
      <c r="U31" s="132">
        <f>IF(SER_hh_fec_in!U31=0,0,11630*1000*SER_hh_fec_in!U31/SER_hh_num_in!U31)</f>
        <v>21150.663677022247</v>
      </c>
      <c r="V31" s="132">
        <f>IF(SER_hh_fec_in!V31=0,0,11630*1000*SER_hh_fec_in!V31/SER_hh_num_in!V31)</f>
        <v>18278.963108149055</v>
      </c>
      <c r="W31" s="132">
        <f>IF(SER_hh_fec_in!W31=0,0,11630*1000*SER_hh_fec_in!W31/SER_hh_num_in!W31)</f>
        <v>20996.662901677741</v>
      </c>
      <c r="X31" s="132">
        <f>IF(SER_hh_fec_in!X31=0,0,11630*1000*SER_hh_fec_in!X31/SER_hh_num_in!X31)</f>
        <v>20945.861554855856</v>
      </c>
      <c r="Y31" s="132">
        <f>IF(SER_hh_fec_in!Y31=0,0,11630*1000*SER_hh_fec_in!Y31/SER_hh_num_in!Y31)</f>
        <v>20826.832655127229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28612.189792127541</v>
      </c>
      <c r="K32" s="132">
        <f>IF(SER_hh_fec_in!K32=0,0,11630*1000*SER_hh_fec_in!K32/SER_hh_num_in!K32)</f>
        <v>22758.716573211132</v>
      </c>
      <c r="L32" s="132">
        <f>IF(SER_hh_fec_in!L32=0,0,11630*1000*SER_hh_fec_in!L32/SER_hh_num_in!L32)</f>
        <v>20921.74828565323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17912.451905943544</v>
      </c>
      <c r="R32" s="132">
        <f>IF(SER_hh_fec_in!R32=0,0,11630*1000*SER_hh_fec_in!R32/SER_hh_num_in!R32)</f>
        <v>14317.99664087372</v>
      </c>
      <c r="S32" s="132">
        <f>IF(SER_hh_fec_in!S32=0,0,11630*1000*SER_hh_fec_in!S32/SER_hh_num_in!S32)</f>
        <v>20461.571592364624</v>
      </c>
      <c r="T32" s="132">
        <f>IF(SER_hh_fec_in!T32=0,0,11630*1000*SER_hh_fec_in!T32/SER_hh_num_in!T32)</f>
        <v>24195.273011020319</v>
      </c>
      <c r="U32" s="132">
        <f>IF(SER_hh_fec_in!U32=0,0,11630*1000*SER_hh_fec_in!U32/SER_hh_num_in!U32)</f>
        <v>24306.184654174904</v>
      </c>
      <c r="V32" s="132">
        <f>IF(SER_hh_fec_in!V32=0,0,11630*1000*SER_hh_fec_in!V32/SER_hh_num_in!V32)</f>
        <v>19925.340703148751</v>
      </c>
      <c r="W32" s="132">
        <f>IF(SER_hh_fec_in!W32=0,0,11630*1000*SER_hh_fec_in!W32/SER_hh_num_in!W32)</f>
        <v>18812.171664080906</v>
      </c>
      <c r="X32" s="132">
        <f>IF(SER_hh_fec_in!X32=0,0,11630*1000*SER_hh_fec_in!X32/SER_hh_num_in!X32)</f>
        <v>27362.727560643274</v>
      </c>
      <c r="Y32" s="132">
        <f>IF(SER_hh_fec_in!Y32=0,0,11630*1000*SER_hh_fec_in!Y32/SER_hh_num_in!Y32)</f>
        <v>19635.946963727656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15700.522273664415</v>
      </c>
      <c r="D33" s="68">
        <f>IF(SER_hh_fec_in!D33=0,0,11630*1000*SER_hh_fec_in!D33/SER_hh_num_in!D33)</f>
        <v>15815.311219939284</v>
      </c>
      <c r="E33" s="68">
        <f>IF(SER_hh_fec_in!E33=0,0,11630*1000*SER_hh_fec_in!E33/SER_hh_num_in!E33)</f>
        <v>15536.695635102978</v>
      </c>
      <c r="F33" s="68">
        <f>IF(SER_hh_fec_in!F33=0,0,11630*1000*SER_hh_fec_in!F33/SER_hh_num_in!F33)</f>
        <v>15340.199670875472</v>
      </c>
      <c r="G33" s="68">
        <f>IF(SER_hh_fec_in!G33=0,0,11630*1000*SER_hh_fec_in!G33/SER_hh_num_in!G33)</f>
        <v>15099.406183547859</v>
      </c>
      <c r="H33" s="68">
        <f>IF(SER_hh_fec_in!H33=0,0,11630*1000*SER_hh_fec_in!H33/SER_hh_num_in!H33)</f>
        <v>14801.459252021788</v>
      </c>
      <c r="I33" s="68">
        <f>IF(SER_hh_fec_in!I33=0,0,11630*1000*SER_hh_fec_in!I33/SER_hh_num_in!I33)</f>
        <v>14543.773375426017</v>
      </c>
      <c r="J33" s="68">
        <f>IF(SER_hh_fec_in!J33=0,0,11630*1000*SER_hh_fec_in!J33/SER_hh_num_in!J33)</f>
        <v>14545.30659937967</v>
      </c>
      <c r="K33" s="68">
        <f>IF(SER_hh_fec_in!K33=0,0,11630*1000*SER_hh_fec_in!K33/SER_hh_num_in!K33)</f>
        <v>15009.142198259373</v>
      </c>
      <c r="L33" s="68">
        <f>IF(SER_hh_fec_in!L33=0,0,11630*1000*SER_hh_fec_in!L33/SER_hh_num_in!L33)</f>
        <v>15561.29785722385</v>
      </c>
      <c r="M33" s="68">
        <f>IF(SER_hh_fec_in!M33=0,0,11630*1000*SER_hh_fec_in!M33/SER_hh_num_in!M33)</f>
        <v>15357.202277327449</v>
      </c>
      <c r="N33" s="68">
        <f>IF(SER_hh_fec_in!N33=0,0,11630*1000*SER_hh_fec_in!N33/SER_hh_num_in!N33)</f>
        <v>15412.106977376907</v>
      </c>
      <c r="O33" s="68">
        <f>IF(SER_hh_fec_in!O33=0,0,11630*1000*SER_hh_fec_in!O33/SER_hh_num_in!O33)</f>
        <v>15590.096268820433</v>
      </c>
      <c r="P33" s="68">
        <f>IF(SER_hh_fec_in!P33=0,0,11630*1000*SER_hh_fec_in!P33/SER_hh_num_in!P33)</f>
        <v>15470.47677351249</v>
      </c>
      <c r="Q33" s="68">
        <f>IF(SER_hh_fec_in!Q33=0,0,11630*1000*SER_hh_fec_in!Q33/SER_hh_num_in!Q33)</f>
        <v>15397.882899440847</v>
      </c>
      <c r="R33" s="68">
        <f>IF(SER_hh_fec_in!R33=0,0,11630*1000*SER_hh_fec_in!R33/SER_hh_num_in!R33)</f>
        <v>15327.893918382688</v>
      </c>
      <c r="S33" s="68">
        <f>IF(SER_hh_fec_in!S33=0,0,11630*1000*SER_hh_fec_in!S33/SER_hh_num_in!S33)</f>
        <v>15290.388467138371</v>
      </c>
      <c r="T33" s="68">
        <f>IF(SER_hh_fec_in!T33=0,0,11630*1000*SER_hh_fec_in!T33/SER_hh_num_in!T33)</f>
        <v>15396.644008041081</v>
      </c>
      <c r="U33" s="68">
        <f>IF(SER_hh_fec_in!U33=0,0,11630*1000*SER_hh_fec_in!U33/SER_hh_num_in!U33)</f>
        <v>15334.719327911131</v>
      </c>
      <c r="V33" s="68">
        <f>IF(SER_hh_fec_in!V33=0,0,11630*1000*SER_hh_fec_in!V33/SER_hh_num_in!V33)</f>
        <v>12612.91121517198</v>
      </c>
      <c r="W33" s="68">
        <f>IF(SER_hh_fec_in!W33=0,0,11630*1000*SER_hh_fec_in!W33/SER_hh_num_in!W33)</f>
        <v>14318.457640473824</v>
      </c>
      <c r="X33" s="68">
        <f>IF(SER_hh_fec_in!X33=0,0,11630*1000*SER_hh_fec_in!X33/SER_hh_num_in!X33)</f>
        <v>14289.685956445277</v>
      </c>
      <c r="Y33" s="68">
        <f>IF(SER_hh_fec_in!Y33=0,0,11630*1000*SER_hh_fec_in!Y33/SER_hh_num_in!Y33)</f>
        <v>14385.026038481161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78259.904144810644</v>
      </c>
      <c r="D3" s="125">
        <f>IF(SER_hh_tes_in!D3=0,0,11630*1000*SER_hh_tes_in!D3/SER_hh_num_in!D3)</f>
        <v>66445.577707324643</v>
      </c>
      <c r="E3" s="125">
        <f>IF(SER_hh_tes_in!E3=0,0,11630*1000*SER_hh_tes_in!E3/SER_hh_num_in!E3)</f>
        <v>71965.291077080619</v>
      </c>
      <c r="F3" s="125">
        <f>IF(SER_hh_tes_in!F3=0,0,11630*1000*SER_hh_tes_in!F3/SER_hh_num_in!F3)</f>
        <v>64829.145313941728</v>
      </c>
      <c r="G3" s="125">
        <f>IF(SER_hh_tes_in!G3=0,0,11630*1000*SER_hh_tes_in!G3/SER_hh_num_in!G3)</f>
        <v>81792.803569629075</v>
      </c>
      <c r="H3" s="125">
        <f>IF(SER_hh_tes_in!H3=0,0,11630*1000*SER_hh_tes_in!H3/SER_hh_num_in!H3)</f>
        <v>80341.830732158356</v>
      </c>
      <c r="I3" s="125">
        <f>IF(SER_hh_tes_in!I3=0,0,11630*1000*SER_hh_tes_in!I3/SER_hh_num_in!I3)</f>
        <v>89401.097045590039</v>
      </c>
      <c r="J3" s="125">
        <f>IF(SER_hh_tes_in!J3=0,0,11630*1000*SER_hh_tes_in!J3/SER_hh_num_in!J3)</f>
        <v>79093.916990625934</v>
      </c>
      <c r="K3" s="125">
        <f>IF(SER_hh_tes_in!K3=0,0,11630*1000*SER_hh_tes_in!K3/SER_hh_num_in!K3)</f>
        <v>71287.860502087598</v>
      </c>
      <c r="L3" s="125">
        <f>IF(SER_hh_tes_in!L3=0,0,11630*1000*SER_hh_tes_in!L3/SER_hh_num_in!L3)</f>
        <v>81159.323358241571</v>
      </c>
      <c r="M3" s="125">
        <f>IF(SER_hh_tes_in!M3=0,0,11630*1000*SER_hh_tes_in!M3/SER_hh_num_in!M3)</f>
        <v>77271.931843943792</v>
      </c>
      <c r="N3" s="125">
        <f>IF(SER_hh_tes_in!N3=0,0,11630*1000*SER_hh_tes_in!N3/SER_hh_num_in!N3)</f>
        <v>95634.987361809777</v>
      </c>
      <c r="O3" s="125">
        <f>IF(SER_hh_tes_in!O3=0,0,11630*1000*SER_hh_tes_in!O3/SER_hh_num_in!O3)</f>
        <v>71746.156335217092</v>
      </c>
      <c r="P3" s="125">
        <f>IF(SER_hh_tes_in!P3=0,0,11630*1000*SER_hh_tes_in!P3/SER_hh_num_in!P3)</f>
        <v>66127.692955872917</v>
      </c>
      <c r="Q3" s="125">
        <f>IF(SER_hh_tes_in!Q3=0,0,11630*1000*SER_hh_tes_in!Q3/SER_hh_num_in!Q3)</f>
        <v>77506.633237941045</v>
      </c>
      <c r="R3" s="125">
        <f>IF(SER_hh_tes_in!R3=0,0,11630*1000*SER_hh_tes_in!R3/SER_hh_num_in!R3)</f>
        <v>75207.759648274092</v>
      </c>
      <c r="S3" s="125">
        <f>IF(SER_hh_tes_in!S3=0,0,11630*1000*SER_hh_tes_in!S3/SER_hh_num_in!S3)</f>
        <v>75682.398447716187</v>
      </c>
      <c r="T3" s="125">
        <f>IF(SER_hh_tes_in!T3=0,0,11630*1000*SER_hh_tes_in!T3/SER_hh_num_in!T3)</f>
        <v>71862.412261484889</v>
      </c>
      <c r="U3" s="125">
        <f>IF(SER_hh_tes_in!U3=0,0,11630*1000*SER_hh_tes_in!U3/SER_hh_num_in!U3)</f>
        <v>71557.403991745989</v>
      </c>
      <c r="V3" s="125">
        <f>IF(SER_hh_tes_in!V3=0,0,11630*1000*SER_hh_tes_in!V3/SER_hh_num_in!V3)</f>
        <v>60813.121630810158</v>
      </c>
      <c r="W3" s="125">
        <f>IF(SER_hh_tes_in!W3=0,0,11630*1000*SER_hh_tes_in!W3/SER_hh_num_in!W3)</f>
        <v>73561.96337510123</v>
      </c>
      <c r="X3" s="125">
        <f>IF(SER_hh_tes_in!X3=0,0,11630*1000*SER_hh_tes_in!X3/SER_hh_num_in!X3)</f>
        <v>68211.411852336721</v>
      </c>
      <c r="Y3" s="125">
        <f>IF(SER_hh_tes_in!Y3=0,0,11630*1000*SER_hh_tes_in!Y3/SER_hh_num_in!Y3)</f>
        <v>73554.289464501577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34385.551874081611</v>
      </c>
      <c r="D4" s="130">
        <f>IF(SER_hh_tes_in!D4=0,0,11630*1000*SER_hh_tes_in!D4/SER_hh_num_in!D4)</f>
        <v>32801.302119732842</v>
      </c>
      <c r="E4" s="130">
        <f>IF(SER_hh_tes_in!E4=0,0,11630*1000*SER_hh_tes_in!E4/SER_hh_num_in!E4)</f>
        <v>34699.306135020859</v>
      </c>
      <c r="F4" s="130">
        <f>IF(SER_hh_tes_in!F4=0,0,11630*1000*SER_hh_tes_in!F4/SER_hh_num_in!F4)</f>
        <v>28326.05593043808</v>
      </c>
      <c r="G4" s="130">
        <f>IF(SER_hh_tes_in!G4=0,0,11630*1000*SER_hh_tes_in!G4/SER_hh_num_in!G4)</f>
        <v>47244.73141269583</v>
      </c>
      <c r="H4" s="130">
        <f>IF(SER_hh_tes_in!H4=0,0,11630*1000*SER_hh_tes_in!H4/SER_hh_num_in!H4)</f>
        <v>41470.954085407764</v>
      </c>
      <c r="I4" s="130">
        <f>IF(SER_hh_tes_in!I4=0,0,11630*1000*SER_hh_tes_in!I4/SER_hh_num_in!I4)</f>
        <v>34050.526014266972</v>
      </c>
      <c r="J4" s="130">
        <f>IF(SER_hh_tes_in!J4=0,0,11630*1000*SER_hh_tes_in!J4/SER_hh_num_in!J4)</f>
        <v>35976.926909511683</v>
      </c>
      <c r="K4" s="130">
        <f>IF(SER_hh_tes_in!K4=0,0,11630*1000*SER_hh_tes_in!K4/SER_hh_num_in!K4)</f>
        <v>31731.481447203798</v>
      </c>
      <c r="L4" s="130">
        <f>IF(SER_hh_tes_in!L4=0,0,11630*1000*SER_hh_tes_in!L4/SER_hh_num_in!L4)</f>
        <v>35616.588325496115</v>
      </c>
      <c r="M4" s="130">
        <f>IF(SER_hh_tes_in!M4=0,0,11630*1000*SER_hh_tes_in!M4/SER_hh_num_in!M4)</f>
        <v>36533.966561598703</v>
      </c>
      <c r="N4" s="130">
        <f>IF(SER_hh_tes_in!N4=0,0,11630*1000*SER_hh_tes_in!N4/SER_hh_num_in!N4)</f>
        <v>33718.994168978999</v>
      </c>
      <c r="O4" s="130">
        <f>IF(SER_hh_tes_in!O4=0,0,11630*1000*SER_hh_tes_in!O4/SER_hh_num_in!O4)</f>
        <v>30881.27265555854</v>
      </c>
      <c r="P4" s="130">
        <f>IF(SER_hh_tes_in!P4=0,0,11630*1000*SER_hh_tes_in!P4/SER_hh_num_in!P4)</f>
        <v>27183.546342333833</v>
      </c>
      <c r="Q4" s="130">
        <f>IF(SER_hh_tes_in!Q4=0,0,11630*1000*SER_hh_tes_in!Q4/SER_hh_num_in!Q4)</f>
        <v>31077.981308465784</v>
      </c>
      <c r="R4" s="130">
        <f>IF(SER_hh_tes_in!R4=0,0,11630*1000*SER_hh_tes_in!R4/SER_hh_num_in!R4)</f>
        <v>31112.729276578382</v>
      </c>
      <c r="S4" s="130">
        <f>IF(SER_hh_tes_in!S4=0,0,11630*1000*SER_hh_tes_in!S4/SER_hh_num_in!S4)</f>
        <v>30118.265357459251</v>
      </c>
      <c r="T4" s="130">
        <f>IF(SER_hh_tes_in!T4=0,0,11630*1000*SER_hh_tes_in!T4/SER_hh_num_in!T4)</f>
        <v>31625.908625151391</v>
      </c>
      <c r="U4" s="130">
        <f>IF(SER_hh_tes_in!U4=0,0,11630*1000*SER_hh_tes_in!U4/SER_hh_num_in!U4)</f>
        <v>29854.638276853089</v>
      </c>
      <c r="V4" s="130">
        <f>IF(SER_hh_tes_in!V4=0,0,11630*1000*SER_hh_tes_in!V4/SER_hh_num_in!V4)</f>
        <v>23554.243221029261</v>
      </c>
      <c r="W4" s="130">
        <f>IF(SER_hh_tes_in!W4=0,0,11630*1000*SER_hh_tes_in!W4/SER_hh_num_in!W4)</f>
        <v>28775.045084276735</v>
      </c>
      <c r="X4" s="130">
        <f>IF(SER_hh_tes_in!X4=0,0,11630*1000*SER_hh_tes_in!X4/SER_hh_num_in!X4)</f>
        <v>25530.936915774339</v>
      </c>
      <c r="Y4" s="130">
        <f>IF(SER_hh_tes_in!Y4=0,0,11630*1000*SER_hh_tes_in!Y4/SER_hh_num_in!Y4)</f>
        <v>25698.168050967815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29364.878770008057</v>
      </c>
      <c r="D5" s="132">
        <f>IF(SER_hh_tes_in!D5=0,0,11630*1000*SER_hh_tes_in!D5/SER_hh_num_in!D5)</f>
        <v>35855.972564588366</v>
      </c>
      <c r="E5" s="132">
        <f>IF(SER_hh_tes_in!E5=0,0,11630*1000*SER_hh_tes_in!E5/SER_hh_num_in!E5)</f>
        <v>39065.687741063914</v>
      </c>
      <c r="F5" s="132">
        <f>IF(SER_hh_tes_in!F5=0,0,11630*1000*SER_hh_tes_in!F5/SER_hh_num_in!F5)</f>
        <v>26915.116454962619</v>
      </c>
      <c r="G5" s="132">
        <f>IF(SER_hh_tes_in!G5=0,0,11630*1000*SER_hh_tes_in!G5/SER_hh_num_in!G5)</f>
        <v>0</v>
      </c>
      <c r="H5" s="132">
        <f>IF(SER_hh_tes_in!H5=0,0,11630*1000*SER_hh_tes_in!H5/SER_hh_num_in!H5)</f>
        <v>0</v>
      </c>
      <c r="I5" s="132">
        <f>IF(SER_hh_tes_in!I5=0,0,11630*1000*SER_hh_tes_in!I5/SER_hh_num_in!I5)</f>
        <v>0</v>
      </c>
      <c r="J5" s="132">
        <f>IF(SER_hh_tes_in!J5=0,0,11630*1000*SER_hh_tes_in!J5/SER_hh_num_in!J5)</f>
        <v>39765.119449693979</v>
      </c>
      <c r="K5" s="132">
        <f>IF(SER_hh_tes_in!K5=0,0,11630*1000*SER_hh_tes_in!K5/SER_hh_num_in!K5)</f>
        <v>33553.077328662788</v>
      </c>
      <c r="L5" s="132">
        <f>IF(SER_hh_tes_in!L5=0,0,11630*1000*SER_hh_tes_in!L5/SER_hh_num_in!L5)</f>
        <v>32204.074299188473</v>
      </c>
      <c r="M5" s="132">
        <f>IF(SER_hh_tes_in!M5=0,0,11630*1000*SER_hh_tes_in!M5/SER_hh_num_in!M5)</f>
        <v>35829.123691448447</v>
      </c>
      <c r="N5" s="132">
        <f>IF(SER_hh_tes_in!N5=0,0,11630*1000*SER_hh_tes_in!N5/SER_hh_num_in!N5)</f>
        <v>26847.303596506041</v>
      </c>
      <c r="O5" s="132">
        <f>IF(SER_hh_tes_in!O5=0,0,11630*1000*SER_hh_tes_in!O5/SER_hh_num_in!O5)</f>
        <v>35213.190861512339</v>
      </c>
      <c r="P5" s="132">
        <f>IF(SER_hh_tes_in!P5=0,0,11630*1000*SER_hh_tes_in!P5/SER_hh_num_in!P5)</f>
        <v>15707.466677192851</v>
      </c>
      <c r="Q5" s="132">
        <f>IF(SER_hh_tes_in!Q5=0,0,11630*1000*SER_hh_tes_in!Q5/SER_hh_num_in!Q5)</f>
        <v>40012.847882823262</v>
      </c>
      <c r="R5" s="132">
        <f>IF(SER_hh_tes_in!R5=0,0,11630*1000*SER_hh_tes_in!R5/SER_hh_num_in!R5)</f>
        <v>42986.895882271383</v>
      </c>
      <c r="S5" s="132">
        <f>IF(SER_hh_tes_in!S5=0,0,11630*1000*SER_hh_tes_in!S5/SER_hh_num_in!S5)</f>
        <v>29819.423523578665</v>
      </c>
      <c r="T5" s="132">
        <f>IF(SER_hh_tes_in!T5=0,0,11630*1000*SER_hh_tes_in!T5/SER_hh_num_in!T5)</f>
        <v>21495.167812988802</v>
      </c>
      <c r="U5" s="132">
        <f>IF(SER_hh_tes_in!U5=0,0,11630*1000*SER_hh_tes_in!U5/SER_hh_num_in!U5)</f>
        <v>33008.426602359192</v>
      </c>
      <c r="V5" s="132">
        <f>IF(SER_hh_tes_in!V5=0,0,11630*1000*SER_hh_tes_in!V5/SER_hh_num_in!V5)</f>
        <v>0</v>
      </c>
      <c r="W5" s="132">
        <f>IF(SER_hh_tes_in!W5=0,0,11630*1000*SER_hh_tes_in!W5/SER_hh_num_in!W5)</f>
        <v>0</v>
      </c>
      <c r="X5" s="132">
        <f>IF(SER_hh_tes_in!X5=0,0,11630*1000*SER_hh_tes_in!X5/SER_hh_num_in!X5)</f>
        <v>0</v>
      </c>
      <c r="Y5" s="132">
        <f>IF(SER_hh_tes_in!Y5=0,0,11630*1000*SER_hh_tes_in!Y5/SER_hh_num_in!Y5)</f>
        <v>0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46034.389348955257</v>
      </c>
      <c r="D7" s="132">
        <f>IF(SER_hh_tes_in!D7=0,0,11630*1000*SER_hh_tes_in!D7/SER_hh_num_in!D7)</f>
        <v>0</v>
      </c>
      <c r="E7" s="132">
        <f>IF(SER_hh_tes_in!E7=0,0,11630*1000*SER_hh_tes_in!E7/SER_hh_num_in!E7)</f>
        <v>0</v>
      </c>
      <c r="F7" s="132">
        <f>IF(SER_hh_tes_in!F7=0,0,11630*1000*SER_hh_tes_in!F7/SER_hh_num_in!F7)</f>
        <v>0</v>
      </c>
      <c r="G7" s="132">
        <f>IF(SER_hh_tes_in!G7=0,0,11630*1000*SER_hh_tes_in!G7/SER_hh_num_in!G7)</f>
        <v>0</v>
      </c>
      <c r="H7" s="132">
        <f>IF(SER_hh_tes_in!H7=0,0,11630*1000*SER_hh_tes_in!H7/SER_hh_num_in!H7)</f>
        <v>42814.384123670839</v>
      </c>
      <c r="I7" s="132">
        <f>IF(SER_hh_tes_in!I7=0,0,11630*1000*SER_hh_tes_in!I7/SER_hh_num_in!I7)</f>
        <v>0</v>
      </c>
      <c r="J7" s="132">
        <f>IF(SER_hh_tes_in!J7=0,0,11630*1000*SER_hh_tes_in!J7/SER_hh_num_in!J7)</f>
        <v>0</v>
      </c>
      <c r="K7" s="132">
        <f>IF(SER_hh_tes_in!K7=0,0,11630*1000*SER_hh_tes_in!K7/SER_hh_num_in!K7)</f>
        <v>43828.311742052887</v>
      </c>
      <c r="L7" s="132">
        <f>IF(SER_hh_tes_in!L7=0,0,11630*1000*SER_hh_tes_in!L7/SER_hh_num_in!L7)</f>
        <v>30160.495221420686</v>
      </c>
      <c r="M7" s="132">
        <f>IF(SER_hh_tes_in!M7=0,0,11630*1000*SER_hh_tes_in!M7/SER_hh_num_in!M7)</f>
        <v>0</v>
      </c>
      <c r="N7" s="132">
        <f>IF(SER_hh_tes_in!N7=0,0,11630*1000*SER_hh_tes_in!N7/SER_hh_num_in!N7)</f>
        <v>31947.720522502357</v>
      </c>
      <c r="O7" s="132">
        <f>IF(SER_hh_tes_in!O7=0,0,11630*1000*SER_hh_tes_in!O7/SER_hh_num_in!O7)</f>
        <v>23610.529338998796</v>
      </c>
      <c r="P7" s="132">
        <f>IF(SER_hh_tes_in!P7=0,0,11630*1000*SER_hh_tes_in!P7/SER_hh_num_in!P7)</f>
        <v>14238.280466387112</v>
      </c>
      <c r="Q7" s="132">
        <f>IF(SER_hh_tes_in!Q7=0,0,11630*1000*SER_hh_tes_in!Q7/SER_hh_num_in!Q7)</f>
        <v>38919.637731365881</v>
      </c>
      <c r="R7" s="132">
        <f>IF(SER_hh_tes_in!R7=0,0,11630*1000*SER_hh_tes_in!R7/SER_hh_num_in!R7)</f>
        <v>35811.607896853857</v>
      </c>
      <c r="S7" s="132">
        <f>IF(SER_hh_tes_in!S7=0,0,11630*1000*SER_hh_tes_in!S7/SER_hh_num_in!S7)</f>
        <v>0</v>
      </c>
      <c r="T7" s="132">
        <f>IF(SER_hh_tes_in!T7=0,0,11630*1000*SER_hh_tes_in!T7/SER_hh_num_in!T7)</f>
        <v>0</v>
      </c>
      <c r="U7" s="132">
        <f>IF(SER_hh_tes_in!U7=0,0,11630*1000*SER_hh_tes_in!U7/SER_hh_num_in!U7)</f>
        <v>0</v>
      </c>
      <c r="V7" s="132">
        <f>IF(SER_hh_tes_in!V7=0,0,11630*1000*SER_hh_tes_in!V7/SER_hh_num_in!V7)</f>
        <v>0</v>
      </c>
      <c r="W7" s="132">
        <f>IF(SER_hh_tes_in!W7=0,0,11630*1000*SER_hh_tes_in!W7/SER_hh_num_in!W7)</f>
        <v>22606.702409731814</v>
      </c>
      <c r="X7" s="132">
        <f>IF(SER_hh_tes_in!X7=0,0,11630*1000*SER_hh_tes_in!X7/SER_hh_num_in!X7)</f>
        <v>22500.433521228941</v>
      </c>
      <c r="Y7" s="132">
        <f>IF(SER_hh_tes_in!Y7=0,0,11630*1000*SER_hh_tes_in!Y7/SER_hh_num_in!Y7)</f>
        <v>27949.907736822468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0</v>
      </c>
      <c r="D8" s="132">
        <f>IF(SER_hh_tes_in!D8=0,0,11630*1000*SER_hh_tes_in!D8/SER_hh_num_in!D8)</f>
        <v>0</v>
      </c>
      <c r="E8" s="132">
        <f>IF(SER_hh_tes_in!E8=0,0,11630*1000*SER_hh_tes_in!E8/SER_hh_num_in!E8)</f>
        <v>0</v>
      </c>
      <c r="F8" s="132">
        <f>IF(SER_hh_tes_in!F8=0,0,11630*1000*SER_hh_tes_in!F8/SER_hh_num_in!F8)</f>
        <v>0</v>
      </c>
      <c r="G8" s="132">
        <f>IF(SER_hh_tes_in!G8=0,0,11630*1000*SER_hh_tes_in!G8/SER_hh_num_in!G8)</f>
        <v>0</v>
      </c>
      <c r="H8" s="132">
        <f>IF(SER_hh_tes_in!H8=0,0,11630*1000*SER_hh_tes_in!H8/SER_hh_num_in!H8)</f>
        <v>0</v>
      </c>
      <c r="I8" s="132">
        <f>IF(SER_hh_tes_in!I8=0,0,11630*1000*SER_hh_tes_in!I8/SER_hh_num_in!I8)</f>
        <v>0</v>
      </c>
      <c r="J8" s="132">
        <f>IF(SER_hh_tes_in!J8=0,0,11630*1000*SER_hh_tes_in!J8/SER_hh_num_in!J8)</f>
        <v>0</v>
      </c>
      <c r="K8" s="132">
        <f>IF(SER_hh_tes_in!K8=0,0,11630*1000*SER_hh_tes_in!K8/SER_hh_num_in!K8)</f>
        <v>0</v>
      </c>
      <c r="L8" s="132">
        <f>IF(SER_hh_tes_in!L8=0,0,11630*1000*SER_hh_tes_in!L8/SER_hh_num_in!L8)</f>
        <v>0</v>
      </c>
      <c r="M8" s="132">
        <f>IF(SER_hh_tes_in!M8=0,0,11630*1000*SER_hh_tes_in!M8/SER_hh_num_in!M8)</f>
        <v>0</v>
      </c>
      <c r="N8" s="132">
        <f>IF(SER_hh_tes_in!N8=0,0,11630*1000*SER_hh_tes_in!N8/SER_hh_num_in!N8)</f>
        <v>0</v>
      </c>
      <c r="O8" s="132">
        <f>IF(SER_hh_tes_in!O8=0,0,11630*1000*SER_hh_tes_in!O8/SER_hh_num_in!O8)</f>
        <v>0</v>
      </c>
      <c r="P8" s="132">
        <f>IF(SER_hh_tes_in!P8=0,0,11630*1000*SER_hh_tes_in!P8/SER_hh_num_in!P8)</f>
        <v>0</v>
      </c>
      <c r="Q8" s="132">
        <f>IF(SER_hh_tes_in!Q8=0,0,11630*1000*SER_hh_tes_in!Q8/SER_hh_num_in!Q8)</f>
        <v>0</v>
      </c>
      <c r="R8" s="132">
        <f>IF(SER_hh_tes_in!R8=0,0,11630*1000*SER_hh_tes_in!R8/SER_hh_num_in!R8)</f>
        <v>0</v>
      </c>
      <c r="S8" s="132">
        <f>IF(SER_hh_tes_in!S8=0,0,11630*1000*SER_hh_tes_in!S8/SER_hh_num_in!S8)</f>
        <v>0</v>
      </c>
      <c r="T8" s="132">
        <f>IF(SER_hh_tes_in!T8=0,0,11630*1000*SER_hh_tes_in!T8/SER_hh_num_in!T8)</f>
        <v>0</v>
      </c>
      <c r="U8" s="132">
        <f>IF(SER_hh_tes_in!U8=0,0,11630*1000*SER_hh_tes_in!U8/SER_hh_num_in!U8)</f>
        <v>0</v>
      </c>
      <c r="V8" s="132">
        <f>IF(SER_hh_tes_in!V8=0,0,11630*1000*SER_hh_tes_in!V8/SER_hh_num_in!V8)</f>
        <v>0</v>
      </c>
      <c r="W8" s="132">
        <f>IF(SER_hh_tes_in!W8=0,0,11630*1000*SER_hh_tes_in!W8/SER_hh_num_in!W8)</f>
        <v>0</v>
      </c>
      <c r="X8" s="132">
        <f>IF(SER_hh_tes_in!X8=0,0,11630*1000*SER_hh_tes_in!X8/SER_hh_num_in!X8)</f>
        <v>0</v>
      </c>
      <c r="Y8" s="132">
        <f>IF(SER_hh_tes_in!Y8=0,0,11630*1000*SER_hh_tes_in!Y8/SER_hh_num_in!Y8)</f>
        <v>0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36373.34717268018</v>
      </c>
      <c r="D9" s="132">
        <f>IF(SER_hh_tes_in!D9=0,0,11630*1000*SER_hh_tes_in!D9/SER_hh_num_in!D9)</f>
        <v>30429.138878508391</v>
      </c>
      <c r="E9" s="132">
        <f>IF(SER_hh_tes_in!E9=0,0,11630*1000*SER_hh_tes_in!E9/SER_hh_num_in!E9)</f>
        <v>33823.105254191782</v>
      </c>
      <c r="F9" s="132">
        <f>IF(SER_hh_tes_in!F9=0,0,11630*1000*SER_hh_tes_in!F9/SER_hh_num_in!F9)</f>
        <v>26022.68889912646</v>
      </c>
      <c r="G9" s="132">
        <f>IF(SER_hh_tes_in!G9=0,0,11630*1000*SER_hh_tes_in!G9/SER_hh_num_in!G9)</f>
        <v>32850.661924295397</v>
      </c>
      <c r="H9" s="132">
        <f>IF(SER_hh_tes_in!H9=0,0,11630*1000*SER_hh_tes_in!H9/SER_hh_num_in!H9)</f>
        <v>41403.139970748445</v>
      </c>
      <c r="I9" s="132">
        <f>IF(SER_hh_tes_in!I9=0,0,11630*1000*SER_hh_tes_in!I9/SER_hh_num_in!I9)</f>
        <v>36871.983819985406</v>
      </c>
      <c r="J9" s="132">
        <f>IF(SER_hh_tes_in!J9=0,0,11630*1000*SER_hh_tes_in!J9/SER_hh_num_in!J9)</f>
        <v>43098.883251114559</v>
      </c>
      <c r="K9" s="132">
        <f>IF(SER_hh_tes_in!K9=0,0,11630*1000*SER_hh_tes_in!K9/SER_hh_num_in!K9)</f>
        <v>26701.766572304128</v>
      </c>
      <c r="L9" s="132">
        <f>IF(SER_hh_tes_in!L9=0,0,11630*1000*SER_hh_tes_in!L9/SER_hh_num_in!L9)</f>
        <v>36133.049279134328</v>
      </c>
      <c r="M9" s="132">
        <f>IF(SER_hh_tes_in!M9=0,0,11630*1000*SER_hh_tes_in!M9/SER_hh_num_in!M9)</f>
        <v>36836.200087710364</v>
      </c>
      <c r="N9" s="132">
        <f>IF(SER_hh_tes_in!N9=0,0,11630*1000*SER_hh_tes_in!N9/SER_hh_num_in!N9)</f>
        <v>31860.270794769374</v>
      </c>
      <c r="O9" s="132">
        <f>IF(SER_hh_tes_in!O9=0,0,11630*1000*SER_hh_tes_in!O9/SER_hh_num_in!O9)</f>
        <v>26956.913148804786</v>
      </c>
      <c r="P9" s="132">
        <f>IF(SER_hh_tes_in!P9=0,0,11630*1000*SER_hh_tes_in!P9/SER_hh_num_in!P9)</f>
        <v>27086.960545059399</v>
      </c>
      <c r="Q9" s="132">
        <f>IF(SER_hh_tes_in!Q9=0,0,11630*1000*SER_hh_tes_in!Q9/SER_hh_num_in!Q9)</f>
        <v>29780.076663251773</v>
      </c>
      <c r="R9" s="132">
        <f>IF(SER_hh_tes_in!R9=0,0,11630*1000*SER_hh_tes_in!R9/SER_hh_num_in!R9)</f>
        <v>30608.070198299483</v>
      </c>
      <c r="S9" s="132">
        <f>IF(SER_hh_tes_in!S9=0,0,11630*1000*SER_hh_tes_in!S9/SER_hh_num_in!S9)</f>
        <v>29847.324438642587</v>
      </c>
      <c r="T9" s="132">
        <f>IF(SER_hh_tes_in!T9=0,0,11630*1000*SER_hh_tes_in!T9/SER_hh_num_in!T9)</f>
        <v>31132.26213371176</v>
      </c>
      <c r="U9" s="132">
        <f>IF(SER_hh_tes_in!U9=0,0,11630*1000*SER_hh_tes_in!U9/SER_hh_num_in!U9)</f>
        <v>25667.918259787832</v>
      </c>
      <c r="V9" s="132">
        <f>IF(SER_hh_tes_in!V9=0,0,11630*1000*SER_hh_tes_in!V9/SER_hh_num_in!V9)</f>
        <v>24968.415722524038</v>
      </c>
      <c r="W9" s="132">
        <f>IF(SER_hh_tes_in!W9=0,0,11630*1000*SER_hh_tes_in!W9/SER_hh_num_in!W9)</f>
        <v>29605.987564046889</v>
      </c>
      <c r="X9" s="132">
        <f>IF(SER_hh_tes_in!X9=0,0,11630*1000*SER_hh_tes_in!X9/SER_hh_num_in!X9)</f>
        <v>26092.525398969901</v>
      </c>
      <c r="Y9" s="132">
        <f>IF(SER_hh_tes_in!Y9=0,0,11630*1000*SER_hh_tes_in!Y9/SER_hh_num_in!Y9)</f>
        <v>0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0</v>
      </c>
      <c r="D10" s="132">
        <f>IF(SER_hh_tes_in!D10=0,0,11630*1000*SER_hh_tes_in!D10/SER_hh_num_in!D10)</f>
        <v>27507.053665015577</v>
      </c>
      <c r="E10" s="132">
        <f>IF(SER_hh_tes_in!E10=0,0,11630*1000*SER_hh_tes_in!E10/SER_hh_num_in!E10)</f>
        <v>39406.323348723454</v>
      </c>
      <c r="F10" s="132">
        <f>IF(SER_hh_tes_in!F10=0,0,11630*1000*SER_hh_tes_in!F10/SER_hh_num_in!F10)</f>
        <v>25333.675862480886</v>
      </c>
      <c r="G10" s="132">
        <f>IF(SER_hh_tes_in!G10=0,0,11630*1000*SER_hh_tes_in!G10/SER_hh_num_in!G10)</f>
        <v>34940.052569198029</v>
      </c>
      <c r="H10" s="132">
        <f>IF(SER_hh_tes_in!H10=0,0,11630*1000*SER_hh_tes_in!H10/SER_hh_num_in!H10)</f>
        <v>43378.923484988263</v>
      </c>
      <c r="I10" s="132">
        <f>IF(SER_hh_tes_in!I10=0,0,11630*1000*SER_hh_tes_in!I10/SER_hh_num_in!I10)</f>
        <v>34674.765630064489</v>
      </c>
      <c r="J10" s="132">
        <f>IF(SER_hh_tes_in!J10=0,0,11630*1000*SER_hh_tes_in!J10/SER_hh_num_in!J10)</f>
        <v>0</v>
      </c>
      <c r="K10" s="132">
        <f>IF(SER_hh_tes_in!K10=0,0,11630*1000*SER_hh_tes_in!K10/SER_hh_num_in!K10)</f>
        <v>0</v>
      </c>
      <c r="L10" s="132">
        <f>IF(SER_hh_tes_in!L10=0,0,11630*1000*SER_hh_tes_in!L10/SER_hh_num_in!L10)</f>
        <v>16240.325912069144</v>
      </c>
      <c r="M10" s="132">
        <f>IF(SER_hh_tes_in!M10=0,0,11630*1000*SER_hh_tes_in!M10/SER_hh_num_in!M10)</f>
        <v>12985.108844421084</v>
      </c>
      <c r="N10" s="132">
        <f>IF(SER_hh_tes_in!N10=0,0,11630*1000*SER_hh_tes_in!N10/SER_hh_num_in!N10)</f>
        <v>72034.790833196879</v>
      </c>
      <c r="O10" s="132">
        <f>IF(SER_hh_tes_in!O10=0,0,11630*1000*SER_hh_tes_in!O10/SER_hh_num_in!O10)</f>
        <v>35098.980030765691</v>
      </c>
      <c r="P10" s="132">
        <f>IF(SER_hh_tes_in!P10=0,0,11630*1000*SER_hh_tes_in!P10/SER_hh_num_in!P10)</f>
        <v>0</v>
      </c>
      <c r="Q10" s="132">
        <f>IF(SER_hh_tes_in!Q10=0,0,11630*1000*SER_hh_tes_in!Q10/SER_hh_num_in!Q10)</f>
        <v>15823.216734061692</v>
      </c>
      <c r="R10" s="132">
        <f>IF(SER_hh_tes_in!R10=0,0,11630*1000*SER_hh_tes_in!R10/SER_hh_num_in!R10)</f>
        <v>6014.3872522192305</v>
      </c>
      <c r="S10" s="132">
        <f>IF(SER_hh_tes_in!S10=0,0,11630*1000*SER_hh_tes_in!S10/SER_hh_num_in!S10)</f>
        <v>32498.66350857951</v>
      </c>
      <c r="T10" s="132">
        <f>IF(SER_hh_tes_in!T10=0,0,11630*1000*SER_hh_tes_in!T10/SER_hh_num_in!T10)</f>
        <v>36328.967694957428</v>
      </c>
      <c r="U10" s="132">
        <f>IF(SER_hh_tes_in!U10=0,0,11630*1000*SER_hh_tes_in!U10/SER_hh_num_in!U10)</f>
        <v>33598.792301562775</v>
      </c>
      <c r="V10" s="132">
        <f>IF(SER_hh_tes_in!V10=0,0,11630*1000*SER_hh_tes_in!V10/SER_hh_num_in!V10)</f>
        <v>22171.033996666716</v>
      </c>
      <c r="W10" s="132">
        <f>IF(SER_hh_tes_in!W10=0,0,11630*1000*SER_hh_tes_in!W10/SER_hh_num_in!W10)</f>
        <v>28094.51518924479</v>
      </c>
      <c r="X10" s="132">
        <f>IF(SER_hh_tes_in!X10=0,0,11630*1000*SER_hh_tes_in!X10/SER_hh_num_in!X10)</f>
        <v>30903.498286935785</v>
      </c>
      <c r="Y10" s="132">
        <f>IF(SER_hh_tes_in!Y10=0,0,11630*1000*SER_hh_tes_in!Y10/SER_hh_num_in!Y10)</f>
        <v>0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0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54423.966357132434</v>
      </c>
      <c r="H11" s="132">
        <f>IF(SER_hh_tes_in!H11=0,0,11630*1000*SER_hh_tes_in!H11/SER_hh_num_in!H11)</f>
        <v>42511.050723659027</v>
      </c>
      <c r="I11" s="132">
        <f>IF(SER_hh_tes_in!I11=0,0,11630*1000*SER_hh_tes_in!I11/SER_hh_num_in!I11)</f>
        <v>35715.688841379306</v>
      </c>
      <c r="J11" s="132">
        <f>IF(SER_hh_tes_in!J11=0,0,11630*1000*SER_hh_tes_in!J11/SER_hh_num_in!J11)</f>
        <v>35011.637864008248</v>
      </c>
      <c r="K11" s="132">
        <f>IF(SER_hh_tes_in!K11=0,0,11630*1000*SER_hh_tes_in!K11/SER_hh_num_in!K11)</f>
        <v>34308.08257703339</v>
      </c>
      <c r="L11" s="132">
        <f>IF(SER_hh_tes_in!L11=0,0,11630*1000*SER_hh_tes_in!L11/SER_hh_num_in!L11)</f>
        <v>0</v>
      </c>
      <c r="M11" s="132">
        <f>IF(SER_hh_tes_in!M11=0,0,11630*1000*SER_hh_tes_in!M11/SER_hh_num_in!M11)</f>
        <v>0</v>
      </c>
      <c r="N11" s="132">
        <f>IF(SER_hh_tes_in!N11=0,0,11630*1000*SER_hh_tes_in!N11/SER_hh_num_in!N11)</f>
        <v>32423.358313721448</v>
      </c>
      <c r="O11" s="132">
        <f>IF(SER_hh_tes_in!O11=0,0,11630*1000*SER_hh_tes_in!O11/SER_hh_num_in!O11)</f>
        <v>30137.733453315144</v>
      </c>
      <c r="P11" s="132">
        <f>IF(SER_hh_tes_in!P11=0,0,11630*1000*SER_hh_tes_in!P11/SER_hh_num_in!P11)</f>
        <v>28977.095782490298</v>
      </c>
      <c r="Q11" s="132">
        <f>IF(SER_hh_tes_in!Q11=0,0,11630*1000*SER_hh_tes_in!Q11/SER_hh_num_in!Q11)</f>
        <v>28343.521821863658</v>
      </c>
      <c r="R11" s="132">
        <f>IF(SER_hh_tes_in!R11=0,0,11630*1000*SER_hh_tes_in!R11/SER_hh_num_in!R11)</f>
        <v>29747.755624147219</v>
      </c>
      <c r="S11" s="132">
        <f>IF(SER_hh_tes_in!S11=0,0,11630*1000*SER_hh_tes_in!S11/SER_hh_num_in!S11)</f>
        <v>29634.333252837401</v>
      </c>
      <c r="T11" s="132">
        <f>IF(SER_hh_tes_in!T11=0,0,11630*1000*SER_hh_tes_in!T11/SER_hh_num_in!T11)</f>
        <v>29017.129217584821</v>
      </c>
      <c r="U11" s="132">
        <f>IF(SER_hh_tes_in!U11=0,0,11630*1000*SER_hh_tes_in!U11/SER_hh_num_in!U11)</f>
        <v>28397.687934624792</v>
      </c>
      <c r="V11" s="132">
        <f>IF(SER_hh_tes_in!V11=0,0,11630*1000*SER_hh_tes_in!V11/SER_hh_num_in!V11)</f>
        <v>28208.36232888107</v>
      </c>
      <c r="W11" s="132">
        <f>IF(SER_hh_tes_in!W11=0,0,11630*1000*SER_hh_tes_in!W11/SER_hh_num_in!W11)</f>
        <v>26881.585795261039</v>
      </c>
      <c r="X11" s="132">
        <f>IF(SER_hh_tes_in!X11=0,0,11630*1000*SER_hh_tes_in!X11/SER_hh_num_in!X11)</f>
        <v>24733.544728308116</v>
      </c>
      <c r="Y11" s="132">
        <f>IF(SER_hh_tes_in!Y11=0,0,11630*1000*SER_hh_tes_in!Y11/SER_hh_num_in!Y11)</f>
        <v>25652.607324080425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37510.528837495614</v>
      </c>
      <c r="D12" s="132">
        <f>IF(SER_hh_tes_in!D12=0,0,11630*1000*SER_hh_tes_in!D12/SER_hh_num_in!D12)</f>
        <v>32609.995960816297</v>
      </c>
      <c r="E12" s="132">
        <f>IF(SER_hh_tes_in!E12=0,0,11630*1000*SER_hh_tes_in!E12/SER_hh_num_in!E12)</f>
        <v>33085.304812619055</v>
      </c>
      <c r="F12" s="132">
        <f>IF(SER_hh_tes_in!F12=0,0,11630*1000*SER_hh_tes_in!F12/SER_hh_num_in!F12)</f>
        <v>27132.426707229388</v>
      </c>
      <c r="G12" s="132">
        <f>IF(SER_hh_tes_in!G12=0,0,11630*1000*SER_hh_tes_in!G12/SER_hh_num_in!G12)</f>
        <v>0</v>
      </c>
      <c r="H12" s="132">
        <f>IF(SER_hh_tes_in!H12=0,0,11630*1000*SER_hh_tes_in!H12/SER_hh_num_in!H12)</f>
        <v>42175.784524944145</v>
      </c>
      <c r="I12" s="132">
        <f>IF(SER_hh_tes_in!I12=0,0,11630*1000*SER_hh_tes_in!I12/SER_hh_num_in!I12)</f>
        <v>31468.721328355201</v>
      </c>
      <c r="J12" s="132">
        <f>IF(SER_hh_tes_in!J12=0,0,11630*1000*SER_hh_tes_in!J12/SER_hh_num_in!J12)</f>
        <v>0</v>
      </c>
      <c r="K12" s="132">
        <f>IF(SER_hh_tes_in!K12=0,0,11630*1000*SER_hh_tes_in!K12/SER_hh_num_in!K12)</f>
        <v>31655.767202404459</v>
      </c>
      <c r="L12" s="132">
        <f>IF(SER_hh_tes_in!L12=0,0,11630*1000*SER_hh_tes_in!L12/SER_hh_num_in!L12)</f>
        <v>32170.055025750367</v>
      </c>
      <c r="M12" s="132">
        <f>IF(SER_hh_tes_in!M12=0,0,11630*1000*SER_hh_tes_in!M12/SER_hh_num_in!M12)</f>
        <v>42801.266756788435</v>
      </c>
      <c r="N12" s="132">
        <f>IF(SER_hh_tes_in!N12=0,0,11630*1000*SER_hh_tes_in!N12/SER_hh_num_in!N12)</f>
        <v>29140.706190130782</v>
      </c>
      <c r="O12" s="132">
        <f>IF(SER_hh_tes_in!O12=0,0,11630*1000*SER_hh_tes_in!O12/SER_hh_num_in!O12)</f>
        <v>27742.685396576937</v>
      </c>
      <c r="P12" s="132">
        <f>IF(SER_hh_tes_in!P12=0,0,11630*1000*SER_hh_tes_in!P12/SER_hh_num_in!P12)</f>
        <v>27030.153205680213</v>
      </c>
      <c r="Q12" s="132">
        <f>IF(SER_hh_tes_in!Q12=0,0,11630*1000*SER_hh_tes_in!Q12/SER_hh_num_in!Q12)</f>
        <v>29435.990785146118</v>
      </c>
      <c r="R12" s="132">
        <f>IF(SER_hh_tes_in!R12=0,0,11630*1000*SER_hh_tes_in!R12/SER_hh_num_in!R12)</f>
        <v>38924.698143159832</v>
      </c>
      <c r="S12" s="132">
        <f>IF(SER_hh_tes_in!S12=0,0,11630*1000*SER_hh_tes_in!S12/SER_hh_num_in!S12)</f>
        <v>27574.805191766733</v>
      </c>
      <c r="T12" s="132">
        <f>IF(SER_hh_tes_in!T12=0,0,11630*1000*SER_hh_tes_in!T12/SER_hh_num_in!T12)</f>
        <v>34558.225165870615</v>
      </c>
      <c r="U12" s="132">
        <f>IF(SER_hh_tes_in!U12=0,0,11630*1000*SER_hh_tes_in!U12/SER_hh_num_in!U12)</f>
        <v>30964.832728819849</v>
      </c>
      <c r="V12" s="132">
        <f>IF(SER_hh_tes_in!V12=0,0,11630*1000*SER_hh_tes_in!V12/SER_hh_num_in!V12)</f>
        <v>22427.171438439469</v>
      </c>
      <c r="W12" s="132">
        <f>IF(SER_hh_tes_in!W12=0,0,11630*1000*SER_hh_tes_in!W12/SER_hh_num_in!W12)</f>
        <v>27527.164497804941</v>
      </c>
      <c r="X12" s="132">
        <f>IF(SER_hh_tes_in!X12=0,0,11630*1000*SER_hh_tes_in!X12/SER_hh_num_in!X12)</f>
        <v>22190.095478430405</v>
      </c>
      <c r="Y12" s="132">
        <f>IF(SER_hh_tes_in!Y12=0,0,11630*1000*SER_hh_tes_in!Y12/SER_hh_num_in!Y12)</f>
        <v>0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25305.670150823546</v>
      </c>
      <c r="D13" s="132">
        <f>IF(SER_hh_tes_in!D13=0,0,11630*1000*SER_hh_tes_in!D13/SER_hh_num_in!D13)</f>
        <v>30919.377057747122</v>
      </c>
      <c r="E13" s="132">
        <f>IF(SER_hh_tes_in!E13=0,0,11630*1000*SER_hh_tes_in!E13/SER_hh_num_in!E13)</f>
        <v>34442.355399342814</v>
      </c>
      <c r="F13" s="132">
        <f>IF(SER_hh_tes_in!F13=0,0,11630*1000*SER_hh_tes_in!F13/SER_hh_num_in!F13)</f>
        <v>31427.795789004467</v>
      </c>
      <c r="G13" s="132">
        <f>IF(SER_hh_tes_in!G13=0,0,11630*1000*SER_hh_tes_in!G13/SER_hh_num_in!G13)</f>
        <v>34591.565946985662</v>
      </c>
      <c r="H13" s="132">
        <f>IF(SER_hh_tes_in!H13=0,0,11630*1000*SER_hh_tes_in!H13/SER_hh_num_in!H13)</f>
        <v>39325.460407664737</v>
      </c>
      <c r="I13" s="132">
        <f>IF(SER_hh_tes_in!I13=0,0,11630*1000*SER_hh_tes_in!I13/SER_hh_num_in!I13)</f>
        <v>35358.91221890688</v>
      </c>
      <c r="J13" s="132">
        <f>IF(SER_hh_tes_in!J13=0,0,11630*1000*SER_hh_tes_in!J13/SER_hh_num_in!J13)</f>
        <v>32515.932201963158</v>
      </c>
      <c r="K13" s="132">
        <f>IF(SER_hh_tes_in!K13=0,0,11630*1000*SER_hh_tes_in!K13/SER_hh_num_in!K13)</f>
        <v>34371.455333425969</v>
      </c>
      <c r="L13" s="132">
        <f>IF(SER_hh_tes_in!L13=0,0,11630*1000*SER_hh_tes_in!L13/SER_hh_num_in!L13)</f>
        <v>36312.727289084825</v>
      </c>
      <c r="M13" s="132">
        <f>IF(SER_hh_tes_in!M13=0,0,11630*1000*SER_hh_tes_in!M13/SER_hh_num_in!M13)</f>
        <v>33893.063448224275</v>
      </c>
      <c r="N13" s="132">
        <f>IF(SER_hh_tes_in!N13=0,0,11630*1000*SER_hh_tes_in!N13/SER_hh_num_in!N13)</f>
        <v>30215.373022240139</v>
      </c>
      <c r="O13" s="132">
        <f>IF(SER_hh_tes_in!O13=0,0,11630*1000*SER_hh_tes_in!O13/SER_hh_num_in!O13)</f>
        <v>32581.038879127344</v>
      </c>
      <c r="P13" s="132">
        <f>IF(SER_hh_tes_in!P13=0,0,11630*1000*SER_hh_tes_in!P13/SER_hh_num_in!P13)</f>
        <v>28132.555195136909</v>
      </c>
      <c r="Q13" s="132">
        <f>IF(SER_hh_tes_in!Q13=0,0,11630*1000*SER_hh_tes_in!Q13/SER_hh_num_in!Q13)</f>
        <v>29270.864490468852</v>
      </c>
      <c r="R13" s="132">
        <f>IF(SER_hh_tes_in!R13=0,0,11630*1000*SER_hh_tes_in!R13/SER_hh_num_in!R13)</f>
        <v>29263.891204904598</v>
      </c>
      <c r="S13" s="132">
        <f>IF(SER_hh_tes_in!S13=0,0,11630*1000*SER_hh_tes_in!S13/SER_hh_num_in!S13)</f>
        <v>28762.598709917351</v>
      </c>
      <c r="T13" s="132">
        <f>IF(SER_hh_tes_in!T13=0,0,11630*1000*SER_hh_tes_in!T13/SER_hh_num_in!T13)</f>
        <v>27288.081134979537</v>
      </c>
      <c r="U13" s="132">
        <f>IF(SER_hh_tes_in!U13=0,0,11630*1000*SER_hh_tes_in!U13/SER_hh_num_in!U13)</f>
        <v>27419.689227264149</v>
      </c>
      <c r="V13" s="132">
        <f>IF(SER_hh_tes_in!V13=0,0,11630*1000*SER_hh_tes_in!V13/SER_hh_num_in!V13)</f>
        <v>26148.443884397035</v>
      </c>
      <c r="W13" s="132">
        <f>IF(SER_hh_tes_in!W13=0,0,11630*1000*SER_hh_tes_in!W13/SER_hh_num_in!W13)</f>
        <v>26312.83368852441</v>
      </c>
      <c r="X13" s="132">
        <f>IF(SER_hh_tes_in!X13=0,0,11630*1000*SER_hh_tes_in!X13/SER_hh_num_in!X13)</f>
        <v>25560.056185608468</v>
      </c>
      <c r="Y13" s="132">
        <f>IF(SER_hh_tes_in!Y13=0,0,11630*1000*SER_hh_tes_in!Y13/SER_hh_num_in!Y13)</f>
        <v>25842.690025239644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28307.474258661801</v>
      </c>
      <c r="D14" s="65">
        <f>IF(SER_hh_tes_in!D14=0,0,11630*1000*SER_hh_tes_in!D14/SER_hh_num_in!D14)</f>
        <v>36182.099844904376</v>
      </c>
      <c r="E14" s="65">
        <f>IF(SER_hh_tes_in!E14=0,0,11630*1000*SER_hh_tes_in!E14/SER_hh_num_in!E14)</f>
        <v>38462.355803127204</v>
      </c>
      <c r="F14" s="65">
        <f>IF(SER_hh_tes_in!F14=0,0,11630*1000*SER_hh_tes_in!F14/SER_hh_num_in!F14)</f>
        <v>25176.729594495828</v>
      </c>
      <c r="G14" s="65">
        <f>IF(SER_hh_tes_in!G14=0,0,11630*1000*SER_hh_tes_in!G14/SER_hh_num_in!G14)</f>
        <v>0</v>
      </c>
      <c r="H14" s="65">
        <f>IF(SER_hh_tes_in!H14=0,0,11630*1000*SER_hh_tes_in!H14/SER_hh_num_in!H14)</f>
        <v>42546.538050272255</v>
      </c>
      <c r="I14" s="65">
        <f>IF(SER_hh_tes_in!I14=0,0,11630*1000*SER_hh_tes_in!I14/SER_hh_num_in!I14)</f>
        <v>30390.564508455915</v>
      </c>
      <c r="J14" s="65">
        <f>IF(SER_hh_tes_in!J14=0,0,11630*1000*SER_hh_tes_in!J14/SER_hh_num_in!J14)</f>
        <v>38227.028216529579</v>
      </c>
      <c r="K14" s="65">
        <f>IF(SER_hh_tes_in!K14=0,0,11630*1000*SER_hh_tes_in!K14/SER_hh_num_in!K14)</f>
        <v>29299.317326402579</v>
      </c>
      <c r="L14" s="65">
        <f>IF(SER_hh_tes_in!L14=0,0,11630*1000*SER_hh_tes_in!L14/SER_hh_num_in!L14)</f>
        <v>37735.414580573342</v>
      </c>
      <c r="M14" s="65">
        <f>IF(SER_hh_tes_in!M14=0,0,11630*1000*SER_hh_tes_in!M14/SER_hh_num_in!M14)</f>
        <v>44053.140350048889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35665.098855258955</v>
      </c>
      <c r="S14" s="65">
        <f>IF(SER_hh_tes_in!S14=0,0,11630*1000*SER_hh_tes_in!S14/SER_hh_num_in!S14)</f>
        <v>29967.958437205783</v>
      </c>
      <c r="T14" s="65">
        <f>IF(SER_hh_tes_in!T14=0,0,11630*1000*SER_hh_tes_in!T14/SER_hh_num_in!T14)</f>
        <v>34007.894000897977</v>
      </c>
      <c r="U14" s="65">
        <f>IF(SER_hh_tes_in!U14=0,0,11630*1000*SER_hh_tes_in!U14/SER_hh_num_in!U14)</f>
        <v>44235.207352343226</v>
      </c>
      <c r="V14" s="65">
        <f>IF(SER_hh_tes_in!V14=0,0,11630*1000*SER_hh_tes_in!V14/SER_hh_num_in!V14)</f>
        <v>13023.135106810938</v>
      </c>
      <c r="W14" s="65">
        <f>IF(SER_hh_tes_in!W14=0,0,11630*1000*SER_hh_tes_in!W14/SER_hh_num_in!W14)</f>
        <v>34960.4486588289</v>
      </c>
      <c r="X14" s="65">
        <f>IF(SER_hh_tes_in!X14=0,0,11630*1000*SER_hh_tes_in!X14/SER_hh_num_in!X14)</f>
        <v>28201.939983731601</v>
      </c>
      <c r="Y14" s="65">
        <f>IF(SER_hh_tes_in!Y14=0,0,11630*1000*SER_hh_tes_in!Y14/SER_hh_num_in!Y14)</f>
        <v>22841.617688434049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272.55271275129115</v>
      </c>
      <c r="D15" s="134">
        <f>IF(SER_hh_tes_in!D15=0,0,11630*1000*SER_hh_tes_in!D15/SER_hh_num_in!D15)</f>
        <v>237.08778320740089</v>
      </c>
      <c r="E15" s="134">
        <f>IF(SER_hh_tes_in!E15=0,0,11630*1000*SER_hh_tes_in!E15/SER_hh_num_in!E15)</f>
        <v>232.47569586718112</v>
      </c>
      <c r="F15" s="134">
        <f>IF(SER_hh_tes_in!F15=0,0,11630*1000*SER_hh_tes_in!F15/SER_hh_num_in!F15)</f>
        <v>201.30046600748059</v>
      </c>
      <c r="G15" s="134">
        <f>IF(SER_hh_tes_in!G15=0,0,11630*1000*SER_hh_tes_in!G15/SER_hh_num_in!G15)</f>
        <v>304.45152569922658</v>
      </c>
      <c r="H15" s="134">
        <f>IF(SER_hh_tes_in!H15=0,0,11630*1000*SER_hh_tes_in!H15/SER_hh_num_in!H15)</f>
        <v>445.64163759374861</v>
      </c>
      <c r="I15" s="134">
        <f>IF(SER_hh_tes_in!I15=0,0,11630*1000*SER_hh_tes_in!I15/SER_hh_num_in!I15)</f>
        <v>330.1256413630403</v>
      </c>
      <c r="J15" s="134">
        <f>IF(SER_hh_tes_in!J15=0,0,11630*1000*SER_hh_tes_in!J15/SER_hh_num_in!J15)</f>
        <v>721.67854140421116</v>
      </c>
      <c r="K15" s="134">
        <f>IF(SER_hh_tes_in!K15=0,0,11630*1000*SER_hh_tes_in!K15/SER_hh_num_in!K15)</f>
        <v>354.47103923953728</v>
      </c>
      <c r="L15" s="134">
        <f>IF(SER_hh_tes_in!L15=0,0,11630*1000*SER_hh_tes_in!L15/SER_hh_num_in!L15)</f>
        <v>322.45466675878134</v>
      </c>
      <c r="M15" s="134">
        <f>IF(SER_hh_tes_in!M15=0,0,11630*1000*SER_hh_tes_in!M15/SER_hh_num_in!M15)</f>
        <v>207.63763153018218</v>
      </c>
      <c r="N15" s="134">
        <f>IF(SER_hh_tes_in!N15=0,0,11630*1000*SER_hh_tes_in!N15/SER_hh_num_in!N15)</f>
        <v>323.96310727609256</v>
      </c>
      <c r="O15" s="134">
        <f>IF(SER_hh_tes_in!O15=0,0,11630*1000*SER_hh_tes_in!O15/SER_hh_num_in!O15)</f>
        <v>272.49378703225074</v>
      </c>
      <c r="P15" s="134">
        <f>IF(SER_hh_tes_in!P15=0,0,11630*1000*SER_hh_tes_in!P15/SER_hh_num_in!P15)</f>
        <v>266.77089285186071</v>
      </c>
      <c r="Q15" s="134">
        <f>IF(SER_hh_tes_in!Q15=0,0,11630*1000*SER_hh_tes_in!Q15/SER_hh_num_in!Q15)</f>
        <v>348.89405356060962</v>
      </c>
      <c r="R15" s="134">
        <f>IF(SER_hh_tes_in!R15=0,0,11630*1000*SER_hh_tes_in!R15/SER_hh_num_in!R15)</f>
        <v>228.0360203878206</v>
      </c>
      <c r="S15" s="134">
        <f>IF(SER_hh_tes_in!S15=0,0,11630*1000*SER_hh_tes_in!S15/SER_hh_num_in!S15)</f>
        <v>249.06202101605291</v>
      </c>
      <c r="T15" s="134">
        <f>IF(SER_hh_tes_in!T15=0,0,11630*1000*SER_hh_tes_in!T15/SER_hh_num_in!T15)</f>
        <v>263.88084761800582</v>
      </c>
      <c r="U15" s="134">
        <f>IF(SER_hh_tes_in!U15=0,0,11630*1000*SER_hh_tes_in!U15/SER_hh_num_in!U15)</f>
        <v>250.3733452050985</v>
      </c>
      <c r="V15" s="134">
        <f>IF(SER_hh_tes_in!V15=0,0,11630*1000*SER_hh_tes_in!V15/SER_hh_num_in!V15)</f>
        <v>194.90811682134071</v>
      </c>
      <c r="W15" s="134">
        <f>IF(SER_hh_tes_in!W15=0,0,11630*1000*SER_hh_tes_in!W15/SER_hh_num_in!W15)</f>
        <v>237.10326286811849</v>
      </c>
      <c r="X15" s="134">
        <f>IF(SER_hh_tes_in!X15=0,0,11630*1000*SER_hh_tes_in!X15/SER_hh_num_in!X15)</f>
        <v>173.69141276564105</v>
      </c>
      <c r="Y15" s="134">
        <f>IF(SER_hh_tes_in!Y15=0,0,11630*1000*SER_hh_tes_in!Y15/SER_hh_num_in!Y15)</f>
        <v>354.08338823820333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26876.646718379528</v>
      </c>
      <c r="D16" s="130">
        <f>IF(SER_hh_tes_in!D16=0,0,11630*1000*SER_hh_tes_in!D16/SER_hh_num_in!D16)</f>
        <v>19810.002140951448</v>
      </c>
      <c r="E16" s="130">
        <f>IF(SER_hh_tes_in!E16=0,0,11630*1000*SER_hh_tes_in!E16/SER_hh_num_in!E16)</f>
        <v>21896.167928723989</v>
      </c>
      <c r="F16" s="130">
        <f>IF(SER_hh_tes_in!F16=0,0,11630*1000*SER_hh_tes_in!F16/SER_hh_num_in!F16)</f>
        <v>17166.154563612843</v>
      </c>
      <c r="G16" s="130">
        <f>IF(SER_hh_tes_in!G16=0,0,11630*1000*SER_hh_tes_in!G16/SER_hh_num_in!G16)</f>
        <v>17294.342230114558</v>
      </c>
      <c r="H16" s="130">
        <f>IF(SER_hh_tes_in!H16=0,0,11630*1000*SER_hh_tes_in!H16/SER_hh_num_in!H16)</f>
        <v>19953.946170872012</v>
      </c>
      <c r="I16" s="130">
        <f>IF(SER_hh_tes_in!I16=0,0,11630*1000*SER_hh_tes_in!I16/SER_hh_num_in!I16)</f>
        <v>35696.828525604818</v>
      </c>
      <c r="J16" s="130">
        <f>IF(SER_hh_tes_in!J16=0,0,11630*1000*SER_hh_tes_in!J16/SER_hh_num_in!J16)</f>
        <v>22576.593637571372</v>
      </c>
      <c r="K16" s="130">
        <f>IF(SER_hh_tes_in!K16=0,0,11630*1000*SER_hh_tes_in!K16/SER_hh_num_in!K16)</f>
        <v>19280.589263598958</v>
      </c>
      <c r="L16" s="130">
        <f>IF(SER_hh_tes_in!L16=0,0,11630*1000*SER_hh_tes_in!L16/SER_hh_num_in!L16)</f>
        <v>23802.127567729131</v>
      </c>
      <c r="M16" s="130">
        <f>IF(SER_hh_tes_in!M16=0,0,11630*1000*SER_hh_tes_in!M16/SER_hh_num_in!M16)</f>
        <v>19526.674745158965</v>
      </c>
      <c r="N16" s="130">
        <f>IF(SER_hh_tes_in!N16=0,0,11630*1000*SER_hh_tes_in!N16/SER_hh_num_in!N16)</f>
        <v>40163.134303332321</v>
      </c>
      <c r="O16" s="130">
        <f>IF(SER_hh_tes_in!O16=0,0,11630*1000*SER_hh_tes_in!O16/SER_hh_num_in!O16)</f>
        <v>19224.896644234097</v>
      </c>
      <c r="P16" s="130">
        <f>IF(SER_hh_tes_in!P16=0,0,11630*1000*SER_hh_tes_in!P16/SER_hh_num_in!P16)</f>
        <v>17493.232880414329</v>
      </c>
      <c r="Q16" s="130">
        <f>IF(SER_hh_tes_in!Q16=0,0,11630*1000*SER_hh_tes_in!Q16/SER_hh_num_in!Q16)</f>
        <v>24735.160524052808</v>
      </c>
      <c r="R16" s="130">
        <f>IF(SER_hh_tes_in!R16=0,0,11630*1000*SER_hh_tes_in!R16/SER_hh_num_in!R16)</f>
        <v>22422.274984134718</v>
      </c>
      <c r="S16" s="130">
        <f>IF(SER_hh_tes_in!S16=0,0,11630*1000*SER_hh_tes_in!S16/SER_hh_num_in!S16)</f>
        <v>23270.928356524317</v>
      </c>
      <c r="T16" s="130">
        <f>IF(SER_hh_tes_in!T16=0,0,11630*1000*SER_hh_tes_in!T16/SER_hh_num_in!T16)</f>
        <v>17037.280848825463</v>
      </c>
      <c r="U16" s="130">
        <f>IF(SER_hh_tes_in!U16=0,0,11630*1000*SER_hh_tes_in!U16/SER_hh_num_in!U16)</f>
        <v>18303.51785054354</v>
      </c>
      <c r="V16" s="130">
        <f>IF(SER_hh_tes_in!V16=0,0,11630*1000*SER_hh_tes_in!V16/SER_hh_num_in!V16)</f>
        <v>17294.380605935487</v>
      </c>
      <c r="W16" s="130">
        <f>IF(SER_hh_tes_in!W16=0,0,11630*1000*SER_hh_tes_in!W16/SER_hh_num_in!W16)</f>
        <v>22885.78412610936</v>
      </c>
      <c r="X16" s="130">
        <f>IF(SER_hh_tes_in!X16=0,0,11630*1000*SER_hh_tes_in!X16/SER_hh_num_in!X16)</f>
        <v>19783.073763338063</v>
      </c>
      <c r="Y16" s="130">
        <f>IF(SER_hh_tes_in!Y16=0,0,11630*1000*SER_hh_tes_in!Y16/SER_hh_num_in!Y16)</f>
        <v>24809.091176426002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0</v>
      </c>
      <c r="D17" s="132">
        <f>IF(SER_hh_tes_in!D17=0,0,11630*1000*SER_hh_tes_in!D17/SER_hh_num_in!D17)</f>
        <v>0</v>
      </c>
      <c r="E17" s="132">
        <f>IF(SER_hh_tes_in!E17=0,0,11630*1000*SER_hh_tes_in!E17/SER_hh_num_in!E17)</f>
        <v>0</v>
      </c>
      <c r="F17" s="132">
        <f>IF(SER_hh_tes_in!F17=0,0,11630*1000*SER_hh_tes_in!F17/SER_hh_num_in!F17)</f>
        <v>0</v>
      </c>
      <c r="G17" s="132">
        <f>IF(SER_hh_tes_in!G17=0,0,11630*1000*SER_hh_tes_in!G17/SER_hh_num_in!G17)</f>
        <v>0</v>
      </c>
      <c r="H17" s="132">
        <f>IF(SER_hh_tes_in!H17=0,0,11630*1000*SER_hh_tes_in!H17/SER_hh_num_in!H17)</f>
        <v>0</v>
      </c>
      <c r="I17" s="132">
        <f>IF(SER_hh_tes_in!I17=0,0,11630*1000*SER_hh_tes_in!I17/SER_hh_num_in!I17)</f>
        <v>0</v>
      </c>
      <c r="J17" s="132">
        <f>IF(SER_hh_tes_in!J17=0,0,11630*1000*SER_hh_tes_in!J17/SER_hh_num_in!J17)</f>
        <v>0</v>
      </c>
      <c r="K17" s="132">
        <f>IF(SER_hh_tes_in!K17=0,0,11630*1000*SER_hh_tes_in!K17/SER_hh_num_in!K17)</f>
        <v>0</v>
      </c>
      <c r="L17" s="132">
        <f>IF(SER_hh_tes_in!L17=0,0,11630*1000*SER_hh_tes_in!L17/SER_hh_num_in!L17)</f>
        <v>0</v>
      </c>
      <c r="M17" s="132">
        <f>IF(SER_hh_tes_in!M17=0,0,11630*1000*SER_hh_tes_in!M17/SER_hh_num_in!M17)</f>
        <v>0</v>
      </c>
      <c r="N17" s="132">
        <f>IF(SER_hh_tes_in!N17=0,0,11630*1000*SER_hh_tes_in!N17/SER_hh_num_in!N17)</f>
        <v>0</v>
      </c>
      <c r="O17" s="132">
        <f>IF(SER_hh_tes_in!O17=0,0,11630*1000*SER_hh_tes_in!O17/SER_hh_num_in!O17)</f>
        <v>0</v>
      </c>
      <c r="P17" s="132">
        <f>IF(SER_hh_tes_in!P17=0,0,11630*1000*SER_hh_tes_in!P17/SER_hh_num_in!P17)</f>
        <v>0</v>
      </c>
      <c r="Q17" s="132">
        <f>IF(SER_hh_tes_in!Q17=0,0,11630*1000*SER_hh_tes_in!Q17/SER_hh_num_in!Q17)</f>
        <v>0</v>
      </c>
      <c r="R17" s="132">
        <f>IF(SER_hh_tes_in!R17=0,0,11630*1000*SER_hh_tes_in!R17/SER_hh_num_in!R17)</f>
        <v>0</v>
      </c>
      <c r="S17" s="132">
        <f>IF(SER_hh_tes_in!S17=0,0,11630*1000*SER_hh_tes_in!S17/SER_hh_num_in!S17)</f>
        <v>0</v>
      </c>
      <c r="T17" s="132">
        <f>IF(SER_hh_tes_in!T17=0,0,11630*1000*SER_hh_tes_in!T17/SER_hh_num_in!T17)</f>
        <v>0</v>
      </c>
      <c r="U17" s="132">
        <f>IF(SER_hh_tes_in!U17=0,0,11630*1000*SER_hh_tes_in!U17/SER_hh_num_in!U17)</f>
        <v>0</v>
      </c>
      <c r="V17" s="132">
        <f>IF(SER_hh_tes_in!V17=0,0,11630*1000*SER_hh_tes_in!V17/SER_hh_num_in!V17)</f>
        <v>0</v>
      </c>
      <c r="W17" s="132">
        <f>IF(SER_hh_tes_in!W17=0,0,11630*1000*SER_hh_tes_in!W17/SER_hh_num_in!W17)</f>
        <v>0</v>
      </c>
      <c r="X17" s="132">
        <f>IF(SER_hh_tes_in!X17=0,0,11630*1000*SER_hh_tes_in!X17/SER_hh_num_in!X17)</f>
        <v>0</v>
      </c>
      <c r="Y17" s="132">
        <f>IF(SER_hh_tes_in!Y17=0,0,11630*1000*SER_hh_tes_in!Y17/SER_hh_num_in!Y17)</f>
        <v>0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26876.646718379528</v>
      </c>
      <c r="D18" s="132">
        <f>IF(SER_hh_tes_in!D18=0,0,11630*1000*SER_hh_tes_in!D18/SER_hh_num_in!D18)</f>
        <v>19810.002140951448</v>
      </c>
      <c r="E18" s="132">
        <f>IF(SER_hh_tes_in!E18=0,0,11630*1000*SER_hh_tes_in!E18/SER_hh_num_in!E18)</f>
        <v>21896.167928723989</v>
      </c>
      <c r="F18" s="132">
        <f>IF(SER_hh_tes_in!F18=0,0,11630*1000*SER_hh_tes_in!F18/SER_hh_num_in!F18)</f>
        <v>17166.154563612843</v>
      </c>
      <c r="G18" s="132">
        <f>IF(SER_hh_tes_in!G18=0,0,11630*1000*SER_hh_tes_in!G18/SER_hh_num_in!G18)</f>
        <v>17294.342230114558</v>
      </c>
      <c r="H18" s="132">
        <f>IF(SER_hh_tes_in!H18=0,0,11630*1000*SER_hh_tes_in!H18/SER_hh_num_in!H18)</f>
        <v>19953.946170872012</v>
      </c>
      <c r="I18" s="132">
        <f>IF(SER_hh_tes_in!I18=0,0,11630*1000*SER_hh_tes_in!I18/SER_hh_num_in!I18)</f>
        <v>35696.828525604818</v>
      </c>
      <c r="J18" s="132">
        <f>IF(SER_hh_tes_in!J18=0,0,11630*1000*SER_hh_tes_in!J18/SER_hh_num_in!J18)</f>
        <v>22576.593637571372</v>
      </c>
      <c r="K18" s="132">
        <f>IF(SER_hh_tes_in!K18=0,0,11630*1000*SER_hh_tes_in!K18/SER_hh_num_in!K18)</f>
        <v>19280.589263598958</v>
      </c>
      <c r="L18" s="132">
        <f>IF(SER_hh_tes_in!L18=0,0,11630*1000*SER_hh_tes_in!L18/SER_hh_num_in!L18)</f>
        <v>23802.127567729131</v>
      </c>
      <c r="M18" s="132">
        <f>IF(SER_hh_tes_in!M18=0,0,11630*1000*SER_hh_tes_in!M18/SER_hh_num_in!M18)</f>
        <v>19526.674745158965</v>
      </c>
      <c r="N18" s="132">
        <f>IF(SER_hh_tes_in!N18=0,0,11630*1000*SER_hh_tes_in!N18/SER_hh_num_in!N18)</f>
        <v>40163.134303332321</v>
      </c>
      <c r="O18" s="132">
        <f>IF(SER_hh_tes_in!O18=0,0,11630*1000*SER_hh_tes_in!O18/SER_hh_num_in!O18)</f>
        <v>19224.896644234097</v>
      </c>
      <c r="P18" s="132">
        <f>IF(SER_hh_tes_in!P18=0,0,11630*1000*SER_hh_tes_in!P18/SER_hh_num_in!P18)</f>
        <v>17493.232880414329</v>
      </c>
      <c r="Q18" s="132">
        <f>IF(SER_hh_tes_in!Q18=0,0,11630*1000*SER_hh_tes_in!Q18/SER_hh_num_in!Q18)</f>
        <v>24735.160524052808</v>
      </c>
      <c r="R18" s="132">
        <f>IF(SER_hh_tes_in!R18=0,0,11630*1000*SER_hh_tes_in!R18/SER_hh_num_in!R18)</f>
        <v>22422.274984134718</v>
      </c>
      <c r="S18" s="132">
        <f>IF(SER_hh_tes_in!S18=0,0,11630*1000*SER_hh_tes_in!S18/SER_hh_num_in!S18)</f>
        <v>23270.928356524317</v>
      </c>
      <c r="T18" s="132">
        <f>IF(SER_hh_tes_in!T18=0,0,11630*1000*SER_hh_tes_in!T18/SER_hh_num_in!T18)</f>
        <v>17037.280848825463</v>
      </c>
      <c r="U18" s="132">
        <f>IF(SER_hh_tes_in!U18=0,0,11630*1000*SER_hh_tes_in!U18/SER_hh_num_in!U18)</f>
        <v>18303.51785054354</v>
      </c>
      <c r="V18" s="132">
        <f>IF(SER_hh_tes_in!V18=0,0,11630*1000*SER_hh_tes_in!V18/SER_hh_num_in!V18)</f>
        <v>17294.380605935487</v>
      </c>
      <c r="W18" s="132">
        <f>IF(SER_hh_tes_in!W18=0,0,11630*1000*SER_hh_tes_in!W18/SER_hh_num_in!W18)</f>
        <v>22885.78412610936</v>
      </c>
      <c r="X18" s="132">
        <f>IF(SER_hh_tes_in!X18=0,0,11630*1000*SER_hh_tes_in!X18/SER_hh_num_in!X18)</f>
        <v>19783.073763338063</v>
      </c>
      <c r="Y18" s="132">
        <f>IF(SER_hh_tes_in!Y18=0,0,11630*1000*SER_hh_tes_in!Y18/SER_hh_num_in!Y18)</f>
        <v>24809.091176426002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9209.3313181079975</v>
      </c>
      <c r="D19" s="130">
        <f>IF(SER_hh_tes_in!D19=0,0,11630*1000*SER_hh_tes_in!D19/SER_hh_num_in!D19)</f>
        <v>9034.3461768044945</v>
      </c>
      <c r="E19" s="130">
        <f>IF(SER_hh_tes_in!E19=0,0,11630*1000*SER_hh_tes_in!E19/SER_hh_num_in!E19)</f>
        <v>8932.8062415821332</v>
      </c>
      <c r="F19" s="130">
        <f>IF(SER_hh_tes_in!F19=0,0,11630*1000*SER_hh_tes_in!F19/SER_hh_num_in!F19)</f>
        <v>8784.0507572943079</v>
      </c>
      <c r="G19" s="130">
        <f>IF(SER_hh_tes_in!G19=0,0,11630*1000*SER_hh_tes_in!G19/SER_hh_num_in!G19)</f>
        <v>8747.2803439559702</v>
      </c>
      <c r="H19" s="130">
        <f>IF(SER_hh_tes_in!H19=0,0,11630*1000*SER_hh_tes_in!H19/SER_hh_num_in!H19)</f>
        <v>8877.1184292241069</v>
      </c>
      <c r="I19" s="130">
        <f>IF(SER_hh_tes_in!I19=0,0,11630*1000*SER_hh_tes_in!I19/SER_hh_num_in!I19)</f>
        <v>8919.4033724163928</v>
      </c>
      <c r="J19" s="130">
        <f>IF(SER_hh_tes_in!J19=0,0,11630*1000*SER_hh_tes_in!J19/SER_hh_num_in!J19)</f>
        <v>8870.0956615187552</v>
      </c>
      <c r="K19" s="130">
        <f>IF(SER_hh_tes_in!K19=0,0,11630*1000*SER_hh_tes_in!K19/SER_hh_num_in!K19)</f>
        <v>9151.4020060487655</v>
      </c>
      <c r="L19" s="130">
        <f>IF(SER_hh_tes_in!L19=0,0,11630*1000*SER_hh_tes_in!L19/SER_hh_num_in!L19)</f>
        <v>9667.1459443375225</v>
      </c>
      <c r="M19" s="130">
        <f>IF(SER_hh_tes_in!M19=0,0,11630*1000*SER_hh_tes_in!M19/SER_hh_num_in!M19)</f>
        <v>9712.1898023788035</v>
      </c>
      <c r="N19" s="130">
        <f>IF(SER_hh_tes_in!N19=0,0,11630*1000*SER_hh_tes_in!N19/SER_hh_num_in!N19)</f>
        <v>9707.3104429864543</v>
      </c>
      <c r="O19" s="130">
        <f>IF(SER_hh_tes_in!O19=0,0,11630*1000*SER_hh_tes_in!O19/SER_hh_num_in!O19)</f>
        <v>9893.1829066333776</v>
      </c>
      <c r="P19" s="130">
        <f>IF(SER_hh_tes_in!P19=0,0,11630*1000*SER_hh_tes_in!P19/SER_hh_num_in!P19)</f>
        <v>9714.5283533479924</v>
      </c>
      <c r="Q19" s="130">
        <f>IF(SER_hh_tes_in!Q19=0,0,11630*1000*SER_hh_tes_in!Q19/SER_hh_num_in!Q19)</f>
        <v>9896.3371849836767</v>
      </c>
      <c r="R19" s="130">
        <f>IF(SER_hh_tes_in!R19=0,0,11630*1000*SER_hh_tes_in!R19/SER_hh_num_in!R19)</f>
        <v>9985.4906905632197</v>
      </c>
      <c r="S19" s="130">
        <f>IF(SER_hh_tes_in!S19=0,0,11630*1000*SER_hh_tes_in!S19/SER_hh_num_in!S19)</f>
        <v>10145.236529269623</v>
      </c>
      <c r="T19" s="130">
        <f>IF(SER_hh_tes_in!T19=0,0,11630*1000*SER_hh_tes_in!T19/SER_hh_num_in!T19)</f>
        <v>10287.373980801112</v>
      </c>
      <c r="U19" s="130">
        <f>IF(SER_hh_tes_in!U19=0,0,11630*1000*SER_hh_tes_in!U19/SER_hh_num_in!U19)</f>
        <v>10382.337610174456</v>
      </c>
      <c r="V19" s="130">
        <f>IF(SER_hh_tes_in!V19=0,0,11630*1000*SER_hh_tes_in!V19/SER_hh_num_in!V19)</f>
        <v>9133.6318122803714</v>
      </c>
      <c r="W19" s="130">
        <f>IF(SER_hh_tes_in!W19=0,0,11630*1000*SER_hh_tes_in!W19/SER_hh_num_in!W19)</f>
        <v>9726.3244512043966</v>
      </c>
      <c r="X19" s="130">
        <f>IF(SER_hh_tes_in!X19=0,0,11630*1000*SER_hh_tes_in!X19/SER_hh_num_in!X19)</f>
        <v>10181.972196114744</v>
      </c>
      <c r="Y19" s="130">
        <f>IF(SER_hh_tes_in!Y19=0,0,11630*1000*SER_hh_tes_in!Y19/SER_hh_num_in!Y19)</f>
        <v>10436.160044568769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0</v>
      </c>
      <c r="D21" s="132">
        <f>IF(SER_hh_tes_in!D21=0,0,11630*1000*SER_hh_tes_in!D21/SER_hh_num_in!D21)</f>
        <v>0</v>
      </c>
      <c r="E21" s="132">
        <f>IF(SER_hh_tes_in!E21=0,0,11630*1000*SER_hh_tes_in!E21/SER_hh_num_in!E21)</f>
        <v>0</v>
      </c>
      <c r="F21" s="132">
        <f>IF(SER_hh_tes_in!F21=0,0,11630*1000*SER_hh_tes_in!F21/SER_hh_num_in!F21)</f>
        <v>0</v>
      </c>
      <c r="G21" s="132">
        <f>IF(SER_hh_tes_in!G21=0,0,11630*1000*SER_hh_tes_in!G21/SER_hh_num_in!G21)</f>
        <v>0</v>
      </c>
      <c r="H21" s="132">
        <f>IF(SER_hh_tes_in!H21=0,0,11630*1000*SER_hh_tes_in!H21/SER_hh_num_in!H21)</f>
        <v>0</v>
      </c>
      <c r="I21" s="132">
        <f>IF(SER_hh_tes_in!I21=0,0,11630*1000*SER_hh_tes_in!I21/SER_hh_num_in!I21)</f>
        <v>0</v>
      </c>
      <c r="J21" s="132">
        <f>IF(SER_hh_tes_in!J21=0,0,11630*1000*SER_hh_tes_in!J21/SER_hh_num_in!J21)</f>
        <v>0</v>
      </c>
      <c r="K21" s="132">
        <f>IF(SER_hh_tes_in!K21=0,0,11630*1000*SER_hh_tes_in!K21/SER_hh_num_in!K21)</f>
        <v>0</v>
      </c>
      <c r="L21" s="132">
        <f>IF(SER_hh_tes_in!L21=0,0,11630*1000*SER_hh_tes_in!L21/SER_hh_num_in!L21)</f>
        <v>0</v>
      </c>
      <c r="M21" s="132">
        <f>IF(SER_hh_tes_in!M21=0,0,11630*1000*SER_hh_tes_in!M21/SER_hh_num_in!M21)</f>
        <v>0</v>
      </c>
      <c r="N21" s="132">
        <f>IF(SER_hh_tes_in!N21=0,0,11630*1000*SER_hh_tes_in!N21/SER_hh_num_in!N21)</f>
        <v>0</v>
      </c>
      <c r="O21" s="132">
        <f>IF(SER_hh_tes_in!O21=0,0,11630*1000*SER_hh_tes_in!O21/SER_hh_num_in!O21)</f>
        <v>0</v>
      </c>
      <c r="P21" s="132">
        <f>IF(SER_hh_tes_in!P21=0,0,11630*1000*SER_hh_tes_in!P21/SER_hh_num_in!P21)</f>
        <v>0</v>
      </c>
      <c r="Q21" s="132">
        <f>IF(SER_hh_tes_in!Q21=0,0,11630*1000*SER_hh_tes_in!Q21/SER_hh_num_in!Q21)</f>
        <v>0</v>
      </c>
      <c r="R21" s="132">
        <f>IF(SER_hh_tes_in!R21=0,0,11630*1000*SER_hh_tes_in!R21/SER_hh_num_in!R21)</f>
        <v>0</v>
      </c>
      <c r="S21" s="132">
        <f>IF(SER_hh_tes_in!S21=0,0,11630*1000*SER_hh_tes_in!S21/SER_hh_num_in!S21)</f>
        <v>0</v>
      </c>
      <c r="T21" s="132">
        <f>IF(SER_hh_tes_in!T21=0,0,11630*1000*SER_hh_tes_in!T21/SER_hh_num_in!T21)</f>
        <v>0</v>
      </c>
      <c r="U21" s="132">
        <f>IF(SER_hh_tes_in!U21=0,0,11630*1000*SER_hh_tes_in!U21/SER_hh_num_in!U21)</f>
        <v>0</v>
      </c>
      <c r="V21" s="132">
        <f>IF(SER_hh_tes_in!V21=0,0,11630*1000*SER_hh_tes_in!V21/SER_hh_num_in!V21)</f>
        <v>0</v>
      </c>
      <c r="W21" s="132">
        <f>IF(SER_hh_tes_in!W21=0,0,11630*1000*SER_hh_tes_in!W21/SER_hh_num_in!W21)</f>
        <v>0</v>
      </c>
      <c r="X21" s="132">
        <f>IF(SER_hh_tes_in!X21=0,0,11630*1000*SER_hh_tes_in!X21/SER_hh_num_in!X21)</f>
        <v>0</v>
      </c>
      <c r="Y21" s="132">
        <f>IF(SER_hh_tes_in!Y21=0,0,11630*1000*SER_hh_tes_in!Y21/SER_hh_num_in!Y21)</f>
        <v>0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9477.235496890049</v>
      </c>
      <c r="D22" s="132">
        <f>IF(SER_hh_tes_in!D22=0,0,11630*1000*SER_hh_tes_in!D22/SER_hh_num_in!D22)</f>
        <v>9538.4657744294745</v>
      </c>
      <c r="E22" s="132">
        <f>IF(SER_hh_tes_in!E22=0,0,11630*1000*SER_hh_tes_in!E22/SER_hh_num_in!E22)</f>
        <v>9364.3959869648079</v>
      </c>
      <c r="F22" s="132">
        <f>IF(SER_hh_tes_in!F22=0,0,11630*1000*SER_hh_tes_in!F22/SER_hh_num_in!F22)</f>
        <v>0</v>
      </c>
      <c r="G22" s="132">
        <f>IF(SER_hh_tes_in!G22=0,0,11630*1000*SER_hh_tes_in!G22/SER_hh_num_in!G22)</f>
        <v>0</v>
      </c>
      <c r="H22" s="132">
        <f>IF(SER_hh_tes_in!H22=0,0,11630*1000*SER_hh_tes_in!H22/SER_hh_num_in!H22)</f>
        <v>8653.3442973247274</v>
      </c>
      <c r="I22" s="132">
        <f>IF(SER_hh_tes_in!I22=0,0,11630*1000*SER_hh_tes_in!I22/SER_hh_num_in!I22)</f>
        <v>8905.6956437519457</v>
      </c>
      <c r="J22" s="132">
        <f>IF(SER_hh_tes_in!J22=0,0,11630*1000*SER_hh_tes_in!J22/SER_hh_num_in!J22)</f>
        <v>9104.9236705284311</v>
      </c>
      <c r="K22" s="132">
        <f>IF(SER_hh_tes_in!K22=0,0,11630*1000*SER_hh_tes_in!K22/SER_hh_num_in!K22)</f>
        <v>9199.5848709648963</v>
      </c>
      <c r="L22" s="132">
        <f>IF(SER_hh_tes_in!L22=0,0,11630*1000*SER_hh_tes_in!L22/SER_hh_num_in!L22)</f>
        <v>4681.0980996316948</v>
      </c>
      <c r="M22" s="132">
        <f>IF(SER_hh_tes_in!M22=0,0,11630*1000*SER_hh_tes_in!M22/SER_hh_num_in!M22)</f>
        <v>9495.3988106084853</v>
      </c>
      <c r="N22" s="132">
        <f>IF(SER_hh_tes_in!N22=0,0,11630*1000*SER_hh_tes_in!N22/SER_hh_num_in!N22)</f>
        <v>10325.039504090644</v>
      </c>
      <c r="O22" s="132">
        <f>IF(SER_hh_tes_in!O22=0,0,11630*1000*SER_hh_tes_in!O22/SER_hh_num_in!O22)</f>
        <v>0</v>
      </c>
      <c r="P22" s="132">
        <f>IF(SER_hh_tes_in!P22=0,0,11630*1000*SER_hh_tes_in!P22/SER_hh_num_in!P22)</f>
        <v>0</v>
      </c>
      <c r="Q22" s="132">
        <f>IF(SER_hh_tes_in!Q22=0,0,11630*1000*SER_hh_tes_in!Q22/SER_hh_num_in!Q22)</f>
        <v>0</v>
      </c>
      <c r="R22" s="132">
        <f>IF(SER_hh_tes_in!R22=0,0,11630*1000*SER_hh_tes_in!R22/SER_hh_num_in!R22)</f>
        <v>0</v>
      </c>
      <c r="S22" s="132">
        <f>IF(SER_hh_tes_in!S22=0,0,11630*1000*SER_hh_tes_in!S22/SER_hh_num_in!S22)</f>
        <v>0</v>
      </c>
      <c r="T22" s="132">
        <f>IF(SER_hh_tes_in!T22=0,0,11630*1000*SER_hh_tes_in!T22/SER_hh_num_in!T22)</f>
        <v>0</v>
      </c>
      <c r="U22" s="132">
        <f>IF(SER_hh_tes_in!U22=0,0,11630*1000*SER_hh_tes_in!U22/SER_hh_num_in!U22)</f>
        <v>0</v>
      </c>
      <c r="V22" s="132">
        <f>IF(SER_hh_tes_in!V22=0,0,11630*1000*SER_hh_tes_in!V22/SER_hh_num_in!V22)</f>
        <v>7708.2073924465294</v>
      </c>
      <c r="W22" s="132">
        <f>IF(SER_hh_tes_in!W22=0,0,11630*1000*SER_hh_tes_in!W22/SER_hh_num_in!W22)</f>
        <v>8684.3772798484879</v>
      </c>
      <c r="X22" s="132">
        <f>IF(SER_hh_tes_in!X22=0,0,11630*1000*SER_hh_tes_in!X22/SER_hh_num_in!X22)</f>
        <v>8728.2089305320951</v>
      </c>
      <c r="Y22" s="132">
        <f>IF(SER_hh_tes_in!Y22=0,0,11630*1000*SER_hh_tes_in!Y22/SER_hh_num_in!Y22)</f>
        <v>11737.27196413258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9207.1556547845303</v>
      </c>
      <c r="D23" s="132">
        <f>IF(SER_hh_tes_in!D23=0,0,11630*1000*SER_hh_tes_in!D23/SER_hh_num_in!D23)</f>
        <v>8288.6848033767437</v>
      </c>
      <c r="E23" s="132">
        <f>IF(SER_hh_tes_in!E23=0,0,11630*1000*SER_hh_tes_in!E23/SER_hh_num_in!E23)</f>
        <v>8780.9311062184297</v>
      </c>
      <c r="F23" s="132">
        <f>IF(SER_hh_tes_in!F23=0,0,11630*1000*SER_hh_tes_in!F23/SER_hh_num_in!F23)</f>
        <v>8656.5089758006816</v>
      </c>
      <c r="G23" s="132">
        <f>IF(SER_hh_tes_in!G23=0,0,11630*1000*SER_hh_tes_in!G23/SER_hh_num_in!G23)</f>
        <v>8473.3883329282362</v>
      </c>
      <c r="H23" s="132">
        <f>IF(SER_hh_tes_in!H23=0,0,11630*1000*SER_hh_tes_in!H23/SER_hh_num_in!H23)</f>
        <v>8798.4782030347578</v>
      </c>
      <c r="I23" s="132">
        <f>IF(SER_hh_tes_in!I23=0,0,11630*1000*SER_hh_tes_in!I23/SER_hh_num_in!I23)</f>
        <v>9294.3921699084804</v>
      </c>
      <c r="J23" s="132">
        <f>IF(SER_hh_tes_in!J23=0,0,11630*1000*SER_hh_tes_in!J23/SER_hh_num_in!J23)</f>
        <v>9186.0106169205883</v>
      </c>
      <c r="K23" s="132">
        <f>IF(SER_hh_tes_in!K23=0,0,11630*1000*SER_hh_tes_in!K23/SER_hh_num_in!K23)</f>
        <v>9280.4876036787391</v>
      </c>
      <c r="L23" s="132">
        <f>IF(SER_hh_tes_in!L23=0,0,11630*1000*SER_hh_tes_in!L23/SER_hh_num_in!L23)</f>
        <v>4312.9916507986754</v>
      </c>
      <c r="M23" s="132">
        <f>IF(SER_hh_tes_in!M23=0,0,11630*1000*SER_hh_tes_in!M23/SER_hh_num_in!M23)</f>
        <v>8781.6391458381513</v>
      </c>
      <c r="N23" s="132">
        <f>IF(SER_hh_tes_in!N23=0,0,11630*1000*SER_hh_tes_in!N23/SER_hh_num_in!N23)</f>
        <v>9344.2421637559564</v>
      </c>
      <c r="O23" s="132">
        <f>IF(SER_hh_tes_in!O23=0,0,11630*1000*SER_hh_tes_in!O23/SER_hh_num_in!O23)</f>
        <v>7188.2575602854267</v>
      </c>
      <c r="P23" s="132">
        <f>IF(SER_hh_tes_in!P23=0,0,11630*1000*SER_hh_tes_in!P23/SER_hh_num_in!P23)</f>
        <v>9986.4540433813527</v>
      </c>
      <c r="Q23" s="132">
        <f>IF(SER_hh_tes_in!Q23=0,0,11630*1000*SER_hh_tes_in!Q23/SER_hh_num_in!Q23)</f>
        <v>9402.3787645852135</v>
      </c>
      <c r="R23" s="132">
        <f>IF(SER_hh_tes_in!R23=0,0,11630*1000*SER_hh_tes_in!R23/SER_hh_num_in!R23)</f>
        <v>9605.9122266926115</v>
      </c>
      <c r="S23" s="132">
        <f>IF(SER_hh_tes_in!S23=0,0,11630*1000*SER_hh_tes_in!S23/SER_hh_num_in!S23)</f>
        <v>9791.4198494205939</v>
      </c>
      <c r="T23" s="132">
        <f>IF(SER_hh_tes_in!T23=0,0,11630*1000*SER_hh_tes_in!T23/SER_hh_num_in!T23)</f>
        <v>10584.806464405787</v>
      </c>
      <c r="U23" s="132">
        <f>IF(SER_hh_tes_in!U23=0,0,11630*1000*SER_hh_tes_in!U23/SER_hh_num_in!U23)</f>
        <v>10598.485729729393</v>
      </c>
      <c r="V23" s="132">
        <f>IF(SER_hh_tes_in!V23=0,0,11630*1000*SER_hh_tes_in!V23/SER_hh_num_in!V23)</f>
        <v>6826.2039718424794</v>
      </c>
      <c r="W23" s="132">
        <f>IF(SER_hh_tes_in!W23=0,0,11630*1000*SER_hh_tes_in!W23/SER_hh_num_in!W23)</f>
        <v>10391.845971856032</v>
      </c>
      <c r="X23" s="132">
        <f>IF(SER_hh_tes_in!X23=0,0,11630*1000*SER_hh_tes_in!X23/SER_hh_num_in!X23)</f>
        <v>8081.839680246896</v>
      </c>
      <c r="Y23" s="132">
        <f>IF(SER_hh_tes_in!Y23=0,0,11630*1000*SER_hh_tes_in!Y23/SER_hh_num_in!Y23)</f>
        <v>10354.564582507452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0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0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0</v>
      </c>
      <c r="K24" s="132">
        <f>IF(SER_hh_tes_in!K24=0,0,11630*1000*SER_hh_tes_in!K24/SER_hh_num_in!K24)</f>
        <v>0</v>
      </c>
      <c r="L24" s="132">
        <f>IF(SER_hh_tes_in!L24=0,0,11630*1000*SER_hh_tes_in!L24/SER_hh_num_in!L24)</f>
        <v>0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0</v>
      </c>
      <c r="O24" s="132">
        <f>IF(SER_hh_tes_in!O24=0,0,11630*1000*SER_hh_tes_in!O24/SER_hh_num_in!O24)</f>
        <v>0</v>
      </c>
      <c r="P24" s="132">
        <f>IF(SER_hh_tes_in!P24=0,0,11630*1000*SER_hh_tes_in!P24/SER_hh_num_in!P24)</f>
        <v>0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0</v>
      </c>
      <c r="W24" s="132">
        <f>IF(SER_hh_tes_in!W24=0,0,11630*1000*SER_hh_tes_in!W24/SER_hh_num_in!W24)</f>
        <v>0</v>
      </c>
      <c r="X24" s="132">
        <f>IF(SER_hh_tes_in!X24=0,0,11630*1000*SER_hh_tes_in!X24/SER_hh_num_in!X24)</f>
        <v>0</v>
      </c>
      <c r="Y24" s="132">
        <f>IF(SER_hh_tes_in!Y24=0,0,11630*1000*SER_hh_tes_in!Y24/SER_hh_num_in!Y24)</f>
        <v>0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9189.4101731201081</v>
      </c>
      <c r="D25" s="132">
        <f>IF(SER_hh_tes_in!D25=0,0,11630*1000*SER_hh_tes_in!D25/SER_hh_num_in!D25)</f>
        <v>9048.5158845222668</v>
      </c>
      <c r="E25" s="132">
        <f>IF(SER_hh_tes_in!E25=0,0,11630*1000*SER_hh_tes_in!E25/SER_hh_num_in!E25)</f>
        <v>8995.6107839481756</v>
      </c>
      <c r="F25" s="132">
        <f>IF(SER_hh_tes_in!F25=0,0,11630*1000*SER_hh_tes_in!F25/SER_hh_num_in!F25)</f>
        <v>8916.3874069332178</v>
      </c>
      <c r="G25" s="132">
        <f>IF(SER_hh_tes_in!G25=0,0,11630*1000*SER_hh_tes_in!G25/SER_hh_num_in!G25)</f>
        <v>8876.0971220317169</v>
      </c>
      <c r="H25" s="132">
        <f>IF(SER_hh_tes_in!H25=0,0,11630*1000*SER_hh_tes_in!H25/SER_hh_num_in!H25)</f>
        <v>8851.2433572572554</v>
      </c>
      <c r="I25" s="132">
        <f>IF(SER_hh_tes_in!I25=0,0,11630*1000*SER_hh_tes_in!I25/SER_hh_num_in!I25)</f>
        <v>8886.1629200207153</v>
      </c>
      <c r="J25" s="132">
        <f>IF(SER_hh_tes_in!J25=0,0,11630*1000*SER_hh_tes_in!J25/SER_hh_num_in!J25)</f>
        <v>9017.8368778820241</v>
      </c>
      <c r="K25" s="132">
        <f>IF(SER_hh_tes_in!K25=0,0,11630*1000*SER_hh_tes_in!K25/SER_hh_num_in!K25)</f>
        <v>9161.5977773305713</v>
      </c>
      <c r="L25" s="132">
        <f>IF(SER_hh_tes_in!L25=0,0,11630*1000*SER_hh_tes_in!L25/SER_hh_num_in!L25)</f>
        <v>4317.1521034136213</v>
      </c>
      <c r="M25" s="132">
        <f>IF(SER_hh_tes_in!M25=0,0,11630*1000*SER_hh_tes_in!M25/SER_hh_num_in!M25)</f>
        <v>8801.3115064257308</v>
      </c>
      <c r="N25" s="132">
        <f>IF(SER_hh_tes_in!N25=0,0,11630*1000*SER_hh_tes_in!N25/SER_hh_num_in!N25)</f>
        <v>9415.7691783268965</v>
      </c>
      <c r="O25" s="132">
        <f>IF(SER_hh_tes_in!O25=0,0,11630*1000*SER_hh_tes_in!O25/SER_hh_num_in!O25)</f>
        <v>7607.8533080965253</v>
      </c>
      <c r="P25" s="132">
        <f>IF(SER_hh_tes_in!P25=0,0,11630*1000*SER_hh_tes_in!P25/SER_hh_num_in!P25)</f>
        <v>10143.787462178067</v>
      </c>
      <c r="Q25" s="132">
        <f>IF(SER_hh_tes_in!Q25=0,0,11630*1000*SER_hh_tes_in!Q25/SER_hh_num_in!Q25)</f>
        <v>9594.3554573439596</v>
      </c>
      <c r="R25" s="132">
        <f>IF(SER_hh_tes_in!R25=0,0,11630*1000*SER_hh_tes_in!R25/SER_hh_num_in!R25)</f>
        <v>9862.0303009679737</v>
      </c>
      <c r="S25" s="132">
        <f>IF(SER_hh_tes_in!S25=0,0,11630*1000*SER_hh_tes_in!S25/SER_hh_num_in!S25)</f>
        <v>10080.209123270186</v>
      </c>
      <c r="T25" s="132">
        <f>IF(SER_hh_tes_in!T25=0,0,11630*1000*SER_hh_tes_in!T25/SER_hh_num_in!T25)</f>
        <v>10650.372169224942</v>
      </c>
      <c r="U25" s="132">
        <f>IF(SER_hh_tes_in!U25=0,0,11630*1000*SER_hh_tes_in!U25/SER_hh_num_in!U25)</f>
        <v>10443.046273879379</v>
      </c>
      <c r="V25" s="132">
        <f>IF(SER_hh_tes_in!V25=0,0,11630*1000*SER_hh_tes_in!V25/SER_hh_num_in!V25)</f>
        <v>7133.8815105213935</v>
      </c>
      <c r="W25" s="132">
        <f>IF(SER_hh_tes_in!W25=0,0,11630*1000*SER_hh_tes_in!W25/SER_hh_num_in!W25)</f>
        <v>9839.0916363974429</v>
      </c>
      <c r="X25" s="132">
        <f>IF(SER_hh_tes_in!X25=0,0,11630*1000*SER_hh_tes_in!X25/SER_hh_num_in!X25)</f>
        <v>10039.740616138191</v>
      </c>
      <c r="Y25" s="132">
        <f>IF(SER_hh_tes_in!Y25=0,0,11630*1000*SER_hh_tes_in!Y25/SER_hh_num_in!Y25)</f>
        <v>9797.3400679898787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9192.5957018995796</v>
      </c>
      <c r="D26" s="65">
        <f>IF(SER_hh_tes_in!D26=0,0,11630*1000*SER_hh_tes_in!D26/SER_hh_num_in!D26)</f>
        <v>9202.3511306394867</v>
      </c>
      <c r="E26" s="65">
        <f>IF(SER_hh_tes_in!E26=0,0,11630*1000*SER_hh_tes_in!E26/SER_hh_num_in!E26)</f>
        <v>8937.0749874288831</v>
      </c>
      <c r="F26" s="65">
        <f>IF(SER_hh_tes_in!F26=0,0,11630*1000*SER_hh_tes_in!F26/SER_hh_num_in!F26)</f>
        <v>8749.835768102228</v>
      </c>
      <c r="G26" s="65">
        <f>IF(SER_hh_tes_in!G26=0,0,11630*1000*SER_hh_tes_in!G26/SER_hh_num_in!G26)</f>
        <v>8796.3137641995727</v>
      </c>
      <c r="H26" s="65">
        <f>IF(SER_hh_tes_in!H26=0,0,11630*1000*SER_hh_tes_in!H26/SER_hh_num_in!H26)</f>
        <v>8929.7500134255915</v>
      </c>
      <c r="I26" s="65">
        <f>IF(SER_hh_tes_in!I26=0,0,11630*1000*SER_hh_tes_in!I26/SER_hh_num_in!I26)</f>
        <v>8780.8453253480875</v>
      </c>
      <c r="J26" s="65">
        <f>IF(SER_hh_tes_in!J26=0,0,11630*1000*SER_hh_tes_in!J26/SER_hh_num_in!J26)</f>
        <v>8696.3859384278931</v>
      </c>
      <c r="K26" s="65">
        <f>IF(SER_hh_tes_in!K26=0,0,11630*1000*SER_hh_tes_in!K26/SER_hh_num_in!K26)</f>
        <v>9106.2929371991704</v>
      </c>
      <c r="L26" s="65">
        <f>IF(SER_hh_tes_in!L26=0,0,11630*1000*SER_hh_tes_in!L26/SER_hh_num_in!L26)</f>
        <v>2786.7253123690534</v>
      </c>
      <c r="M26" s="65">
        <f>IF(SER_hh_tes_in!M26=0,0,11630*1000*SER_hh_tes_in!M26/SER_hh_num_in!M26)</f>
        <v>2624.4960981858371</v>
      </c>
      <c r="N26" s="65">
        <f>IF(SER_hh_tes_in!N26=0,0,11630*1000*SER_hh_tes_in!N26/SER_hh_num_in!N26)</f>
        <v>2356.4111495304701</v>
      </c>
      <c r="O26" s="65">
        <f>IF(SER_hh_tes_in!O26=0,0,11630*1000*SER_hh_tes_in!O26/SER_hh_num_in!O26)</f>
        <v>2476.5144776999887</v>
      </c>
      <c r="P26" s="65">
        <f>IF(SER_hh_tes_in!P26=0,0,11630*1000*SER_hh_tes_in!P26/SER_hh_num_in!P26)</f>
        <v>4223.8534194405511</v>
      </c>
      <c r="Q26" s="65">
        <f>IF(SER_hh_tes_in!Q26=0,0,11630*1000*SER_hh_tes_in!Q26/SER_hh_num_in!Q26)</f>
        <v>2413.4923416673337</v>
      </c>
      <c r="R26" s="65">
        <f>IF(SER_hh_tes_in!R26=0,0,11630*1000*SER_hh_tes_in!R26/SER_hh_num_in!R26)</f>
        <v>2720.9486525533894</v>
      </c>
      <c r="S26" s="65">
        <f>IF(SER_hh_tes_in!S26=0,0,11630*1000*SER_hh_tes_in!S26/SER_hh_num_in!S26)</f>
        <v>3012.3931360070851</v>
      </c>
      <c r="T26" s="65">
        <f>IF(SER_hh_tes_in!T26=0,0,11630*1000*SER_hh_tes_in!T26/SER_hh_num_in!T26)</f>
        <v>3329.0322399541974</v>
      </c>
      <c r="U26" s="65">
        <f>IF(SER_hh_tes_in!U26=0,0,11630*1000*SER_hh_tes_in!U26/SER_hh_num_in!U26)</f>
        <v>3002.4701515760703</v>
      </c>
      <c r="V26" s="65">
        <f>IF(SER_hh_tes_in!V26=0,0,11630*1000*SER_hh_tes_in!V26/SER_hh_num_in!V26)</f>
        <v>2423.7130405774874</v>
      </c>
      <c r="W26" s="65">
        <f>IF(SER_hh_tes_in!W26=0,0,11630*1000*SER_hh_tes_in!W26/SER_hh_num_in!W26)</f>
        <v>4767.9563478386499</v>
      </c>
      <c r="X26" s="65">
        <f>IF(SER_hh_tes_in!X26=0,0,11630*1000*SER_hh_tes_in!X26/SER_hh_num_in!X26)</f>
        <v>2707.0379481069472</v>
      </c>
      <c r="Y26" s="65">
        <f>IF(SER_hh_tes_in!Y26=0,0,11630*1000*SER_hh_tes_in!Y26/SER_hh_num_in!Y26)</f>
        <v>2780.1929448585724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0</v>
      </c>
      <c r="D27" s="145">
        <f>IF(SER_hh_tes_in!D27=0,0,11630*1000*SER_hh_tes_in!D27/SER_hh_num_in!D19)</f>
        <v>0</v>
      </c>
      <c r="E27" s="145">
        <f>IF(SER_hh_tes_in!E27=0,0,11630*1000*SER_hh_tes_in!E27/SER_hh_num_in!E19)</f>
        <v>0</v>
      </c>
      <c r="F27" s="145">
        <f>IF(SER_hh_tes_in!F27=0,0,11630*1000*SER_hh_tes_in!F27/SER_hh_num_in!F19)</f>
        <v>0</v>
      </c>
      <c r="G27" s="145">
        <f>IF(SER_hh_tes_in!G27=0,0,11630*1000*SER_hh_tes_in!G27/SER_hh_num_in!G19)</f>
        <v>0</v>
      </c>
      <c r="H27" s="145">
        <f>IF(SER_hh_tes_in!H27=0,0,11630*1000*SER_hh_tes_in!H27/SER_hh_num_in!H19)</f>
        <v>0</v>
      </c>
      <c r="I27" s="145">
        <f>IF(SER_hh_tes_in!I27=0,0,11630*1000*SER_hh_tes_in!I27/SER_hh_num_in!I19)</f>
        <v>0</v>
      </c>
      <c r="J27" s="145">
        <f>IF(SER_hh_tes_in!J27=0,0,11630*1000*SER_hh_tes_in!J27/SER_hh_num_in!J19)</f>
        <v>0</v>
      </c>
      <c r="K27" s="145">
        <f>IF(SER_hh_tes_in!K27=0,0,11630*1000*SER_hh_tes_in!K27/SER_hh_num_in!K19)</f>
        <v>0</v>
      </c>
      <c r="L27" s="145">
        <f>IF(SER_hh_tes_in!L27=0,0,11630*1000*SER_hh_tes_in!L27/SER_hh_num_in!L19)</f>
        <v>6318.4852009329061</v>
      </c>
      <c r="M27" s="145">
        <f>IF(SER_hh_tes_in!M27=0,0,11630*1000*SER_hh_tes_in!M27/SER_hh_num_in!M19)</f>
        <v>4990.5088725152673</v>
      </c>
      <c r="N27" s="145">
        <f>IF(SER_hh_tes_in!N27=0,0,11630*1000*SER_hh_tes_in!N27/SER_hh_num_in!N19)</f>
        <v>4504.3012254732721</v>
      </c>
      <c r="O27" s="145">
        <f>IF(SER_hh_tes_in!O27=0,0,11630*1000*SER_hh_tes_in!O27/SER_hh_num_in!O19)</f>
        <v>5432.2077924568212</v>
      </c>
      <c r="P27" s="145">
        <f>IF(SER_hh_tes_in!P27=0,0,11630*1000*SER_hh_tes_in!P27/SER_hh_num_in!P19)</f>
        <v>3086.1721103428881</v>
      </c>
      <c r="Q27" s="145">
        <f>IF(SER_hh_tes_in!Q27=0,0,11630*1000*SER_hh_tes_in!Q27/SER_hh_num_in!Q19)</f>
        <v>4698.3365708125102</v>
      </c>
      <c r="R27" s="145">
        <f>IF(SER_hh_tes_in!R27=0,0,11630*1000*SER_hh_tes_in!R27/SER_hh_num_in!R19)</f>
        <v>4150.5413649096872</v>
      </c>
      <c r="S27" s="145">
        <f>IF(SER_hh_tes_in!S27=0,0,11630*1000*SER_hh_tes_in!S27/SER_hh_num_in!S19)</f>
        <v>4134.3905098369223</v>
      </c>
      <c r="T27" s="145">
        <f>IF(SER_hh_tes_in!T27=0,0,11630*1000*SER_hh_tes_in!T27/SER_hh_num_in!T19)</f>
        <v>3754.9997985620898</v>
      </c>
      <c r="U27" s="145">
        <f>IF(SER_hh_tes_in!U27=0,0,11630*1000*SER_hh_tes_in!U27/SER_hh_num_in!U19)</f>
        <v>4268.6962121467241</v>
      </c>
      <c r="V27" s="145">
        <f>IF(SER_hh_tes_in!V27=0,0,11630*1000*SER_hh_tes_in!V27/SER_hh_num_in!V19)</f>
        <v>4661.6124627627341</v>
      </c>
      <c r="W27" s="145">
        <f>IF(SER_hh_tes_in!W27=0,0,11630*1000*SER_hh_tes_in!W27/SER_hh_num_in!W19)</f>
        <v>2864.1683623293547</v>
      </c>
      <c r="X27" s="145">
        <f>IF(SER_hh_tes_in!X27=0,0,11630*1000*SER_hh_tes_in!X27/SER_hh_num_in!X19)</f>
        <v>4337.874734170362</v>
      </c>
      <c r="Y27" s="145">
        <f>IF(SER_hh_tes_in!Y27=0,0,11630*1000*SER_hh_tes_in!Y27/SER_hh_num_in!Y19)</f>
        <v>4408.0103037371136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0</v>
      </c>
      <c r="D28" s="146">
        <f>IF(SER_hh_tes_in!D27=0,0,11630*1000*SER_hh_tes_in!D27/SER_hh_num_in!D27)</f>
        <v>0</v>
      </c>
      <c r="E28" s="146">
        <f>IF(SER_hh_tes_in!E27=0,0,11630*1000*SER_hh_tes_in!E27/SER_hh_num_in!E27)</f>
        <v>0</v>
      </c>
      <c r="F28" s="146">
        <f>IF(SER_hh_tes_in!F27=0,0,11630*1000*SER_hh_tes_in!F27/SER_hh_num_in!F27)</f>
        <v>0</v>
      </c>
      <c r="G28" s="146">
        <f>IF(SER_hh_tes_in!G27=0,0,11630*1000*SER_hh_tes_in!G27/SER_hh_num_in!G27)</f>
        <v>0</v>
      </c>
      <c r="H28" s="146">
        <f>IF(SER_hh_tes_in!H27=0,0,11630*1000*SER_hh_tes_in!H27/SER_hh_num_in!H27)</f>
        <v>0</v>
      </c>
      <c r="I28" s="146">
        <f>IF(SER_hh_tes_in!I27=0,0,11630*1000*SER_hh_tes_in!I27/SER_hh_num_in!I27)</f>
        <v>0</v>
      </c>
      <c r="J28" s="146">
        <f>IF(SER_hh_tes_in!J27=0,0,11630*1000*SER_hh_tes_in!J27/SER_hh_num_in!J27)</f>
        <v>0</v>
      </c>
      <c r="K28" s="146">
        <f>IF(SER_hh_tes_in!K27=0,0,11630*1000*SER_hh_tes_in!K27/SER_hh_num_in!K27)</f>
        <v>0</v>
      </c>
      <c r="L28" s="146">
        <f>IF(SER_hh_tes_in!L27=0,0,11630*1000*SER_hh_tes_in!L27/SER_hh_num_in!L27)</f>
        <v>6318.4852009329061</v>
      </c>
      <c r="M28" s="146">
        <f>IF(SER_hh_tes_in!M27=0,0,11630*1000*SER_hh_tes_in!M27/SER_hh_num_in!M27)</f>
        <v>6785.6170329977085</v>
      </c>
      <c r="N28" s="146">
        <f>IF(SER_hh_tes_in!N27=0,0,11630*1000*SER_hh_tes_in!N27/SER_hh_num_in!N27)</f>
        <v>7047.0019647804793</v>
      </c>
      <c r="O28" s="146">
        <f>IF(SER_hh_tes_in!O27=0,0,11630*1000*SER_hh_tes_in!O27/SER_hh_num_in!O27)</f>
        <v>6674.1518409174068</v>
      </c>
      <c r="P28" s="146">
        <f>IF(SER_hh_tes_in!P27=0,0,11630*1000*SER_hh_tes_in!P27/SER_hh_num_in!P27)</f>
        <v>6904.0340289064006</v>
      </c>
      <c r="Q28" s="146">
        <f>IF(SER_hh_tes_in!Q27=0,0,11630*1000*SER_hh_tes_in!Q27/SER_hh_num_in!Q27)</f>
        <v>7099.3683817185383</v>
      </c>
      <c r="R28" s="146">
        <f>IF(SER_hh_tes_in!R27=0,0,11630*1000*SER_hh_tes_in!R27/SER_hh_num_in!R27)</f>
        <v>6870.506372123612</v>
      </c>
      <c r="S28" s="146">
        <f>IF(SER_hh_tes_in!S27=0,0,11630*1000*SER_hh_tes_in!S27/SER_hh_num_in!S27)</f>
        <v>6726.5682556435277</v>
      </c>
      <c r="T28" s="146">
        <f>IF(SER_hh_tes_in!T27=0,0,11630*1000*SER_hh_tes_in!T27/SER_hh_num_in!T27)</f>
        <v>7140.1718642696569</v>
      </c>
      <c r="U28" s="146">
        <f>IF(SER_hh_tes_in!U27=0,0,11630*1000*SER_hh_tes_in!U27/SER_hh_num_in!U27)</f>
        <v>7183.4999941519955</v>
      </c>
      <c r="V28" s="146">
        <f>IF(SER_hh_tes_in!V27=0,0,11630*1000*SER_hh_tes_in!V27/SER_hh_num_in!V27)</f>
        <v>5729.2190651078872</v>
      </c>
      <c r="W28" s="146">
        <f>IF(SER_hh_tes_in!W27=0,0,11630*1000*SER_hh_tes_in!W27/SER_hh_num_in!W27)</f>
        <v>6810.7903296804498</v>
      </c>
      <c r="X28" s="146">
        <f>IF(SER_hh_tes_in!X27=0,0,11630*1000*SER_hh_tes_in!X27/SER_hh_num_in!X27)</f>
        <v>6608.9796165330972</v>
      </c>
      <c r="Y28" s="146">
        <f>IF(SER_hh_tes_in!Y27=0,0,11630*1000*SER_hh_tes_in!Y27/SER_hh_num_in!Y27)</f>
        <v>6998.3590229032015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11511.752626877707</v>
      </c>
      <c r="D29" s="130">
        <f>IF(SER_hh_tes_in!D29=0,0,11630*1000*SER_hh_tes_in!D29/SER_hh_num_in!D29)</f>
        <v>11339.114160245515</v>
      </c>
      <c r="E29" s="130">
        <f>IF(SER_hh_tes_in!E29=0,0,11630*1000*SER_hh_tes_in!E29/SER_hh_num_in!E29)</f>
        <v>11227.358851190176</v>
      </c>
      <c r="F29" s="130">
        <f>IF(SER_hh_tes_in!F29=0,0,11630*1000*SER_hh_tes_in!F29/SER_hh_num_in!F29)</f>
        <v>11137.384575602229</v>
      </c>
      <c r="G29" s="130">
        <f>IF(SER_hh_tes_in!G29=0,0,11630*1000*SER_hh_tes_in!G29/SER_hh_num_in!G29)</f>
        <v>10878.085008922475</v>
      </c>
      <c r="H29" s="130">
        <f>IF(SER_hh_tes_in!H29=0,0,11630*1000*SER_hh_tes_in!H29/SER_hh_num_in!H29)</f>
        <v>10877.451932759224</v>
      </c>
      <c r="I29" s="130">
        <f>IF(SER_hh_tes_in!I29=0,0,11630*1000*SER_hh_tes_in!I29/SER_hh_num_in!I29)</f>
        <v>10734.339133301866</v>
      </c>
      <c r="J29" s="130">
        <f>IF(SER_hh_tes_in!J29=0,0,11630*1000*SER_hh_tes_in!J29/SER_hh_num_in!J29)</f>
        <v>11670.300782024129</v>
      </c>
      <c r="K29" s="130">
        <f>IF(SER_hh_tes_in!K29=0,0,11630*1000*SER_hh_tes_in!K29/SER_hh_num_in!K29)</f>
        <v>11124.387785236067</v>
      </c>
      <c r="L29" s="130">
        <f>IF(SER_hh_tes_in!L29=0,0,11630*1000*SER_hh_tes_in!L29/SER_hh_num_in!L29)</f>
        <v>12073.461520678784</v>
      </c>
      <c r="M29" s="130">
        <f>IF(SER_hh_tes_in!M29=0,0,11630*1000*SER_hh_tes_in!M29/SER_hh_num_in!M29)</f>
        <v>11499.100734807338</v>
      </c>
      <c r="N29" s="130">
        <f>IF(SER_hh_tes_in!N29=0,0,11630*1000*SER_hh_tes_in!N29/SER_hh_num_in!N29)</f>
        <v>12045.548446512017</v>
      </c>
      <c r="O29" s="130">
        <f>IF(SER_hh_tes_in!O29=0,0,11630*1000*SER_hh_tes_in!O29/SER_hh_num_in!O29)</f>
        <v>11746.80412879108</v>
      </c>
      <c r="P29" s="130">
        <f>IF(SER_hh_tes_in!P29=0,0,11630*1000*SER_hh_tes_in!P29/SER_hh_num_in!P29)</f>
        <v>11736.385379776772</v>
      </c>
      <c r="Q29" s="130">
        <f>IF(SER_hh_tes_in!Q29=0,0,11630*1000*SER_hh_tes_in!Q29/SER_hh_num_in!Q29)</f>
        <v>11797.154220438784</v>
      </c>
      <c r="R29" s="130">
        <f>IF(SER_hh_tes_in!R29=0,0,11630*1000*SER_hh_tes_in!R29/SER_hh_num_in!R29)</f>
        <v>11687.264696997761</v>
      </c>
      <c r="S29" s="130">
        <f>IF(SER_hh_tes_in!S29=0,0,11630*1000*SER_hh_tes_in!S29/SER_hh_num_in!S29)</f>
        <v>12147.968204462977</v>
      </c>
      <c r="T29" s="130">
        <f>IF(SER_hh_tes_in!T29=0,0,11630*1000*SER_hh_tes_in!T29/SER_hh_num_in!T29)</f>
        <v>12911.848806706925</v>
      </c>
      <c r="U29" s="130">
        <f>IF(SER_hh_tes_in!U29=0,0,11630*1000*SER_hh_tes_in!U29/SER_hh_num_in!U29)</f>
        <v>13016.910254174913</v>
      </c>
      <c r="V29" s="130">
        <f>IF(SER_hh_tes_in!V29=0,0,11630*1000*SER_hh_tes_in!V29/SER_hh_num_in!V29)</f>
        <v>10830.865991565037</v>
      </c>
      <c r="W29" s="130">
        <f>IF(SER_hh_tes_in!W29=0,0,11630*1000*SER_hh_tes_in!W29/SER_hh_num_in!W29)</f>
        <v>12174.809713510745</v>
      </c>
      <c r="X29" s="130">
        <f>IF(SER_hh_tes_in!X29=0,0,11630*1000*SER_hh_tes_in!X29/SER_hh_num_in!X29)</f>
        <v>12715.428977109585</v>
      </c>
      <c r="Y29" s="130">
        <f>IF(SER_hh_tes_in!Y29=0,0,11630*1000*SER_hh_tes_in!Y29/SER_hh_num_in!Y29)</f>
        <v>12610.870192538987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22922.400255540859</v>
      </c>
      <c r="D30" s="132">
        <f>IF(SER_hh_tes_in!D30=0,0,11630*1000*SER_hh_tes_in!D30/SER_hh_num_in!D30)</f>
        <v>0</v>
      </c>
      <c r="E30" s="132">
        <f>IF(SER_hh_tes_in!E30=0,0,11630*1000*SER_hh_tes_in!E30/SER_hh_num_in!E30)</f>
        <v>0</v>
      </c>
      <c r="F30" s="132">
        <f>IF(SER_hh_tes_in!F30=0,0,11630*1000*SER_hh_tes_in!F30/SER_hh_num_in!F30)</f>
        <v>0</v>
      </c>
      <c r="G30" s="132">
        <f>IF(SER_hh_tes_in!G30=0,0,11630*1000*SER_hh_tes_in!G30/SER_hh_num_in!G30)</f>
        <v>0</v>
      </c>
      <c r="H30" s="132">
        <f>IF(SER_hh_tes_in!H30=0,0,11630*1000*SER_hh_tes_in!H30/SER_hh_num_in!H30)</f>
        <v>0</v>
      </c>
      <c r="I30" s="132">
        <f>IF(SER_hh_tes_in!I30=0,0,11630*1000*SER_hh_tes_in!I30/SER_hh_num_in!I30)</f>
        <v>0</v>
      </c>
      <c r="J30" s="132">
        <f>IF(SER_hh_tes_in!J30=0,0,11630*1000*SER_hh_tes_in!J30/SER_hh_num_in!J30)</f>
        <v>0</v>
      </c>
      <c r="K30" s="132">
        <f>IF(SER_hh_tes_in!K30=0,0,11630*1000*SER_hh_tes_in!K30/SER_hh_num_in!K30)</f>
        <v>0</v>
      </c>
      <c r="L30" s="132">
        <f>IF(SER_hh_tes_in!L30=0,0,11630*1000*SER_hh_tes_in!L30/SER_hh_num_in!L30)</f>
        <v>13480.32601126388</v>
      </c>
      <c r="M30" s="132">
        <f>IF(SER_hh_tes_in!M30=0,0,11630*1000*SER_hh_tes_in!M30/SER_hh_num_in!M30)</f>
        <v>12549.614184744059</v>
      </c>
      <c r="N30" s="132">
        <f>IF(SER_hh_tes_in!N30=0,0,11630*1000*SER_hh_tes_in!N30/SER_hh_num_in!N30)</f>
        <v>19834.310233629698</v>
      </c>
      <c r="O30" s="132">
        <f>IF(SER_hh_tes_in!O30=0,0,11630*1000*SER_hh_tes_in!O30/SER_hh_num_in!O30)</f>
        <v>14135.545392267419</v>
      </c>
      <c r="P30" s="132">
        <f>IF(SER_hh_tes_in!P30=0,0,11630*1000*SER_hh_tes_in!P30/SER_hh_num_in!P30)</f>
        <v>8849.9569867193695</v>
      </c>
      <c r="Q30" s="132">
        <f>IF(SER_hh_tes_in!Q30=0,0,11630*1000*SER_hh_tes_in!Q30/SER_hh_num_in!Q30)</f>
        <v>8920.3535362447528</v>
      </c>
      <c r="R30" s="132">
        <f>IF(SER_hh_tes_in!R30=0,0,11630*1000*SER_hh_tes_in!R30/SER_hh_num_in!R30)</f>
        <v>10469.684014204891</v>
      </c>
      <c r="S30" s="132">
        <f>IF(SER_hh_tes_in!S30=0,0,11630*1000*SER_hh_tes_in!S30/SER_hh_num_in!S30)</f>
        <v>12451.837404642505</v>
      </c>
      <c r="T30" s="132">
        <f>IF(SER_hh_tes_in!T30=0,0,11630*1000*SER_hh_tes_in!T30/SER_hh_num_in!T30)</f>
        <v>13454.637200237121</v>
      </c>
      <c r="U30" s="132">
        <f>IF(SER_hh_tes_in!U30=0,0,11630*1000*SER_hh_tes_in!U30/SER_hh_num_in!U30)</f>
        <v>13089.325780159832</v>
      </c>
      <c r="V30" s="132">
        <f>IF(SER_hh_tes_in!V30=0,0,11630*1000*SER_hh_tes_in!V30/SER_hh_num_in!V30)</f>
        <v>10420.619145176055</v>
      </c>
      <c r="W30" s="132">
        <f>IF(SER_hh_tes_in!W30=0,0,11630*1000*SER_hh_tes_in!W30/SER_hh_num_in!W30)</f>
        <v>11756.548605119842</v>
      </c>
      <c r="X30" s="132">
        <f>IF(SER_hh_tes_in!X30=0,0,11630*1000*SER_hh_tes_in!X30/SER_hh_num_in!X30)</f>
        <v>12721.107934345593</v>
      </c>
      <c r="Y30" s="132">
        <f>IF(SER_hh_tes_in!Y30=0,0,11630*1000*SER_hh_tes_in!Y30/SER_hh_num_in!Y30)</f>
        <v>13090.711571115473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11132.240907277339</v>
      </c>
      <c r="D31" s="132">
        <f>IF(SER_hh_tes_in!D31=0,0,11630*1000*SER_hh_tes_in!D31/SER_hh_num_in!D31)</f>
        <v>10353.612898892874</v>
      </c>
      <c r="E31" s="132">
        <f>IF(SER_hh_tes_in!E31=0,0,11630*1000*SER_hh_tes_in!E31/SER_hh_num_in!E31)</f>
        <v>10923.016968468066</v>
      </c>
      <c r="F31" s="132">
        <f>IF(SER_hh_tes_in!F31=0,0,11630*1000*SER_hh_tes_in!F31/SER_hh_num_in!F31)</f>
        <v>11086.525466058067</v>
      </c>
      <c r="G31" s="132">
        <f>IF(SER_hh_tes_in!G31=0,0,11630*1000*SER_hh_tes_in!G31/SER_hh_num_in!G31)</f>
        <v>10175.597680108842</v>
      </c>
      <c r="H31" s="132">
        <f>IF(SER_hh_tes_in!H31=0,0,11630*1000*SER_hh_tes_in!H31/SER_hh_num_in!H31)</f>
        <v>11239.369494566979</v>
      </c>
      <c r="I31" s="132">
        <f>IF(SER_hh_tes_in!I31=0,0,11630*1000*SER_hh_tes_in!I31/SER_hh_num_in!I31)</f>
        <v>11348.805107798402</v>
      </c>
      <c r="J31" s="132">
        <f>IF(SER_hh_tes_in!J31=0,0,11630*1000*SER_hh_tes_in!J31/SER_hh_num_in!J31)</f>
        <v>11226.367876254406</v>
      </c>
      <c r="K31" s="132">
        <f>IF(SER_hh_tes_in!K31=0,0,11630*1000*SER_hh_tes_in!K31/SER_hh_num_in!K31)</f>
        <v>11164.914517705934</v>
      </c>
      <c r="L31" s="132">
        <f>IF(SER_hh_tes_in!L31=0,0,11630*1000*SER_hh_tes_in!L31/SER_hh_num_in!L31)</f>
        <v>11407.795356229604</v>
      </c>
      <c r="M31" s="132">
        <f>IF(SER_hh_tes_in!M31=0,0,11630*1000*SER_hh_tes_in!M31/SER_hh_num_in!M31)</f>
        <v>11513.209372681276</v>
      </c>
      <c r="N31" s="132">
        <f>IF(SER_hh_tes_in!N31=0,0,11630*1000*SER_hh_tes_in!N31/SER_hh_num_in!N31)</f>
        <v>11716.898909163008</v>
      </c>
      <c r="O31" s="132">
        <f>IF(SER_hh_tes_in!O31=0,0,11630*1000*SER_hh_tes_in!O31/SER_hh_num_in!O31)</f>
        <v>11803.540582415422</v>
      </c>
      <c r="P31" s="132">
        <f>IF(SER_hh_tes_in!P31=0,0,11630*1000*SER_hh_tes_in!P31/SER_hh_num_in!P31)</f>
        <v>11804.804210438859</v>
      </c>
      <c r="Q31" s="132">
        <f>IF(SER_hh_tes_in!Q31=0,0,11630*1000*SER_hh_tes_in!Q31/SER_hh_num_in!Q31)</f>
        <v>11891.826809678514</v>
      </c>
      <c r="R31" s="132">
        <f>IF(SER_hh_tes_in!R31=0,0,11630*1000*SER_hh_tes_in!R31/SER_hh_num_in!R31)</f>
        <v>11896.770069657881</v>
      </c>
      <c r="S31" s="132">
        <f>IF(SER_hh_tes_in!S31=0,0,11630*1000*SER_hh_tes_in!S31/SER_hh_num_in!S31)</f>
        <v>12305.33112976393</v>
      </c>
      <c r="T31" s="132">
        <f>IF(SER_hh_tes_in!T31=0,0,11630*1000*SER_hh_tes_in!T31/SER_hh_num_in!T31)</f>
        <v>12656.035810730862</v>
      </c>
      <c r="U31" s="132">
        <f>IF(SER_hh_tes_in!U31=0,0,11630*1000*SER_hh_tes_in!U31/SER_hh_num_in!U31)</f>
        <v>12488.884108137116</v>
      </c>
      <c r="V31" s="132">
        <f>IF(SER_hh_tes_in!V31=0,0,11630*1000*SER_hh_tes_in!V31/SER_hh_num_in!V31)</f>
        <v>10898.064444857144</v>
      </c>
      <c r="W31" s="132">
        <f>IF(SER_hh_tes_in!W31=0,0,11630*1000*SER_hh_tes_in!W31/SER_hh_num_in!W31)</f>
        <v>12576.257460914436</v>
      </c>
      <c r="X31" s="132">
        <f>IF(SER_hh_tes_in!X31=0,0,11630*1000*SER_hh_tes_in!X31/SER_hh_num_in!X31)</f>
        <v>12554.124102227634</v>
      </c>
      <c r="Y31" s="132">
        <f>IF(SER_hh_tes_in!Y31=0,0,11630*1000*SER_hh_tes_in!Y31/SER_hh_num_in!Y31)</f>
        <v>12483.607640915068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15921.995698981405</v>
      </c>
      <c r="K32" s="132">
        <f>IF(SER_hh_tes_in!K32=0,0,11630*1000*SER_hh_tes_in!K32/SER_hh_num_in!K32)</f>
        <v>12670.987962767915</v>
      </c>
      <c r="L32" s="132">
        <f>IF(SER_hh_tes_in!L32=0,0,11630*1000*SER_hh_tes_in!L32/SER_hh_num_in!L32)</f>
        <v>11654.051521413319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10002.751121247245</v>
      </c>
      <c r="R32" s="132">
        <f>IF(SER_hh_tes_in!R32=0,0,11630*1000*SER_hh_tes_in!R32/SER_hh_num_in!R32)</f>
        <v>8025.5700789490838</v>
      </c>
      <c r="S32" s="132">
        <f>IF(SER_hh_tes_in!S32=0,0,11630*1000*SER_hh_tes_in!S32/SER_hh_num_in!S32)</f>
        <v>11529.765288335144</v>
      </c>
      <c r="T32" s="132">
        <f>IF(SER_hh_tes_in!T32=0,0,11630*1000*SER_hh_tes_in!T32/SER_hh_num_in!T32)</f>
        <v>13712.240759740764</v>
      </c>
      <c r="U32" s="132">
        <f>IF(SER_hh_tes_in!U32=0,0,11630*1000*SER_hh_tes_in!U32/SER_hh_num_in!U32)</f>
        <v>13847.094839751424</v>
      </c>
      <c r="V32" s="132">
        <f>IF(SER_hh_tes_in!V32=0,0,11630*1000*SER_hh_tes_in!V32/SER_hh_num_in!V32)</f>
        <v>11393.231295269097</v>
      </c>
      <c r="W32" s="132">
        <f>IF(SER_hh_tes_in!W32=0,0,11630*1000*SER_hh_tes_in!W32/SER_hh_num_in!W32)</f>
        <v>10775.728209062134</v>
      </c>
      <c r="X32" s="132">
        <f>IF(SER_hh_tes_in!X32=0,0,11630*1000*SER_hh_tes_in!X32/SER_hh_num_in!X32)</f>
        <v>15683.902256279009</v>
      </c>
      <c r="Y32" s="132">
        <f>IF(SER_hh_tes_in!Y32=0,0,11630*1000*SER_hh_tes_in!Y32/SER_hh_num_in!Y32)</f>
        <v>11255.771943846115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11335.511791625242</v>
      </c>
      <c r="D33" s="68">
        <f>IF(SER_hh_tes_in!D33=0,0,11630*1000*SER_hh_tes_in!D33/SER_hh_num_in!D33)</f>
        <v>11441.59745249875</v>
      </c>
      <c r="E33" s="68">
        <f>IF(SER_hh_tes_in!E33=0,0,11630*1000*SER_hh_tes_in!E33/SER_hh_num_in!E33)</f>
        <v>11263.908993729061</v>
      </c>
      <c r="F33" s="68">
        <f>IF(SER_hh_tes_in!F33=0,0,11630*1000*SER_hh_tes_in!F33/SER_hh_num_in!F33)</f>
        <v>11145.170842302678</v>
      </c>
      <c r="G33" s="68">
        <f>IF(SER_hh_tes_in!G33=0,0,11630*1000*SER_hh_tes_in!G33/SER_hh_num_in!G33)</f>
        <v>10994.535131963938</v>
      </c>
      <c r="H33" s="68">
        <f>IF(SER_hh_tes_in!H33=0,0,11630*1000*SER_hh_tes_in!H33/SER_hh_num_in!H33)</f>
        <v>10802.261063733753</v>
      </c>
      <c r="I33" s="68">
        <f>IF(SER_hh_tes_in!I33=0,0,11630*1000*SER_hh_tes_in!I33/SER_hh_num_in!I33)</f>
        <v>10639.468422513557</v>
      </c>
      <c r="J33" s="68">
        <f>IF(SER_hh_tes_in!J33=0,0,11630*1000*SER_hh_tes_in!J33/SER_hh_num_in!J33)</f>
        <v>10667.683869110995</v>
      </c>
      <c r="K33" s="68">
        <f>IF(SER_hh_tes_in!K33=0,0,11630*1000*SER_hh_tes_in!K33/SER_hh_num_in!K33)</f>
        <v>11038.403064456339</v>
      </c>
      <c r="L33" s="68">
        <f>IF(SER_hh_tes_in!L33=0,0,11630*1000*SER_hh_tes_in!L33/SER_hh_num_in!L33)</f>
        <v>11479.012196280381</v>
      </c>
      <c r="M33" s="68">
        <f>IF(SER_hh_tes_in!M33=0,0,11630*1000*SER_hh_tes_in!M33/SER_hh_num_in!M33)</f>
        <v>11377.179319975578</v>
      </c>
      <c r="N33" s="68">
        <f>IF(SER_hh_tes_in!N33=0,0,11630*1000*SER_hh_tes_in!N33/SER_hh_num_in!N33)</f>
        <v>11484.823052679127</v>
      </c>
      <c r="O33" s="68">
        <f>IF(SER_hh_tes_in!O33=0,0,11630*1000*SER_hh_tes_in!O33/SER_hh_num_in!O33)</f>
        <v>11711.577776227776</v>
      </c>
      <c r="P33" s="68">
        <f>IF(SER_hh_tes_in!P33=0,0,11630*1000*SER_hh_tes_in!P33/SER_hh_num_in!P33)</f>
        <v>11745.23251597562</v>
      </c>
      <c r="Q33" s="68">
        <f>IF(SER_hh_tes_in!Q33=0,0,11630*1000*SER_hh_tes_in!Q33/SER_hh_num_in!Q33)</f>
        <v>11849.198897230341</v>
      </c>
      <c r="R33" s="68">
        <f>IF(SER_hh_tes_in!R33=0,0,11630*1000*SER_hh_tes_in!R33/SER_hh_num_in!R33)</f>
        <v>12010.825711055792</v>
      </c>
      <c r="S33" s="68">
        <f>IF(SER_hh_tes_in!S33=0,0,11630*1000*SER_hh_tes_in!S33/SER_hh_num_in!S33)</f>
        <v>12250.419927957944</v>
      </c>
      <c r="T33" s="68">
        <f>IF(SER_hh_tes_in!T33=0,0,11630*1000*SER_hh_tes_in!T33/SER_hh_num_in!T33)</f>
        <v>12627.137713628501</v>
      </c>
      <c r="U33" s="68">
        <f>IF(SER_hh_tes_in!U33=0,0,11630*1000*SER_hh_tes_in!U33/SER_hh_num_in!U33)</f>
        <v>12853.888630404765</v>
      </c>
      <c r="V33" s="68">
        <f>IF(SER_hh_tes_in!V33=0,0,11630*1000*SER_hh_tes_in!V33/SER_hh_num_in!V33)</f>
        <v>10762.516279770558</v>
      </c>
      <c r="W33" s="68">
        <f>IF(SER_hh_tes_in!W33=0,0,11630*1000*SER_hh_tes_in!W33/SER_hh_num_in!W33)</f>
        <v>12379.449943410973</v>
      </c>
      <c r="X33" s="68">
        <f>IF(SER_hh_tes_in!X33=0,0,11630*1000*SER_hh_tes_in!X33/SER_hh_num_in!X33)</f>
        <v>12462.971490861461</v>
      </c>
      <c r="Y33" s="68">
        <f>IF(SER_hh_tes_in!Y33=0,0,11630*1000*SER_hh_tes_in!Y33/SER_hh_num_in!Y33)</f>
        <v>12642.891148144185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3206.5587652781928</v>
      </c>
      <c r="D3" s="125">
        <f>IF(SER_hh_emi_in!D3=0,0,1000000*SER_hh_emi_in!D3/SER_hh_num_in!D3)</f>
        <v>2399.4721631273674</v>
      </c>
      <c r="E3" s="125">
        <f>IF(SER_hh_emi_in!E3=0,0,1000000*SER_hh_emi_in!E3/SER_hh_num_in!E3)</f>
        <v>2327.4653260040336</v>
      </c>
      <c r="F3" s="125">
        <f>IF(SER_hh_emi_in!F3=0,0,1000000*SER_hh_emi_in!F3/SER_hh_num_in!F3)</f>
        <v>2188.8458331948914</v>
      </c>
      <c r="G3" s="125">
        <f>IF(SER_hh_emi_in!G3=0,0,1000000*SER_hh_emi_in!G3/SER_hh_num_in!G3)</f>
        <v>2677.646074511621</v>
      </c>
      <c r="H3" s="125">
        <f>IF(SER_hh_emi_in!H3=0,0,1000000*SER_hh_emi_in!H3/SER_hh_num_in!H3)</f>
        <v>5189.1986069002787</v>
      </c>
      <c r="I3" s="125">
        <f>IF(SER_hh_emi_in!I3=0,0,1000000*SER_hh_emi_in!I3/SER_hh_num_in!I3)</f>
        <v>3061.0775543676423</v>
      </c>
      <c r="J3" s="125">
        <f>IF(SER_hh_emi_in!J3=0,0,1000000*SER_hh_emi_in!J3/SER_hh_num_in!J3)</f>
        <v>2039.3908827901255</v>
      </c>
      <c r="K3" s="125">
        <f>IF(SER_hh_emi_in!K3=0,0,1000000*SER_hh_emi_in!K3/SER_hh_num_in!K3)</f>
        <v>2899.323496434557</v>
      </c>
      <c r="L3" s="125">
        <f>IF(SER_hh_emi_in!L3=0,0,1000000*SER_hh_emi_in!L3/SER_hh_num_in!L3)</f>
        <v>3928.8053785174552</v>
      </c>
      <c r="M3" s="125">
        <f>IF(SER_hh_emi_in!M3=0,0,1000000*SER_hh_emi_in!M3/SER_hh_num_in!M3)</f>
        <v>1797.0557755617606</v>
      </c>
      <c r="N3" s="125">
        <f>IF(SER_hh_emi_in!N3=0,0,1000000*SER_hh_emi_in!N3/SER_hh_num_in!N3)</f>
        <v>3180.7636655587567</v>
      </c>
      <c r="O3" s="125">
        <f>IF(SER_hh_emi_in!O3=0,0,1000000*SER_hh_emi_in!O3/SER_hh_num_in!O3)</f>
        <v>2595.9319029161138</v>
      </c>
      <c r="P3" s="125">
        <f>IF(SER_hh_emi_in!P3=0,0,1000000*SER_hh_emi_in!P3/SER_hh_num_in!P3)</f>
        <v>2679.3506072546929</v>
      </c>
      <c r="Q3" s="125">
        <f>IF(SER_hh_emi_in!Q3=0,0,1000000*SER_hh_emi_in!Q3/SER_hh_num_in!Q3)</f>
        <v>4851.1047636520825</v>
      </c>
      <c r="R3" s="125">
        <f>IF(SER_hh_emi_in!R3=0,0,1000000*SER_hh_emi_in!R3/SER_hh_num_in!R3)</f>
        <v>2498.1511724395191</v>
      </c>
      <c r="S3" s="125">
        <f>IF(SER_hh_emi_in!S3=0,0,1000000*SER_hh_emi_in!S3/SER_hh_num_in!S3)</f>
        <v>1733.0620261761733</v>
      </c>
      <c r="T3" s="125">
        <f>IF(SER_hh_emi_in!T3=0,0,1000000*SER_hh_emi_in!T3/SER_hh_num_in!T3)</f>
        <v>1803.7113333768434</v>
      </c>
      <c r="U3" s="125">
        <f>IF(SER_hh_emi_in!U3=0,0,1000000*SER_hh_emi_in!U3/SER_hh_num_in!U3)</f>
        <v>1748.7479561651401</v>
      </c>
      <c r="V3" s="125">
        <f>IF(SER_hh_emi_in!V3=0,0,1000000*SER_hh_emi_in!V3/SER_hh_num_in!V3)</f>
        <v>1601.6749103479158</v>
      </c>
      <c r="W3" s="125">
        <f>IF(SER_hh_emi_in!W3=0,0,1000000*SER_hh_emi_in!W3/SER_hh_num_in!W3)</f>
        <v>1938.4528469433337</v>
      </c>
      <c r="X3" s="125">
        <f>IF(SER_hh_emi_in!X3=0,0,1000000*SER_hh_emi_in!X3/SER_hh_num_in!X3)</f>
        <v>1820.3611946175808</v>
      </c>
      <c r="Y3" s="125">
        <f>IF(SER_hh_emi_in!Y3=0,0,1000000*SER_hh_emi_in!Y3/SER_hh_num_in!Y3)</f>
        <v>2282.0692634740917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2240.771815549228</v>
      </c>
      <c r="D4" s="130">
        <f>IF(SER_hh_emi_in!D4=0,0,1000000*SER_hh_emi_in!D4/SER_hh_num_in!D4)</f>
        <v>1420.4239807063191</v>
      </c>
      <c r="E4" s="130">
        <f>IF(SER_hh_emi_in!E4=0,0,1000000*SER_hh_emi_in!E4/SER_hh_num_in!E4)</f>
        <v>1327.0475411578593</v>
      </c>
      <c r="F4" s="130">
        <f>IF(SER_hh_emi_in!F4=0,0,1000000*SER_hh_emi_in!F4/SER_hh_num_in!F4)</f>
        <v>1038.6179894502652</v>
      </c>
      <c r="G4" s="130">
        <f>IF(SER_hh_emi_in!G4=0,0,1000000*SER_hh_emi_in!G4/SER_hh_num_in!G4)</f>
        <v>1434.4383295687019</v>
      </c>
      <c r="H4" s="130">
        <f>IF(SER_hh_emi_in!H4=0,0,1000000*SER_hh_emi_in!H4/SER_hh_num_in!H4)</f>
        <v>3609.7879426242548</v>
      </c>
      <c r="I4" s="130">
        <f>IF(SER_hh_emi_in!I4=0,0,1000000*SER_hh_emi_in!I4/SER_hh_num_in!I4)</f>
        <v>1480.7730570689619</v>
      </c>
      <c r="J4" s="130">
        <f>IF(SER_hh_emi_in!J4=0,0,1000000*SER_hh_emi_in!J4/SER_hh_num_in!J4)</f>
        <v>746.65812270922936</v>
      </c>
      <c r="K4" s="130">
        <f>IF(SER_hh_emi_in!K4=0,0,1000000*SER_hh_emi_in!K4/SER_hh_num_in!K4)</f>
        <v>1783.98128884843</v>
      </c>
      <c r="L4" s="130">
        <f>IF(SER_hh_emi_in!L4=0,0,1000000*SER_hh_emi_in!L4/SER_hh_num_in!L4)</f>
        <v>1752.4237072620892</v>
      </c>
      <c r="M4" s="130">
        <f>IF(SER_hh_emi_in!M4=0,0,1000000*SER_hh_emi_in!M4/SER_hh_num_in!M4)</f>
        <v>572.02100334197962</v>
      </c>
      <c r="N4" s="130">
        <f>IF(SER_hh_emi_in!N4=0,0,1000000*SER_hh_emi_in!N4/SER_hh_num_in!N4)</f>
        <v>1851.3990674085576</v>
      </c>
      <c r="O4" s="130">
        <f>IF(SER_hh_emi_in!O4=0,0,1000000*SER_hh_emi_in!O4/SER_hh_num_in!O4)</f>
        <v>1856.7711068122542</v>
      </c>
      <c r="P4" s="130">
        <f>IF(SER_hh_emi_in!P4=0,0,1000000*SER_hh_emi_in!P4/SER_hh_num_in!P4)</f>
        <v>1721.2731336299739</v>
      </c>
      <c r="Q4" s="130">
        <f>IF(SER_hh_emi_in!Q4=0,0,1000000*SER_hh_emi_in!Q4/SER_hh_num_in!Q4)</f>
        <v>4034.3896965182958</v>
      </c>
      <c r="R4" s="130">
        <f>IF(SER_hh_emi_in!R4=0,0,1000000*SER_hh_emi_in!R4/SER_hh_num_in!R4)</f>
        <v>1632.9596192184638</v>
      </c>
      <c r="S4" s="130">
        <f>IF(SER_hh_emi_in!S4=0,0,1000000*SER_hh_emi_in!S4/SER_hh_num_in!S4)</f>
        <v>745.68199133373855</v>
      </c>
      <c r="T4" s="130">
        <f>IF(SER_hh_emi_in!T4=0,0,1000000*SER_hh_emi_in!T4/SER_hh_num_in!T4)</f>
        <v>633.81730257112997</v>
      </c>
      <c r="U4" s="130">
        <f>IF(SER_hh_emi_in!U4=0,0,1000000*SER_hh_emi_in!U4/SER_hh_num_in!U4)</f>
        <v>710.40601753884403</v>
      </c>
      <c r="V4" s="130">
        <f>IF(SER_hh_emi_in!V4=0,0,1000000*SER_hh_emi_in!V4/SER_hh_num_in!V4)</f>
        <v>859.1633386330094</v>
      </c>
      <c r="W4" s="130">
        <f>IF(SER_hh_emi_in!W4=0,0,1000000*SER_hh_emi_in!W4/SER_hh_num_in!W4)</f>
        <v>849.76479301946301</v>
      </c>
      <c r="X4" s="130">
        <f>IF(SER_hh_emi_in!X4=0,0,1000000*SER_hh_emi_in!X4/SER_hh_num_in!X4)</f>
        <v>543.54517660363092</v>
      </c>
      <c r="Y4" s="130">
        <f>IF(SER_hh_emi_in!Y4=0,0,1000000*SER_hh_emi_in!Y4/SER_hh_num_in!Y4)</f>
        <v>982.98813899067454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19875.981316852602</v>
      </c>
      <c r="D5" s="132">
        <f>IF(SER_hh_emi_in!D5=0,0,1000000*SER_hh_emi_in!D5/SER_hh_num_in!D5)</f>
        <v>23633.957316688327</v>
      </c>
      <c r="E5" s="132">
        <f>IF(SER_hh_emi_in!E5=0,0,1000000*SER_hh_emi_in!E5/SER_hh_num_in!E5)</f>
        <v>25317.57317289924</v>
      </c>
      <c r="F5" s="132">
        <f>IF(SER_hh_emi_in!F5=0,0,1000000*SER_hh_emi_in!F5/SER_hh_num_in!F5)</f>
        <v>17333.524996349854</v>
      </c>
      <c r="G5" s="132">
        <f>IF(SER_hh_emi_in!G5=0,0,1000000*SER_hh_emi_in!G5/SER_hh_num_in!G5)</f>
        <v>0</v>
      </c>
      <c r="H5" s="132">
        <f>IF(SER_hh_emi_in!H5=0,0,1000000*SER_hh_emi_in!H5/SER_hh_num_in!H5)</f>
        <v>0</v>
      </c>
      <c r="I5" s="132">
        <f>IF(SER_hh_emi_in!I5=0,0,1000000*SER_hh_emi_in!I5/SER_hh_num_in!I5)</f>
        <v>0</v>
      </c>
      <c r="J5" s="132">
        <f>IF(SER_hh_emi_in!J5=0,0,1000000*SER_hh_emi_in!J5/SER_hh_num_in!J5)</f>
        <v>24433.108549234712</v>
      </c>
      <c r="K5" s="132">
        <f>IF(SER_hh_emi_in!K5=0,0,1000000*SER_hh_emi_in!K5/SER_hh_num_in!K5)</f>
        <v>20665.323063956166</v>
      </c>
      <c r="L5" s="132">
        <f>IF(SER_hh_emi_in!L5=0,0,1000000*SER_hh_emi_in!L5/SER_hh_num_in!L5)</f>
        <v>19337.166194160109</v>
      </c>
      <c r="M5" s="132">
        <f>IF(SER_hh_emi_in!M5=0,0,1000000*SER_hh_emi_in!M5/SER_hh_num_in!M5)</f>
        <v>21111.20090757123</v>
      </c>
      <c r="N5" s="132">
        <f>IF(SER_hh_emi_in!N5=0,0,1000000*SER_hh_emi_in!N5/SER_hh_num_in!N5)</f>
        <v>15761.974423306281</v>
      </c>
      <c r="O5" s="132">
        <f>IF(SER_hh_emi_in!O5=0,0,1000000*SER_hh_emi_in!O5/SER_hh_num_in!O5)</f>
        <v>20334.3854330129</v>
      </c>
      <c r="P5" s="132">
        <f>IF(SER_hh_emi_in!P5=0,0,1000000*SER_hh_emi_in!P5/SER_hh_num_in!P5)</f>
        <v>9067.799004998833</v>
      </c>
      <c r="Q5" s="132">
        <f>IF(SER_hh_emi_in!Q5=0,0,1000000*SER_hh_emi_in!Q5/SER_hh_num_in!Q5)</f>
        <v>22221.218423207389</v>
      </c>
      <c r="R5" s="132">
        <f>IF(SER_hh_emi_in!R5=0,0,1000000*SER_hh_emi_in!R5/SER_hh_num_in!R5)</f>
        <v>23856.706062925346</v>
      </c>
      <c r="S5" s="132">
        <f>IF(SER_hh_emi_in!S5=0,0,1000000*SER_hh_emi_in!S5/SER_hh_num_in!S5)</f>
        <v>16507.688898482986</v>
      </c>
      <c r="T5" s="132">
        <f>IF(SER_hh_emi_in!T5=0,0,1000000*SER_hh_emi_in!T5/SER_hh_num_in!T5)</f>
        <v>11536.891455252742</v>
      </c>
      <c r="U5" s="132">
        <f>IF(SER_hh_emi_in!U5=0,0,1000000*SER_hh_emi_in!U5/SER_hh_num_in!U5)</f>
        <v>16918.049920504895</v>
      </c>
      <c r="V5" s="132">
        <f>IF(SER_hh_emi_in!V5=0,0,1000000*SER_hh_emi_in!V5/SER_hh_num_in!V5)</f>
        <v>0</v>
      </c>
      <c r="W5" s="132">
        <f>IF(SER_hh_emi_in!W5=0,0,1000000*SER_hh_emi_in!W5/SER_hh_num_in!W5)</f>
        <v>0</v>
      </c>
      <c r="X5" s="132">
        <f>IF(SER_hh_emi_in!X5=0,0,1000000*SER_hh_emi_in!X5/SER_hh_num_in!X5)</f>
        <v>0</v>
      </c>
      <c r="Y5" s="132">
        <f>IF(SER_hh_emi_in!Y5=0,0,1000000*SER_hh_emi_in!Y5/SER_hh_num_in!Y5)</f>
        <v>0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27865.207662901099</v>
      </c>
      <c r="D7" s="132">
        <f>IF(SER_hh_emi_in!D7=0,0,1000000*SER_hh_emi_in!D7/SER_hh_num_in!D7)</f>
        <v>0</v>
      </c>
      <c r="E7" s="132">
        <f>IF(SER_hh_emi_in!E7=0,0,1000000*SER_hh_emi_in!E7/SER_hh_num_in!E7)</f>
        <v>0</v>
      </c>
      <c r="F7" s="132">
        <f>IF(SER_hh_emi_in!F7=0,0,1000000*SER_hh_emi_in!F7/SER_hh_num_in!F7)</f>
        <v>0</v>
      </c>
      <c r="G7" s="132">
        <f>IF(SER_hh_emi_in!G7=0,0,1000000*SER_hh_emi_in!G7/SER_hh_num_in!G7)</f>
        <v>0</v>
      </c>
      <c r="H7" s="132">
        <f>IF(SER_hh_emi_in!H7=0,0,1000000*SER_hh_emi_in!H7/SER_hh_num_in!H7)</f>
        <v>25173.438114714318</v>
      </c>
      <c r="I7" s="132">
        <f>IF(SER_hh_emi_in!I7=0,0,1000000*SER_hh_emi_in!I7/SER_hh_num_in!I7)</f>
        <v>0</v>
      </c>
      <c r="J7" s="132">
        <f>IF(SER_hh_emi_in!J7=0,0,1000000*SER_hh_emi_in!J7/SER_hh_num_in!J7)</f>
        <v>0</v>
      </c>
      <c r="K7" s="132">
        <f>IF(SER_hh_emi_in!K7=0,0,1000000*SER_hh_emi_in!K7/SER_hh_num_in!K7)</f>
        <v>24238.078543161453</v>
      </c>
      <c r="L7" s="132">
        <f>IF(SER_hh_emi_in!L7=0,0,1000000*SER_hh_emi_in!L7/SER_hh_num_in!L7)</f>
        <v>16428.949856356892</v>
      </c>
      <c r="M7" s="132">
        <f>IF(SER_hh_emi_in!M7=0,0,1000000*SER_hh_emi_in!M7/SER_hh_num_in!M7)</f>
        <v>0</v>
      </c>
      <c r="N7" s="132">
        <f>IF(SER_hh_emi_in!N7=0,0,1000000*SER_hh_emi_in!N7/SER_hh_num_in!N7)</f>
        <v>16450.754566342566</v>
      </c>
      <c r="O7" s="132">
        <f>IF(SER_hh_emi_in!O7=0,0,1000000*SER_hh_emi_in!O7/SER_hh_num_in!O7)</f>
        <v>11380.540336019822</v>
      </c>
      <c r="P7" s="132">
        <f>IF(SER_hh_emi_in!P7=0,0,1000000*SER_hh_emi_in!P7/SER_hh_num_in!P7)</f>
        <v>6434.9153546224898</v>
      </c>
      <c r="Q7" s="132">
        <f>IF(SER_hh_emi_in!Q7=0,0,1000000*SER_hh_emi_in!Q7/SER_hh_num_in!Q7)</f>
        <v>17174.771646245597</v>
      </c>
      <c r="R7" s="132">
        <f>IF(SER_hh_emi_in!R7=0,0,1000000*SER_hh_emi_in!R7/SER_hh_num_in!R7)</f>
        <v>15471.059510005318</v>
      </c>
      <c r="S7" s="132">
        <f>IF(SER_hh_emi_in!S7=0,0,1000000*SER_hh_emi_in!S7/SER_hh_num_in!S7)</f>
        <v>0</v>
      </c>
      <c r="T7" s="132">
        <f>IF(SER_hh_emi_in!T7=0,0,1000000*SER_hh_emi_in!T7/SER_hh_num_in!T7)</f>
        <v>0</v>
      </c>
      <c r="U7" s="132">
        <f>IF(SER_hh_emi_in!U7=0,0,1000000*SER_hh_emi_in!U7/SER_hh_num_in!U7)</f>
        <v>0</v>
      </c>
      <c r="V7" s="132">
        <f>IF(SER_hh_emi_in!V7=0,0,1000000*SER_hh_emi_in!V7/SER_hh_num_in!V7)</f>
        <v>0</v>
      </c>
      <c r="W7" s="132">
        <f>IF(SER_hh_emi_in!W7=0,0,1000000*SER_hh_emi_in!W7/SER_hh_num_in!W7)</f>
        <v>9426.7733945265372</v>
      </c>
      <c r="X7" s="132">
        <f>IF(SER_hh_emi_in!X7=0,0,1000000*SER_hh_emi_in!X7/SER_hh_num_in!X7)</f>
        <v>9368.9634728516885</v>
      </c>
      <c r="Y7" s="132">
        <f>IF(SER_hh_emi_in!Y7=0,0,1000000*SER_hh_emi_in!Y7/SER_hh_num_in!Y7)</f>
        <v>11535.3097894906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0</v>
      </c>
      <c r="D8" s="132">
        <f>IF(SER_hh_emi_in!D8=0,0,1000000*SER_hh_emi_in!D8/SER_hh_num_in!D8)</f>
        <v>0</v>
      </c>
      <c r="E8" s="132">
        <f>IF(SER_hh_emi_in!E8=0,0,1000000*SER_hh_emi_in!E8/SER_hh_num_in!E8)</f>
        <v>0</v>
      </c>
      <c r="F8" s="132">
        <f>IF(SER_hh_emi_in!F8=0,0,1000000*SER_hh_emi_in!F8/SER_hh_num_in!F8)</f>
        <v>0</v>
      </c>
      <c r="G8" s="132">
        <f>IF(SER_hh_emi_in!G8=0,0,1000000*SER_hh_emi_in!G8/SER_hh_num_in!G8)</f>
        <v>0</v>
      </c>
      <c r="H8" s="132">
        <f>IF(SER_hh_emi_in!H8=0,0,1000000*SER_hh_emi_in!H8/SER_hh_num_in!H8)</f>
        <v>0</v>
      </c>
      <c r="I8" s="132">
        <f>IF(SER_hh_emi_in!I8=0,0,1000000*SER_hh_emi_in!I8/SER_hh_num_in!I8)</f>
        <v>0</v>
      </c>
      <c r="J8" s="132">
        <f>IF(SER_hh_emi_in!J8=0,0,1000000*SER_hh_emi_in!J8/SER_hh_num_in!J8)</f>
        <v>0</v>
      </c>
      <c r="K8" s="132">
        <f>IF(SER_hh_emi_in!K8=0,0,1000000*SER_hh_emi_in!K8/SER_hh_num_in!K8)</f>
        <v>0</v>
      </c>
      <c r="L8" s="132">
        <f>IF(SER_hh_emi_in!L8=0,0,1000000*SER_hh_emi_in!L8/SER_hh_num_in!L8)</f>
        <v>0</v>
      </c>
      <c r="M8" s="132">
        <f>IF(SER_hh_emi_in!M8=0,0,1000000*SER_hh_emi_in!M8/SER_hh_num_in!M8)</f>
        <v>0</v>
      </c>
      <c r="N8" s="132">
        <f>IF(SER_hh_emi_in!N8=0,0,1000000*SER_hh_emi_in!N8/SER_hh_num_in!N8)</f>
        <v>0</v>
      </c>
      <c r="O8" s="132">
        <f>IF(SER_hh_emi_in!O8=0,0,1000000*SER_hh_emi_in!O8/SER_hh_num_in!O8)</f>
        <v>0</v>
      </c>
      <c r="P8" s="132">
        <f>IF(SER_hh_emi_in!P8=0,0,1000000*SER_hh_emi_in!P8/SER_hh_num_in!P8)</f>
        <v>0</v>
      </c>
      <c r="Q8" s="132">
        <f>IF(SER_hh_emi_in!Q8=0,0,1000000*SER_hh_emi_in!Q8/SER_hh_num_in!Q8)</f>
        <v>0</v>
      </c>
      <c r="R8" s="132">
        <f>IF(SER_hh_emi_in!R8=0,0,1000000*SER_hh_emi_in!R8/SER_hh_num_in!R8)</f>
        <v>0</v>
      </c>
      <c r="S8" s="132">
        <f>IF(SER_hh_emi_in!S8=0,0,1000000*SER_hh_emi_in!S8/SER_hh_num_in!S8)</f>
        <v>0</v>
      </c>
      <c r="T8" s="132">
        <f>IF(SER_hh_emi_in!T8=0,0,1000000*SER_hh_emi_in!T8/SER_hh_num_in!T8)</f>
        <v>0</v>
      </c>
      <c r="U8" s="132">
        <f>IF(SER_hh_emi_in!U8=0,0,1000000*SER_hh_emi_in!U8/SER_hh_num_in!U8)</f>
        <v>0</v>
      </c>
      <c r="V8" s="132">
        <f>IF(SER_hh_emi_in!V8=0,0,1000000*SER_hh_emi_in!V8/SER_hh_num_in!V8)</f>
        <v>0</v>
      </c>
      <c r="W8" s="132">
        <f>IF(SER_hh_emi_in!W8=0,0,1000000*SER_hh_emi_in!W8/SER_hh_num_in!W8)</f>
        <v>0</v>
      </c>
      <c r="X8" s="132">
        <f>IF(SER_hh_emi_in!X8=0,0,1000000*SER_hh_emi_in!X8/SER_hh_num_in!X8)</f>
        <v>0</v>
      </c>
      <c r="Y8" s="132">
        <f>IF(SER_hh_emi_in!Y8=0,0,1000000*SER_hh_emi_in!Y8/SER_hh_num_in!Y8)</f>
        <v>0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15569.872439835615</v>
      </c>
      <c r="D9" s="132">
        <f>IF(SER_hh_emi_in!D9=0,0,1000000*SER_hh_emi_in!D9/SER_hh_num_in!D9)</f>
        <v>12922.349797476898</v>
      </c>
      <c r="E9" s="132">
        <f>IF(SER_hh_emi_in!E9=0,0,1000000*SER_hh_emi_in!E9/SER_hh_num_in!E9)</f>
        <v>14243.873472806205</v>
      </c>
      <c r="F9" s="132">
        <f>IF(SER_hh_emi_in!F9=0,0,1000000*SER_hh_emi_in!F9/SER_hh_num_in!F9)</f>
        <v>10868.584425535082</v>
      </c>
      <c r="G9" s="132">
        <f>IF(SER_hh_emi_in!G9=0,0,1000000*SER_hh_emi_in!G9/SER_hh_num_in!G9)</f>
        <v>13602.283125085085</v>
      </c>
      <c r="H9" s="132">
        <f>IF(SER_hh_emi_in!H9=0,0,1000000*SER_hh_emi_in!H9/SER_hh_num_in!H9)</f>
        <v>16990.980482522667</v>
      </c>
      <c r="I9" s="132">
        <f>IF(SER_hh_emi_in!I9=0,0,1000000*SER_hh_emi_in!I9/SER_hh_num_in!I9)</f>
        <v>14990.833219468557</v>
      </c>
      <c r="J9" s="132">
        <f>IF(SER_hh_emi_in!J9=0,0,1000000*SER_hh_emi_in!J9/SER_hh_num_in!J9)</f>
        <v>17345.03597737955</v>
      </c>
      <c r="K9" s="132">
        <f>IF(SER_hh_emi_in!K9=0,0,1000000*SER_hh_emi_in!K9/SER_hh_num_in!K9)</f>
        <v>10601.603049959669</v>
      </c>
      <c r="L9" s="132">
        <f>IF(SER_hh_emi_in!L9=0,0,1000000*SER_hh_emi_in!L9/SER_hh_num_in!L9)</f>
        <v>14009.338278630203</v>
      </c>
      <c r="M9" s="132">
        <f>IF(SER_hh_emi_in!M9=0,0,1000000*SER_hh_emi_in!M9/SER_hh_num_in!M9)</f>
        <v>13920.26299380976</v>
      </c>
      <c r="N9" s="132">
        <f>IF(SER_hh_emi_in!N9=0,0,1000000*SER_hh_emi_in!N9/SER_hh_num_in!N9)</f>
        <v>11807.850881266013</v>
      </c>
      <c r="O9" s="132">
        <f>IF(SER_hh_emi_in!O9=0,0,1000000*SER_hh_emi_in!O9/SER_hh_num_in!O9)</f>
        <v>9490.0475338315337</v>
      </c>
      <c r="P9" s="132">
        <f>IF(SER_hh_emi_in!P9=0,0,1000000*SER_hh_emi_in!P9/SER_hh_num_in!P9)</f>
        <v>9010.5131351066902</v>
      </c>
      <c r="Q9" s="132">
        <f>IF(SER_hh_emi_in!Q9=0,0,1000000*SER_hh_emi_in!Q9/SER_hh_num_in!Q9)</f>
        <v>9162.3298154334134</v>
      </c>
      <c r="R9" s="132">
        <f>IF(SER_hh_emi_in!R9=0,0,1000000*SER_hh_emi_in!R9/SER_hh_num_in!R9)</f>
        <v>8894.4123819965553</v>
      </c>
      <c r="S9" s="132">
        <f>IF(SER_hh_emi_in!S9=0,0,1000000*SER_hh_emi_in!S9/SER_hh_num_in!S9)</f>
        <v>8966.3709219938846</v>
      </c>
      <c r="T9" s="132">
        <f>IF(SER_hh_emi_in!T9=0,0,1000000*SER_hh_emi_in!T9/SER_hh_num_in!T9)</f>
        <v>9127.5255324058253</v>
      </c>
      <c r="U9" s="132">
        <f>IF(SER_hh_emi_in!U9=0,0,1000000*SER_hh_emi_in!U9/SER_hh_num_in!U9)</f>
        <v>7528.2186186692479</v>
      </c>
      <c r="V9" s="132">
        <f>IF(SER_hh_emi_in!V9=0,0,1000000*SER_hh_emi_in!V9/SER_hh_num_in!V9)</f>
        <v>7124.7296503595571</v>
      </c>
      <c r="W9" s="132">
        <f>IF(SER_hh_emi_in!W9=0,0,1000000*SER_hh_emi_in!W9/SER_hh_num_in!W9)</f>
        <v>8532.5501785344441</v>
      </c>
      <c r="X9" s="132">
        <f>IF(SER_hh_emi_in!X9=0,0,1000000*SER_hh_emi_in!X9/SER_hh_num_in!X9)</f>
        <v>7452.1314251533113</v>
      </c>
      <c r="Y9" s="132">
        <f>IF(SER_hh_emi_in!Y9=0,0,1000000*SER_hh_emi_in!Y9/SER_hh_num_in!Y9)</f>
        <v>0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0</v>
      </c>
      <c r="K10" s="132">
        <f>IF(SER_hh_emi_in!K10=0,0,1000000*SER_hh_emi_in!K10/SER_hh_num_in!K10)</f>
        <v>0</v>
      </c>
      <c r="L10" s="132">
        <f>IF(SER_hh_emi_in!L10=0,0,1000000*SER_hh_emi_in!L10/SER_hh_num_in!L10)</f>
        <v>0</v>
      </c>
      <c r="M10" s="132">
        <f>IF(SER_hh_emi_in!M10=0,0,1000000*SER_hh_emi_in!M10/SER_hh_num_in!M10)</f>
        <v>0</v>
      </c>
      <c r="N10" s="132">
        <f>IF(SER_hh_emi_in!N10=0,0,1000000*SER_hh_emi_in!N10/SER_hh_num_in!N10)</f>
        <v>0</v>
      </c>
      <c r="O10" s="132">
        <f>IF(SER_hh_emi_in!O10=0,0,1000000*SER_hh_emi_in!O10/SER_hh_num_in!O10)</f>
        <v>0</v>
      </c>
      <c r="P10" s="132">
        <f>IF(SER_hh_emi_in!P10=0,0,1000000*SER_hh_emi_in!P10/SER_hh_num_in!P10)</f>
        <v>0</v>
      </c>
      <c r="Q10" s="132">
        <f>IF(SER_hh_emi_in!Q10=0,0,1000000*SER_hh_emi_in!Q10/SER_hh_num_in!Q10)</f>
        <v>0</v>
      </c>
      <c r="R10" s="132">
        <f>IF(SER_hh_emi_in!R10=0,0,1000000*SER_hh_emi_in!R10/SER_hh_num_in!R10)</f>
        <v>0</v>
      </c>
      <c r="S10" s="132">
        <f>IF(SER_hh_emi_in!S10=0,0,1000000*SER_hh_emi_in!S10/SER_hh_num_in!S10)</f>
        <v>0</v>
      </c>
      <c r="T10" s="132">
        <f>IF(SER_hh_emi_in!T10=0,0,1000000*SER_hh_emi_in!T10/SER_hh_num_in!T10)</f>
        <v>0</v>
      </c>
      <c r="U10" s="132">
        <f>IF(SER_hh_emi_in!U10=0,0,1000000*SER_hh_emi_in!U10/SER_hh_num_in!U10)</f>
        <v>0</v>
      </c>
      <c r="V10" s="132">
        <f>IF(SER_hh_emi_in!V10=0,0,1000000*SER_hh_emi_in!V10/SER_hh_num_in!V10)</f>
        <v>0</v>
      </c>
      <c r="W10" s="132">
        <f>IF(SER_hh_emi_in!W10=0,0,1000000*SER_hh_emi_in!W10/SER_hh_num_in!W10)</f>
        <v>0</v>
      </c>
      <c r="X10" s="132">
        <f>IF(SER_hh_emi_in!X10=0,0,1000000*SER_hh_emi_in!X10/SER_hh_num_in!X10)</f>
        <v>0</v>
      </c>
      <c r="Y10" s="132">
        <f>IF(SER_hh_emi_in!Y10=0,0,1000000*SER_hh_emi_in!Y10/SER_hh_num_in!Y10)</f>
        <v>0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0</v>
      </c>
      <c r="D16" s="130">
        <f>IF(SER_hh_emi_in!D16=0,0,1000000*SER_hh_emi_in!D16/SER_hh_num_in!D16)</f>
        <v>0</v>
      </c>
      <c r="E16" s="130">
        <f>IF(SER_hh_emi_in!E16=0,0,1000000*SER_hh_emi_in!E16/SER_hh_num_in!E16)</f>
        <v>0</v>
      </c>
      <c r="F16" s="130">
        <f>IF(SER_hh_emi_in!F16=0,0,1000000*SER_hh_emi_in!F16/SER_hh_num_in!F16)</f>
        <v>0</v>
      </c>
      <c r="G16" s="130">
        <f>IF(SER_hh_emi_in!G16=0,0,1000000*SER_hh_emi_in!G16/SER_hh_num_in!G16)</f>
        <v>0</v>
      </c>
      <c r="H16" s="130">
        <f>IF(SER_hh_emi_in!H16=0,0,1000000*SER_hh_emi_in!H16/SER_hh_num_in!H16)</f>
        <v>0</v>
      </c>
      <c r="I16" s="130">
        <f>IF(SER_hh_emi_in!I16=0,0,1000000*SER_hh_emi_in!I16/SER_hh_num_in!I16)</f>
        <v>0</v>
      </c>
      <c r="J16" s="130">
        <f>IF(SER_hh_emi_in!J16=0,0,1000000*SER_hh_emi_in!J16/SER_hh_num_in!J16)</f>
        <v>0</v>
      </c>
      <c r="K16" s="130">
        <f>IF(SER_hh_emi_in!K16=0,0,1000000*SER_hh_emi_in!K16/SER_hh_num_in!K16)</f>
        <v>0</v>
      </c>
      <c r="L16" s="130">
        <f>IF(SER_hh_emi_in!L16=0,0,1000000*SER_hh_emi_in!L16/SER_hh_num_in!L16)</f>
        <v>0</v>
      </c>
      <c r="M16" s="130">
        <f>IF(SER_hh_emi_in!M16=0,0,1000000*SER_hh_emi_in!M16/SER_hh_num_in!M16)</f>
        <v>0</v>
      </c>
      <c r="N16" s="130">
        <f>IF(SER_hh_emi_in!N16=0,0,1000000*SER_hh_emi_in!N16/SER_hh_num_in!N16)</f>
        <v>0</v>
      </c>
      <c r="O16" s="130">
        <f>IF(SER_hh_emi_in!O16=0,0,1000000*SER_hh_emi_in!O16/SER_hh_num_in!O16)</f>
        <v>0</v>
      </c>
      <c r="P16" s="130">
        <f>IF(SER_hh_emi_in!P16=0,0,1000000*SER_hh_emi_in!P16/SER_hh_num_in!P16)</f>
        <v>0</v>
      </c>
      <c r="Q16" s="130">
        <f>IF(SER_hh_emi_in!Q16=0,0,1000000*SER_hh_emi_in!Q16/SER_hh_num_in!Q16)</f>
        <v>0</v>
      </c>
      <c r="R16" s="130">
        <f>IF(SER_hh_emi_in!R16=0,0,1000000*SER_hh_emi_in!R16/SER_hh_num_in!R16)</f>
        <v>0</v>
      </c>
      <c r="S16" s="130">
        <f>IF(SER_hh_emi_in!S16=0,0,1000000*SER_hh_emi_in!S16/SER_hh_num_in!S16)</f>
        <v>0</v>
      </c>
      <c r="T16" s="130">
        <f>IF(SER_hh_emi_in!T16=0,0,1000000*SER_hh_emi_in!T16/SER_hh_num_in!T16)</f>
        <v>0</v>
      </c>
      <c r="U16" s="130">
        <f>IF(SER_hh_emi_in!U16=0,0,1000000*SER_hh_emi_in!U16/SER_hh_num_in!U16)</f>
        <v>0</v>
      </c>
      <c r="V16" s="130">
        <f>IF(SER_hh_emi_in!V16=0,0,1000000*SER_hh_emi_in!V16/SER_hh_num_in!V16)</f>
        <v>0</v>
      </c>
      <c r="W16" s="130">
        <f>IF(SER_hh_emi_in!W16=0,0,1000000*SER_hh_emi_in!W16/SER_hh_num_in!W16)</f>
        <v>0</v>
      </c>
      <c r="X16" s="130">
        <f>IF(SER_hh_emi_in!X16=0,0,1000000*SER_hh_emi_in!X16/SER_hh_num_in!X16)</f>
        <v>0</v>
      </c>
      <c r="Y16" s="130">
        <f>IF(SER_hh_emi_in!Y16=0,0,1000000*SER_hh_emi_in!Y16/SER_hh_num_in!Y16)</f>
        <v>0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0</v>
      </c>
      <c r="D17" s="132">
        <f>IF(SER_hh_emi_in!D17=0,0,1000000*SER_hh_emi_in!D17/SER_hh_num_in!D17)</f>
        <v>0</v>
      </c>
      <c r="E17" s="132">
        <f>IF(SER_hh_emi_in!E17=0,0,1000000*SER_hh_emi_in!E17/SER_hh_num_in!E17)</f>
        <v>0</v>
      </c>
      <c r="F17" s="132">
        <f>IF(SER_hh_emi_in!F17=0,0,1000000*SER_hh_emi_in!F17/SER_hh_num_in!F17)</f>
        <v>0</v>
      </c>
      <c r="G17" s="132">
        <f>IF(SER_hh_emi_in!G17=0,0,1000000*SER_hh_emi_in!G17/SER_hh_num_in!G17)</f>
        <v>0</v>
      </c>
      <c r="H17" s="132">
        <f>IF(SER_hh_emi_in!H17=0,0,1000000*SER_hh_emi_in!H17/SER_hh_num_in!H17)</f>
        <v>0</v>
      </c>
      <c r="I17" s="132">
        <f>IF(SER_hh_emi_in!I17=0,0,1000000*SER_hh_emi_in!I17/SER_hh_num_in!I17)</f>
        <v>0</v>
      </c>
      <c r="J17" s="132">
        <f>IF(SER_hh_emi_in!J17=0,0,1000000*SER_hh_emi_in!J17/SER_hh_num_in!J17)</f>
        <v>0</v>
      </c>
      <c r="K17" s="132">
        <f>IF(SER_hh_emi_in!K17=0,0,1000000*SER_hh_emi_in!K17/SER_hh_num_in!K17)</f>
        <v>0</v>
      </c>
      <c r="L17" s="132">
        <f>IF(SER_hh_emi_in!L17=0,0,1000000*SER_hh_emi_in!L17/SER_hh_num_in!L17)</f>
        <v>0</v>
      </c>
      <c r="M17" s="132">
        <f>IF(SER_hh_emi_in!M17=0,0,1000000*SER_hh_emi_in!M17/SER_hh_num_in!M17)</f>
        <v>0</v>
      </c>
      <c r="N17" s="132">
        <f>IF(SER_hh_emi_in!N17=0,0,1000000*SER_hh_emi_in!N17/SER_hh_num_in!N17)</f>
        <v>0</v>
      </c>
      <c r="O17" s="132">
        <f>IF(SER_hh_emi_in!O17=0,0,1000000*SER_hh_emi_in!O17/SER_hh_num_in!O17)</f>
        <v>0</v>
      </c>
      <c r="P17" s="132">
        <f>IF(SER_hh_emi_in!P17=0,0,1000000*SER_hh_emi_in!P17/SER_hh_num_in!P17)</f>
        <v>0</v>
      </c>
      <c r="Q17" s="132">
        <f>IF(SER_hh_emi_in!Q17=0,0,1000000*SER_hh_emi_in!Q17/SER_hh_num_in!Q17)</f>
        <v>0</v>
      </c>
      <c r="R17" s="132">
        <f>IF(SER_hh_emi_in!R17=0,0,1000000*SER_hh_emi_in!R17/SER_hh_num_in!R17)</f>
        <v>0</v>
      </c>
      <c r="S17" s="132">
        <f>IF(SER_hh_emi_in!S17=0,0,1000000*SER_hh_emi_in!S17/SER_hh_num_in!S17)</f>
        <v>0</v>
      </c>
      <c r="T17" s="132">
        <f>IF(SER_hh_emi_in!T17=0,0,1000000*SER_hh_emi_in!T17/SER_hh_num_in!T17)</f>
        <v>0</v>
      </c>
      <c r="U17" s="132">
        <f>IF(SER_hh_emi_in!U17=0,0,1000000*SER_hh_emi_in!U17/SER_hh_num_in!U17)</f>
        <v>0</v>
      </c>
      <c r="V17" s="132">
        <f>IF(SER_hh_emi_in!V17=0,0,1000000*SER_hh_emi_in!V17/SER_hh_num_in!V17)</f>
        <v>0</v>
      </c>
      <c r="W17" s="132">
        <f>IF(SER_hh_emi_in!W17=0,0,1000000*SER_hh_emi_in!W17/SER_hh_num_in!W17)</f>
        <v>0</v>
      </c>
      <c r="X17" s="132">
        <f>IF(SER_hh_emi_in!X17=0,0,1000000*SER_hh_emi_in!X17/SER_hh_num_in!X17)</f>
        <v>0</v>
      </c>
      <c r="Y17" s="132">
        <f>IF(SER_hh_emi_in!Y17=0,0,1000000*SER_hh_emi_in!Y17/SER_hh_num_in!Y17)</f>
        <v>0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612.95566914797848</v>
      </c>
      <c r="D19" s="130">
        <f>IF(SER_hh_emi_in!D19=0,0,1000000*SER_hh_emi_in!D19/SER_hh_num_in!D19)</f>
        <v>620.84218394380161</v>
      </c>
      <c r="E19" s="130">
        <f>IF(SER_hh_emi_in!E19=0,0,1000000*SER_hh_emi_in!E19/SER_hh_num_in!E19)</f>
        <v>570.85297436900373</v>
      </c>
      <c r="F19" s="130">
        <f>IF(SER_hh_emi_in!F19=0,0,1000000*SER_hh_emi_in!F19/SER_hh_num_in!F19)</f>
        <v>611.0787393242457</v>
      </c>
      <c r="G19" s="130">
        <f>IF(SER_hh_emi_in!G19=0,0,1000000*SER_hh_emi_in!G19/SER_hh_num_in!G19)</f>
        <v>713.94427501223834</v>
      </c>
      <c r="H19" s="130">
        <f>IF(SER_hh_emi_in!H19=0,0,1000000*SER_hh_emi_in!H19/SER_hh_num_in!H19)</f>
        <v>873.18051131948755</v>
      </c>
      <c r="I19" s="130">
        <f>IF(SER_hh_emi_in!I19=0,0,1000000*SER_hh_emi_in!I19/SER_hh_num_in!I19)</f>
        <v>1026.617113137595</v>
      </c>
      <c r="J19" s="130">
        <f>IF(SER_hh_emi_in!J19=0,0,1000000*SER_hh_emi_in!J19/SER_hh_num_in!J19)</f>
        <v>906.80212243800975</v>
      </c>
      <c r="K19" s="130">
        <f>IF(SER_hh_emi_in!K19=0,0,1000000*SER_hh_emi_in!K19/SER_hh_num_in!K19)</f>
        <v>846.17282064174606</v>
      </c>
      <c r="L19" s="130">
        <f>IF(SER_hh_emi_in!L19=0,0,1000000*SER_hh_emi_in!L19/SER_hh_num_in!L19)</f>
        <v>281.79182688218418</v>
      </c>
      <c r="M19" s="130">
        <f>IF(SER_hh_emi_in!M19=0,0,1000000*SER_hh_emi_in!M19/SER_hh_num_in!M19)</f>
        <v>421.18398473275994</v>
      </c>
      <c r="N19" s="130">
        <f>IF(SER_hh_emi_in!N19=0,0,1000000*SER_hh_emi_in!N19/SER_hh_num_in!N19)</f>
        <v>399.4620976129396</v>
      </c>
      <c r="O19" s="130">
        <f>IF(SER_hh_emi_in!O19=0,0,1000000*SER_hh_emi_in!O19/SER_hh_num_in!O19)</f>
        <v>224.54803274337752</v>
      </c>
      <c r="P19" s="130">
        <f>IF(SER_hh_emi_in!P19=0,0,1000000*SER_hh_emi_in!P19/SER_hh_num_in!P19)</f>
        <v>456.79409155281849</v>
      </c>
      <c r="Q19" s="130">
        <f>IF(SER_hh_emi_in!Q19=0,0,1000000*SER_hh_emi_in!Q19/SER_hh_num_in!Q19)</f>
        <v>370.94503417885329</v>
      </c>
      <c r="R19" s="130">
        <f>IF(SER_hh_emi_in!R19=0,0,1000000*SER_hh_emi_in!R19/SER_hh_num_in!R19)</f>
        <v>399.38295732940099</v>
      </c>
      <c r="S19" s="130">
        <f>IF(SER_hh_emi_in!S19=0,0,1000000*SER_hh_emi_in!S19/SER_hh_num_in!S19)</f>
        <v>422.08249670317463</v>
      </c>
      <c r="T19" s="130">
        <f>IF(SER_hh_emi_in!T19=0,0,1000000*SER_hh_emi_in!T19/SER_hh_num_in!T19)</f>
        <v>470.09644816871941</v>
      </c>
      <c r="U19" s="130">
        <f>IF(SER_hh_emi_in!U19=0,0,1000000*SER_hh_emi_in!U19/SER_hh_num_in!U19)</f>
        <v>441.35008670636478</v>
      </c>
      <c r="V19" s="130">
        <f>IF(SER_hh_emi_in!V19=0,0,1000000*SER_hh_emi_in!V19/SER_hh_num_in!V19)</f>
        <v>205.27708311065692</v>
      </c>
      <c r="W19" s="130">
        <f>IF(SER_hh_emi_in!W19=0,0,1000000*SER_hh_emi_in!W19/SER_hh_num_in!W19)</f>
        <v>336.36921956976585</v>
      </c>
      <c r="X19" s="130">
        <f>IF(SER_hh_emi_in!X19=0,0,1000000*SER_hh_emi_in!X19/SER_hh_num_in!X19)</f>
        <v>339.06074307966043</v>
      </c>
      <c r="Y19" s="130">
        <f>IF(SER_hh_emi_in!Y19=0,0,1000000*SER_hh_emi_in!Y19/SER_hh_num_in!Y19)</f>
        <v>543.08508772074754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0</v>
      </c>
      <c r="D21" s="132">
        <f>IF(SER_hh_emi_in!D21=0,0,1000000*SER_hh_emi_in!D21/SER_hh_num_in!D21)</f>
        <v>0</v>
      </c>
      <c r="E21" s="132">
        <f>IF(SER_hh_emi_in!E21=0,0,1000000*SER_hh_emi_in!E21/SER_hh_num_in!E21)</f>
        <v>0</v>
      </c>
      <c r="F21" s="132">
        <f>IF(SER_hh_emi_in!F21=0,0,1000000*SER_hh_emi_in!F21/SER_hh_num_in!F21)</f>
        <v>0</v>
      </c>
      <c r="G21" s="132">
        <f>IF(SER_hh_emi_in!G21=0,0,1000000*SER_hh_emi_in!G21/SER_hh_num_in!G21)</f>
        <v>0</v>
      </c>
      <c r="H21" s="132">
        <f>IF(SER_hh_emi_in!H21=0,0,1000000*SER_hh_emi_in!H21/SER_hh_num_in!H21)</f>
        <v>0</v>
      </c>
      <c r="I21" s="132">
        <f>IF(SER_hh_emi_in!I21=0,0,1000000*SER_hh_emi_in!I21/SER_hh_num_in!I21)</f>
        <v>0</v>
      </c>
      <c r="J21" s="132">
        <f>IF(SER_hh_emi_in!J21=0,0,1000000*SER_hh_emi_in!J21/SER_hh_num_in!J21)</f>
        <v>0</v>
      </c>
      <c r="K21" s="132">
        <f>IF(SER_hh_emi_in!K21=0,0,1000000*SER_hh_emi_in!K21/SER_hh_num_in!K21)</f>
        <v>0</v>
      </c>
      <c r="L21" s="132">
        <f>IF(SER_hh_emi_in!L21=0,0,1000000*SER_hh_emi_in!L21/SER_hh_num_in!L21)</f>
        <v>0</v>
      </c>
      <c r="M21" s="132">
        <f>IF(SER_hh_emi_in!M21=0,0,1000000*SER_hh_emi_in!M21/SER_hh_num_in!M21)</f>
        <v>0</v>
      </c>
      <c r="N21" s="132">
        <f>IF(SER_hh_emi_in!N21=0,0,1000000*SER_hh_emi_in!N21/SER_hh_num_in!N21)</f>
        <v>0</v>
      </c>
      <c r="O21" s="132">
        <f>IF(SER_hh_emi_in!O21=0,0,1000000*SER_hh_emi_in!O21/SER_hh_num_in!O21)</f>
        <v>0</v>
      </c>
      <c r="P21" s="132">
        <f>IF(SER_hh_emi_in!P21=0,0,1000000*SER_hh_emi_in!P21/SER_hh_num_in!P21)</f>
        <v>0</v>
      </c>
      <c r="Q21" s="132">
        <f>IF(SER_hh_emi_in!Q21=0,0,1000000*SER_hh_emi_in!Q21/SER_hh_num_in!Q21)</f>
        <v>0</v>
      </c>
      <c r="R21" s="132">
        <f>IF(SER_hh_emi_in!R21=0,0,1000000*SER_hh_emi_in!R21/SER_hh_num_in!R21)</f>
        <v>0</v>
      </c>
      <c r="S21" s="132">
        <f>IF(SER_hh_emi_in!S21=0,0,1000000*SER_hh_emi_in!S21/SER_hh_num_in!S21)</f>
        <v>0</v>
      </c>
      <c r="T21" s="132">
        <f>IF(SER_hh_emi_in!T21=0,0,1000000*SER_hh_emi_in!T21/SER_hh_num_in!T21)</f>
        <v>0</v>
      </c>
      <c r="U21" s="132">
        <f>IF(SER_hh_emi_in!U21=0,0,1000000*SER_hh_emi_in!U21/SER_hh_num_in!U21)</f>
        <v>0</v>
      </c>
      <c r="V21" s="132">
        <f>IF(SER_hh_emi_in!V21=0,0,1000000*SER_hh_emi_in!V21/SER_hh_num_in!V21)</f>
        <v>0</v>
      </c>
      <c r="W21" s="132">
        <f>IF(SER_hh_emi_in!W21=0,0,1000000*SER_hh_emi_in!W21/SER_hh_num_in!W21)</f>
        <v>0</v>
      </c>
      <c r="X21" s="132">
        <f>IF(SER_hh_emi_in!X21=0,0,1000000*SER_hh_emi_in!X21/SER_hh_num_in!X21)</f>
        <v>0</v>
      </c>
      <c r="Y21" s="132">
        <f>IF(SER_hh_emi_in!Y21=0,0,1000000*SER_hh_emi_in!Y21/SER_hh_num_in!Y21)</f>
        <v>0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5535.8598006206685</v>
      </c>
      <c r="D22" s="132">
        <f>IF(SER_hh_emi_in!D22=0,0,1000000*SER_hh_emi_in!D22/SER_hh_num_in!D22)</f>
        <v>5559.7152862533248</v>
      </c>
      <c r="E22" s="132">
        <f>IF(SER_hh_emi_in!E22=0,0,1000000*SER_hh_emi_in!E22/SER_hh_num_in!E22)</f>
        <v>5447.5266725185702</v>
      </c>
      <c r="F22" s="132">
        <f>IF(SER_hh_emi_in!F22=0,0,1000000*SER_hh_emi_in!F22/SER_hh_num_in!F22)</f>
        <v>0</v>
      </c>
      <c r="G22" s="132">
        <f>IF(SER_hh_emi_in!G22=0,0,1000000*SER_hh_emi_in!G22/SER_hh_num_in!G22)</f>
        <v>0</v>
      </c>
      <c r="H22" s="132">
        <f>IF(SER_hh_emi_in!H22=0,0,1000000*SER_hh_emi_in!H22/SER_hh_num_in!H22)</f>
        <v>5042.9157441110428</v>
      </c>
      <c r="I22" s="132">
        <f>IF(SER_hh_emi_in!I22=0,0,1000000*SER_hh_emi_in!I22/SER_hh_num_in!I22)</f>
        <v>5068.9970199323689</v>
      </c>
      <c r="J22" s="132">
        <f>IF(SER_hh_emi_in!J22=0,0,1000000*SER_hh_emi_in!J22/SER_hh_num_in!J22)</f>
        <v>5131.7465522127595</v>
      </c>
      <c r="K22" s="132">
        <f>IF(SER_hh_emi_in!K22=0,0,1000000*SER_hh_emi_in!K22/SER_hh_num_in!K22)</f>
        <v>5110.1108773893893</v>
      </c>
      <c r="L22" s="132">
        <f>IF(SER_hh_emi_in!L22=0,0,1000000*SER_hh_emi_in!L22/SER_hh_num_in!L22)</f>
        <v>2571.1778470287882</v>
      </c>
      <c r="M22" s="132">
        <f>IF(SER_hh_emi_in!M22=0,0,1000000*SER_hh_emi_in!M22/SER_hh_num_in!M22)</f>
        <v>5119.4127228177613</v>
      </c>
      <c r="N22" s="132">
        <f>IF(SER_hh_emi_in!N22=0,0,1000000*SER_hh_emi_in!N22/SER_hh_num_in!N22)</f>
        <v>5407.6005185890326</v>
      </c>
      <c r="O22" s="132">
        <f>IF(SER_hh_emi_in!O22=0,0,1000000*SER_hh_emi_in!O22/SER_hh_num_in!O22)</f>
        <v>0</v>
      </c>
      <c r="P22" s="132">
        <f>IF(SER_hh_emi_in!P22=0,0,1000000*SER_hh_emi_in!P22/SER_hh_num_in!P22)</f>
        <v>0</v>
      </c>
      <c r="Q22" s="132">
        <f>IF(SER_hh_emi_in!Q22=0,0,1000000*SER_hh_emi_in!Q22/SER_hh_num_in!Q22)</f>
        <v>0</v>
      </c>
      <c r="R22" s="132">
        <f>IF(SER_hh_emi_in!R22=0,0,1000000*SER_hh_emi_in!R22/SER_hh_num_in!R22)</f>
        <v>0</v>
      </c>
      <c r="S22" s="132">
        <f>IF(SER_hh_emi_in!S22=0,0,1000000*SER_hh_emi_in!S22/SER_hh_num_in!S22)</f>
        <v>0</v>
      </c>
      <c r="T22" s="132">
        <f>IF(SER_hh_emi_in!T22=0,0,1000000*SER_hh_emi_in!T22/SER_hh_num_in!T22)</f>
        <v>0</v>
      </c>
      <c r="U22" s="132">
        <f>IF(SER_hh_emi_in!U22=0,0,1000000*SER_hh_emi_in!U22/SER_hh_num_in!U22)</f>
        <v>0</v>
      </c>
      <c r="V22" s="132">
        <f>IF(SER_hh_emi_in!V22=0,0,1000000*SER_hh_emi_in!V22/SER_hh_num_in!V22)</f>
        <v>2993.0525632442072</v>
      </c>
      <c r="W22" s="132">
        <f>IF(SER_hh_emi_in!W22=0,0,1000000*SER_hh_emi_in!W22/SER_hh_num_in!W22)</f>
        <v>3337.8145488829146</v>
      </c>
      <c r="X22" s="132">
        <f>IF(SER_hh_emi_in!X22=0,0,1000000*SER_hh_emi_in!X22/SER_hh_num_in!X22)</f>
        <v>3340.692927218467</v>
      </c>
      <c r="Y22" s="132">
        <f>IF(SER_hh_emi_in!Y22=0,0,1000000*SER_hh_emi_in!Y22/SER_hh_num_in!Y22)</f>
        <v>4447.5641968583277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3738.4188783090449</v>
      </c>
      <c r="D23" s="132">
        <f>IF(SER_hh_emi_in!D23=0,0,1000000*SER_hh_emi_in!D23/SER_hh_num_in!D23)</f>
        <v>3325.8886440578153</v>
      </c>
      <c r="E23" s="132">
        <f>IF(SER_hh_emi_in!E23=0,0,1000000*SER_hh_emi_in!E23/SER_hh_num_in!E23)</f>
        <v>3480.5965007330642</v>
      </c>
      <c r="F23" s="132">
        <f>IF(SER_hh_emi_in!F23=0,0,1000000*SER_hh_emi_in!F23/SER_hh_num_in!F23)</f>
        <v>3389.7750317993391</v>
      </c>
      <c r="G23" s="132">
        <f>IF(SER_hh_emi_in!G23=0,0,1000000*SER_hh_emi_in!G23/SER_hh_num_in!G23)</f>
        <v>3276.8747077670505</v>
      </c>
      <c r="H23" s="132">
        <f>IF(SER_hh_emi_in!H23=0,0,1000000*SER_hh_emi_in!H23/SER_hh_num_in!H23)</f>
        <v>3359.4801908704931</v>
      </c>
      <c r="I23" s="132">
        <f>IF(SER_hh_emi_in!I23=0,0,1000000*SER_hh_emi_in!I23/SER_hh_num_in!I23)</f>
        <v>3502.6913405674654</v>
      </c>
      <c r="J23" s="132">
        <f>IF(SER_hh_emi_in!J23=0,0,1000000*SER_hh_emi_in!J23/SER_hh_num_in!J23)</f>
        <v>3414.5150862106875</v>
      </c>
      <c r="K23" s="132">
        <f>IF(SER_hh_emi_in!K23=0,0,1000000*SER_hh_emi_in!K23/SER_hh_num_in!K23)</f>
        <v>3391.8889624265967</v>
      </c>
      <c r="L23" s="132">
        <f>IF(SER_hh_emi_in!L23=0,0,1000000*SER_hh_emi_in!L23/SER_hh_num_in!L23)</f>
        <v>1534.5945619359745</v>
      </c>
      <c r="M23" s="132">
        <f>IF(SER_hh_emi_in!M23=0,0,1000000*SER_hh_emi_in!M23/SER_hh_num_in!M23)</f>
        <v>3042.9423005093149</v>
      </c>
      <c r="N23" s="132">
        <f>IF(SER_hh_emi_in!N23=0,0,1000000*SER_hh_emi_in!N23/SER_hh_num_in!N23)</f>
        <v>3181.5739351904067</v>
      </c>
      <c r="O23" s="132">
        <f>IF(SER_hh_emi_in!O23=0,0,1000000*SER_hh_emi_in!O23/SER_hh_num_in!O23)</f>
        <v>2335.5850520861936</v>
      </c>
      <c r="P23" s="132">
        <f>IF(SER_hh_emi_in!P23=0,0,1000000*SER_hh_emi_in!P23/SER_hh_num_in!P23)</f>
        <v>3082.9798535422015</v>
      </c>
      <c r="Q23" s="132">
        <f>IF(SER_hh_emi_in!Q23=0,0,1000000*SER_hh_emi_in!Q23/SER_hh_num_in!Q23)</f>
        <v>2692.0816173312792</v>
      </c>
      <c r="R23" s="132">
        <f>IF(SER_hh_emi_in!R23=0,0,1000000*SER_hh_emi_in!R23/SER_hh_num_in!R23)</f>
        <v>2590.6370724838594</v>
      </c>
      <c r="S23" s="132">
        <f>IF(SER_hh_emi_in!S23=0,0,1000000*SER_hh_emi_in!S23/SER_hh_num_in!S23)</f>
        <v>2718.8915041182609</v>
      </c>
      <c r="T23" s="132">
        <f>IF(SER_hh_emi_in!T23=0,0,1000000*SER_hh_emi_in!T23/SER_hh_num_in!T23)</f>
        <v>2857.7660313327137</v>
      </c>
      <c r="U23" s="132">
        <f>IF(SER_hh_emi_in!U23=0,0,1000000*SER_hh_emi_in!U23/SER_hh_num_in!U23)</f>
        <v>2855.2269542639101</v>
      </c>
      <c r="V23" s="132">
        <f>IF(SER_hh_emi_in!V23=0,0,1000000*SER_hh_emi_in!V23/SER_hh_num_in!V23)</f>
        <v>1787.3499870151823</v>
      </c>
      <c r="W23" s="132">
        <f>IF(SER_hh_emi_in!W23=0,0,1000000*SER_hh_emi_in!W23/SER_hh_num_in!W23)</f>
        <v>2748.5365496838381</v>
      </c>
      <c r="X23" s="132">
        <f>IF(SER_hh_emi_in!X23=0,0,1000000*SER_hh_emi_in!X23/SER_hh_num_in!X23)</f>
        <v>2121.2803517430507</v>
      </c>
      <c r="Y23" s="132">
        <f>IF(SER_hh_emi_in!Y23=0,0,1000000*SER_hh_emi_in!Y23/SER_hh_num_in!Y23)</f>
        <v>2703.6571620208051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352.83128058098606</v>
      </c>
      <c r="D29" s="130">
        <f>IF(SER_hh_emi_in!D29=0,0,1000000*SER_hh_emi_in!D29/SER_hh_num_in!D29)</f>
        <v>358.20599847724708</v>
      </c>
      <c r="E29" s="130">
        <f>IF(SER_hh_emi_in!E29=0,0,1000000*SER_hh_emi_in!E29/SER_hh_num_in!E29)</f>
        <v>429.56481047717017</v>
      </c>
      <c r="F29" s="130">
        <f>IF(SER_hh_emi_in!F29=0,0,1000000*SER_hh_emi_in!F29/SER_hh_num_in!F29)</f>
        <v>539.14910442038047</v>
      </c>
      <c r="G29" s="130">
        <f>IF(SER_hh_emi_in!G29=0,0,1000000*SER_hh_emi_in!G29/SER_hh_num_in!G29)</f>
        <v>529.2634699306808</v>
      </c>
      <c r="H29" s="130">
        <f>IF(SER_hh_emi_in!H29=0,0,1000000*SER_hh_emi_in!H29/SER_hh_num_in!H29)</f>
        <v>706.23015295653579</v>
      </c>
      <c r="I29" s="130">
        <f>IF(SER_hh_emi_in!I29=0,0,1000000*SER_hh_emi_in!I29/SER_hh_num_in!I29)</f>
        <v>553.68738416108556</v>
      </c>
      <c r="J29" s="130">
        <f>IF(SER_hh_emi_in!J29=0,0,1000000*SER_hh_emi_in!J29/SER_hh_num_in!J29)</f>
        <v>385.93063764288615</v>
      </c>
      <c r="K29" s="130">
        <f>IF(SER_hh_emi_in!K29=0,0,1000000*SER_hh_emi_in!K29/SER_hh_num_in!K29)</f>
        <v>269.1693869443813</v>
      </c>
      <c r="L29" s="130">
        <f>IF(SER_hh_emi_in!L29=0,0,1000000*SER_hh_emi_in!L29/SER_hh_num_in!L29)</f>
        <v>1894.5898443731812</v>
      </c>
      <c r="M29" s="130">
        <f>IF(SER_hh_emi_in!M29=0,0,1000000*SER_hh_emi_in!M29/SER_hh_num_in!M29)</f>
        <v>803.85078748702108</v>
      </c>
      <c r="N29" s="130">
        <f>IF(SER_hh_emi_in!N29=0,0,1000000*SER_hh_emi_in!N29/SER_hh_num_in!N29)</f>
        <v>929.90250053725902</v>
      </c>
      <c r="O29" s="130">
        <f>IF(SER_hh_emi_in!O29=0,0,1000000*SER_hh_emi_in!O29/SER_hh_num_in!O29)</f>
        <v>514.6127633604824</v>
      </c>
      <c r="P29" s="130">
        <f>IF(SER_hh_emi_in!P29=0,0,1000000*SER_hh_emi_in!P29/SER_hh_num_in!P29)</f>
        <v>501.28338207190086</v>
      </c>
      <c r="Q29" s="130">
        <f>IF(SER_hh_emi_in!Q29=0,0,1000000*SER_hh_emi_in!Q29/SER_hh_num_in!Q29)</f>
        <v>445.77003295493415</v>
      </c>
      <c r="R29" s="130">
        <f>IF(SER_hh_emi_in!R29=0,0,1000000*SER_hh_emi_in!R29/SER_hh_num_in!R29)</f>
        <v>465.80859589165448</v>
      </c>
      <c r="S29" s="130">
        <f>IF(SER_hh_emi_in!S29=0,0,1000000*SER_hh_emi_in!S29/SER_hh_num_in!S29)</f>
        <v>565.29753813925993</v>
      </c>
      <c r="T29" s="130">
        <f>IF(SER_hh_emi_in!T29=0,0,1000000*SER_hh_emi_in!T29/SER_hh_num_in!T29)</f>
        <v>699.79758263699421</v>
      </c>
      <c r="U29" s="130">
        <f>IF(SER_hh_emi_in!U29=0,0,1000000*SER_hh_emi_in!U29/SER_hh_num_in!U29)</f>
        <v>596.99185191993161</v>
      </c>
      <c r="V29" s="130">
        <f>IF(SER_hh_emi_in!V29=0,0,1000000*SER_hh_emi_in!V29/SER_hh_num_in!V29)</f>
        <v>537.23448860424946</v>
      </c>
      <c r="W29" s="130">
        <f>IF(SER_hh_emi_in!W29=0,0,1000000*SER_hh_emi_in!W29/SER_hh_num_in!W29)</f>
        <v>752.31883435410543</v>
      </c>
      <c r="X29" s="130">
        <f>IF(SER_hh_emi_in!X29=0,0,1000000*SER_hh_emi_in!X29/SER_hh_num_in!X29)</f>
        <v>937.75527493428979</v>
      </c>
      <c r="Y29" s="130">
        <f>IF(SER_hh_emi_in!Y29=0,0,1000000*SER_hh_emi_in!Y29/SER_hh_num_in!Y29)</f>
        <v>755.99603676267009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9600.3673085227438</v>
      </c>
      <c r="D30" s="132">
        <f>IF(SER_hh_emi_in!D30=0,0,1000000*SER_hh_emi_in!D30/SER_hh_num_in!D30)</f>
        <v>0</v>
      </c>
      <c r="E30" s="132">
        <f>IF(SER_hh_emi_in!E30=0,0,1000000*SER_hh_emi_in!E30/SER_hh_num_in!E30)</f>
        <v>0</v>
      </c>
      <c r="F30" s="132">
        <f>IF(SER_hh_emi_in!F30=0,0,1000000*SER_hh_emi_in!F30/SER_hh_num_in!F30)</f>
        <v>0</v>
      </c>
      <c r="G30" s="132">
        <f>IF(SER_hh_emi_in!G30=0,0,1000000*SER_hh_emi_in!G30/SER_hh_num_in!G30)</f>
        <v>0</v>
      </c>
      <c r="H30" s="132">
        <f>IF(SER_hh_emi_in!H30=0,0,1000000*SER_hh_emi_in!H30/SER_hh_num_in!H30)</f>
        <v>0</v>
      </c>
      <c r="I30" s="132">
        <f>IF(SER_hh_emi_in!I30=0,0,1000000*SER_hh_emi_in!I30/SER_hh_num_in!I30)</f>
        <v>0</v>
      </c>
      <c r="J30" s="132">
        <f>IF(SER_hh_emi_in!J30=0,0,1000000*SER_hh_emi_in!J30/SER_hh_num_in!J30)</f>
        <v>0</v>
      </c>
      <c r="K30" s="132">
        <f>IF(SER_hh_emi_in!K30=0,0,1000000*SER_hh_emi_in!K30/SER_hh_num_in!K30)</f>
        <v>0</v>
      </c>
      <c r="L30" s="132">
        <f>IF(SER_hh_emi_in!L30=0,0,1000000*SER_hh_emi_in!L30/SER_hh_num_in!L30)</f>
        <v>5578.4437353015237</v>
      </c>
      <c r="M30" s="132">
        <f>IF(SER_hh_emi_in!M30=0,0,1000000*SER_hh_emi_in!M30/SER_hh_num_in!M30)</f>
        <v>5188.0667345888905</v>
      </c>
      <c r="N30" s="132">
        <f>IF(SER_hh_emi_in!N30=0,0,1000000*SER_hh_emi_in!N30/SER_hh_num_in!N30)</f>
        <v>8194.9808132361377</v>
      </c>
      <c r="O30" s="132">
        <f>IF(SER_hh_emi_in!O30=0,0,1000000*SER_hh_emi_in!O30/SER_hh_num_in!O30)</f>
        <v>5838.4482980534558</v>
      </c>
      <c r="P30" s="132">
        <f>IF(SER_hh_emi_in!P30=0,0,1000000*SER_hh_emi_in!P30/SER_hh_num_in!P30)</f>
        <v>3651.9008928333365</v>
      </c>
      <c r="Q30" s="132">
        <f>IF(SER_hh_emi_in!Q30=0,0,1000000*SER_hh_emi_in!Q30/SER_hh_num_in!Q30)</f>
        <v>3666.9673441249579</v>
      </c>
      <c r="R30" s="132">
        <f>IF(SER_hh_emi_in!R30=0,0,1000000*SER_hh_emi_in!R30/SER_hh_num_in!R30)</f>
        <v>4261.3446308678922</v>
      </c>
      <c r="S30" s="132">
        <f>IF(SER_hh_emi_in!S30=0,0,1000000*SER_hh_emi_in!S30/SER_hh_num_in!S30)</f>
        <v>4998.4573363363834</v>
      </c>
      <c r="T30" s="132">
        <f>IF(SER_hh_emi_in!T30=0,0,1000000*SER_hh_emi_in!T30/SER_hh_num_in!T30)</f>
        <v>5320.7655274255922</v>
      </c>
      <c r="U30" s="132">
        <f>IF(SER_hh_emi_in!U30=0,0,1000000*SER_hh_emi_in!U30/SER_hh_num_in!U30)</f>
        <v>5107.1135063807696</v>
      </c>
      <c r="V30" s="132">
        <f>IF(SER_hh_emi_in!V30=0,0,1000000*SER_hh_emi_in!V30/SER_hh_num_in!V30)</f>
        <v>4027.6560078916482</v>
      </c>
      <c r="W30" s="132">
        <f>IF(SER_hh_emi_in!W30=0,0,1000000*SER_hh_emi_in!W30/SER_hh_num_in!W30)</f>
        <v>4523.5789971909353</v>
      </c>
      <c r="X30" s="132">
        <f>IF(SER_hh_emi_in!X30=0,0,1000000*SER_hh_emi_in!X30/SER_hh_num_in!X30)</f>
        <v>4891.4793882463018</v>
      </c>
      <c r="Y30" s="132">
        <f>IF(SER_hh_emi_in!Y30=0,0,1000000*SER_hh_emi_in!Y30/SER_hh_num_in!Y30)</f>
        <v>5033.2656249664124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4094.4039855816022</v>
      </c>
      <c r="D31" s="132">
        <f>IF(SER_hh_emi_in!D31=0,0,1000000*SER_hh_emi_in!D31/SER_hh_num_in!D31)</f>
        <v>3802.7915066312771</v>
      </c>
      <c r="E31" s="132">
        <f>IF(SER_hh_emi_in!E31=0,0,1000000*SER_hh_emi_in!E31/SER_hh_num_in!E31)</f>
        <v>4006.4198947686095</v>
      </c>
      <c r="F31" s="132">
        <f>IF(SER_hh_emi_in!F31=0,0,1000000*SER_hh_emi_in!F31/SER_hh_num_in!F31)</f>
        <v>4060.8167299038819</v>
      </c>
      <c r="G31" s="132">
        <f>IF(SER_hh_emi_in!G31=0,0,1000000*SER_hh_emi_in!G31/SER_hh_num_in!G31)</f>
        <v>3722.0542675656034</v>
      </c>
      <c r="H31" s="132">
        <f>IF(SER_hh_emi_in!H31=0,0,1000000*SER_hh_emi_in!H31/SER_hh_num_in!H31)</f>
        <v>4105.5404461592652</v>
      </c>
      <c r="I31" s="132">
        <f>IF(SER_hh_emi_in!I31=0,0,1000000*SER_hh_emi_in!I31/SER_hh_num_in!I31)</f>
        <v>4139.8527585739894</v>
      </c>
      <c r="J31" s="132">
        <f>IF(SER_hh_emi_in!J31=0,0,1000000*SER_hh_emi_in!J31/SER_hh_num_in!J31)</f>
        <v>4089.602626335251</v>
      </c>
      <c r="K31" s="132">
        <f>IF(SER_hh_emi_in!K31=0,0,1000000*SER_hh_emi_in!K31/SER_hh_num_in!K31)</f>
        <v>4052.876344577267</v>
      </c>
      <c r="L31" s="132">
        <f>IF(SER_hh_emi_in!L31=0,0,1000000*SER_hh_emi_in!L31/SER_hh_num_in!L31)</f>
        <v>4089.5334746238273</v>
      </c>
      <c r="M31" s="132">
        <f>IF(SER_hh_emi_in!M31=0,0,1000000*SER_hh_emi_in!M31/SER_hh_num_in!M31)</f>
        <v>4111.7482001154704</v>
      </c>
      <c r="N31" s="132">
        <f>IF(SER_hh_emi_in!N31=0,0,1000000*SER_hh_emi_in!N31/SER_hh_num_in!N31)</f>
        <v>4248.5845146682077</v>
      </c>
      <c r="O31" s="132">
        <f>IF(SER_hh_emi_in!O31=0,0,1000000*SER_hh_emi_in!O31/SER_hh_num_in!O31)</f>
        <v>4264.1088372674449</v>
      </c>
      <c r="P31" s="132">
        <f>IF(SER_hh_emi_in!P31=0,0,1000000*SER_hh_emi_in!P31/SER_hh_num_in!P31)</f>
        <v>4248.0642774388261</v>
      </c>
      <c r="Q31" s="132">
        <f>IF(SER_hh_emi_in!Q31=0,0,1000000*SER_hh_emi_in!Q31/SER_hh_num_in!Q31)</f>
        <v>4116.4375068502368</v>
      </c>
      <c r="R31" s="132">
        <f>IF(SER_hh_emi_in!R31=0,0,1000000*SER_hh_emi_in!R31/SER_hh_num_in!R31)</f>
        <v>3932.6356235307394</v>
      </c>
      <c r="S31" s="132">
        <f>IF(SER_hh_emi_in!S31=0,0,1000000*SER_hh_emi_in!S31/SER_hh_num_in!S31)</f>
        <v>4212.2838795622029</v>
      </c>
      <c r="T31" s="132">
        <f>IF(SER_hh_emi_in!T31=0,0,1000000*SER_hh_emi_in!T31/SER_hh_num_in!T31)</f>
        <v>4217.043716404597</v>
      </c>
      <c r="U31" s="132">
        <f>IF(SER_hh_emi_in!U31=0,0,1000000*SER_hh_emi_in!U31/SER_hh_num_in!U31)</f>
        <v>4150.9007417365974</v>
      </c>
      <c r="V31" s="132">
        <f>IF(SER_hh_emi_in!V31=0,0,1000000*SER_hh_emi_in!V31/SER_hh_num_in!V31)</f>
        <v>3524.4838417809265</v>
      </c>
      <c r="W31" s="132">
        <f>IF(SER_hh_emi_in!W31=0,0,1000000*SER_hh_emi_in!W31/SER_hh_num_in!W31)</f>
        <v>4118.6067659490855</v>
      </c>
      <c r="X31" s="132">
        <f>IF(SER_hh_emi_in!X31=0,0,1000000*SER_hh_emi_in!X31/SER_hh_num_in!X31)</f>
        <v>4090.6146320205053</v>
      </c>
      <c r="Y31" s="132">
        <f>IF(SER_hh_emi_in!Y31=0,0,1000000*SER_hh_emi_in!Y31/SER_hh_num_in!Y31)</f>
        <v>4053.8795659053671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103.75672817154012</v>
      </c>
      <c r="D3" s="125">
        <f>IF(SER_hh_fech_in!D3=0,0,SER_hh_fech_in!D3/SER_summary!D$27)</f>
        <v>86.923698397130607</v>
      </c>
      <c r="E3" s="125">
        <f>IF(SER_hh_fech_in!E3=0,0,SER_hh_fech_in!E3/SER_summary!E$27)</f>
        <v>91.045473016745518</v>
      </c>
      <c r="F3" s="125">
        <f>IF(SER_hh_fech_in!F3=0,0,SER_hh_fech_in!F3/SER_summary!F$27)</f>
        <v>78.401528508015843</v>
      </c>
      <c r="G3" s="125">
        <f>IF(SER_hh_fech_in!G3=0,0,SER_hh_fech_in!G3/SER_summary!G$27)</f>
        <v>104.12533472687267</v>
      </c>
      <c r="H3" s="125">
        <f>IF(SER_hh_fech_in!H3=0,0,SER_hh_fech_in!H3/SER_summary!H$27)</f>
        <v>100.54763260729371</v>
      </c>
      <c r="I3" s="125">
        <f>IF(SER_hh_fech_in!I3=0,0,SER_hh_fech_in!I3/SER_summary!I$27)</f>
        <v>91.597057220156458</v>
      </c>
      <c r="J3" s="125">
        <f>IF(SER_hh_fech_in!J3=0,0,SER_hh_fech_in!J3/SER_summary!J$27)</f>
        <v>90.347732771461352</v>
      </c>
      <c r="K3" s="125">
        <f>IF(SER_hh_fech_in!K3=0,0,SER_hh_fech_in!K3/SER_summary!K$27)</f>
        <v>84.163063091280748</v>
      </c>
      <c r="L3" s="125">
        <f>IF(SER_hh_fech_in!L3=0,0,SER_hh_fech_in!L3/SER_summary!L$27)</f>
        <v>92.769134552165823</v>
      </c>
      <c r="M3" s="125">
        <f>IF(SER_hh_fech_in!M3=0,0,SER_hh_fech_in!M3/SER_summary!M$27)</f>
        <v>82.160595644287866</v>
      </c>
      <c r="N3" s="125">
        <f>IF(SER_hh_fech_in!N3=0,0,SER_hh_fech_in!N3/SER_summary!N$27)</f>
        <v>87.642524461852332</v>
      </c>
      <c r="O3" s="125">
        <f>IF(SER_hh_fech_in!O3=0,0,SER_hh_fech_in!O3/SER_summary!O$27)</f>
        <v>64.280098565542048</v>
      </c>
      <c r="P3" s="125">
        <f>IF(SER_hh_fech_in!P3=0,0,SER_hh_fech_in!P3/SER_summary!P$27)</f>
        <v>60.570176207081367</v>
      </c>
      <c r="Q3" s="125">
        <f>IF(SER_hh_fech_in!Q3=0,0,SER_hh_fech_in!Q3/SER_summary!Q$27)</f>
        <v>73.93465135666186</v>
      </c>
      <c r="R3" s="125">
        <f>IF(SER_hh_fech_in!R3=0,0,SER_hh_fech_in!R3/SER_summary!R$27)</f>
        <v>73.083568775729418</v>
      </c>
      <c r="S3" s="125">
        <f>IF(SER_hh_fech_in!S3=0,0,SER_hh_fech_in!S3/SER_summary!S$27)</f>
        <v>81.139899528857825</v>
      </c>
      <c r="T3" s="125">
        <f>IF(SER_hh_fech_in!T3=0,0,SER_hh_fech_in!T3/SER_summary!T$27)</f>
        <v>81.772349617077566</v>
      </c>
      <c r="U3" s="125">
        <f>IF(SER_hh_fech_in!U3=0,0,SER_hh_fech_in!U3/SER_summary!U$27)</f>
        <v>71.524435860205969</v>
      </c>
      <c r="V3" s="125">
        <f>IF(SER_hh_fech_in!V3=0,0,SER_hh_fech_in!V3/SER_summary!V$27)</f>
        <v>56.129483308891189</v>
      </c>
      <c r="W3" s="125">
        <f>IF(SER_hh_fech_in!W3=0,0,SER_hh_fech_in!W3/SER_summary!W$27)</f>
        <v>65.068415959431348</v>
      </c>
      <c r="X3" s="125">
        <f>IF(SER_hh_fech_in!X3=0,0,SER_hh_fech_in!X3/SER_summary!X$27)</f>
        <v>57.050267536188244</v>
      </c>
      <c r="Y3" s="125">
        <f>IF(SER_hh_fech_in!Y3=0,0,SER_hh_fech_in!Y3/SER_summary!Y$27)</f>
        <v>53.172997632654756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55.713982262866971</v>
      </c>
      <c r="D4" s="130">
        <f>IF(SER_hh_fech_in!D4=0,0,SER_hh_fech_in!D4/SER_summary!D$27)</f>
        <v>45.364348336079814</v>
      </c>
      <c r="E4" s="130">
        <f>IF(SER_hh_fech_in!E4=0,0,SER_hh_fech_in!E4/SER_summary!E$27)</f>
        <v>48.289924988281832</v>
      </c>
      <c r="F4" s="130">
        <f>IF(SER_hh_fech_in!F4=0,0,SER_hh_fech_in!F4/SER_summary!F$27)</f>
        <v>36.525590869294781</v>
      </c>
      <c r="G4" s="130">
        <f>IF(SER_hh_fech_in!G4=0,0,SER_hh_fech_in!G4/SER_summary!G$27)</f>
        <v>63.749835010140032</v>
      </c>
      <c r="H4" s="130">
        <f>IF(SER_hh_fech_in!H4=0,0,SER_hh_fech_in!H4/SER_summary!H$27)</f>
        <v>58.009633439076843</v>
      </c>
      <c r="I4" s="130">
        <f>IF(SER_hh_fech_in!I4=0,0,SER_hh_fech_in!I4/SER_summary!I$27)</f>
        <v>42.612555317692774</v>
      </c>
      <c r="J4" s="130">
        <f>IF(SER_hh_fech_in!J4=0,0,SER_hh_fech_in!J4/SER_summary!J$27)</f>
        <v>45.014745541563151</v>
      </c>
      <c r="K4" s="130">
        <f>IF(SER_hh_fech_in!K4=0,0,SER_hh_fech_in!K4/SER_summary!K$27)</f>
        <v>42.272600044174816</v>
      </c>
      <c r="L4" s="130">
        <f>IF(SER_hh_fech_in!L4=0,0,SER_hh_fech_in!L4/SER_summary!L$27)</f>
        <v>50.015599411474</v>
      </c>
      <c r="M4" s="130">
        <f>IF(SER_hh_fech_in!M4=0,0,SER_hh_fech_in!M4/SER_summary!M$27)</f>
        <v>42.960145038856751</v>
      </c>
      <c r="N4" s="130">
        <f>IF(SER_hh_fech_in!N4=0,0,SER_hh_fech_in!N4/SER_summary!N$27)</f>
        <v>40.754170404966935</v>
      </c>
      <c r="O4" s="130">
        <f>IF(SER_hh_fech_in!O4=0,0,SER_hh_fech_in!O4/SER_summary!O$27)</f>
        <v>26.538458539028021</v>
      </c>
      <c r="P4" s="130">
        <f>IF(SER_hh_fech_in!P4=0,0,SER_hh_fech_in!P4/SER_summary!P$27)</f>
        <v>23.125677176895834</v>
      </c>
      <c r="Q4" s="130">
        <f>IF(SER_hh_fech_in!Q4=0,0,SER_hh_fech_in!Q4/SER_summary!Q$27)</f>
        <v>35.309227536034058</v>
      </c>
      <c r="R4" s="130">
        <f>IF(SER_hh_fech_in!R4=0,0,SER_hh_fech_in!R4/SER_summary!R$27)</f>
        <v>35.346934941161102</v>
      </c>
      <c r="S4" s="130">
        <f>IF(SER_hh_fech_in!S4=0,0,SER_hh_fech_in!S4/SER_summary!S$27)</f>
        <v>41.965153109093777</v>
      </c>
      <c r="T4" s="130">
        <f>IF(SER_hh_fech_in!T4=0,0,SER_hh_fech_in!T4/SER_summary!T$27)</f>
        <v>42.807459452737859</v>
      </c>
      <c r="U4" s="130">
        <f>IF(SER_hh_fech_in!U4=0,0,SER_hh_fech_in!U4/SER_summary!U$27)</f>
        <v>32.975487048425407</v>
      </c>
      <c r="V4" s="130">
        <f>IF(SER_hh_fech_in!V4=0,0,SER_hh_fech_in!V4/SER_summary!V$27)</f>
        <v>23.655972716222117</v>
      </c>
      <c r="W4" s="130">
        <f>IF(SER_hh_fech_in!W4=0,0,SER_hh_fech_in!W4/SER_summary!W$27)</f>
        <v>28.20211277981543</v>
      </c>
      <c r="X4" s="130">
        <f>IF(SER_hh_fech_in!X4=0,0,SER_hh_fech_in!X4/SER_summary!X$27)</f>
        <v>19.985074383424934</v>
      </c>
      <c r="Y4" s="130">
        <f>IF(SER_hh_fech_in!Y4=0,0,SER_hh_fech_in!Y4/SER_summary!Y$27)</f>
        <v>15.220983273462037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60.800866898170767</v>
      </c>
      <c r="D5" s="132">
        <f>IF(SER_hh_fech_in!D5=0,0,SER_hh_fech_in!D5/SER_summary!D$27)</f>
        <v>73.219996646867983</v>
      </c>
      <c r="E5" s="132">
        <f>IF(SER_hh_fech_in!E5=0,0,SER_hh_fech_in!E5/SER_summary!E$27)</f>
        <v>78.695444022466958</v>
      </c>
      <c r="F5" s="132">
        <f>IF(SER_hh_fech_in!F5=0,0,SER_hh_fech_in!F5/SER_summary!F$27)</f>
        <v>53.495599663761858</v>
      </c>
      <c r="G5" s="132">
        <f>IF(SER_hh_fech_in!G5=0,0,SER_hh_fech_in!G5/SER_summary!G$27)</f>
        <v>0</v>
      </c>
      <c r="H5" s="132">
        <f>IF(SER_hh_fech_in!H5=0,0,SER_hh_fech_in!H5/SER_summary!H$27)</f>
        <v>0</v>
      </c>
      <c r="I5" s="132">
        <f>IF(SER_hh_fech_in!I5=0,0,SER_hh_fech_in!I5/SER_summary!I$27)</f>
        <v>0</v>
      </c>
      <c r="J5" s="132">
        <f>IF(SER_hh_fech_in!J5=0,0,SER_hh_fech_in!J5/SER_summary!J$27)</f>
        <v>75.060014595415353</v>
      </c>
      <c r="K5" s="132">
        <f>IF(SER_hh_fech_in!K5=0,0,SER_hh_fech_in!K5/SER_summary!K$27)</f>
        <v>62.558078784250696</v>
      </c>
      <c r="L5" s="132">
        <f>IF(SER_hh_fech_in!L5=0,0,SER_hh_fech_in!L5/SER_summary!L$27)</f>
        <v>59.321697339076749</v>
      </c>
      <c r="M5" s="132">
        <f>IF(SER_hh_fech_in!M5=0,0,SER_hh_fech_in!M5/SER_summary!M$27)</f>
        <v>65.274566109962336</v>
      </c>
      <c r="N5" s="132">
        <f>IF(SER_hh_fech_in!N5=0,0,SER_hh_fech_in!N5/SER_summary!N$27)</f>
        <v>48.436188174818916</v>
      </c>
      <c r="O5" s="132">
        <f>IF(SER_hh_fech_in!O5=0,0,SER_hh_fech_in!O5/SER_summary!O$27)</f>
        <v>62.990295866523311</v>
      </c>
      <c r="P5" s="132">
        <f>IF(SER_hh_fech_in!P5=0,0,SER_hh_fech_in!P5/SER_summary!P$27)</f>
        <v>27.868112765129506</v>
      </c>
      <c r="Q5" s="132">
        <f>IF(SER_hh_fech_in!Q5=0,0,SER_hh_fech_in!Q5/SER_summary!Q$27)</f>
        <v>70.248547977475695</v>
      </c>
      <c r="R5" s="132">
        <f>IF(SER_hh_fech_in!R5=0,0,SER_hh_fech_in!R5/SER_summary!R$27)</f>
        <v>74.279122295742155</v>
      </c>
      <c r="S5" s="132">
        <f>IF(SER_hh_fech_in!S5=0,0,SER_hh_fech_in!S5/SER_summary!S$27)</f>
        <v>50.573676528897145</v>
      </c>
      <c r="T5" s="132">
        <f>IF(SER_hh_fech_in!T5=0,0,SER_hh_fech_in!T5/SER_summary!T$27)</f>
        <v>35.756567391686566</v>
      </c>
      <c r="U5" s="132">
        <f>IF(SER_hh_fech_in!U5=0,0,SER_hh_fech_in!U5/SER_summary!U$27)</f>
        <v>53.92068509826445</v>
      </c>
      <c r="V5" s="132">
        <f>IF(SER_hh_fech_in!V5=0,0,SER_hh_fech_in!V5/SER_summary!V$27)</f>
        <v>0</v>
      </c>
      <c r="W5" s="132">
        <f>IF(SER_hh_fech_in!W5=0,0,SER_hh_fech_in!W5/SER_summary!W$27)</f>
        <v>0</v>
      </c>
      <c r="X5" s="132">
        <f>IF(SER_hh_fech_in!X5=0,0,SER_hh_fech_in!X5/SER_summary!X$27)</f>
        <v>0</v>
      </c>
      <c r="Y5" s="132">
        <f>IF(SER_hh_fech_in!Y5=0,0,SER_hh_fech_in!Y5/SER_summary!Y$27)</f>
        <v>0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115.6812274448035</v>
      </c>
      <c r="D7" s="132">
        <f>IF(SER_hh_fech_in!D7=0,0,SER_hh_fech_in!D7/SER_summary!D$27)</f>
        <v>0</v>
      </c>
      <c r="E7" s="132">
        <f>IF(SER_hh_fech_in!E7=0,0,SER_hh_fech_in!E7/SER_summary!E$27)</f>
        <v>0</v>
      </c>
      <c r="F7" s="132">
        <f>IF(SER_hh_fech_in!F7=0,0,SER_hh_fech_in!F7/SER_summary!F$27)</f>
        <v>0</v>
      </c>
      <c r="G7" s="132">
        <f>IF(SER_hh_fech_in!G7=0,0,SER_hh_fech_in!G7/SER_summary!G$27)</f>
        <v>0</v>
      </c>
      <c r="H7" s="132">
        <f>IF(SER_hh_fech_in!H7=0,0,SER_hh_fech_in!H7/SER_summary!H$27)</f>
        <v>101.79097896383779</v>
      </c>
      <c r="I7" s="132">
        <f>IF(SER_hh_fech_in!I7=0,0,SER_hh_fech_in!I7/SER_summary!I$27)</f>
        <v>0</v>
      </c>
      <c r="J7" s="132">
        <f>IF(SER_hh_fech_in!J7=0,0,SER_hh_fech_in!J7/SER_summary!J$27)</f>
        <v>0</v>
      </c>
      <c r="K7" s="132">
        <f>IF(SER_hh_fech_in!K7=0,0,SER_hh_fech_in!K7/SER_summary!K$27)</f>
        <v>100.23566611530293</v>
      </c>
      <c r="L7" s="132">
        <f>IF(SER_hh_fech_in!L7=0,0,SER_hh_fech_in!L7/SER_summary!L$27)</f>
        <v>67.924608856342729</v>
      </c>
      <c r="M7" s="132">
        <f>IF(SER_hh_fech_in!M7=0,0,SER_hh_fech_in!M7/SER_summary!M$27)</f>
        <v>0</v>
      </c>
      <c r="N7" s="132">
        <f>IF(SER_hh_fech_in!N7=0,0,SER_hh_fech_in!N7/SER_summary!N$27)</f>
        <v>67.190783357149357</v>
      </c>
      <c r="O7" s="132">
        <f>IF(SER_hh_fech_in!O7=0,0,SER_hh_fech_in!O7/SER_summary!O$27)</f>
        <v>47.002371942425555</v>
      </c>
      <c r="P7" s="132">
        <f>IF(SER_hh_fech_in!P7=0,0,SER_hh_fech_in!P7/SER_summary!P$27)</f>
        <v>26.700039799732743</v>
      </c>
      <c r="Q7" s="132">
        <f>IF(SER_hh_fech_in!Q7=0,0,SER_hh_fech_in!Q7/SER_summary!Q$27)</f>
        <v>69.751513541694152</v>
      </c>
      <c r="R7" s="132">
        <f>IF(SER_hh_fech_in!R7=0,0,SER_hh_fech_in!R7/SER_summary!R$27)</f>
        <v>63.116559931157752</v>
      </c>
      <c r="S7" s="132">
        <f>IF(SER_hh_fech_in!S7=0,0,SER_hh_fech_in!S7/SER_summary!S$27)</f>
        <v>0</v>
      </c>
      <c r="T7" s="132">
        <f>IF(SER_hh_fech_in!T7=0,0,SER_hh_fech_in!T7/SER_summary!T$27)</f>
        <v>0</v>
      </c>
      <c r="U7" s="132">
        <f>IF(SER_hh_fech_in!U7=0,0,SER_hh_fech_in!U7/SER_summary!U$27)</f>
        <v>0</v>
      </c>
      <c r="V7" s="132">
        <f>IF(SER_hh_fech_in!V7=0,0,SER_hh_fech_in!V7/SER_summary!V$27)</f>
        <v>0</v>
      </c>
      <c r="W7" s="132">
        <f>IF(SER_hh_fech_in!W7=0,0,SER_hh_fech_in!W7/SER_summary!W$27)</f>
        <v>39.202037900394892</v>
      </c>
      <c r="X7" s="132">
        <f>IF(SER_hh_fech_in!X7=0,0,SER_hh_fech_in!X7/SER_summary!X$27)</f>
        <v>38.955075244765283</v>
      </c>
      <c r="Y7" s="132">
        <f>IF(SER_hh_fech_in!Y7=0,0,SER_hh_fech_in!Y7/SER_summary!Y$27)</f>
        <v>48.339999042842287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0</v>
      </c>
      <c r="D8" s="132">
        <f>IF(SER_hh_fech_in!D8=0,0,SER_hh_fech_in!D8/SER_summary!D$27)</f>
        <v>0</v>
      </c>
      <c r="E8" s="132">
        <f>IF(SER_hh_fech_in!E8=0,0,SER_hh_fech_in!E8/SER_summary!E$27)</f>
        <v>0</v>
      </c>
      <c r="F8" s="132">
        <f>IF(SER_hh_fech_in!F8=0,0,SER_hh_fech_in!F8/SER_summary!F$27)</f>
        <v>0</v>
      </c>
      <c r="G8" s="132">
        <f>IF(SER_hh_fech_in!G8=0,0,SER_hh_fech_in!G8/SER_summary!G$27)</f>
        <v>0</v>
      </c>
      <c r="H8" s="132">
        <f>IF(SER_hh_fech_in!H8=0,0,SER_hh_fech_in!H8/SER_summary!H$27)</f>
        <v>0</v>
      </c>
      <c r="I8" s="132">
        <f>IF(SER_hh_fech_in!I8=0,0,SER_hh_fech_in!I8/SER_summary!I$27)</f>
        <v>0</v>
      </c>
      <c r="J8" s="132">
        <f>IF(SER_hh_fech_in!J8=0,0,SER_hh_fech_in!J8/SER_summary!J$27)</f>
        <v>0</v>
      </c>
      <c r="K8" s="132">
        <f>IF(SER_hh_fech_in!K8=0,0,SER_hh_fech_in!K8/SER_summary!K$27)</f>
        <v>0</v>
      </c>
      <c r="L8" s="132">
        <f>IF(SER_hh_fech_in!L8=0,0,SER_hh_fech_in!L8/SER_summary!L$27)</f>
        <v>0</v>
      </c>
      <c r="M8" s="132">
        <f>IF(SER_hh_fech_in!M8=0,0,SER_hh_fech_in!M8/SER_summary!M$27)</f>
        <v>0</v>
      </c>
      <c r="N8" s="132">
        <f>IF(SER_hh_fech_in!N8=0,0,SER_hh_fech_in!N8/SER_summary!N$27)</f>
        <v>0</v>
      </c>
      <c r="O8" s="132">
        <f>IF(SER_hh_fech_in!O8=0,0,SER_hh_fech_in!O8/SER_summary!O$27)</f>
        <v>0</v>
      </c>
      <c r="P8" s="132">
        <f>IF(SER_hh_fech_in!P8=0,0,SER_hh_fech_in!P8/SER_summary!P$27)</f>
        <v>0</v>
      </c>
      <c r="Q8" s="132">
        <f>IF(SER_hh_fech_in!Q8=0,0,SER_hh_fech_in!Q8/SER_summary!Q$27)</f>
        <v>0</v>
      </c>
      <c r="R8" s="132">
        <f>IF(SER_hh_fech_in!R8=0,0,SER_hh_fech_in!R8/SER_summary!R$27)</f>
        <v>0</v>
      </c>
      <c r="S8" s="132">
        <f>IF(SER_hh_fech_in!S8=0,0,SER_hh_fech_in!S8/SER_summary!S$27)</f>
        <v>0</v>
      </c>
      <c r="T8" s="132">
        <f>IF(SER_hh_fech_in!T8=0,0,SER_hh_fech_in!T8/SER_summary!T$27)</f>
        <v>0</v>
      </c>
      <c r="U8" s="132">
        <f>IF(SER_hh_fech_in!U8=0,0,SER_hh_fech_in!U8/SER_summary!U$27)</f>
        <v>0</v>
      </c>
      <c r="V8" s="132">
        <f>IF(SER_hh_fech_in!V8=0,0,SER_hh_fech_in!V8/SER_summary!V$27)</f>
        <v>0</v>
      </c>
      <c r="W8" s="132">
        <f>IF(SER_hh_fech_in!W8=0,0,SER_hh_fech_in!W8/SER_summary!W$27)</f>
        <v>0</v>
      </c>
      <c r="X8" s="132">
        <f>IF(SER_hh_fech_in!X8=0,0,SER_hh_fech_in!X8/SER_summary!X$27)</f>
        <v>0</v>
      </c>
      <c r="Y8" s="132">
        <f>IF(SER_hh_fech_in!Y8=0,0,SER_hh_fech_in!Y8/SER_summary!Y$27)</f>
        <v>0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85.659825046959853</v>
      </c>
      <c r="D9" s="132">
        <f>IF(SER_hh_fech_in!D9=0,0,SER_hh_fech_in!D9/SER_summary!D$27)</f>
        <v>71.094109930882354</v>
      </c>
      <c r="E9" s="132">
        <f>IF(SER_hh_fech_in!E9=0,0,SER_hh_fech_in!E9/SER_summary!E$27)</f>
        <v>78.364656768151008</v>
      </c>
      <c r="F9" s="132">
        <f>IF(SER_hh_fech_in!F9=0,0,SER_hh_fech_in!F9/SER_summary!F$27)</f>
        <v>59.795033260354529</v>
      </c>
      <c r="G9" s="132">
        <f>IF(SER_hh_fech_in!G9=0,0,SER_hh_fech_in!G9/SER_summary!G$27)</f>
        <v>74.834857975644695</v>
      </c>
      <c r="H9" s="132">
        <f>IF(SER_hh_fech_in!H9=0,0,SER_hh_fech_in!H9/SER_summary!H$27)</f>
        <v>93.478249172127974</v>
      </c>
      <c r="I9" s="132">
        <f>IF(SER_hh_fech_in!I9=0,0,SER_hh_fech_in!I9/SER_summary!I$27)</f>
        <v>82.474160006759078</v>
      </c>
      <c r="J9" s="132">
        <f>IF(SER_hh_fech_in!J9=0,0,SER_hh_fech_in!J9/SER_summary!J$27)</f>
        <v>95.426134863776937</v>
      </c>
      <c r="K9" s="132">
        <f>IF(SER_hh_fech_in!K9=0,0,SER_hh_fech_in!K9/SER_summary!K$27)</f>
        <v>58.452799906833164</v>
      </c>
      <c r="L9" s="132">
        <f>IF(SER_hh_fech_in!L9=0,0,SER_hh_fech_in!L9/SER_summary!L$27)</f>
        <v>78.108038701426295</v>
      </c>
      <c r="M9" s="132">
        <f>IF(SER_hh_fech_in!M9=0,0,SER_hh_fech_in!M9/SER_summary!M$27)</f>
        <v>77.824933617296679</v>
      </c>
      <c r="N9" s="132">
        <f>IF(SER_hh_fech_in!N9=0,0,SER_hh_fech_in!N9/SER_summary!N$27)</f>
        <v>64.981553717667012</v>
      </c>
      <c r="O9" s="132">
        <f>IF(SER_hh_fech_in!O9=0,0,SER_hh_fech_in!O9/SER_summary!O$27)</f>
        <v>52.402679746149381</v>
      </c>
      <c r="P9" s="132">
        <f>IF(SER_hh_fech_in!P9=0,0,SER_hh_fech_in!P9/SER_summary!P$27)</f>
        <v>49.900033206190344</v>
      </c>
      <c r="Q9" s="132">
        <f>IF(SER_hh_fech_in!Q9=0,0,SER_hh_fech_in!Q9/SER_summary!Q$27)</f>
        <v>52.543792511205069</v>
      </c>
      <c r="R9" s="132">
        <f>IF(SER_hh_fech_in!R9=0,0,SER_hh_fech_in!R9/SER_summary!R$27)</f>
        <v>52.872467410304473</v>
      </c>
      <c r="S9" s="132">
        <f>IF(SER_hh_fech_in!S9=0,0,SER_hh_fech_in!S9/SER_summary!S$27)</f>
        <v>50.745539391443792</v>
      </c>
      <c r="T9" s="132">
        <f>IF(SER_hh_fech_in!T9=0,0,SER_hh_fech_in!T9/SER_summary!T$27)</f>
        <v>52.26210484565344</v>
      </c>
      <c r="U9" s="132">
        <f>IF(SER_hh_fech_in!U9=0,0,SER_hh_fech_in!U9/SER_summary!U$27)</f>
        <v>42.621758504277224</v>
      </c>
      <c r="V9" s="132">
        <f>IF(SER_hh_fech_in!V9=0,0,SER_hh_fech_in!V9/SER_summary!V$27)</f>
        <v>41.056498950007743</v>
      </c>
      <c r="W9" s="132">
        <f>IF(SER_hh_fech_in!W9=0,0,SER_hh_fech_in!W9/SER_summary!W$27)</f>
        <v>48.332169366786054</v>
      </c>
      <c r="X9" s="132">
        <f>IF(SER_hh_fech_in!X9=0,0,SER_hh_fech_in!X9/SER_summary!X$27)</f>
        <v>42.3982232395539</v>
      </c>
      <c r="Y9" s="132">
        <f>IF(SER_hh_fech_in!Y9=0,0,SER_hh_fech_in!Y9/SER_summary!Y$27)</f>
        <v>0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0</v>
      </c>
      <c r="D10" s="132">
        <f>IF(SER_hh_fech_in!D10=0,0,SER_hh_fech_in!D10/SER_summary!D$27)</f>
        <v>64.417185157318102</v>
      </c>
      <c r="E10" s="132">
        <f>IF(SER_hh_fech_in!E10=0,0,SER_hh_fech_in!E10/SER_summary!E$27)</f>
        <v>92.236391913339574</v>
      </c>
      <c r="F10" s="132">
        <f>IF(SER_hh_fech_in!F10=0,0,SER_hh_fech_in!F10/SER_summary!F$27)</f>
        <v>59.266811516055313</v>
      </c>
      <c r="G10" s="132">
        <f>IF(SER_hh_fech_in!G10=0,0,SER_hh_fech_in!G10/SER_summary!G$27)</f>
        <v>81.698171904574878</v>
      </c>
      <c r="H10" s="132">
        <f>IF(SER_hh_fech_in!H10=0,0,SER_hh_fech_in!H10/SER_summary!H$27)</f>
        <v>101.37753182637343</v>
      </c>
      <c r="I10" s="132">
        <f>IF(SER_hh_fech_in!I10=0,0,SER_hh_fech_in!I10/SER_summary!I$27)</f>
        <v>80.99341435429487</v>
      </c>
      <c r="J10" s="132">
        <f>IF(SER_hh_fech_in!J10=0,0,SER_hh_fech_in!J10/SER_summary!J$27)</f>
        <v>0</v>
      </c>
      <c r="K10" s="132">
        <f>IF(SER_hh_fech_in!K10=0,0,SER_hh_fech_in!K10/SER_summary!K$27)</f>
        <v>0</v>
      </c>
      <c r="L10" s="132">
        <f>IF(SER_hh_fech_in!L10=0,0,SER_hh_fech_in!L10/SER_summary!L$27)</f>
        <v>37.875052447708995</v>
      </c>
      <c r="M10" s="132">
        <f>IF(SER_hh_fech_in!M10=0,0,SER_hh_fech_in!M10/SER_summary!M$27)</f>
        <v>30.268991263167212</v>
      </c>
      <c r="N10" s="132">
        <f>IF(SER_hh_fech_in!N10=0,0,SER_hh_fech_in!N10/SER_summary!N$27)</f>
        <v>167.84794070444616</v>
      </c>
      <c r="O10" s="132">
        <f>IF(SER_hh_fech_in!O10=0,0,SER_hh_fech_in!O10/SER_summary!O$27)</f>
        <v>81.756509917214473</v>
      </c>
      <c r="P10" s="132">
        <f>IF(SER_hh_fech_in!P10=0,0,SER_hh_fech_in!P10/SER_summary!P$27)</f>
        <v>0</v>
      </c>
      <c r="Q10" s="132">
        <f>IF(SER_hh_fech_in!Q10=0,0,SER_hh_fech_in!Q10/SER_summary!Q$27)</f>
        <v>36.833826405570356</v>
      </c>
      <c r="R10" s="132">
        <f>IF(SER_hh_fech_in!R10=0,0,SER_hh_fech_in!R10/SER_summary!R$27)</f>
        <v>13.993257854059424</v>
      </c>
      <c r="S10" s="132">
        <f>IF(SER_hh_fech_in!S10=0,0,SER_hh_fech_in!S10/SER_summary!S$27)</f>
        <v>75.568411304303837</v>
      </c>
      <c r="T10" s="132">
        <f>IF(SER_hh_fech_in!T10=0,0,SER_hh_fech_in!T10/SER_summary!T$27)</f>
        <v>84.42540360907293</v>
      </c>
      <c r="U10" s="132">
        <f>IF(SER_hh_fech_in!U10=0,0,SER_hh_fech_in!U10/SER_summary!U$27)</f>
        <v>78.038444925361716</v>
      </c>
      <c r="V10" s="132">
        <f>IF(SER_hh_fech_in!V10=0,0,SER_hh_fech_in!V10/SER_summary!V$27)</f>
        <v>51.472319297078869</v>
      </c>
      <c r="W10" s="132">
        <f>IF(SER_hh_fech_in!W10=0,0,SER_hh_fech_in!W10/SER_summary!W$27)</f>
        <v>65.200514240256624</v>
      </c>
      <c r="X10" s="132">
        <f>IF(SER_hh_fech_in!X10=0,0,SER_hh_fech_in!X10/SER_summary!X$27)</f>
        <v>71.036364704837183</v>
      </c>
      <c r="Y10" s="132">
        <f>IF(SER_hh_fech_in!Y10=0,0,SER_hh_fech_in!Y10/SER_summary!Y$27)</f>
        <v>0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0</v>
      </c>
      <c r="E11" s="132">
        <f>IF(SER_hh_fech_in!E11=0,0,SER_hh_fech_in!E11/SER_summary!E$27)</f>
        <v>0</v>
      </c>
      <c r="F11" s="132">
        <f>IF(SER_hh_fech_in!F11=0,0,SER_hh_fech_in!F11/SER_summary!F$27)</f>
        <v>0</v>
      </c>
      <c r="G11" s="132">
        <f>IF(SER_hh_fech_in!G11=0,0,SER_hh_fech_in!G11/SER_summary!G$27)</f>
        <v>75.649058374467145</v>
      </c>
      <c r="H11" s="132">
        <f>IF(SER_hh_fech_in!H11=0,0,SER_hh_fech_in!H11/SER_summary!H$27)</f>
        <v>58.752251259214688</v>
      </c>
      <c r="I11" s="132">
        <f>IF(SER_hh_fech_in!I11=0,0,SER_hh_fech_in!I11/SER_summary!I$27)</f>
        <v>49.080034539591836</v>
      </c>
      <c r="J11" s="132">
        <f>IF(SER_hh_fech_in!J11=0,0,SER_hh_fech_in!J11/SER_summary!J$27)</f>
        <v>47.840397764994833</v>
      </c>
      <c r="K11" s="132">
        <f>IF(SER_hh_fech_in!K11=0,0,SER_hh_fech_in!K11/SER_summary!K$27)</f>
        <v>46.615280091854849</v>
      </c>
      <c r="L11" s="132">
        <f>IF(SER_hh_fech_in!L11=0,0,SER_hh_fech_in!L11/SER_summary!L$27)</f>
        <v>0</v>
      </c>
      <c r="M11" s="132">
        <f>IF(SER_hh_fech_in!M11=0,0,SER_hh_fech_in!M11/SER_summary!M$27)</f>
        <v>0</v>
      </c>
      <c r="N11" s="132">
        <f>IF(SER_hh_fech_in!N11=0,0,SER_hh_fech_in!N11/SER_summary!N$27)</f>
        <v>43.3142700540132</v>
      </c>
      <c r="O11" s="132">
        <f>IF(SER_hh_fech_in!O11=0,0,SER_hh_fech_in!O11/SER_summary!O$27)</f>
        <v>40.031591315330836</v>
      </c>
      <c r="P11" s="132">
        <f>IF(SER_hh_fech_in!P11=0,0,SER_hh_fech_in!P11/SER_summary!P$27)</f>
        <v>38.274405362289365</v>
      </c>
      <c r="Q11" s="132">
        <f>IF(SER_hh_fech_in!Q11=0,0,SER_hh_fech_in!Q11/SER_summary!Q$27)</f>
        <v>37.243668428635253</v>
      </c>
      <c r="R11" s="132">
        <f>IF(SER_hh_fech_in!R11=0,0,SER_hh_fech_in!R11/SER_summary!R$27)</f>
        <v>38.913030824468784</v>
      </c>
      <c r="S11" s="132">
        <f>IF(SER_hh_fech_in!S11=0,0,SER_hh_fech_in!S11/SER_summary!S$27)</f>
        <v>38.604764249907532</v>
      </c>
      <c r="T11" s="132">
        <f>IF(SER_hh_fech_in!T11=0,0,SER_hh_fech_in!T11/SER_summary!T$27)</f>
        <v>37.656026065945824</v>
      </c>
      <c r="U11" s="132">
        <f>IF(SER_hh_fech_in!U11=0,0,SER_hh_fech_in!U11/SER_summary!U$27)</f>
        <v>36.719274321413515</v>
      </c>
      <c r="V11" s="132">
        <f>IF(SER_hh_fech_in!V11=0,0,SER_hh_fech_in!V11/SER_summary!V$27)</f>
        <v>36.348351131629975</v>
      </c>
      <c r="W11" s="132">
        <f>IF(SER_hh_fech_in!W11=0,0,SER_hh_fech_in!W11/SER_summary!W$27)</f>
        <v>34.527089599558835</v>
      </c>
      <c r="X11" s="132">
        <f>IF(SER_hh_fech_in!X11=0,0,SER_hh_fech_in!X11/SER_summary!X$27)</f>
        <v>31.673098635553323</v>
      </c>
      <c r="Y11" s="132">
        <f>IF(SER_hh_fech_in!Y11=0,0,SER_hh_fech_in!Y11/SER_summary!Y$27)</f>
        <v>32.756098979800143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59.394408430520059</v>
      </c>
      <c r="D12" s="132">
        <f>IF(SER_hh_fech_in!D12=0,0,SER_hh_fech_in!D12/SER_summary!D$27)</f>
        <v>51.467839305747113</v>
      </c>
      <c r="E12" s="132">
        <f>IF(SER_hh_fech_in!E12=0,0,SER_hh_fech_in!E12/SER_summary!E$27)</f>
        <v>52.045104947097556</v>
      </c>
      <c r="F12" s="132">
        <f>IF(SER_hh_fech_in!F12=0,0,SER_hh_fech_in!F12/SER_summary!F$27)</f>
        <v>42.53951832174517</v>
      </c>
      <c r="G12" s="132">
        <f>IF(SER_hh_fech_in!G12=0,0,SER_hh_fech_in!G12/SER_summary!G$27)</f>
        <v>0</v>
      </c>
      <c r="H12" s="132">
        <f>IF(SER_hh_fech_in!H12=0,0,SER_hh_fech_in!H12/SER_summary!H$27)</f>
        <v>65.674974944717746</v>
      </c>
      <c r="I12" s="132">
        <f>IF(SER_hh_fech_in!I12=0,0,SER_hh_fech_in!I12/SER_summary!I$27)</f>
        <v>48.829970800700252</v>
      </c>
      <c r="J12" s="132">
        <f>IF(SER_hh_fech_in!J12=0,0,SER_hh_fech_in!J12/SER_summary!J$27)</f>
        <v>0</v>
      </c>
      <c r="K12" s="132">
        <f>IF(SER_hh_fech_in!K12=0,0,SER_hh_fech_in!K12/SER_summary!K$27)</f>
        <v>48.751900402562605</v>
      </c>
      <c r="L12" s="132">
        <f>IF(SER_hh_fech_in!L12=0,0,SER_hh_fech_in!L12/SER_summary!L$27)</f>
        <v>49.342525875721321</v>
      </c>
      <c r="M12" s="132">
        <f>IF(SER_hh_fech_in!M12=0,0,SER_hh_fech_in!M12/SER_summary!M$27)</f>
        <v>65.281248072767369</v>
      </c>
      <c r="N12" s="132">
        <f>IF(SER_hh_fech_in!N12=0,0,SER_hh_fech_in!N12/SER_summary!N$27)</f>
        <v>44.111870104503645</v>
      </c>
      <c r="O12" s="132">
        <f>IF(SER_hh_fech_in!O12=0,0,SER_hh_fech_in!O12/SER_summary!O$27)</f>
        <v>41.586305916718921</v>
      </c>
      <c r="P12" s="132">
        <f>IF(SER_hh_fech_in!P12=0,0,SER_hh_fech_in!P12/SER_summary!P$27)</f>
        <v>40.063071883634713</v>
      </c>
      <c r="Q12" s="132">
        <f>IF(SER_hh_fech_in!Q12=0,0,SER_hh_fech_in!Q12/SER_summary!Q$27)</f>
        <v>43.17137325465</v>
      </c>
      <c r="R12" s="132">
        <f>IF(SER_hh_fech_in!R12=0,0,SER_hh_fech_in!R12/SER_summary!R$27)</f>
        <v>56.632594370792681</v>
      </c>
      <c r="S12" s="132">
        <f>IF(SER_hh_fech_in!S12=0,0,SER_hh_fech_in!S12/SER_summary!S$27)</f>
        <v>39.810586753207581</v>
      </c>
      <c r="T12" s="132">
        <f>IF(SER_hh_fech_in!T12=0,0,SER_hh_fech_in!T12/SER_summary!T$27)</f>
        <v>49.524829926708783</v>
      </c>
      <c r="U12" s="132">
        <f>IF(SER_hh_fech_in!U12=0,0,SER_hh_fech_in!U12/SER_summary!U$27)</f>
        <v>44.064145456684912</v>
      </c>
      <c r="V12" s="132">
        <f>IF(SER_hh_fech_in!V12=0,0,SER_hh_fech_in!V12/SER_summary!V$27)</f>
        <v>31.704029439881761</v>
      </c>
      <c r="W12" s="132">
        <f>IF(SER_hh_fech_in!W12=0,0,SER_hh_fech_in!W12/SER_summary!W$27)</f>
        <v>38.678376870556967</v>
      </c>
      <c r="X12" s="132">
        <f>IF(SER_hh_fech_in!X12=0,0,SER_hh_fech_in!X12/SER_summary!X$27)</f>
        <v>31.014188427506582</v>
      </c>
      <c r="Y12" s="132">
        <f>IF(SER_hh_fech_in!Y12=0,0,SER_hh_fech_in!Y12/SER_summary!Y$27)</f>
        <v>0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18.653004216495123</v>
      </c>
      <c r="D13" s="132">
        <f>IF(SER_hh_fech_in!D13=0,0,SER_hh_fech_in!D13/SER_summary!D$27)</f>
        <v>21.723733882741932</v>
      </c>
      <c r="E13" s="132">
        <f>IF(SER_hh_fech_in!E13=0,0,SER_hh_fech_in!E13/SER_summary!E$27)</f>
        <v>23.099133696588702</v>
      </c>
      <c r="F13" s="132">
        <f>IF(SER_hh_fech_in!F13=0,0,SER_hh_fech_in!F13/SER_summary!F$27)</f>
        <v>20.155024218573278</v>
      </c>
      <c r="G13" s="132">
        <f>IF(SER_hh_fech_in!G13=0,0,SER_hh_fech_in!G13/SER_summary!G$27)</f>
        <v>21.240015266992188</v>
      </c>
      <c r="H13" s="132">
        <f>IF(SER_hh_fech_in!H13=0,0,SER_hh_fech_in!H13/SER_summary!H$27)</f>
        <v>23.147651355880893</v>
      </c>
      <c r="I13" s="132">
        <f>IF(SER_hh_fech_in!I13=0,0,SER_hh_fech_in!I13/SER_summary!I$27)</f>
        <v>19.973069090466847</v>
      </c>
      <c r="J13" s="132">
        <f>IF(SER_hh_fech_in!J13=0,0,SER_hh_fech_in!J13/SER_summary!J$27)</f>
        <v>17.638091966069574</v>
      </c>
      <c r="K13" s="132">
        <f>IF(SER_hh_fech_in!K13=0,0,SER_hh_fech_in!K13/SER_summary!K$27)</f>
        <v>17.911674134507198</v>
      </c>
      <c r="L13" s="132">
        <f>IF(SER_hh_fech_in!L13=0,0,SER_hh_fech_in!L13/SER_summary!L$27)</f>
        <v>18.18567430284951</v>
      </c>
      <c r="M13" s="132">
        <f>IF(SER_hh_fech_in!M13=0,0,SER_hh_fech_in!M13/SER_summary!M$27)</f>
        <v>16.201640360827753</v>
      </c>
      <c r="N13" s="132">
        <f>IF(SER_hh_fech_in!N13=0,0,SER_hh_fech_in!N13/SER_summary!N$27)</f>
        <v>13.674452508372655</v>
      </c>
      <c r="O13" s="132">
        <f>IF(SER_hh_fech_in!O13=0,0,SER_hh_fech_in!O13/SER_summary!O$27)</f>
        <v>13.855102156402406</v>
      </c>
      <c r="P13" s="132">
        <f>IF(SER_hh_fech_in!P13=0,0,SER_hh_fech_in!P13/SER_summary!P$27)</f>
        <v>11.237555976379895</v>
      </c>
      <c r="Q13" s="132">
        <f>IF(SER_hh_fech_in!Q13=0,0,SER_hh_fech_in!Q13/SER_summary!Q$27)</f>
        <v>11.165449693070059</v>
      </c>
      <c r="R13" s="132">
        <f>IF(SER_hh_fech_in!R13=0,0,SER_hh_fech_in!R13/SER_summary!R$27)</f>
        <v>10.660827933796373</v>
      </c>
      <c r="S13" s="132">
        <f>IF(SER_hh_fech_in!S13=0,0,SER_hh_fech_in!S13/SER_summary!S$27)</f>
        <v>10.181691086719299</v>
      </c>
      <c r="T13" s="132">
        <f>IF(SER_hh_fech_in!T13=0,0,SER_hh_fech_in!T13/SER_summary!T$27)</f>
        <v>9.4922764858173743</v>
      </c>
      <c r="U13" s="132">
        <f>IF(SER_hh_fech_in!U13=0,0,SER_hh_fech_in!U13/SER_summary!U$27)</f>
        <v>9.4281121462392861</v>
      </c>
      <c r="V13" s="132">
        <f>IF(SER_hh_fech_in!V13=0,0,SER_hh_fech_in!V13/SER_summary!V$27)</f>
        <v>8.8966622149450352</v>
      </c>
      <c r="W13" s="132">
        <f>IF(SER_hh_fech_in!W13=0,0,SER_hh_fech_in!W13/SER_summary!W$27)</f>
        <v>8.8595797101061038</v>
      </c>
      <c r="X13" s="132">
        <f>IF(SER_hh_fech_in!X13=0,0,SER_hh_fech_in!X13/SER_summary!X$27)</f>
        <v>8.5318319889657488</v>
      </c>
      <c r="Y13" s="132">
        <f>IF(SER_hh_fech_in!Y13=0,0,SER_hh_fech_in!Y13/SER_summary!Y$27)</f>
        <v>8.5627787248465577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49.380697873532654</v>
      </c>
      <c r="D14" s="65">
        <f>IF(SER_hh_fech_in!D14=0,0,SER_hh_fech_in!D14/SER_summary!D$27)</f>
        <v>62.681422522932991</v>
      </c>
      <c r="E14" s="65">
        <f>IF(SER_hh_fech_in!E14=0,0,SER_hh_fech_in!E14/SER_summary!E$27)</f>
        <v>66.175764006238879</v>
      </c>
      <c r="F14" s="65">
        <f>IF(SER_hh_fech_in!F14=0,0,SER_hh_fech_in!F14/SER_summary!F$27)</f>
        <v>43.023144808400119</v>
      </c>
      <c r="G14" s="65">
        <f>IF(SER_hh_fech_in!G14=0,0,SER_hh_fech_in!G14/SER_summary!G$27)</f>
        <v>0</v>
      </c>
      <c r="H14" s="65">
        <f>IF(SER_hh_fech_in!H14=0,0,SER_hh_fech_in!H14/SER_summary!H$27)</f>
        <v>71.734506335891979</v>
      </c>
      <c r="I14" s="65">
        <f>IF(SER_hh_fech_in!I14=0,0,SER_hh_fech_in!I14/SER_summary!I$27)</f>
        <v>50.900708793121638</v>
      </c>
      <c r="J14" s="65">
        <f>IF(SER_hh_fech_in!J14=0,0,SER_hh_fech_in!J14/SER_summary!J$27)</f>
        <v>63.607721829765659</v>
      </c>
      <c r="K14" s="65">
        <f>IF(SER_hh_fech_in!K14=0,0,SER_hh_fech_in!K14/SER_summary!K$27)</f>
        <v>48.438271424497593</v>
      </c>
      <c r="L14" s="65">
        <f>IF(SER_hh_fech_in!L14=0,0,SER_hh_fech_in!L14/SER_summary!L$27)</f>
        <v>61.988388204239918</v>
      </c>
      <c r="M14" s="65">
        <f>IF(SER_hh_fech_in!M14=0,0,SER_hh_fech_in!M14/SER_summary!M$27)</f>
        <v>71.996420451437288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55.565813618330438</v>
      </c>
      <c r="S14" s="65">
        <f>IF(SER_hh_fech_in!S14=0,0,SER_hh_fech_in!S14/SER_summary!S$27)</f>
        <v>45.094074266819121</v>
      </c>
      <c r="T14" s="65">
        <f>IF(SER_hh_fech_in!T14=0,0,SER_hh_fech_in!T14/SER_summary!T$27)</f>
        <v>49.286105729592556</v>
      </c>
      <c r="U14" s="65">
        <f>IF(SER_hh_fech_in!U14=0,0,SER_hh_fech_in!U14/SER_summary!U$27)</f>
        <v>61.859265310268484</v>
      </c>
      <c r="V14" s="65">
        <f>IF(SER_hh_fech_in!V14=0,0,SER_hh_fech_in!V14/SER_summary!V$27)</f>
        <v>17.677097442319166</v>
      </c>
      <c r="W14" s="65">
        <f>IF(SER_hh_fech_in!W14=0,0,SER_hh_fech_in!W14/SER_summary!W$27)</f>
        <v>46.349090656975548</v>
      </c>
      <c r="X14" s="65">
        <f>IF(SER_hh_fech_in!X14=0,0,SER_hh_fech_in!X14/SER_summary!X$27)</f>
        <v>36.77951088022995</v>
      </c>
      <c r="Y14" s="65">
        <f>IF(SER_hh_fech_in!Y14=0,0,SER_hh_fech_in!Y14/SER_summary!Y$27)</f>
        <v>29.337803153499181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0.30283634750143457</v>
      </c>
      <c r="D15" s="134">
        <f>IF(SER_hh_fech_in!D15=0,0,SER_hh_fech_in!D15/SER_summary!D$27)</f>
        <v>0.26343087023044548</v>
      </c>
      <c r="E15" s="134">
        <f>IF(SER_hh_fech_in!E15=0,0,SER_hh_fech_in!E15/SER_summary!E$27)</f>
        <v>0.25830632874131232</v>
      </c>
      <c r="F15" s="134">
        <f>IF(SER_hh_fech_in!F15=0,0,SER_hh_fech_in!F15/SER_summary!F$27)</f>
        <v>0.22366718445275621</v>
      </c>
      <c r="G15" s="134">
        <f>IF(SER_hh_fech_in!G15=0,0,SER_hh_fech_in!G15/SER_summary!G$27)</f>
        <v>0.33827947299914063</v>
      </c>
      <c r="H15" s="134">
        <f>IF(SER_hh_fech_in!H15=0,0,SER_hh_fech_in!H15/SER_summary!H$27)</f>
        <v>0.49515737510416519</v>
      </c>
      <c r="I15" s="134">
        <f>IF(SER_hh_fech_in!I15=0,0,SER_hh_fech_in!I15/SER_summary!I$27)</f>
        <v>0.36680626818115591</v>
      </c>
      <c r="J15" s="134">
        <f>IF(SER_hh_fech_in!J15=0,0,SER_hh_fech_in!J15/SER_summary!J$27)</f>
        <v>0.80186504600467912</v>
      </c>
      <c r="K15" s="134">
        <f>IF(SER_hh_fech_in!K15=0,0,SER_hh_fech_in!K15/SER_summary!K$27)</f>
        <v>0.3938567102661526</v>
      </c>
      <c r="L15" s="134">
        <f>IF(SER_hh_fech_in!L15=0,0,SER_hh_fech_in!L15/SER_summary!L$27)</f>
        <v>0.3582829630653126</v>
      </c>
      <c r="M15" s="134">
        <f>IF(SER_hh_fech_in!M15=0,0,SER_hh_fech_in!M15/SER_summary!M$27)</f>
        <v>0.23070847947798021</v>
      </c>
      <c r="N15" s="134">
        <f>IF(SER_hh_fech_in!N15=0,0,SER_hh_fech_in!N15/SER_summary!N$27)</f>
        <v>0.35995900808454728</v>
      </c>
      <c r="O15" s="134">
        <f>IF(SER_hh_fech_in!O15=0,0,SER_hh_fech_in!O15/SER_summary!O$27)</f>
        <v>0.30277087448027862</v>
      </c>
      <c r="P15" s="134">
        <f>IF(SER_hh_fech_in!P15=0,0,SER_hh_fech_in!P15/SER_summary!P$27)</f>
        <v>0.29641210316873412</v>
      </c>
      <c r="Q15" s="134">
        <f>IF(SER_hh_fech_in!Q15=0,0,SER_hh_fech_in!Q15/SER_summary!Q$27)</f>
        <v>0.38766005951178845</v>
      </c>
      <c r="R15" s="134">
        <f>IF(SER_hh_fech_in!R15=0,0,SER_hh_fech_in!R15/SER_summary!R$27)</f>
        <v>0.25337335598646737</v>
      </c>
      <c r="S15" s="134">
        <f>IF(SER_hh_fech_in!S15=0,0,SER_hh_fech_in!S15/SER_summary!S$27)</f>
        <v>0.27673557890672545</v>
      </c>
      <c r="T15" s="134">
        <f>IF(SER_hh_fech_in!T15=0,0,SER_hh_fech_in!T15/SER_summary!T$27)</f>
        <v>0.29320094179778428</v>
      </c>
      <c r="U15" s="134">
        <f>IF(SER_hh_fech_in!U15=0,0,SER_hh_fech_in!U15/SER_summary!U$27)</f>
        <v>0.27819260578344274</v>
      </c>
      <c r="V15" s="134">
        <f>IF(SER_hh_fech_in!V15=0,0,SER_hh_fech_in!V15/SER_summary!V$27)</f>
        <v>0.21656457424593412</v>
      </c>
      <c r="W15" s="134">
        <f>IF(SER_hh_fech_in!W15=0,0,SER_hh_fech_in!W15/SER_summary!W$27)</f>
        <v>0.26344806985346497</v>
      </c>
      <c r="X15" s="134">
        <f>IF(SER_hh_fech_in!X15=0,0,SER_hh_fech_in!X15/SER_summary!X$27)</f>
        <v>0.19299045862849004</v>
      </c>
      <c r="Y15" s="134">
        <f>IF(SER_hh_fech_in!Y15=0,0,SER_hh_fech_in!Y15/SER_summary!Y$27)</f>
        <v>0.39342598693133701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14.563628203950561</v>
      </c>
      <c r="D16" s="130">
        <f>IF(SER_hh_fech_in!D16=0,0,SER_hh_fech_in!D16/SER_summary!D$27)</f>
        <v>10.271285561874139</v>
      </c>
      <c r="E16" s="130">
        <f>IF(SER_hh_fech_in!E16=0,0,SER_hh_fech_in!E16/SER_summary!E$27)</f>
        <v>10.876617087323952</v>
      </c>
      <c r="F16" s="130">
        <f>IF(SER_hh_fech_in!F16=0,0,SER_hh_fech_in!F16/SER_summary!F$27)</f>
        <v>8.1811614843607536</v>
      </c>
      <c r="G16" s="130">
        <f>IF(SER_hh_fech_in!G16=0,0,SER_hh_fech_in!G16/SER_summary!G$27)</f>
        <v>7.916691421678812</v>
      </c>
      <c r="H16" s="130">
        <f>IF(SER_hh_fech_in!H16=0,0,SER_hh_fech_in!H16/SER_summary!H$27)</f>
        <v>8.7828367731088459</v>
      </c>
      <c r="I16" s="130">
        <f>IF(SER_hh_fech_in!I16=0,0,SER_hh_fech_in!I16/SER_summary!I$27)</f>
        <v>15.122469593364055</v>
      </c>
      <c r="J16" s="130">
        <f>IF(SER_hh_fech_in!J16=0,0,SER_hh_fech_in!J16/SER_summary!J$27)</f>
        <v>9.211902540703683</v>
      </c>
      <c r="K16" s="130">
        <f>IF(SER_hh_fech_in!K16=0,0,SER_hh_fech_in!K16/SER_summary!K$27)</f>
        <v>7.5812660218485055</v>
      </c>
      <c r="L16" s="130">
        <f>IF(SER_hh_fech_in!L16=0,0,SER_hh_fech_in!L16/SER_summary!L$27)</f>
        <v>9.0237672778160576</v>
      </c>
      <c r="M16" s="130">
        <f>IF(SER_hh_fech_in!M16=0,0,SER_hh_fech_in!M16/SER_summary!M$27)</f>
        <v>7.1090839905353436</v>
      </c>
      <c r="N16" s="130">
        <f>IF(SER_hh_fech_in!N16=0,0,SER_hh_fech_in!N16/SER_summary!N$27)</f>
        <v>13.975457618051562</v>
      </c>
      <c r="O16" s="130">
        <f>IF(SER_hh_fech_in!O16=0,0,SER_hh_fech_in!O16/SER_summary!O$27)</f>
        <v>6.3682549990143871</v>
      </c>
      <c r="P16" s="130">
        <f>IF(SER_hh_fech_in!P16=0,0,SER_hh_fech_in!P16/SER_summary!P$27)</f>
        <v>5.522755935454434</v>
      </c>
      <c r="Q16" s="130">
        <f>IF(SER_hh_fech_in!Q16=0,0,SER_hh_fech_in!Q16/SER_summary!Q$27)</f>
        <v>7.5378665347683809</v>
      </c>
      <c r="R16" s="130">
        <f>IF(SER_hh_fech_in!R16=0,0,SER_hh_fech_in!R16/SER_summary!R$27)</f>
        <v>6.6334363136992103</v>
      </c>
      <c r="S16" s="130">
        <f>IF(SER_hh_fech_in!S16=0,0,SER_hh_fech_in!S16/SER_summary!S$27)</f>
        <v>6.7814076408917066</v>
      </c>
      <c r="T16" s="130">
        <f>IF(SER_hh_fech_in!T16=0,0,SER_hh_fech_in!T16/SER_summary!T$27)</f>
        <v>4.9176183506296329</v>
      </c>
      <c r="U16" s="130">
        <f>IF(SER_hh_fech_in!U16=0,0,SER_hh_fech_in!U16/SER_summary!U$27)</f>
        <v>5.2478099154083679</v>
      </c>
      <c r="V16" s="130">
        <f>IF(SER_hh_fech_in!V16=0,0,SER_hh_fech_in!V16/SER_summary!V$27)</f>
        <v>4.9266671979422458</v>
      </c>
      <c r="W16" s="130">
        <f>IF(SER_hh_fech_in!W16=0,0,SER_hh_fech_in!W16/SER_summary!W$27)</f>
        <v>6.4801104052935425</v>
      </c>
      <c r="X16" s="130">
        <f>IF(SER_hh_fech_in!X16=0,0,SER_hh_fech_in!X16/SER_summary!X$27)</f>
        <v>5.573909619688191</v>
      </c>
      <c r="Y16" s="130">
        <f>IF(SER_hh_fech_in!Y16=0,0,SER_hh_fech_in!Y16/SER_summary!Y$27)</f>
        <v>6.9237917980632444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0</v>
      </c>
      <c r="D17" s="132">
        <f>IF(SER_hh_fech_in!D17=0,0,SER_hh_fech_in!D17/SER_summary!D$27)</f>
        <v>0</v>
      </c>
      <c r="E17" s="132">
        <f>IF(SER_hh_fech_in!E17=0,0,SER_hh_fech_in!E17/SER_summary!E$27)</f>
        <v>0</v>
      </c>
      <c r="F17" s="132">
        <f>IF(SER_hh_fech_in!F17=0,0,SER_hh_fech_in!F17/SER_summary!F$27)</f>
        <v>0</v>
      </c>
      <c r="G17" s="132">
        <f>IF(SER_hh_fech_in!G17=0,0,SER_hh_fech_in!G17/SER_summary!G$27)</f>
        <v>0</v>
      </c>
      <c r="H17" s="132">
        <f>IF(SER_hh_fech_in!H17=0,0,SER_hh_fech_in!H17/SER_summary!H$27)</f>
        <v>0</v>
      </c>
      <c r="I17" s="132">
        <f>IF(SER_hh_fech_in!I17=0,0,SER_hh_fech_in!I17/SER_summary!I$27)</f>
        <v>0</v>
      </c>
      <c r="J17" s="132">
        <f>IF(SER_hh_fech_in!J17=0,0,SER_hh_fech_in!J17/SER_summary!J$27)</f>
        <v>0</v>
      </c>
      <c r="K17" s="132">
        <f>IF(SER_hh_fech_in!K17=0,0,SER_hh_fech_in!K17/SER_summary!K$27)</f>
        <v>0</v>
      </c>
      <c r="L17" s="132">
        <f>IF(SER_hh_fech_in!L17=0,0,SER_hh_fech_in!L17/SER_summary!L$27)</f>
        <v>0</v>
      </c>
      <c r="M17" s="132">
        <f>IF(SER_hh_fech_in!M17=0,0,SER_hh_fech_in!M17/SER_summary!M$27)</f>
        <v>0</v>
      </c>
      <c r="N17" s="132">
        <f>IF(SER_hh_fech_in!N17=0,0,SER_hh_fech_in!N17/SER_summary!N$27)</f>
        <v>0</v>
      </c>
      <c r="O17" s="132">
        <f>IF(SER_hh_fech_in!O17=0,0,SER_hh_fech_in!O17/SER_summary!O$27)</f>
        <v>0</v>
      </c>
      <c r="P17" s="132">
        <f>IF(SER_hh_fech_in!P17=0,0,SER_hh_fech_in!P17/SER_summary!P$27)</f>
        <v>0</v>
      </c>
      <c r="Q17" s="132">
        <f>IF(SER_hh_fech_in!Q17=0,0,SER_hh_fech_in!Q17/SER_summary!Q$27)</f>
        <v>0</v>
      </c>
      <c r="R17" s="132">
        <f>IF(SER_hh_fech_in!R17=0,0,SER_hh_fech_in!R17/SER_summary!R$27)</f>
        <v>0</v>
      </c>
      <c r="S17" s="132">
        <f>IF(SER_hh_fech_in!S17=0,0,SER_hh_fech_in!S17/SER_summary!S$27)</f>
        <v>0</v>
      </c>
      <c r="T17" s="132">
        <f>IF(SER_hh_fech_in!T17=0,0,SER_hh_fech_in!T17/SER_summary!T$27)</f>
        <v>0</v>
      </c>
      <c r="U17" s="132">
        <f>IF(SER_hh_fech_in!U17=0,0,SER_hh_fech_in!U17/SER_summary!U$27)</f>
        <v>0</v>
      </c>
      <c r="V17" s="132">
        <f>IF(SER_hh_fech_in!V17=0,0,SER_hh_fech_in!V17/SER_summary!V$27)</f>
        <v>0</v>
      </c>
      <c r="W17" s="132">
        <f>IF(SER_hh_fech_in!W17=0,0,SER_hh_fech_in!W17/SER_summary!W$27)</f>
        <v>0</v>
      </c>
      <c r="X17" s="132">
        <f>IF(SER_hh_fech_in!X17=0,0,SER_hh_fech_in!X17/SER_summary!X$27)</f>
        <v>0</v>
      </c>
      <c r="Y17" s="132">
        <f>IF(SER_hh_fech_in!Y17=0,0,SER_hh_fech_in!Y17/SER_summary!Y$27)</f>
        <v>0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14.563628203950561</v>
      </c>
      <c r="D18" s="132">
        <f>IF(SER_hh_fech_in!D18=0,0,SER_hh_fech_in!D18/SER_summary!D$27)</f>
        <v>10.271285561874139</v>
      </c>
      <c r="E18" s="132">
        <f>IF(SER_hh_fech_in!E18=0,0,SER_hh_fech_in!E18/SER_summary!E$27)</f>
        <v>10.876617087323952</v>
      </c>
      <c r="F18" s="132">
        <f>IF(SER_hh_fech_in!F18=0,0,SER_hh_fech_in!F18/SER_summary!F$27)</f>
        <v>8.1811614843607536</v>
      </c>
      <c r="G18" s="132">
        <f>IF(SER_hh_fech_in!G18=0,0,SER_hh_fech_in!G18/SER_summary!G$27)</f>
        <v>7.916691421678812</v>
      </c>
      <c r="H18" s="132">
        <f>IF(SER_hh_fech_in!H18=0,0,SER_hh_fech_in!H18/SER_summary!H$27)</f>
        <v>8.7828367731088459</v>
      </c>
      <c r="I18" s="132">
        <f>IF(SER_hh_fech_in!I18=0,0,SER_hh_fech_in!I18/SER_summary!I$27)</f>
        <v>15.122469593364055</v>
      </c>
      <c r="J18" s="132">
        <f>IF(SER_hh_fech_in!J18=0,0,SER_hh_fech_in!J18/SER_summary!J$27)</f>
        <v>9.211902540703683</v>
      </c>
      <c r="K18" s="132">
        <f>IF(SER_hh_fech_in!K18=0,0,SER_hh_fech_in!K18/SER_summary!K$27)</f>
        <v>7.5812660218485055</v>
      </c>
      <c r="L18" s="132">
        <f>IF(SER_hh_fech_in!L18=0,0,SER_hh_fech_in!L18/SER_summary!L$27)</f>
        <v>9.0237672778160576</v>
      </c>
      <c r="M18" s="132">
        <f>IF(SER_hh_fech_in!M18=0,0,SER_hh_fech_in!M18/SER_summary!M$27)</f>
        <v>7.1090839905353436</v>
      </c>
      <c r="N18" s="132">
        <f>IF(SER_hh_fech_in!N18=0,0,SER_hh_fech_in!N18/SER_summary!N$27)</f>
        <v>13.975457618051562</v>
      </c>
      <c r="O18" s="132">
        <f>IF(SER_hh_fech_in!O18=0,0,SER_hh_fech_in!O18/SER_summary!O$27)</f>
        <v>6.3682549990143871</v>
      </c>
      <c r="P18" s="132">
        <f>IF(SER_hh_fech_in!P18=0,0,SER_hh_fech_in!P18/SER_summary!P$27)</f>
        <v>5.522755935454434</v>
      </c>
      <c r="Q18" s="132">
        <f>IF(SER_hh_fech_in!Q18=0,0,SER_hh_fech_in!Q18/SER_summary!Q$27)</f>
        <v>7.5378665347683809</v>
      </c>
      <c r="R18" s="132">
        <f>IF(SER_hh_fech_in!R18=0,0,SER_hh_fech_in!R18/SER_summary!R$27)</f>
        <v>6.6334363136992103</v>
      </c>
      <c r="S18" s="132">
        <f>IF(SER_hh_fech_in!S18=0,0,SER_hh_fech_in!S18/SER_summary!S$27)</f>
        <v>6.7814076408917066</v>
      </c>
      <c r="T18" s="132">
        <f>IF(SER_hh_fech_in!T18=0,0,SER_hh_fech_in!T18/SER_summary!T$27)</f>
        <v>4.9176183506296329</v>
      </c>
      <c r="U18" s="132">
        <f>IF(SER_hh_fech_in!U18=0,0,SER_hh_fech_in!U18/SER_summary!U$27)</f>
        <v>5.2478099154083679</v>
      </c>
      <c r="V18" s="132">
        <f>IF(SER_hh_fech_in!V18=0,0,SER_hh_fech_in!V18/SER_summary!V$27)</f>
        <v>4.9266671979422458</v>
      </c>
      <c r="W18" s="132">
        <f>IF(SER_hh_fech_in!W18=0,0,SER_hh_fech_in!W18/SER_summary!W$27)</f>
        <v>6.4801104052935425</v>
      </c>
      <c r="X18" s="132">
        <f>IF(SER_hh_fech_in!X18=0,0,SER_hh_fech_in!X18/SER_summary!X$27)</f>
        <v>5.573909619688191</v>
      </c>
      <c r="Y18" s="132">
        <f>IF(SER_hh_fech_in!Y18=0,0,SER_hh_fech_in!Y18/SER_summary!Y$27)</f>
        <v>6.9237917980632444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17.331154459953638</v>
      </c>
      <c r="D19" s="130">
        <f>IF(SER_hh_fech_in!D19=0,0,SER_hh_fech_in!D19/SER_summary!D$27)</f>
        <v>16.790535942856241</v>
      </c>
      <c r="E19" s="130">
        <f>IF(SER_hh_fech_in!E19=0,0,SER_hh_fech_in!E19/SER_summary!E$27)</f>
        <v>16.483087022054526</v>
      </c>
      <c r="F19" s="130">
        <f>IF(SER_hh_fech_in!F19=0,0,SER_hh_fech_in!F19/SER_summary!F$27)</f>
        <v>16.225468160591525</v>
      </c>
      <c r="G19" s="130">
        <f>IF(SER_hh_fech_in!G19=0,0,SER_hh_fech_in!G19/SER_summary!G$27)</f>
        <v>16.241167080726783</v>
      </c>
      <c r="H19" s="130">
        <f>IF(SER_hh_fech_in!H19=0,0,SER_hh_fech_in!H19/SER_summary!H$27)</f>
        <v>16.621397123009718</v>
      </c>
      <c r="I19" s="130">
        <f>IF(SER_hh_fech_in!I19=0,0,SER_hh_fech_in!I19/SER_summary!I$27)</f>
        <v>16.817392099261994</v>
      </c>
      <c r="J19" s="130">
        <f>IF(SER_hh_fech_in!J19=0,0,SER_hh_fech_in!J19/SER_summary!J$27)</f>
        <v>16.535889705014682</v>
      </c>
      <c r="K19" s="130">
        <f>IF(SER_hh_fech_in!K19=0,0,SER_hh_fech_in!K19/SER_summary!K$27)</f>
        <v>16.846677907119766</v>
      </c>
      <c r="L19" s="130">
        <f>IF(SER_hh_fech_in!L19=0,0,SER_hh_fech_in!L19/SER_summary!L$27)</f>
        <v>13.07800944109318</v>
      </c>
      <c r="M19" s="130">
        <f>IF(SER_hh_fech_in!M19=0,0,SER_hh_fech_in!M19/SER_summary!M$27)</f>
        <v>13.789800566017592</v>
      </c>
      <c r="N19" s="130">
        <f>IF(SER_hh_fech_in!N19=0,0,SER_hh_fech_in!N19/SER_summary!N$27)</f>
        <v>13.716081897974547</v>
      </c>
      <c r="O19" s="130">
        <f>IF(SER_hh_fech_in!O19=0,0,SER_hh_fech_in!O19/SER_summary!O$27)</f>
        <v>13.27148191798479</v>
      </c>
      <c r="P19" s="130">
        <f>IF(SER_hh_fech_in!P19=0,0,SER_hh_fech_in!P19/SER_summary!P$27)</f>
        <v>14.010350120690951</v>
      </c>
      <c r="Q19" s="130">
        <f>IF(SER_hh_fech_in!Q19=0,0,SER_hh_fech_in!Q19/SER_summary!Q$27)</f>
        <v>13.257984643881763</v>
      </c>
      <c r="R19" s="130">
        <f>IF(SER_hh_fech_in!R19=0,0,SER_hh_fech_in!R19/SER_summary!R$27)</f>
        <v>13.473455613094419</v>
      </c>
      <c r="S19" s="130">
        <f>IF(SER_hh_fech_in!S19=0,0,SER_hh_fech_in!S19/SER_summary!S$27)</f>
        <v>13.588140340624706</v>
      </c>
      <c r="T19" s="130">
        <f>IF(SER_hh_fech_in!T19=0,0,SER_hh_fech_in!T19/SER_summary!T$27)</f>
        <v>13.815225842383073</v>
      </c>
      <c r="U19" s="130">
        <f>IF(SER_hh_fech_in!U19=0,0,SER_hh_fech_in!U19/SER_summary!U$27)</f>
        <v>13.647994630413944</v>
      </c>
      <c r="V19" s="130">
        <f>IF(SER_hh_fech_in!V19=0,0,SER_hh_fech_in!V19/SER_summary!V$27)</f>
        <v>11.577222229494549</v>
      </c>
      <c r="W19" s="130">
        <f>IF(SER_hh_fech_in!W19=0,0,SER_hh_fech_in!W19/SER_summary!W$27)</f>
        <v>12.878770896347039</v>
      </c>
      <c r="X19" s="130">
        <f>IF(SER_hh_fech_in!X19=0,0,SER_hh_fech_in!X19/SER_summary!X$27)</f>
        <v>13.092271446032964</v>
      </c>
      <c r="Y19" s="130">
        <f>IF(SER_hh_fech_in!Y19=0,0,SER_hh_fech_in!Y19/SER_summary!Y$27)</f>
        <v>13.462582373633499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0</v>
      </c>
      <c r="D21" s="132">
        <f>IF(SER_hh_fech_in!D21=0,0,SER_hh_fech_in!D21/SER_summary!D$27)</f>
        <v>0</v>
      </c>
      <c r="E21" s="132">
        <f>IF(SER_hh_fech_in!E21=0,0,SER_hh_fech_in!E21/SER_summary!E$27)</f>
        <v>0</v>
      </c>
      <c r="F21" s="132">
        <f>IF(SER_hh_fech_in!F21=0,0,SER_hh_fech_in!F21/SER_summary!F$27)</f>
        <v>0</v>
      </c>
      <c r="G21" s="132">
        <f>IF(SER_hh_fech_in!G21=0,0,SER_hh_fech_in!G21/SER_summary!G$27)</f>
        <v>0</v>
      </c>
      <c r="H21" s="132">
        <f>IF(SER_hh_fech_in!H21=0,0,SER_hh_fech_in!H21/SER_summary!H$27)</f>
        <v>0</v>
      </c>
      <c r="I21" s="132">
        <f>IF(SER_hh_fech_in!I21=0,0,SER_hh_fech_in!I21/SER_summary!I$27)</f>
        <v>0</v>
      </c>
      <c r="J21" s="132">
        <f>IF(SER_hh_fech_in!J21=0,0,SER_hh_fech_in!J21/SER_summary!J$27)</f>
        <v>0</v>
      </c>
      <c r="K21" s="132">
        <f>IF(SER_hh_fech_in!K21=0,0,SER_hh_fech_in!K21/SER_summary!K$27)</f>
        <v>0</v>
      </c>
      <c r="L21" s="132">
        <f>IF(SER_hh_fech_in!L21=0,0,SER_hh_fech_in!L21/SER_summary!L$27)</f>
        <v>0</v>
      </c>
      <c r="M21" s="132">
        <f>IF(SER_hh_fech_in!M21=0,0,SER_hh_fech_in!M21/SER_summary!M$27)</f>
        <v>0</v>
      </c>
      <c r="N21" s="132">
        <f>IF(SER_hh_fech_in!N21=0,0,SER_hh_fech_in!N21/SER_summary!N$27)</f>
        <v>0</v>
      </c>
      <c r="O21" s="132">
        <f>IF(SER_hh_fech_in!O21=0,0,SER_hh_fech_in!O21/SER_summary!O$27)</f>
        <v>0</v>
      </c>
      <c r="P21" s="132">
        <f>IF(SER_hh_fech_in!P21=0,0,SER_hh_fech_in!P21/SER_summary!P$27)</f>
        <v>0</v>
      </c>
      <c r="Q21" s="132">
        <f>IF(SER_hh_fech_in!Q21=0,0,SER_hh_fech_in!Q21/SER_summary!Q$27)</f>
        <v>0</v>
      </c>
      <c r="R21" s="132">
        <f>IF(SER_hh_fech_in!R21=0,0,SER_hh_fech_in!R21/SER_summary!R$27)</f>
        <v>0</v>
      </c>
      <c r="S21" s="132">
        <f>IF(SER_hh_fech_in!S21=0,0,SER_hh_fech_in!S21/SER_summary!S$27)</f>
        <v>0</v>
      </c>
      <c r="T21" s="132">
        <f>IF(SER_hh_fech_in!T21=0,0,SER_hh_fech_in!T21/SER_summary!T$27)</f>
        <v>0</v>
      </c>
      <c r="U21" s="132">
        <f>IF(SER_hh_fech_in!U21=0,0,SER_hh_fech_in!U21/SER_summary!U$27)</f>
        <v>0</v>
      </c>
      <c r="V21" s="132">
        <f>IF(SER_hh_fech_in!V21=0,0,SER_hh_fech_in!V21/SER_summary!V$27)</f>
        <v>0</v>
      </c>
      <c r="W21" s="132">
        <f>IF(SER_hh_fech_in!W21=0,0,SER_hh_fech_in!W21/SER_summary!W$27)</f>
        <v>0</v>
      </c>
      <c r="X21" s="132">
        <f>IF(SER_hh_fech_in!X21=0,0,SER_hh_fech_in!X21/SER_summary!X$27)</f>
        <v>0</v>
      </c>
      <c r="Y21" s="132">
        <f>IF(SER_hh_fech_in!Y21=0,0,SER_hh_fech_in!Y21/SER_summary!Y$27)</f>
        <v>0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22.981887106147322</v>
      </c>
      <c r="D22" s="132">
        <f>IF(SER_hh_fech_in!D22=0,0,SER_hh_fech_in!D22/SER_summary!D$27)</f>
        <v>23.018585917405364</v>
      </c>
      <c r="E22" s="132">
        <f>IF(SER_hh_fech_in!E22=0,0,SER_hh_fech_in!E22/SER_summary!E$27)</f>
        <v>22.474802505558408</v>
      </c>
      <c r="F22" s="132">
        <f>IF(SER_hh_fech_in!F22=0,0,SER_hh_fech_in!F22/SER_summary!F$27)</f>
        <v>0</v>
      </c>
      <c r="G22" s="132">
        <f>IF(SER_hh_fech_in!G22=0,0,SER_hh_fech_in!G22/SER_summary!G$27)</f>
        <v>0</v>
      </c>
      <c r="H22" s="132">
        <f>IF(SER_hh_fech_in!H22=0,0,SER_hh_fech_in!H22/SER_summary!H$27)</f>
        <v>20.39146691389632</v>
      </c>
      <c r="I22" s="132">
        <f>IF(SER_hh_fech_in!I22=0,0,SER_hh_fech_in!I22/SER_summary!I$27)</f>
        <v>20.834503311641157</v>
      </c>
      <c r="J22" s="132">
        <f>IF(SER_hh_fech_in!J22=0,0,SER_hh_fech_in!J22/SER_summary!J$27)</f>
        <v>21.123073014256981</v>
      </c>
      <c r="K22" s="132">
        <f>IF(SER_hh_fech_in!K22=0,0,SER_hh_fech_in!K22/SER_summary!K$27)</f>
        <v>21.132672163185863</v>
      </c>
      <c r="L22" s="132">
        <f>IF(SER_hh_fech_in!L22=0,0,SER_hh_fech_in!L22/SER_summary!L$27)</f>
        <v>10.630396409174478</v>
      </c>
      <c r="M22" s="132">
        <f>IF(SER_hh_fech_in!M22=0,0,SER_hh_fech_in!M22/SER_summary!M$27)</f>
        <v>21.073059056785375</v>
      </c>
      <c r="N22" s="132">
        <f>IF(SER_hh_fech_in!N22=0,0,SER_hh_fech_in!N22/SER_summary!N$27)</f>
        <v>22.086580494605503</v>
      </c>
      <c r="O22" s="132">
        <f>IF(SER_hh_fech_in!O22=0,0,SER_hh_fech_in!O22/SER_summary!O$27)</f>
        <v>0</v>
      </c>
      <c r="P22" s="132">
        <f>IF(SER_hh_fech_in!P22=0,0,SER_hh_fech_in!P22/SER_summary!P$27)</f>
        <v>0</v>
      </c>
      <c r="Q22" s="132">
        <f>IF(SER_hh_fech_in!Q22=0,0,SER_hh_fech_in!Q22/SER_summary!Q$27)</f>
        <v>0</v>
      </c>
      <c r="R22" s="132">
        <f>IF(SER_hh_fech_in!R22=0,0,SER_hh_fech_in!R22/SER_summary!R$27)</f>
        <v>0</v>
      </c>
      <c r="S22" s="132">
        <f>IF(SER_hh_fech_in!S22=0,0,SER_hh_fech_in!S22/SER_summary!S$27)</f>
        <v>0</v>
      </c>
      <c r="T22" s="132">
        <f>IF(SER_hh_fech_in!T22=0,0,SER_hh_fech_in!T22/SER_summary!T$27)</f>
        <v>0</v>
      </c>
      <c r="U22" s="132">
        <f>IF(SER_hh_fech_in!U22=0,0,SER_hh_fech_in!U22/SER_summary!U$27)</f>
        <v>0</v>
      </c>
      <c r="V22" s="132">
        <f>IF(SER_hh_fech_in!V22=0,0,SER_hh_fech_in!V22/SER_summary!V$27)</f>
        <v>12.439933534847727</v>
      </c>
      <c r="W22" s="132">
        <f>IF(SER_hh_fech_in!W22=0,0,SER_hh_fech_in!W22/SER_summary!W$27)</f>
        <v>13.88058532580961</v>
      </c>
      <c r="X22" s="132">
        <f>IF(SER_hh_fech_in!X22=0,0,SER_hh_fech_in!X22/SER_summary!X$27)</f>
        <v>13.890217922884055</v>
      </c>
      <c r="Y22" s="132">
        <f>IF(SER_hh_fech_in!Y22=0,0,SER_hh_fech_in!Y22/SER_summary!Y$27)</f>
        <v>18.638012584194794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20.567432925711604</v>
      </c>
      <c r="D23" s="132">
        <f>IF(SER_hh_fech_in!D23=0,0,SER_hh_fech_in!D23/SER_summary!D$27)</f>
        <v>18.297840298727007</v>
      </c>
      <c r="E23" s="132">
        <f>IF(SER_hh_fech_in!E23=0,0,SER_hh_fech_in!E23/SER_summary!E$27)</f>
        <v>19.148987152203208</v>
      </c>
      <c r="F23" s="132">
        <f>IF(SER_hh_fech_in!F23=0,0,SER_hh_fech_in!F23/SER_summary!F$27)</f>
        <v>18.649320172307707</v>
      </c>
      <c r="G23" s="132">
        <f>IF(SER_hh_fech_in!G23=0,0,SER_hh_fech_in!G23/SER_summary!G$27)</f>
        <v>18.028183291339595</v>
      </c>
      <c r="H23" s="132">
        <f>IF(SER_hh_fech_in!H23=0,0,SER_hh_fech_in!H23/SER_summary!H$27)</f>
        <v>18.482648879153697</v>
      </c>
      <c r="I23" s="132">
        <f>IF(SER_hh_fech_in!I23=0,0,SER_hh_fech_in!I23/SER_summary!I$27)</f>
        <v>19.270544995529725</v>
      </c>
      <c r="J23" s="132">
        <f>IF(SER_hh_fech_in!J23=0,0,SER_hh_fech_in!J23/SER_summary!J$27)</f>
        <v>18.785431032606496</v>
      </c>
      <c r="K23" s="132">
        <f>IF(SER_hh_fech_in!K23=0,0,SER_hh_fech_in!K23/SER_summary!K$27)</f>
        <v>18.701455420713199</v>
      </c>
      <c r="L23" s="132">
        <f>IF(SER_hh_fech_in!L23=0,0,SER_hh_fech_in!L23/SER_summary!L$27)</f>
        <v>8.5560194957626123</v>
      </c>
      <c r="M23" s="132">
        <f>IF(SER_hh_fech_in!M23=0,0,SER_hh_fech_in!M23/SER_summary!M$27)</f>
        <v>17.012378476161853</v>
      </c>
      <c r="N23" s="132">
        <f>IF(SER_hh_fech_in!N23=0,0,SER_hh_fech_in!N23/SER_summary!N$27)</f>
        <v>17.508996315690091</v>
      </c>
      <c r="O23" s="132">
        <f>IF(SER_hh_fech_in!O23=0,0,SER_hh_fech_in!O23/SER_summary!O$27)</f>
        <v>12.896765276259057</v>
      </c>
      <c r="P23" s="132">
        <f>IF(SER_hh_fech_in!P23=0,0,SER_hh_fech_in!P23/SER_summary!P$27)</f>
        <v>17.073477920627894</v>
      </c>
      <c r="Q23" s="132">
        <f>IF(SER_hh_fech_in!Q23=0,0,SER_hh_fech_in!Q23/SER_summary!Q$27)</f>
        <v>15.43845078421168</v>
      </c>
      <c r="R23" s="132">
        <f>IF(SER_hh_fech_in!R23=0,0,SER_hh_fech_in!R23/SER_summary!R$27)</f>
        <v>15.399935184485191</v>
      </c>
      <c r="S23" s="132">
        <f>IF(SER_hh_fech_in!S23=0,0,SER_hh_fech_in!S23/SER_summary!S$27)</f>
        <v>15.387676588848258</v>
      </c>
      <c r="T23" s="132">
        <f>IF(SER_hh_fech_in!T23=0,0,SER_hh_fech_in!T23/SER_summary!T$27)</f>
        <v>16.362908810674224</v>
      </c>
      <c r="U23" s="132">
        <f>IF(SER_hh_fech_in!U23=0,0,SER_hh_fech_in!U23/SER_summary!U$27)</f>
        <v>16.165151396872051</v>
      </c>
      <c r="V23" s="132">
        <f>IF(SER_hh_fech_in!V23=0,0,SER_hh_fech_in!V23/SER_summary!V$27)</f>
        <v>10.299665596642232</v>
      </c>
      <c r="W23" s="132">
        <f>IF(SER_hh_fech_in!W23=0,0,SER_hh_fech_in!W23/SER_summary!W$27)</f>
        <v>15.568936748161985</v>
      </c>
      <c r="X23" s="132">
        <f>IF(SER_hh_fech_in!X23=0,0,SER_hh_fech_in!X23/SER_summary!X$27)</f>
        <v>12.068831422284127</v>
      </c>
      <c r="Y23" s="132">
        <f>IF(SER_hh_fech_in!Y23=0,0,SER_hh_fech_in!Y23/SER_summary!Y$27)</f>
        <v>15.43339585227058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0</v>
      </c>
      <c r="D24" s="132">
        <f>IF(SER_hh_fech_in!D24=0,0,SER_hh_fech_in!D24/SER_summary!D$27)</f>
        <v>0</v>
      </c>
      <c r="E24" s="132">
        <f>IF(SER_hh_fech_in!E24=0,0,SER_hh_fech_in!E24/SER_summary!E$27)</f>
        <v>0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0</v>
      </c>
      <c r="K24" s="132">
        <f>IF(SER_hh_fech_in!K24=0,0,SER_hh_fech_in!K24/SER_summary!K$27)</f>
        <v>0</v>
      </c>
      <c r="L24" s="132">
        <f>IF(SER_hh_fech_in!L24=0,0,SER_hh_fech_in!L24/SER_summary!L$27)</f>
        <v>0</v>
      </c>
      <c r="M24" s="132">
        <f>IF(SER_hh_fech_in!M24=0,0,SER_hh_fech_in!M24/SER_summary!M$27)</f>
        <v>0</v>
      </c>
      <c r="N24" s="132">
        <f>IF(SER_hh_fech_in!N24=0,0,SER_hh_fech_in!N24/SER_summary!N$27)</f>
        <v>0</v>
      </c>
      <c r="O24" s="132">
        <f>IF(SER_hh_fech_in!O24=0,0,SER_hh_fech_in!O24/SER_summary!O$27)</f>
        <v>0</v>
      </c>
      <c r="P24" s="132">
        <f>IF(SER_hh_fech_in!P24=0,0,SER_hh_fech_in!P24/SER_summary!P$27)</f>
        <v>0</v>
      </c>
      <c r="Q24" s="132">
        <f>IF(SER_hh_fech_in!Q24=0,0,SER_hh_fech_in!Q24/SER_summary!Q$27)</f>
        <v>0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0</v>
      </c>
      <c r="W24" s="132">
        <f>IF(SER_hh_fech_in!W24=0,0,SER_hh_fech_in!W24/SER_summary!W$27)</f>
        <v>0</v>
      </c>
      <c r="X24" s="132">
        <f>IF(SER_hh_fech_in!X24=0,0,SER_hh_fech_in!X24/SER_summary!X$27)</f>
        <v>0</v>
      </c>
      <c r="Y24" s="132">
        <f>IF(SER_hh_fech_in!Y24=0,0,SER_hh_fech_in!Y24/SER_summary!Y$27)</f>
        <v>0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14.693250530077137</v>
      </c>
      <c r="D25" s="132">
        <f>IF(SER_hh_fech_in!D25=0,0,SER_hh_fech_in!D25/SER_summary!D$27)</f>
        <v>14.420220600050337</v>
      </c>
      <c r="E25" s="132">
        <f>IF(SER_hh_fech_in!E25=0,0,SER_hh_fech_in!E25/SER_summary!E$27)</f>
        <v>14.287481311358077</v>
      </c>
      <c r="F25" s="132">
        <f>IF(SER_hh_fech_in!F25=0,0,SER_hh_fech_in!F25/SER_summary!F$27)</f>
        <v>14.113805593764601</v>
      </c>
      <c r="G25" s="132">
        <f>IF(SER_hh_fech_in!G25=0,0,SER_hh_fech_in!G25/SER_summary!G$27)</f>
        <v>14.00158209416967</v>
      </c>
      <c r="H25" s="132">
        <f>IF(SER_hh_fech_in!H25=0,0,SER_hh_fech_in!H25/SER_summary!H$27)</f>
        <v>13.913387742404392</v>
      </c>
      <c r="I25" s="132">
        <f>IF(SER_hh_fech_in!I25=0,0,SER_hh_fech_in!I25/SER_summary!I$27)</f>
        <v>13.918198928897045</v>
      </c>
      <c r="J25" s="132">
        <f>IF(SER_hh_fech_in!J25=0,0,SER_hh_fech_in!J25/SER_summary!J$27)</f>
        <v>14.071755931117506</v>
      </c>
      <c r="K25" s="132">
        <f>IF(SER_hh_fech_in!K25=0,0,SER_hh_fech_in!K25/SER_summary!K$27)</f>
        <v>14.239888551788008</v>
      </c>
      <c r="L25" s="132">
        <f>IF(SER_hh_fech_in!L25=0,0,SER_hh_fech_in!L25/SER_summary!L$27)</f>
        <v>6.6823428713501851</v>
      </c>
      <c r="M25" s="132">
        <f>IF(SER_hh_fech_in!M25=0,0,SER_hh_fech_in!M25/SER_summary!M$27)</f>
        <v>13.545445428460415</v>
      </c>
      <c r="N25" s="132">
        <f>IF(SER_hh_fech_in!N25=0,0,SER_hh_fech_in!N25/SER_summary!N$27)</f>
        <v>14.380086967339157</v>
      </c>
      <c r="O25" s="132">
        <f>IF(SER_hh_fech_in!O25=0,0,SER_hh_fech_in!O25/SER_summary!O$27)</f>
        <v>11.503559418903135</v>
      </c>
      <c r="P25" s="132">
        <f>IF(SER_hh_fech_in!P25=0,0,SER_hh_fech_in!P25/SER_summary!P$27)</f>
        <v>15.162489698831743</v>
      </c>
      <c r="Q25" s="132">
        <f>IF(SER_hh_fech_in!Q25=0,0,SER_hh_fech_in!Q25/SER_summary!Q$27)</f>
        <v>14.18800203753986</v>
      </c>
      <c r="R25" s="132">
        <f>IF(SER_hh_fech_in!R25=0,0,SER_hh_fech_in!R25/SER_summary!R$27)</f>
        <v>14.465411308720117</v>
      </c>
      <c r="S25" s="132">
        <f>IF(SER_hh_fech_in!S25=0,0,SER_hh_fech_in!S25/SER_summary!S$27)</f>
        <v>14.669546791985653</v>
      </c>
      <c r="T25" s="132">
        <f>IF(SER_hh_fech_in!T25=0,0,SER_hh_fech_in!T25/SER_summary!T$27)</f>
        <v>15.382900052892492</v>
      </c>
      <c r="U25" s="132">
        <f>IF(SER_hh_fech_in!U25=0,0,SER_hh_fech_in!U25/SER_summary!U$27)</f>
        <v>14.975794741700907</v>
      </c>
      <c r="V25" s="132">
        <f>IF(SER_hh_fech_in!V25=0,0,SER_hh_fech_in!V25/SER_summary!V$27)</f>
        <v>10.16154457831135</v>
      </c>
      <c r="W25" s="132">
        <f>IF(SER_hh_fech_in!W25=0,0,SER_hh_fech_in!W25/SER_summary!W$27)</f>
        <v>13.928622888671358</v>
      </c>
      <c r="X25" s="132">
        <f>IF(SER_hh_fech_in!X25=0,0,SER_hh_fech_in!X25/SER_summary!X$27)</f>
        <v>14.137419828711147</v>
      </c>
      <c r="Y25" s="132">
        <f>IF(SER_hh_fech_in!Y25=0,0,SER_hh_fech_in!Y25/SER_summary!Y$27)</f>
        <v>13.726248141880347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17.692214798691502</v>
      </c>
      <c r="D26" s="65">
        <f>IF(SER_hh_fech_in!D26=0,0,SER_hh_fech_in!D26/SER_summary!D$27)</f>
        <v>17.643049857322097</v>
      </c>
      <c r="E26" s="65">
        <f>IF(SER_hh_fech_in!E26=0,0,SER_hh_fech_in!E26/SER_summary!E$27)</f>
        <v>17.062797923504267</v>
      </c>
      <c r="F26" s="65">
        <f>IF(SER_hh_fech_in!F26=0,0,SER_hh_fech_in!F26/SER_summary!F$27)</f>
        <v>16.634911906369123</v>
      </c>
      <c r="G26" s="65">
        <f>IF(SER_hh_fech_in!G26=0,0,SER_hh_fech_in!G26/SER_summary!G$27)</f>
        <v>16.647539119595908</v>
      </c>
      <c r="H26" s="65">
        <f>IF(SER_hh_fech_in!H26=0,0,SER_hh_fech_in!H26/SER_summary!H$27)</f>
        <v>16.818840074177807</v>
      </c>
      <c r="I26" s="65">
        <f>IF(SER_hh_fech_in!I26=0,0,SER_hh_fech_in!I26/SER_summary!I$27)</f>
        <v>16.453161498073349</v>
      </c>
      <c r="J26" s="65">
        <f>IF(SER_hh_fech_in!J26=0,0,SER_hh_fech_in!J26/SER_summary!J$27)</f>
        <v>16.200688764426552</v>
      </c>
      <c r="K26" s="65">
        <f>IF(SER_hh_fech_in!K26=0,0,SER_hh_fech_in!K26/SER_summary!K$27)</f>
        <v>16.851462447518688</v>
      </c>
      <c r="L26" s="65">
        <f>IF(SER_hh_fech_in!L26=0,0,SER_hh_fech_in!L26/SER_summary!L$27)</f>
        <v>5.1177737145664164</v>
      </c>
      <c r="M26" s="65">
        <f>IF(SER_hh_fech_in!M26=0,0,SER_hh_fech_in!M26/SER_summary!M$27)</f>
        <v>4.7512798828492864</v>
      </c>
      <c r="N26" s="65">
        <f>IF(SER_hh_fech_in!N26=0,0,SER_hh_fech_in!N26/SER_summary!N$27)</f>
        <v>4.1681815747319133</v>
      </c>
      <c r="O26" s="65">
        <f>IF(SER_hh_fech_in!O26=0,0,SER_hh_fech_in!O26/SER_summary!O$27)</f>
        <v>4.2327063514537064</v>
      </c>
      <c r="P26" s="65">
        <f>IF(SER_hh_fech_in!P26=0,0,SER_hh_fech_in!P26/SER_summary!P$27)</f>
        <v>6.9162906793246357</v>
      </c>
      <c r="Q26" s="65">
        <f>IF(SER_hh_fech_in!Q26=0,0,SER_hh_fech_in!Q26/SER_summary!Q$27)</f>
        <v>3.7982072152235169</v>
      </c>
      <c r="R26" s="65">
        <f>IF(SER_hh_fech_in!R26=0,0,SER_hh_fech_in!R26/SER_summary!R$27)</f>
        <v>4.172227132500602</v>
      </c>
      <c r="S26" s="65">
        <f>IF(SER_hh_fech_in!S26=0,0,SER_hh_fech_in!S26/SER_summary!S$27)</f>
        <v>4.5071150754714733</v>
      </c>
      <c r="T26" s="65">
        <f>IF(SER_hh_fech_in!T26=0,0,SER_hh_fech_in!T26/SER_summary!T$27)</f>
        <v>4.8638438499157557</v>
      </c>
      <c r="U26" s="65">
        <f>IF(SER_hh_fech_in!U26=0,0,SER_hh_fech_in!U26/SER_summary!U$27)</f>
        <v>4.285805886307096</v>
      </c>
      <c r="V26" s="65">
        <f>IF(SER_hh_fech_in!V26=0,0,SER_hh_fech_in!V26/SER_summary!V$27)</f>
        <v>3.3832116074291707</v>
      </c>
      <c r="W26" s="65">
        <f>IF(SER_hh_fech_in!W26=0,0,SER_hh_fech_in!W26/SER_summary!W$27)</f>
        <v>6.5238085801866843</v>
      </c>
      <c r="X26" s="65">
        <f>IF(SER_hh_fech_in!X26=0,0,SER_hh_fech_in!X26/SER_summary!X$27)</f>
        <v>3.6482984412370261</v>
      </c>
      <c r="Y26" s="65">
        <f>IF(SER_hh_fech_in!Y26=0,0,SER_hh_fech_in!Y26/SER_summary!Y$27)</f>
        <v>3.6951087992410807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</v>
      </c>
      <c r="D27" s="145">
        <f>IF(SER_hh_fech_in!D27=0,0,SER_hh_fech_in!D27/SER_summary!D$27)</f>
        <v>0</v>
      </c>
      <c r="E27" s="145">
        <f>IF(SER_hh_fech_in!E27=0,0,SER_hh_fech_in!E27/SER_summary!E$27)</f>
        <v>0</v>
      </c>
      <c r="F27" s="145">
        <f>IF(SER_hh_fech_in!F27=0,0,SER_hh_fech_in!F27/SER_summary!F$27)</f>
        <v>0</v>
      </c>
      <c r="G27" s="145">
        <f>IF(SER_hh_fech_in!G27=0,0,SER_hh_fech_in!G27/SER_summary!G$27)</f>
        <v>0</v>
      </c>
      <c r="H27" s="145">
        <f>IF(SER_hh_fech_in!H27=0,0,SER_hh_fech_in!H27/SER_summary!H$27)</f>
        <v>0</v>
      </c>
      <c r="I27" s="145">
        <f>IF(SER_hh_fech_in!I27=0,0,SER_hh_fech_in!I27/SER_summary!I$27)</f>
        <v>0</v>
      </c>
      <c r="J27" s="145">
        <f>IF(SER_hh_fech_in!J27=0,0,SER_hh_fech_in!J27/SER_summary!J$27)</f>
        <v>0</v>
      </c>
      <c r="K27" s="145">
        <f>IF(SER_hh_fech_in!K27=0,0,SER_hh_fech_in!K27/SER_summary!K$27)</f>
        <v>0</v>
      </c>
      <c r="L27" s="145">
        <f>IF(SER_hh_fech_in!L27=0,0,SER_hh_fech_in!L27/SER_summary!L$27)</f>
        <v>7.0205391121476737</v>
      </c>
      <c r="M27" s="145">
        <f>IF(SER_hh_fech_in!M27=0,0,SER_hh_fech_in!M27/SER_summary!M$27)</f>
        <v>5.5450098583502969</v>
      </c>
      <c r="N27" s="145">
        <f>IF(SER_hh_fech_in!N27=0,0,SER_hh_fech_in!N27/SER_summary!N$27)</f>
        <v>5.0047791394147465</v>
      </c>
      <c r="O27" s="145">
        <f>IF(SER_hh_fech_in!O27=0,0,SER_hh_fech_in!O27/SER_summary!O$27)</f>
        <v>6.0357864360631357</v>
      </c>
      <c r="P27" s="145">
        <f>IF(SER_hh_fech_in!P27=0,0,SER_hh_fech_in!P27/SER_summary!P$27)</f>
        <v>3.4290801226032088</v>
      </c>
      <c r="Q27" s="145">
        <f>IF(SER_hh_fech_in!Q27=0,0,SER_hh_fech_in!Q27/SER_summary!Q$27)</f>
        <v>5.220373967569456</v>
      </c>
      <c r="R27" s="145">
        <f>IF(SER_hh_fech_in!R27=0,0,SER_hh_fech_in!R27/SER_summary!R$27)</f>
        <v>4.6117126276774307</v>
      </c>
      <c r="S27" s="145">
        <f>IF(SER_hh_fech_in!S27=0,0,SER_hh_fech_in!S27/SER_summary!S$27)</f>
        <v>4.5937672331521355</v>
      </c>
      <c r="T27" s="145">
        <f>IF(SER_hh_fech_in!T27=0,0,SER_hh_fech_in!T27/SER_summary!T$27)</f>
        <v>4.172221998402323</v>
      </c>
      <c r="U27" s="145">
        <f>IF(SER_hh_fech_in!U27=0,0,SER_hh_fech_in!U27/SER_summary!U$27)</f>
        <v>4.7429957912741374</v>
      </c>
      <c r="V27" s="145">
        <f>IF(SER_hh_fech_in!V27=0,0,SER_hh_fech_in!V27/SER_summary!V$27)</f>
        <v>5.1795694030697046</v>
      </c>
      <c r="W27" s="145">
        <f>IF(SER_hh_fech_in!W27=0,0,SER_hh_fech_in!W27/SER_summary!W$27)</f>
        <v>3.182409291477061</v>
      </c>
      <c r="X27" s="145">
        <f>IF(SER_hh_fech_in!X27=0,0,SER_hh_fech_in!X27/SER_summary!X$27)</f>
        <v>4.819860815744847</v>
      </c>
      <c r="Y27" s="145">
        <f>IF(SER_hh_fech_in!Y27=0,0,SER_hh_fech_in!Y27/SER_summary!Y$27)</f>
        <v>4.897789226374571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0</v>
      </c>
      <c r="D28" s="146">
        <f>IF(SER_hh_fech_in!D28=0,0,SER_hh_fech_in!D28/SER_summary!D$27)</f>
        <v>0</v>
      </c>
      <c r="E28" s="146">
        <f>IF(SER_hh_fech_in!E28=0,0,SER_hh_fech_in!E28/SER_summary!E$27)</f>
        <v>0</v>
      </c>
      <c r="F28" s="146">
        <f>IF(SER_hh_fech_in!F28=0,0,SER_hh_fech_in!F28/SER_summary!F$27)</f>
        <v>0</v>
      </c>
      <c r="G28" s="146">
        <f>IF(SER_hh_fech_in!G28=0,0,SER_hh_fech_in!G28/SER_summary!G$27)</f>
        <v>0</v>
      </c>
      <c r="H28" s="146">
        <f>IF(SER_hh_fech_in!H28=0,0,SER_hh_fech_in!H28/SER_summary!H$27)</f>
        <v>0</v>
      </c>
      <c r="I28" s="146">
        <f>IF(SER_hh_fech_in!I28=0,0,SER_hh_fech_in!I28/SER_summary!I$27)</f>
        <v>0</v>
      </c>
      <c r="J28" s="146">
        <f>IF(SER_hh_fech_in!J28=0,0,SER_hh_fech_in!J28/SER_summary!J$27)</f>
        <v>0</v>
      </c>
      <c r="K28" s="146">
        <f>IF(SER_hh_fech_in!K28=0,0,SER_hh_fech_in!K28/SER_summary!K$27)</f>
        <v>0</v>
      </c>
      <c r="L28" s="146">
        <f>IF(SER_hh_fech_in!L28=0,0,SER_hh_fech_in!L28/SER_summary!L$27)</f>
        <v>7.0205391121476737</v>
      </c>
      <c r="M28" s="146">
        <f>IF(SER_hh_fech_in!M28=0,0,SER_hh_fech_in!M28/SER_summary!M$27)</f>
        <v>7.5395744811085654</v>
      </c>
      <c r="N28" s="146">
        <f>IF(SER_hh_fech_in!N28=0,0,SER_hh_fech_in!N28/SER_summary!N$27)</f>
        <v>7.8300021830894213</v>
      </c>
      <c r="O28" s="146">
        <f>IF(SER_hh_fech_in!O28=0,0,SER_hh_fech_in!O28/SER_summary!O$27)</f>
        <v>7.4157242676860085</v>
      </c>
      <c r="P28" s="146">
        <f>IF(SER_hh_fech_in!P28=0,0,SER_hh_fech_in!P28/SER_summary!P$27)</f>
        <v>7.671148921007112</v>
      </c>
      <c r="Q28" s="146">
        <f>IF(SER_hh_fech_in!Q28=0,0,SER_hh_fech_in!Q28/SER_summary!Q$27)</f>
        <v>7.8881870907983762</v>
      </c>
      <c r="R28" s="146">
        <f>IF(SER_hh_fech_in!R28=0,0,SER_hh_fech_in!R28/SER_summary!R$27)</f>
        <v>7.6338959690262369</v>
      </c>
      <c r="S28" s="146">
        <f>IF(SER_hh_fech_in!S28=0,0,SER_hh_fech_in!S28/SER_summary!S$27)</f>
        <v>7.4739647284928088</v>
      </c>
      <c r="T28" s="146">
        <f>IF(SER_hh_fech_in!T28=0,0,SER_hh_fech_in!T28/SER_summary!T$27)</f>
        <v>7.9335242936329529</v>
      </c>
      <c r="U28" s="146">
        <f>IF(SER_hh_fech_in!U28=0,0,SER_hh_fech_in!U28/SER_summary!U$27)</f>
        <v>7.9816666601688828</v>
      </c>
      <c r="V28" s="146">
        <f>IF(SER_hh_fech_in!V28=0,0,SER_hh_fech_in!V28/SER_summary!V$27)</f>
        <v>6.3657989612309862</v>
      </c>
      <c r="W28" s="146">
        <f>IF(SER_hh_fech_in!W28=0,0,SER_hh_fech_in!W28/SER_summary!W$27)</f>
        <v>7.567544810756055</v>
      </c>
      <c r="X28" s="146">
        <f>IF(SER_hh_fech_in!X28=0,0,SER_hh_fech_in!X28/SER_summary!X$27)</f>
        <v>7.3433106850367746</v>
      </c>
      <c r="Y28" s="146">
        <f>IF(SER_hh_fech_in!Y28=0,0,SER_hh_fech_in!Y28/SER_summary!Y$27)</f>
        <v>7.7759544698924463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18.16554747472032</v>
      </c>
      <c r="D29" s="130">
        <f>IF(SER_hh_fech_in!D29=0,0,SER_hh_fech_in!D29/SER_summary!D$27)</f>
        <v>17.888030758993857</v>
      </c>
      <c r="E29" s="130">
        <f>IF(SER_hh_fech_in!E29=0,0,SER_hh_fech_in!E29/SER_summary!E$27)</f>
        <v>17.775382747277991</v>
      </c>
      <c r="F29" s="130">
        <f>IF(SER_hh_fech_in!F29=0,0,SER_hh_fech_in!F29/SER_summary!F$27)</f>
        <v>17.747873182429476</v>
      </c>
      <c r="G29" s="130">
        <f>IF(SER_hh_fech_in!G29=0,0,SER_hh_fech_in!G29/SER_summary!G$27)</f>
        <v>17.303285616583814</v>
      </c>
      <c r="H29" s="130">
        <f>IF(SER_hh_fech_in!H29=0,0,SER_hh_fech_in!H29/SER_summary!H$27)</f>
        <v>17.502456975047927</v>
      </c>
      <c r="I29" s="130">
        <f>IF(SER_hh_fech_in!I29=0,0,SER_hh_fech_in!I29/SER_summary!I$27)</f>
        <v>17.044640209837645</v>
      </c>
      <c r="J29" s="130">
        <f>IF(SER_hh_fech_in!J29=0,0,SER_hh_fech_in!J29/SER_summary!J$27)</f>
        <v>19.585194984179836</v>
      </c>
      <c r="K29" s="130">
        <f>IF(SER_hh_fech_in!K29=0,0,SER_hh_fech_in!K29/SER_summary!K$27)</f>
        <v>17.462519118137646</v>
      </c>
      <c r="L29" s="130">
        <f>IF(SER_hh_fech_in!L29=0,0,SER_hh_fech_in!L29/SER_summary!L$27)</f>
        <v>20.651758421782606</v>
      </c>
      <c r="M29" s="130">
        <f>IF(SER_hh_fech_in!M29=0,0,SER_hh_fech_in!M29/SER_summary!M$27)</f>
        <v>18.301566048878197</v>
      </c>
      <c r="N29" s="130">
        <f>IF(SER_hh_fech_in!N29=0,0,SER_hh_fech_in!N29/SER_summary!N$27)</f>
        <v>19.196814540859293</v>
      </c>
      <c r="O29" s="130">
        <f>IF(SER_hh_fech_in!O29=0,0,SER_hh_fech_in!O29/SER_summary!O$27)</f>
        <v>18.10190310951484</v>
      </c>
      <c r="P29" s="130">
        <f>IF(SER_hh_fech_in!P29=0,0,SER_hh_fech_in!P29/SER_summary!P$27)</f>
        <v>17.911392974040165</v>
      </c>
      <c r="Q29" s="130">
        <f>IF(SER_hh_fech_in!Q29=0,0,SER_hh_fech_in!Q29/SER_summary!Q$27)</f>
        <v>17.829572641977677</v>
      </c>
      <c r="R29" s="130">
        <f>IF(SER_hh_fech_in!R29=0,0,SER_hh_fech_in!R29/SER_summary!R$27)</f>
        <v>17.629741907774701</v>
      </c>
      <c r="S29" s="130">
        <f>IF(SER_hh_fech_in!S29=0,0,SER_hh_fech_in!S29/SER_summary!S$27)</f>
        <v>18.80519843824764</v>
      </c>
      <c r="T29" s="130">
        <f>IF(SER_hh_fech_in!T29=0,0,SER_hh_fech_in!T29/SER_summary!T$27)</f>
        <v>20.232045971327004</v>
      </c>
      <c r="U29" s="130">
        <f>IF(SER_hh_fech_in!U29=0,0,SER_hh_fech_in!U29/SER_summary!U$27)</f>
        <v>19.653144265958254</v>
      </c>
      <c r="V29" s="130">
        <f>IF(SER_hh_fech_in!V29=0,0,SER_hh_fech_in!V29/SER_summary!V$27)</f>
        <v>15.969621165232287</v>
      </c>
      <c r="W29" s="130">
        <f>IF(SER_hh_fech_in!W29=0,0,SER_hh_fech_in!W29/SER_summary!W$27)</f>
        <v>17.507421877975354</v>
      </c>
      <c r="X29" s="130">
        <f>IF(SER_hh_fech_in!X29=0,0,SER_hh_fech_in!X29/SER_summary!X$27)</f>
        <v>18.399012087042156</v>
      </c>
      <c r="Y29" s="130">
        <f>IF(SER_hh_fech_in!Y29=0,0,SER_hh_fech_in!Y29/SER_summary!Y$27)</f>
        <v>17.565640187495976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46.95842044042741</v>
      </c>
      <c r="D30" s="132">
        <f>IF(SER_hh_fech_in!D30=0,0,SER_hh_fech_in!D30/SER_summary!D$27)</f>
        <v>0</v>
      </c>
      <c r="E30" s="132">
        <f>IF(SER_hh_fech_in!E30=0,0,SER_hh_fech_in!E30/SER_summary!E$27)</f>
        <v>0</v>
      </c>
      <c r="F30" s="132">
        <f>IF(SER_hh_fech_in!F30=0,0,SER_hh_fech_in!F30/SER_summary!F$27)</f>
        <v>0</v>
      </c>
      <c r="G30" s="132">
        <f>IF(SER_hh_fech_in!G30=0,0,SER_hh_fech_in!G30/SER_summary!G$27)</f>
        <v>0</v>
      </c>
      <c r="H30" s="132">
        <f>IF(SER_hh_fech_in!H30=0,0,SER_hh_fech_in!H30/SER_summary!H$27)</f>
        <v>0</v>
      </c>
      <c r="I30" s="132">
        <f>IF(SER_hh_fech_in!I30=0,0,SER_hh_fech_in!I30/SER_summary!I$27)</f>
        <v>0</v>
      </c>
      <c r="J30" s="132">
        <f>IF(SER_hh_fech_in!J30=0,0,SER_hh_fech_in!J30/SER_summary!J$27)</f>
        <v>0</v>
      </c>
      <c r="K30" s="132">
        <f>IF(SER_hh_fech_in!K30=0,0,SER_hh_fech_in!K30/SER_summary!K$27)</f>
        <v>0</v>
      </c>
      <c r="L30" s="132">
        <f>IF(SER_hh_fech_in!L30=0,0,SER_hh_fech_in!L30/SER_summary!L$27)</f>
        <v>27.285925413812695</v>
      </c>
      <c r="M30" s="132">
        <f>IF(SER_hh_fech_in!M30=0,0,SER_hh_fech_in!M30/SER_summary!M$27)</f>
        <v>25.37646854194249</v>
      </c>
      <c r="N30" s="132">
        <f>IF(SER_hh_fech_in!N30=0,0,SER_hh_fech_in!N30/SER_summary!N$27)</f>
        <v>40.084232421768981</v>
      </c>
      <c r="O30" s="132">
        <f>IF(SER_hh_fech_in!O30=0,0,SER_hh_fech_in!O30/SER_summary!O$27)</f>
        <v>28.557689626760656</v>
      </c>
      <c r="P30" s="132">
        <f>IF(SER_hh_fech_in!P30=0,0,SER_hh_fech_in!P30/SER_summary!P$27)</f>
        <v>17.862597546679464</v>
      </c>
      <c r="Q30" s="132">
        <f>IF(SER_hh_fech_in!Q30=0,0,SER_hh_fech_in!Q30/SER_summary!Q$27)</f>
        <v>17.936292305594478</v>
      </c>
      <c r="R30" s="132">
        <f>IF(SER_hh_fech_in!R30=0,0,SER_hh_fech_in!R30/SER_summary!R$27)</f>
        <v>20.84357883267737</v>
      </c>
      <c r="S30" s="132">
        <f>IF(SER_hh_fech_in!S30=0,0,SER_hh_fech_in!S30/SER_summary!S$27)</f>
        <v>24.449029251708939</v>
      </c>
      <c r="T30" s="132">
        <f>IF(SER_hh_fech_in!T30=0,0,SER_hh_fech_in!T30/SER_summary!T$27)</f>
        <v>26.025540135321126</v>
      </c>
      <c r="U30" s="132">
        <f>IF(SER_hh_fech_in!U30=0,0,SER_hh_fech_in!U30/SER_summary!U$27)</f>
        <v>24.980500804038115</v>
      </c>
      <c r="V30" s="132">
        <f>IF(SER_hh_fech_in!V30=0,0,SER_hh_fech_in!V30/SER_summary!V$27)</f>
        <v>19.700534170196477</v>
      </c>
      <c r="W30" s="132">
        <f>IF(SER_hh_fech_in!W30=0,0,SER_hh_fech_in!W30/SER_summary!W$27)</f>
        <v>22.126249717237652</v>
      </c>
      <c r="X30" s="132">
        <f>IF(SER_hh_fech_in!X30=0,0,SER_hh_fech_in!X30/SER_summary!X$27)</f>
        <v>23.925766411566503</v>
      </c>
      <c r="Y30" s="132">
        <f>IF(SER_hh_fech_in!Y30=0,0,SER_hh_fech_in!Y30/SER_summary!Y$27)</f>
        <v>24.619287555352127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22.525934649224276</v>
      </c>
      <c r="D31" s="132">
        <f>IF(SER_hh_fech_in!D31=0,0,SER_hh_fech_in!D31/SER_summary!D$27)</f>
        <v>20.921587919672081</v>
      </c>
      <c r="E31" s="132">
        <f>IF(SER_hh_fech_in!E31=0,0,SER_hh_fech_in!E31/SER_summary!E$27)</f>
        <v>22.041877900841797</v>
      </c>
      <c r="F31" s="132">
        <f>IF(SER_hh_fech_in!F31=0,0,SER_hh_fech_in!F31/SER_summary!F$27)</f>
        <v>22.341149677075119</v>
      </c>
      <c r="G31" s="132">
        <f>IF(SER_hh_fech_in!G31=0,0,SER_hh_fech_in!G31/SER_summary!G$27)</f>
        <v>20.47740073703045</v>
      </c>
      <c r="H31" s="132">
        <f>IF(SER_hh_fech_in!H31=0,0,SER_hh_fech_in!H31/SER_summary!H$27)</f>
        <v>22.587203440501231</v>
      </c>
      <c r="I31" s="132">
        <f>IF(SER_hh_fech_in!I31=0,0,SER_hh_fech_in!I31/SER_summary!I$27)</f>
        <v>22.775977413426141</v>
      </c>
      <c r="J31" s="132">
        <f>IF(SER_hh_fech_in!J31=0,0,SER_hh_fech_in!J31/SER_summary!J$27)</f>
        <v>22.499519301595758</v>
      </c>
      <c r="K31" s="132">
        <f>IF(SER_hh_fech_in!K31=0,0,SER_hh_fech_in!K31/SER_summary!K$27)</f>
        <v>22.345863064323428</v>
      </c>
      <c r="L31" s="132">
        <f>IF(SER_hh_fech_in!L31=0,0,SER_hh_fech_in!L31/SER_summary!L$27)</f>
        <v>22.800894128878792</v>
      </c>
      <c r="M31" s="132">
        <f>IF(SER_hh_fech_in!M31=0,0,SER_hh_fech_in!M31/SER_summary!M$27)</f>
        <v>22.987822203310792</v>
      </c>
      <c r="N31" s="132">
        <f>IF(SER_hh_fech_in!N31=0,0,SER_hh_fech_in!N31/SER_summary!N$27)</f>
        <v>23.381022138582402</v>
      </c>
      <c r="O31" s="132">
        <f>IF(SER_hh_fech_in!O31=0,0,SER_hh_fech_in!O31/SER_summary!O$27)</f>
        <v>23.545796689158919</v>
      </c>
      <c r="P31" s="132">
        <f>IF(SER_hh_fech_in!P31=0,0,SER_hh_fech_in!P31/SER_summary!P$27)</f>
        <v>23.525691081933971</v>
      </c>
      <c r="Q31" s="132">
        <f>IF(SER_hh_fech_in!Q31=0,0,SER_hh_fech_in!Q31/SER_summary!Q$27)</f>
        <v>23.606794625636336</v>
      </c>
      <c r="R31" s="132">
        <f>IF(SER_hh_fech_in!R31=0,0,SER_hh_fech_in!R31/SER_summary!R$27)</f>
        <v>23.377390198660564</v>
      </c>
      <c r="S31" s="132">
        <f>IF(SER_hh_fech_in!S31=0,0,SER_hh_fech_in!S31/SER_summary!S$27)</f>
        <v>23.839591223461689</v>
      </c>
      <c r="T31" s="132">
        <f>IF(SER_hh_fech_in!T31=0,0,SER_hh_fech_in!T31/SER_summary!T$27)</f>
        <v>24.145819155802513</v>
      </c>
      <c r="U31" s="132">
        <f>IF(SER_hh_fech_in!U31=0,0,SER_hh_fech_in!U31/SER_summary!U$27)</f>
        <v>23.500737418913605</v>
      </c>
      <c r="V31" s="132">
        <f>IF(SER_hh_fech_in!V31=0,0,SER_hh_fech_in!V31/SER_summary!V$27)</f>
        <v>20.309959009054506</v>
      </c>
      <c r="W31" s="132">
        <f>IF(SER_hh_fech_in!W31=0,0,SER_hh_fech_in!W31/SER_summary!W$27)</f>
        <v>23.329625446308601</v>
      </c>
      <c r="X31" s="132">
        <f>IF(SER_hh_fech_in!X31=0,0,SER_hh_fech_in!X31/SER_summary!X$27)</f>
        <v>23.273179505395394</v>
      </c>
      <c r="Y31" s="132">
        <f>IF(SER_hh_fech_in!Y31=0,0,SER_hh_fech_in!Y31/SER_summary!Y$27)</f>
        <v>23.140925172363588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31.791321991252829</v>
      </c>
      <c r="K32" s="132">
        <f>IF(SER_hh_fech_in!K32=0,0,SER_hh_fech_in!K32/SER_summary!K$27)</f>
        <v>25.287462859123483</v>
      </c>
      <c r="L32" s="132">
        <f>IF(SER_hh_fech_in!L32=0,0,SER_hh_fech_in!L32/SER_summary!L$27)</f>
        <v>23.246386984059143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19.902724339937272</v>
      </c>
      <c r="R32" s="132">
        <f>IF(SER_hh_fech_in!R32=0,0,SER_hh_fech_in!R32/SER_summary!R$27)</f>
        <v>15.908885156526358</v>
      </c>
      <c r="S32" s="132">
        <f>IF(SER_hh_fech_in!S32=0,0,SER_hh_fech_in!S32/SER_summary!S$27)</f>
        <v>22.735079547071805</v>
      </c>
      <c r="T32" s="132">
        <f>IF(SER_hh_fech_in!T32=0,0,SER_hh_fech_in!T32/SER_summary!T$27)</f>
        <v>26.883636678911468</v>
      </c>
      <c r="U32" s="132">
        <f>IF(SER_hh_fech_in!U32=0,0,SER_hh_fech_in!U32/SER_summary!U$27)</f>
        <v>27.006871837972113</v>
      </c>
      <c r="V32" s="132">
        <f>IF(SER_hh_fech_in!V32=0,0,SER_hh_fech_in!V32/SER_summary!V$27)</f>
        <v>22.139267447943055</v>
      </c>
      <c r="W32" s="132">
        <f>IF(SER_hh_fech_in!W32=0,0,SER_hh_fech_in!W32/SER_summary!W$27)</f>
        <v>20.902412960089897</v>
      </c>
      <c r="X32" s="132">
        <f>IF(SER_hh_fech_in!X32=0,0,SER_hh_fech_in!X32/SER_summary!X$27)</f>
        <v>30.403030622936971</v>
      </c>
      <c r="Y32" s="132">
        <f>IF(SER_hh_fech_in!Y32=0,0,SER_hh_fech_in!Y32/SER_summary!Y$27)</f>
        <v>21.817718848586285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17.445024748516015</v>
      </c>
      <c r="D33" s="68">
        <f>IF(SER_hh_fech_in!D33=0,0,SER_hh_fech_in!D33/SER_summary!D$27)</f>
        <v>17.572568022154762</v>
      </c>
      <c r="E33" s="68">
        <f>IF(SER_hh_fech_in!E33=0,0,SER_hh_fech_in!E33/SER_summary!E$27)</f>
        <v>17.262995150114417</v>
      </c>
      <c r="F33" s="68">
        <f>IF(SER_hh_fech_in!F33=0,0,SER_hh_fech_in!F33/SER_summary!F$27)</f>
        <v>17.044666300972747</v>
      </c>
      <c r="G33" s="68">
        <f>IF(SER_hh_fech_in!G33=0,0,SER_hh_fech_in!G33/SER_summary!G$27)</f>
        <v>16.777117981719844</v>
      </c>
      <c r="H33" s="68">
        <f>IF(SER_hh_fech_in!H33=0,0,SER_hh_fech_in!H33/SER_summary!H$27)</f>
        <v>16.446065835579766</v>
      </c>
      <c r="I33" s="68">
        <f>IF(SER_hh_fech_in!I33=0,0,SER_hh_fech_in!I33/SER_summary!I$27)</f>
        <v>16.1597481949178</v>
      </c>
      <c r="J33" s="68">
        <f>IF(SER_hh_fech_in!J33=0,0,SER_hh_fech_in!J33/SER_summary!J$27)</f>
        <v>16.161451777088523</v>
      </c>
      <c r="K33" s="68">
        <f>IF(SER_hh_fech_in!K33=0,0,SER_hh_fech_in!K33/SER_summary!K$27)</f>
        <v>16.676824664732639</v>
      </c>
      <c r="L33" s="68">
        <f>IF(SER_hh_fech_in!L33=0,0,SER_hh_fech_in!L33/SER_summary!L$27)</f>
        <v>17.290330952470946</v>
      </c>
      <c r="M33" s="68">
        <f>IF(SER_hh_fech_in!M33=0,0,SER_hh_fech_in!M33/SER_summary!M$27)</f>
        <v>17.063558085919389</v>
      </c>
      <c r="N33" s="68">
        <f>IF(SER_hh_fech_in!N33=0,0,SER_hh_fech_in!N33/SER_summary!N$27)</f>
        <v>17.124563308196564</v>
      </c>
      <c r="O33" s="68">
        <f>IF(SER_hh_fech_in!O33=0,0,SER_hh_fech_in!O33/SER_summary!O$27)</f>
        <v>17.322329187578262</v>
      </c>
      <c r="P33" s="68">
        <f>IF(SER_hh_fech_in!P33=0,0,SER_hh_fech_in!P33/SER_summary!P$27)</f>
        <v>17.189418637236098</v>
      </c>
      <c r="Q33" s="68">
        <f>IF(SER_hh_fech_in!Q33=0,0,SER_hh_fech_in!Q33/SER_summary!Q$27)</f>
        <v>17.108758777156496</v>
      </c>
      <c r="R33" s="68">
        <f>IF(SER_hh_fech_in!R33=0,0,SER_hh_fech_in!R33/SER_summary!R$27)</f>
        <v>17.030993242647433</v>
      </c>
      <c r="S33" s="68">
        <f>IF(SER_hh_fech_in!S33=0,0,SER_hh_fech_in!S33/SER_summary!S$27)</f>
        <v>16.989320519042636</v>
      </c>
      <c r="T33" s="68">
        <f>IF(SER_hh_fech_in!T33=0,0,SER_hh_fech_in!T33/SER_summary!T$27)</f>
        <v>17.107382231156759</v>
      </c>
      <c r="U33" s="68">
        <f>IF(SER_hh_fech_in!U33=0,0,SER_hh_fech_in!U33/SER_summary!U$27)</f>
        <v>17.038577031012366</v>
      </c>
      <c r="V33" s="68">
        <f>IF(SER_hh_fech_in!V33=0,0,SER_hh_fech_in!V33/SER_summary!V$27)</f>
        <v>14.014345794635533</v>
      </c>
      <c r="W33" s="68">
        <f>IF(SER_hh_fech_in!W33=0,0,SER_hh_fech_in!W33/SER_summary!W$27)</f>
        <v>15.909397378304249</v>
      </c>
      <c r="X33" s="68">
        <f>IF(SER_hh_fech_in!X33=0,0,SER_hh_fech_in!X33/SER_summary!X$27)</f>
        <v>15.877428840494753</v>
      </c>
      <c r="Y33" s="68">
        <f>IF(SER_hh_fech_in!Y33=0,0,SER_hh_fech_in!Y33/SER_summary!Y$27)</f>
        <v>15.983362264979068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86.955449049789593</v>
      </c>
      <c r="D3" s="125">
        <f>IF(SER_hh_tesh_in!D3=0,0,SER_hh_tesh_in!D3/SER_summary!D$27)</f>
        <v>73.828419674805161</v>
      </c>
      <c r="E3" s="125">
        <f>IF(SER_hh_tesh_in!E3=0,0,SER_hh_tesh_in!E3/SER_summary!E$27)</f>
        <v>79.961434530089562</v>
      </c>
      <c r="F3" s="125">
        <f>IF(SER_hh_tesh_in!F3=0,0,SER_hh_tesh_in!F3/SER_summary!F$27)</f>
        <v>72.032383682157473</v>
      </c>
      <c r="G3" s="125">
        <f>IF(SER_hh_tesh_in!G3=0,0,SER_hh_tesh_in!G3/SER_summary!G$27)</f>
        <v>90.880892855143415</v>
      </c>
      <c r="H3" s="125">
        <f>IF(SER_hh_tesh_in!H3=0,0,SER_hh_tesh_in!H3/SER_summary!H$27)</f>
        <v>89.268700813509298</v>
      </c>
      <c r="I3" s="125">
        <f>IF(SER_hh_tesh_in!I3=0,0,SER_hh_tesh_in!I3/SER_summary!I$27)</f>
        <v>99.334552272877829</v>
      </c>
      <c r="J3" s="125">
        <f>IF(SER_hh_tesh_in!J3=0,0,SER_hh_tesh_in!J3/SER_summary!J$27)</f>
        <v>87.882129989584385</v>
      </c>
      <c r="K3" s="125">
        <f>IF(SER_hh_tesh_in!K3=0,0,SER_hh_tesh_in!K3/SER_summary!K$27)</f>
        <v>79.208733891208453</v>
      </c>
      <c r="L3" s="125">
        <f>IF(SER_hh_tesh_in!L3=0,0,SER_hh_tesh_in!L3/SER_summary!L$27)</f>
        <v>90.177025953601742</v>
      </c>
      <c r="M3" s="125">
        <f>IF(SER_hh_tesh_in!M3=0,0,SER_hh_tesh_in!M3/SER_summary!M$27)</f>
        <v>85.85770204882644</v>
      </c>
      <c r="N3" s="125">
        <f>IF(SER_hh_tesh_in!N3=0,0,SER_hh_tesh_in!N3/SER_summary!N$27)</f>
        <v>106.26109706867753</v>
      </c>
      <c r="O3" s="125">
        <f>IF(SER_hh_tesh_in!O3=0,0,SER_hh_tesh_in!O3/SER_summary!O$27)</f>
        <v>79.717951483574552</v>
      </c>
      <c r="P3" s="125">
        <f>IF(SER_hh_tesh_in!P3=0,0,SER_hh_tesh_in!P3/SER_summary!P$27)</f>
        <v>73.475214395414355</v>
      </c>
      <c r="Q3" s="125">
        <f>IF(SER_hh_tesh_in!Q3=0,0,SER_hh_tesh_in!Q3/SER_summary!Q$27)</f>
        <v>86.118481375490049</v>
      </c>
      <c r="R3" s="125">
        <f>IF(SER_hh_tesh_in!R3=0,0,SER_hh_tesh_in!R3/SER_summary!R$27)</f>
        <v>83.564177386971224</v>
      </c>
      <c r="S3" s="125">
        <f>IF(SER_hh_tesh_in!S3=0,0,SER_hh_tesh_in!S3/SER_summary!S$27)</f>
        <v>84.09155383079576</v>
      </c>
      <c r="T3" s="125">
        <f>IF(SER_hh_tesh_in!T3=0,0,SER_hh_tesh_in!T3/SER_summary!T$27)</f>
        <v>79.847124734983225</v>
      </c>
      <c r="U3" s="125">
        <f>IF(SER_hh_tesh_in!U3=0,0,SER_hh_tesh_in!U3/SER_summary!U$27)</f>
        <v>79.508226657495527</v>
      </c>
      <c r="V3" s="125">
        <f>IF(SER_hh_tesh_in!V3=0,0,SER_hh_tesh_in!V3/SER_summary!V$27)</f>
        <v>67.570135145344622</v>
      </c>
      <c r="W3" s="125">
        <f>IF(SER_hh_tesh_in!W3=0,0,SER_hh_tesh_in!W3/SER_summary!W$27)</f>
        <v>81.735514861223592</v>
      </c>
      <c r="X3" s="125">
        <f>IF(SER_hh_tesh_in!X3=0,0,SER_hh_tesh_in!X3/SER_summary!X$27)</f>
        <v>75.790457613707474</v>
      </c>
      <c r="Y3" s="125">
        <f>IF(SER_hh_tesh_in!Y3=0,0,SER_hh_tesh_in!Y3/SER_summary!Y$27)</f>
        <v>81.726988293890642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38.206168748979564</v>
      </c>
      <c r="D4" s="130">
        <f>IF(SER_hh_tesh_in!D4=0,0,SER_hh_tesh_in!D4/SER_summary!D$27)</f>
        <v>36.445891244147603</v>
      </c>
      <c r="E4" s="130">
        <f>IF(SER_hh_tesh_in!E4=0,0,SER_hh_tesh_in!E4/SER_summary!E$27)</f>
        <v>38.55478459446762</v>
      </c>
      <c r="F4" s="130">
        <f>IF(SER_hh_tesh_in!F4=0,0,SER_hh_tesh_in!F4/SER_summary!F$27)</f>
        <v>31.473395478264536</v>
      </c>
      <c r="G4" s="130">
        <f>IF(SER_hh_tesh_in!G4=0,0,SER_hh_tesh_in!G4/SER_summary!G$27)</f>
        <v>52.494146014106477</v>
      </c>
      <c r="H4" s="130">
        <f>IF(SER_hh_tesh_in!H4=0,0,SER_hh_tesh_in!H4/SER_summary!H$27)</f>
        <v>46.078837872675301</v>
      </c>
      <c r="I4" s="130">
        <f>IF(SER_hh_tesh_in!I4=0,0,SER_hh_tesh_in!I4/SER_summary!I$27)</f>
        <v>37.833917793629972</v>
      </c>
      <c r="J4" s="130">
        <f>IF(SER_hh_tesh_in!J4=0,0,SER_hh_tesh_in!J4/SER_summary!J$27)</f>
        <v>39.974363232790765</v>
      </c>
      <c r="K4" s="130">
        <f>IF(SER_hh_tesh_in!K4=0,0,SER_hh_tesh_in!K4/SER_summary!K$27)</f>
        <v>35.257201608004223</v>
      </c>
      <c r="L4" s="130">
        <f>IF(SER_hh_tesh_in!L4=0,0,SER_hh_tesh_in!L4/SER_summary!L$27)</f>
        <v>39.573987028329014</v>
      </c>
      <c r="M4" s="130">
        <f>IF(SER_hh_tesh_in!M4=0,0,SER_hh_tesh_in!M4/SER_summary!M$27)</f>
        <v>40.593296179554116</v>
      </c>
      <c r="N4" s="130">
        <f>IF(SER_hh_tesh_in!N4=0,0,SER_hh_tesh_in!N4/SER_summary!N$27)</f>
        <v>37.465549076643335</v>
      </c>
      <c r="O4" s="130">
        <f>IF(SER_hh_tesh_in!O4=0,0,SER_hh_tesh_in!O4/SER_summary!O$27)</f>
        <v>34.312525172842825</v>
      </c>
      <c r="P4" s="130">
        <f>IF(SER_hh_tesh_in!P4=0,0,SER_hh_tesh_in!P4/SER_summary!P$27)</f>
        <v>30.203940380370927</v>
      </c>
      <c r="Q4" s="130">
        <f>IF(SER_hh_tesh_in!Q4=0,0,SER_hh_tesh_in!Q4/SER_summary!Q$27)</f>
        <v>34.531090342739759</v>
      </c>
      <c r="R4" s="130">
        <f>IF(SER_hh_tesh_in!R4=0,0,SER_hh_tesh_in!R4/SER_summary!R$27)</f>
        <v>34.569699196198208</v>
      </c>
      <c r="S4" s="130">
        <f>IF(SER_hh_tesh_in!S4=0,0,SER_hh_tesh_in!S4/SER_summary!S$27)</f>
        <v>33.464739286065836</v>
      </c>
      <c r="T4" s="130">
        <f>IF(SER_hh_tesh_in!T4=0,0,SER_hh_tesh_in!T4/SER_summary!T$27)</f>
        <v>35.139898472390442</v>
      </c>
      <c r="U4" s="130">
        <f>IF(SER_hh_tesh_in!U4=0,0,SER_hh_tesh_in!U4/SER_summary!U$27)</f>
        <v>33.171820307614539</v>
      </c>
      <c r="V4" s="130">
        <f>IF(SER_hh_tesh_in!V4=0,0,SER_hh_tesh_in!V4/SER_summary!V$27)</f>
        <v>26.171381356699179</v>
      </c>
      <c r="W4" s="130">
        <f>IF(SER_hh_tesh_in!W4=0,0,SER_hh_tesh_in!W4/SER_summary!W$27)</f>
        <v>31.972272315863037</v>
      </c>
      <c r="X4" s="130">
        <f>IF(SER_hh_tesh_in!X4=0,0,SER_hh_tesh_in!X4/SER_summary!X$27)</f>
        <v>28.367707684193711</v>
      </c>
      <c r="Y4" s="130">
        <f>IF(SER_hh_tesh_in!Y4=0,0,SER_hh_tesh_in!Y4/SER_summary!Y$27)</f>
        <v>28.553520056630905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32.627643077786729</v>
      </c>
      <c r="D5" s="132">
        <f>IF(SER_hh_tesh_in!D5=0,0,SER_hh_tesh_in!D5/SER_summary!D$27)</f>
        <v>39.839969516209301</v>
      </c>
      <c r="E5" s="132">
        <f>IF(SER_hh_tesh_in!E5=0,0,SER_hh_tesh_in!E5/SER_summary!E$27)</f>
        <v>43.406319712293232</v>
      </c>
      <c r="F5" s="132">
        <f>IF(SER_hh_tesh_in!F5=0,0,SER_hh_tesh_in!F5/SER_summary!F$27)</f>
        <v>29.905684949958466</v>
      </c>
      <c r="G5" s="132">
        <f>IF(SER_hh_tesh_in!G5=0,0,SER_hh_tesh_in!G5/SER_summary!G$27)</f>
        <v>0</v>
      </c>
      <c r="H5" s="132">
        <f>IF(SER_hh_tesh_in!H5=0,0,SER_hh_tesh_in!H5/SER_summary!H$27)</f>
        <v>0</v>
      </c>
      <c r="I5" s="132">
        <f>IF(SER_hh_tesh_in!I5=0,0,SER_hh_tesh_in!I5/SER_summary!I$27)</f>
        <v>0</v>
      </c>
      <c r="J5" s="132">
        <f>IF(SER_hh_tesh_in!J5=0,0,SER_hh_tesh_in!J5/SER_summary!J$27)</f>
        <v>44.18346605521554</v>
      </c>
      <c r="K5" s="132">
        <f>IF(SER_hh_tesh_in!K5=0,0,SER_hh_tesh_in!K5/SER_summary!K$27)</f>
        <v>37.281197031847547</v>
      </c>
      <c r="L5" s="132">
        <f>IF(SER_hh_tesh_in!L5=0,0,SER_hh_tesh_in!L5/SER_summary!L$27)</f>
        <v>35.782304776876082</v>
      </c>
      <c r="M5" s="132">
        <f>IF(SER_hh_tesh_in!M5=0,0,SER_hh_tesh_in!M5/SER_summary!M$27)</f>
        <v>39.810137434942718</v>
      </c>
      <c r="N5" s="132">
        <f>IF(SER_hh_tesh_in!N5=0,0,SER_hh_tesh_in!N5/SER_summary!N$27)</f>
        <v>29.830337329451158</v>
      </c>
      <c r="O5" s="132">
        <f>IF(SER_hh_tesh_in!O5=0,0,SER_hh_tesh_in!O5/SER_summary!O$27)</f>
        <v>39.125767623902604</v>
      </c>
      <c r="P5" s="132">
        <f>IF(SER_hh_tesh_in!P5=0,0,SER_hh_tesh_in!P5/SER_summary!P$27)</f>
        <v>17.452740752436501</v>
      </c>
      <c r="Q5" s="132">
        <f>IF(SER_hh_tesh_in!Q5=0,0,SER_hh_tesh_in!Q5/SER_summary!Q$27)</f>
        <v>44.458719869803623</v>
      </c>
      <c r="R5" s="132">
        <f>IF(SER_hh_tesh_in!R5=0,0,SER_hh_tesh_in!R5/SER_summary!R$27)</f>
        <v>47.763217646968208</v>
      </c>
      <c r="S5" s="132">
        <f>IF(SER_hh_tesh_in!S5=0,0,SER_hh_tesh_in!S5/SER_summary!S$27)</f>
        <v>33.132692803976298</v>
      </c>
      <c r="T5" s="132">
        <f>IF(SER_hh_tesh_in!T5=0,0,SER_hh_tesh_in!T5/SER_summary!T$27)</f>
        <v>23.883519792209782</v>
      </c>
      <c r="U5" s="132">
        <f>IF(SER_hh_tesh_in!U5=0,0,SER_hh_tesh_in!U5/SER_summary!U$27)</f>
        <v>36.676029558176872</v>
      </c>
      <c r="V5" s="132">
        <f>IF(SER_hh_tesh_in!V5=0,0,SER_hh_tesh_in!V5/SER_summary!V$27)</f>
        <v>0</v>
      </c>
      <c r="W5" s="132">
        <f>IF(SER_hh_tesh_in!W5=0,0,SER_hh_tesh_in!W5/SER_summary!W$27)</f>
        <v>0</v>
      </c>
      <c r="X5" s="132">
        <f>IF(SER_hh_tesh_in!X5=0,0,SER_hh_tesh_in!X5/SER_summary!X$27)</f>
        <v>0</v>
      </c>
      <c r="Y5" s="132">
        <f>IF(SER_hh_tesh_in!Y5=0,0,SER_hh_tesh_in!Y5/SER_summary!Y$27)</f>
        <v>0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51.149321498839171</v>
      </c>
      <c r="D7" s="132">
        <f>IF(SER_hh_tesh_in!D7=0,0,SER_hh_tesh_in!D7/SER_summary!D$27)</f>
        <v>0</v>
      </c>
      <c r="E7" s="132">
        <f>IF(SER_hh_tesh_in!E7=0,0,SER_hh_tesh_in!E7/SER_summary!E$27)</f>
        <v>0</v>
      </c>
      <c r="F7" s="132">
        <f>IF(SER_hh_tesh_in!F7=0,0,SER_hh_tesh_in!F7/SER_summary!F$27)</f>
        <v>0</v>
      </c>
      <c r="G7" s="132">
        <f>IF(SER_hh_tesh_in!G7=0,0,SER_hh_tesh_in!G7/SER_summary!G$27)</f>
        <v>0</v>
      </c>
      <c r="H7" s="132">
        <f>IF(SER_hh_tesh_in!H7=0,0,SER_hh_tesh_in!H7/SER_summary!H$27)</f>
        <v>47.571537915189829</v>
      </c>
      <c r="I7" s="132">
        <f>IF(SER_hh_tesh_in!I7=0,0,SER_hh_tesh_in!I7/SER_summary!I$27)</f>
        <v>0</v>
      </c>
      <c r="J7" s="132">
        <f>IF(SER_hh_tesh_in!J7=0,0,SER_hh_tesh_in!J7/SER_summary!J$27)</f>
        <v>0</v>
      </c>
      <c r="K7" s="132">
        <f>IF(SER_hh_tesh_in!K7=0,0,SER_hh_tesh_in!K7/SER_summary!K$27)</f>
        <v>48.698124157836546</v>
      </c>
      <c r="L7" s="132">
        <f>IF(SER_hh_tesh_in!L7=0,0,SER_hh_tesh_in!L7/SER_summary!L$27)</f>
        <v>33.511661357134095</v>
      </c>
      <c r="M7" s="132">
        <f>IF(SER_hh_tesh_in!M7=0,0,SER_hh_tesh_in!M7/SER_summary!M$27)</f>
        <v>0</v>
      </c>
      <c r="N7" s="132">
        <f>IF(SER_hh_tesh_in!N7=0,0,SER_hh_tesh_in!N7/SER_summary!N$27)</f>
        <v>35.49746724722484</v>
      </c>
      <c r="O7" s="132">
        <f>IF(SER_hh_tesh_in!O7=0,0,SER_hh_tesh_in!O7/SER_summary!O$27)</f>
        <v>26.233921487776446</v>
      </c>
      <c r="P7" s="132">
        <f>IF(SER_hh_tesh_in!P7=0,0,SER_hh_tesh_in!P7/SER_summary!P$27)</f>
        <v>15.820311629319013</v>
      </c>
      <c r="Q7" s="132">
        <f>IF(SER_hh_tesh_in!Q7=0,0,SER_hh_tesh_in!Q7/SER_summary!Q$27)</f>
        <v>43.244041923739871</v>
      </c>
      <c r="R7" s="132">
        <f>IF(SER_hh_tesh_in!R7=0,0,SER_hh_tesh_in!R7/SER_summary!R$27)</f>
        <v>39.790675440948732</v>
      </c>
      <c r="S7" s="132">
        <f>IF(SER_hh_tesh_in!S7=0,0,SER_hh_tesh_in!S7/SER_summary!S$27)</f>
        <v>0</v>
      </c>
      <c r="T7" s="132">
        <f>IF(SER_hh_tesh_in!T7=0,0,SER_hh_tesh_in!T7/SER_summary!T$27)</f>
        <v>0</v>
      </c>
      <c r="U7" s="132">
        <f>IF(SER_hh_tesh_in!U7=0,0,SER_hh_tesh_in!U7/SER_summary!U$27)</f>
        <v>0</v>
      </c>
      <c r="V7" s="132">
        <f>IF(SER_hh_tesh_in!V7=0,0,SER_hh_tesh_in!V7/SER_summary!V$27)</f>
        <v>0</v>
      </c>
      <c r="W7" s="132">
        <f>IF(SER_hh_tesh_in!W7=0,0,SER_hh_tesh_in!W7/SER_summary!W$27)</f>
        <v>25.118558233035348</v>
      </c>
      <c r="X7" s="132">
        <f>IF(SER_hh_tesh_in!X7=0,0,SER_hh_tesh_in!X7/SER_summary!X$27)</f>
        <v>25.000481690254379</v>
      </c>
      <c r="Y7" s="132">
        <f>IF(SER_hh_tesh_in!Y7=0,0,SER_hh_tesh_in!Y7/SER_summary!Y$27)</f>
        <v>31.055453040913854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0</v>
      </c>
      <c r="D8" s="132">
        <f>IF(SER_hh_tesh_in!D8=0,0,SER_hh_tesh_in!D8/SER_summary!D$27)</f>
        <v>0</v>
      </c>
      <c r="E8" s="132">
        <f>IF(SER_hh_tesh_in!E8=0,0,SER_hh_tesh_in!E8/SER_summary!E$27)</f>
        <v>0</v>
      </c>
      <c r="F8" s="132">
        <f>IF(SER_hh_tesh_in!F8=0,0,SER_hh_tesh_in!F8/SER_summary!F$27)</f>
        <v>0</v>
      </c>
      <c r="G8" s="132">
        <f>IF(SER_hh_tesh_in!G8=0,0,SER_hh_tesh_in!G8/SER_summary!G$27)</f>
        <v>0</v>
      </c>
      <c r="H8" s="132">
        <f>IF(SER_hh_tesh_in!H8=0,0,SER_hh_tesh_in!H8/SER_summary!H$27)</f>
        <v>0</v>
      </c>
      <c r="I8" s="132">
        <f>IF(SER_hh_tesh_in!I8=0,0,SER_hh_tesh_in!I8/SER_summary!I$27)</f>
        <v>0</v>
      </c>
      <c r="J8" s="132">
        <f>IF(SER_hh_tesh_in!J8=0,0,SER_hh_tesh_in!J8/SER_summary!J$27)</f>
        <v>0</v>
      </c>
      <c r="K8" s="132">
        <f>IF(SER_hh_tesh_in!K8=0,0,SER_hh_tesh_in!K8/SER_summary!K$27)</f>
        <v>0</v>
      </c>
      <c r="L8" s="132">
        <f>IF(SER_hh_tesh_in!L8=0,0,SER_hh_tesh_in!L8/SER_summary!L$27)</f>
        <v>0</v>
      </c>
      <c r="M8" s="132">
        <f>IF(SER_hh_tesh_in!M8=0,0,SER_hh_tesh_in!M8/SER_summary!M$27)</f>
        <v>0</v>
      </c>
      <c r="N8" s="132">
        <f>IF(SER_hh_tesh_in!N8=0,0,SER_hh_tesh_in!N8/SER_summary!N$27)</f>
        <v>0</v>
      </c>
      <c r="O8" s="132">
        <f>IF(SER_hh_tesh_in!O8=0,0,SER_hh_tesh_in!O8/SER_summary!O$27)</f>
        <v>0</v>
      </c>
      <c r="P8" s="132">
        <f>IF(SER_hh_tesh_in!P8=0,0,SER_hh_tesh_in!P8/SER_summary!P$27)</f>
        <v>0</v>
      </c>
      <c r="Q8" s="132">
        <f>IF(SER_hh_tesh_in!Q8=0,0,SER_hh_tesh_in!Q8/SER_summary!Q$27)</f>
        <v>0</v>
      </c>
      <c r="R8" s="132">
        <f>IF(SER_hh_tesh_in!R8=0,0,SER_hh_tesh_in!R8/SER_summary!R$27)</f>
        <v>0</v>
      </c>
      <c r="S8" s="132">
        <f>IF(SER_hh_tesh_in!S8=0,0,SER_hh_tesh_in!S8/SER_summary!S$27)</f>
        <v>0</v>
      </c>
      <c r="T8" s="132">
        <f>IF(SER_hh_tesh_in!T8=0,0,SER_hh_tesh_in!T8/SER_summary!T$27)</f>
        <v>0</v>
      </c>
      <c r="U8" s="132">
        <f>IF(SER_hh_tesh_in!U8=0,0,SER_hh_tesh_in!U8/SER_summary!U$27)</f>
        <v>0</v>
      </c>
      <c r="V8" s="132">
        <f>IF(SER_hh_tesh_in!V8=0,0,SER_hh_tesh_in!V8/SER_summary!V$27)</f>
        <v>0</v>
      </c>
      <c r="W8" s="132">
        <f>IF(SER_hh_tesh_in!W8=0,0,SER_hh_tesh_in!W8/SER_summary!W$27)</f>
        <v>0</v>
      </c>
      <c r="X8" s="132">
        <f>IF(SER_hh_tesh_in!X8=0,0,SER_hh_tesh_in!X8/SER_summary!X$27)</f>
        <v>0</v>
      </c>
      <c r="Y8" s="132">
        <f>IF(SER_hh_tesh_in!Y8=0,0,SER_hh_tesh_in!Y8/SER_summary!Y$27)</f>
        <v>0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40.414830191866862</v>
      </c>
      <c r="D9" s="132">
        <f>IF(SER_hh_tesh_in!D9=0,0,SER_hh_tesh_in!D9/SER_summary!D$27)</f>
        <v>33.810154309453772</v>
      </c>
      <c r="E9" s="132">
        <f>IF(SER_hh_tesh_in!E9=0,0,SER_hh_tesh_in!E9/SER_summary!E$27)</f>
        <v>37.581228060213085</v>
      </c>
      <c r="F9" s="132">
        <f>IF(SER_hh_tesh_in!F9=0,0,SER_hh_tesh_in!F9/SER_summary!F$27)</f>
        <v>28.91409877680718</v>
      </c>
      <c r="G9" s="132">
        <f>IF(SER_hh_tesh_in!G9=0,0,SER_hh_tesh_in!G9/SER_summary!G$27)</f>
        <v>36.500735471439327</v>
      </c>
      <c r="H9" s="132">
        <f>IF(SER_hh_tesh_in!H9=0,0,SER_hh_tesh_in!H9/SER_summary!H$27)</f>
        <v>46.003488856387165</v>
      </c>
      <c r="I9" s="132">
        <f>IF(SER_hh_tesh_in!I9=0,0,SER_hh_tesh_in!I9/SER_summary!I$27)</f>
        <v>40.968870911094903</v>
      </c>
      <c r="J9" s="132">
        <f>IF(SER_hh_tesh_in!J9=0,0,SER_hh_tesh_in!J9/SER_summary!J$27)</f>
        <v>47.887648056793964</v>
      </c>
      <c r="K9" s="132">
        <f>IF(SER_hh_tesh_in!K9=0,0,SER_hh_tesh_in!K9/SER_summary!K$27)</f>
        <v>29.668629524782368</v>
      </c>
      <c r="L9" s="132">
        <f>IF(SER_hh_tesh_in!L9=0,0,SER_hh_tesh_in!L9/SER_summary!L$27)</f>
        <v>40.147832532371474</v>
      </c>
      <c r="M9" s="132">
        <f>IF(SER_hh_tesh_in!M9=0,0,SER_hh_tesh_in!M9/SER_summary!M$27)</f>
        <v>40.929111208567072</v>
      </c>
      <c r="N9" s="132">
        <f>IF(SER_hh_tesh_in!N9=0,0,SER_hh_tesh_in!N9/SER_summary!N$27)</f>
        <v>35.40030088307708</v>
      </c>
      <c r="O9" s="132">
        <f>IF(SER_hh_tesh_in!O9=0,0,SER_hh_tesh_in!O9/SER_summary!O$27)</f>
        <v>29.952125720894209</v>
      </c>
      <c r="P9" s="132">
        <f>IF(SER_hh_tesh_in!P9=0,0,SER_hh_tesh_in!P9/SER_summary!P$27)</f>
        <v>30.096622827843778</v>
      </c>
      <c r="Q9" s="132">
        <f>IF(SER_hh_tesh_in!Q9=0,0,SER_hh_tesh_in!Q9/SER_summary!Q$27)</f>
        <v>33.088974070279747</v>
      </c>
      <c r="R9" s="132">
        <f>IF(SER_hh_tesh_in!R9=0,0,SER_hh_tesh_in!R9/SER_summary!R$27)</f>
        <v>34.008966886999431</v>
      </c>
      <c r="S9" s="132">
        <f>IF(SER_hh_tesh_in!S9=0,0,SER_hh_tesh_in!S9/SER_summary!S$27)</f>
        <v>33.163693820713988</v>
      </c>
      <c r="T9" s="132">
        <f>IF(SER_hh_tesh_in!T9=0,0,SER_hh_tesh_in!T9/SER_summary!T$27)</f>
        <v>34.591402370790846</v>
      </c>
      <c r="U9" s="132">
        <f>IF(SER_hh_tesh_in!U9=0,0,SER_hh_tesh_in!U9/SER_summary!U$27)</f>
        <v>28.519909177542033</v>
      </c>
      <c r="V9" s="132">
        <f>IF(SER_hh_tesh_in!V9=0,0,SER_hh_tesh_in!V9/SER_summary!V$27)</f>
        <v>27.742684136137822</v>
      </c>
      <c r="W9" s="132">
        <f>IF(SER_hh_tesh_in!W9=0,0,SER_hh_tesh_in!W9/SER_summary!W$27)</f>
        <v>32.895541737829873</v>
      </c>
      <c r="X9" s="132">
        <f>IF(SER_hh_tesh_in!X9=0,0,SER_hh_tesh_in!X9/SER_summary!X$27)</f>
        <v>28.991694887744334</v>
      </c>
      <c r="Y9" s="132">
        <f>IF(SER_hh_tesh_in!Y9=0,0,SER_hh_tesh_in!Y9/SER_summary!Y$27)</f>
        <v>0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0</v>
      </c>
      <c r="D10" s="132">
        <f>IF(SER_hh_tesh_in!D10=0,0,SER_hh_tesh_in!D10/SER_summary!D$27)</f>
        <v>30.563392961128422</v>
      </c>
      <c r="E10" s="132">
        <f>IF(SER_hh_tesh_in!E10=0,0,SER_hh_tesh_in!E10/SER_summary!E$27)</f>
        <v>43.784803720803829</v>
      </c>
      <c r="F10" s="132">
        <f>IF(SER_hh_tesh_in!F10=0,0,SER_hh_tesh_in!F10/SER_summary!F$27)</f>
        <v>28.148528736089872</v>
      </c>
      <c r="G10" s="132">
        <f>IF(SER_hh_tesh_in!G10=0,0,SER_hh_tesh_in!G10/SER_summary!G$27)</f>
        <v>38.822280632442258</v>
      </c>
      <c r="H10" s="132">
        <f>IF(SER_hh_tesh_in!H10=0,0,SER_hh_tesh_in!H10/SER_summary!H$27)</f>
        <v>48.19880387220919</v>
      </c>
      <c r="I10" s="132">
        <f>IF(SER_hh_tesh_in!I10=0,0,SER_hh_tesh_in!I10/SER_summary!I$27)</f>
        <v>38.527517366738323</v>
      </c>
      <c r="J10" s="132">
        <f>IF(SER_hh_tesh_in!J10=0,0,SER_hh_tesh_in!J10/SER_summary!J$27)</f>
        <v>0</v>
      </c>
      <c r="K10" s="132">
        <f>IF(SER_hh_tesh_in!K10=0,0,SER_hh_tesh_in!K10/SER_summary!K$27)</f>
        <v>0</v>
      </c>
      <c r="L10" s="132">
        <f>IF(SER_hh_tesh_in!L10=0,0,SER_hh_tesh_in!L10/SER_summary!L$27)</f>
        <v>18.044806568965715</v>
      </c>
      <c r="M10" s="132">
        <f>IF(SER_hh_tesh_in!M10=0,0,SER_hh_tesh_in!M10/SER_summary!M$27)</f>
        <v>14.427898716023426</v>
      </c>
      <c r="N10" s="132">
        <f>IF(SER_hh_tesh_in!N10=0,0,SER_hh_tesh_in!N10/SER_summary!N$27)</f>
        <v>80.038656481329866</v>
      </c>
      <c r="O10" s="132">
        <f>IF(SER_hh_tesh_in!O10=0,0,SER_hh_tesh_in!O10/SER_summary!O$27)</f>
        <v>38.998866700850776</v>
      </c>
      <c r="P10" s="132">
        <f>IF(SER_hh_tesh_in!P10=0,0,SER_hh_tesh_in!P10/SER_summary!P$27)</f>
        <v>0</v>
      </c>
      <c r="Q10" s="132">
        <f>IF(SER_hh_tesh_in!Q10=0,0,SER_hh_tesh_in!Q10/SER_summary!Q$27)</f>
        <v>17.581351926735213</v>
      </c>
      <c r="R10" s="132">
        <f>IF(SER_hh_tesh_in!R10=0,0,SER_hh_tesh_in!R10/SER_summary!R$27)</f>
        <v>6.6826525024658121</v>
      </c>
      <c r="S10" s="132">
        <f>IF(SER_hh_tesh_in!S10=0,0,SER_hh_tesh_in!S10/SER_summary!S$27)</f>
        <v>36.109626120643902</v>
      </c>
      <c r="T10" s="132">
        <f>IF(SER_hh_tesh_in!T10=0,0,SER_hh_tesh_in!T10/SER_summary!T$27)</f>
        <v>40.365519661063814</v>
      </c>
      <c r="U10" s="132">
        <f>IF(SER_hh_tesh_in!U10=0,0,SER_hh_tesh_in!U10/SER_summary!U$27)</f>
        <v>37.331991446180858</v>
      </c>
      <c r="V10" s="132">
        <f>IF(SER_hh_tesh_in!V10=0,0,SER_hh_tesh_in!V10/SER_summary!V$27)</f>
        <v>24.634482218518574</v>
      </c>
      <c r="W10" s="132">
        <f>IF(SER_hh_tesh_in!W10=0,0,SER_hh_tesh_in!W10/SER_summary!W$27)</f>
        <v>31.216127988049767</v>
      </c>
      <c r="X10" s="132">
        <f>IF(SER_hh_tesh_in!X10=0,0,SER_hh_tesh_in!X10/SER_summary!X$27)</f>
        <v>34.337220318817536</v>
      </c>
      <c r="Y10" s="132">
        <f>IF(SER_hh_tesh_in!Y10=0,0,SER_hh_tesh_in!Y10/SER_summary!Y$27)</f>
        <v>0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0</v>
      </c>
      <c r="E11" s="132">
        <f>IF(SER_hh_tesh_in!E11=0,0,SER_hh_tesh_in!E11/SER_summary!E$27)</f>
        <v>0</v>
      </c>
      <c r="F11" s="132">
        <f>IF(SER_hh_tesh_in!F11=0,0,SER_hh_tesh_in!F11/SER_summary!F$27)</f>
        <v>0</v>
      </c>
      <c r="G11" s="132">
        <f>IF(SER_hh_tesh_in!G11=0,0,SER_hh_tesh_in!G11/SER_summary!G$27)</f>
        <v>60.471073730147147</v>
      </c>
      <c r="H11" s="132">
        <f>IF(SER_hh_tesh_in!H11=0,0,SER_hh_tesh_in!H11/SER_summary!H$27)</f>
        <v>47.23450080406559</v>
      </c>
      <c r="I11" s="132">
        <f>IF(SER_hh_tesh_in!I11=0,0,SER_hh_tesh_in!I11/SER_summary!I$27)</f>
        <v>39.684098712643681</v>
      </c>
      <c r="J11" s="132">
        <f>IF(SER_hh_tesh_in!J11=0,0,SER_hh_tesh_in!J11/SER_summary!J$27)</f>
        <v>38.901819848898057</v>
      </c>
      <c r="K11" s="132">
        <f>IF(SER_hh_tesh_in!K11=0,0,SER_hh_tesh_in!K11/SER_summary!K$27)</f>
        <v>38.120091752259327</v>
      </c>
      <c r="L11" s="132">
        <f>IF(SER_hh_tesh_in!L11=0,0,SER_hh_tesh_in!L11/SER_summary!L$27)</f>
        <v>0</v>
      </c>
      <c r="M11" s="132">
        <f>IF(SER_hh_tesh_in!M11=0,0,SER_hh_tesh_in!M11/SER_summary!M$27)</f>
        <v>0</v>
      </c>
      <c r="N11" s="132">
        <f>IF(SER_hh_tesh_in!N11=0,0,SER_hh_tesh_in!N11/SER_summary!N$27)</f>
        <v>36.025953681912718</v>
      </c>
      <c r="O11" s="132">
        <f>IF(SER_hh_tesh_in!O11=0,0,SER_hh_tesh_in!O11/SER_summary!O$27)</f>
        <v>33.486370503683496</v>
      </c>
      <c r="P11" s="132">
        <f>IF(SER_hh_tesh_in!P11=0,0,SER_hh_tesh_in!P11/SER_summary!P$27)</f>
        <v>32.196773091655885</v>
      </c>
      <c r="Q11" s="132">
        <f>IF(SER_hh_tesh_in!Q11=0,0,SER_hh_tesh_in!Q11/SER_summary!Q$27)</f>
        <v>31.492802024292953</v>
      </c>
      <c r="R11" s="132">
        <f>IF(SER_hh_tesh_in!R11=0,0,SER_hh_tesh_in!R11/SER_summary!R$27)</f>
        <v>33.053061804608028</v>
      </c>
      <c r="S11" s="132">
        <f>IF(SER_hh_tesh_in!S11=0,0,SER_hh_tesh_in!S11/SER_summary!S$27)</f>
        <v>32.927036947597109</v>
      </c>
      <c r="T11" s="132">
        <f>IF(SER_hh_tesh_in!T11=0,0,SER_hh_tesh_in!T11/SER_summary!T$27)</f>
        <v>32.241254686205359</v>
      </c>
      <c r="U11" s="132">
        <f>IF(SER_hh_tesh_in!U11=0,0,SER_hh_tesh_in!U11/SER_summary!U$27)</f>
        <v>31.552986594027541</v>
      </c>
      <c r="V11" s="132">
        <f>IF(SER_hh_tesh_in!V11=0,0,SER_hh_tesh_in!V11/SER_summary!V$27)</f>
        <v>31.342624809867857</v>
      </c>
      <c r="W11" s="132">
        <f>IF(SER_hh_tesh_in!W11=0,0,SER_hh_tesh_in!W11/SER_summary!W$27)</f>
        <v>29.868428661401154</v>
      </c>
      <c r="X11" s="132">
        <f>IF(SER_hh_tesh_in!X11=0,0,SER_hh_tesh_in!X11/SER_summary!X$27)</f>
        <v>27.481716364786795</v>
      </c>
      <c r="Y11" s="132">
        <f>IF(SER_hh_tesh_in!Y11=0,0,SER_hh_tesh_in!Y11/SER_summary!Y$27)</f>
        <v>28.502897026756028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41.678365374995124</v>
      </c>
      <c r="D12" s="132">
        <f>IF(SER_hh_tesh_in!D12=0,0,SER_hh_tesh_in!D12/SER_summary!D$27)</f>
        <v>36.233328845351444</v>
      </c>
      <c r="E12" s="132">
        <f>IF(SER_hh_tesh_in!E12=0,0,SER_hh_tesh_in!E12/SER_summary!E$27)</f>
        <v>36.761449791798945</v>
      </c>
      <c r="F12" s="132">
        <f>IF(SER_hh_tesh_in!F12=0,0,SER_hh_tesh_in!F12/SER_summary!F$27)</f>
        <v>30.147140785810432</v>
      </c>
      <c r="G12" s="132">
        <f>IF(SER_hh_tesh_in!G12=0,0,SER_hh_tesh_in!G12/SER_summary!G$27)</f>
        <v>0</v>
      </c>
      <c r="H12" s="132">
        <f>IF(SER_hh_tesh_in!H12=0,0,SER_hh_tesh_in!H12/SER_summary!H$27)</f>
        <v>46.861982805493504</v>
      </c>
      <c r="I12" s="132">
        <f>IF(SER_hh_tesh_in!I12=0,0,SER_hh_tesh_in!I12/SER_summary!I$27)</f>
        <v>34.965245920394672</v>
      </c>
      <c r="J12" s="132">
        <f>IF(SER_hh_tesh_in!J12=0,0,SER_hh_tesh_in!J12/SER_summary!J$27)</f>
        <v>0</v>
      </c>
      <c r="K12" s="132">
        <f>IF(SER_hh_tesh_in!K12=0,0,SER_hh_tesh_in!K12/SER_summary!K$27)</f>
        <v>35.173074669338291</v>
      </c>
      <c r="L12" s="132">
        <f>IF(SER_hh_tesh_in!L12=0,0,SER_hh_tesh_in!L12/SER_summary!L$27)</f>
        <v>35.744505584167072</v>
      </c>
      <c r="M12" s="132">
        <f>IF(SER_hh_tesh_in!M12=0,0,SER_hh_tesh_in!M12/SER_summary!M$27)</f>
        <v>47.556963063098259</v>
      </c>
      <c r="N12" s="132">
        <f>IF(SER_hh_tesh_in!N12=0,0,SER_hh_tesh_in!N12/SER_summary!N$27)</f>
        <v>32.378562433478649</v>
      </c>
      <c r="O12" s="132">
        <f>IF(SER_hh_tesh_in!O12=0,0,SER_hh_tesh_in!O12/SER_summary!O$27)</f>
        <v>30.825205996196601</v>
      </c>
      <c r="P12" s="132">
        <f>IF(SER_hh_tesh_in!P12=0,0,SER_hh_tesh_in!P12/SER_summary!P$27)</f>
        <v>30.033503561866905</v>
      </c>
      <c r="Q12" s="132">
        <f>IF(SER_hh_tesh_in!Q12=0,0,SER_hh_tesh_in!Q12/SER_summary!Q$27)</f>
        <v>32.706656427940132</v>
      </c>
      <c r="R12" s="132">
        <f>IF(SER_hh_tesh_in!R12=0,0,SER_hh_tesh_in!R12/SER_summary!R$27)</f>
        <v>43.249664603510929</v>
      </c>
      <c r="S12" s="132">
        <f>IF(SER_hh_tesh_in!S12=0,0,SER_hh_tesh_in!S12/SER_summary!S$27)</f>
        <v>30.638672435296371</v>
      </c>
      <c r="T12" s="132">
        <f>IF(SER_hh_tesh_in!T12=0,0,SER_hh_tesh_in!T12/SER_summary!T$27)</f>
        <v>38.398027962078466</v>
      </c>
      <c r="U12" s="132">
        <f>IF(SER_hh_tesh_in!U12=0,0,SER_hh_tesh_in!U12/SER_summary!U$27)</f>
        <v>34.405369698688716</v>
      </c>
      <c r="V12" s="132">
        <f>IF(SER_hh_tesh_in!V12=0,0,SER_hh_tesh_in!V12/SER_summary!V$27)</f>
        <v>24.919079376043854</v>
      </c>
      <c r="W12" s="132">
        <f>IF(SER_hh_tesh_in!W12=0,0,SER_hh_tesh_in!W12/SER_summary!W$27)</f>
        <v>30.58573833089438</v>
      </c>
      <c r="X12" s="132">
        <f>IF(SER_hh_tesh_in!X12=0,0,SER_hh_tesh_in!X12/SER_summary!X$27)</f>
        <v>24.655661642700451</v>
      </c>
      <c r="Y12" s="132">
        <f>IF(SER_hh_tesh_in!Y12=0,0,SER_hh_tesh_in!Y12/SER_summary!Y$27)</f>
        <v>0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28.117411278692824</v>
      </c>
      <c r="D13" s="132">
        <f>IF(SER_hh_tesh_in!D13=0,0,SER_hh_tesh_in!D13/SER_summary!D$27)</f>
        <v>34.354863397496807</v>
      </c>
      <c r="E13" s="132">
        <f>IF(SER_hh_tesh_in!E13=0,0,SER_hh_tesh_in!E13/SER_summary!E$27)</f>
        <v>38.269283777047569</v>
      </c>
      <c r="F13" s="132">
        <f>IF(SER_hh_tesh_in!F13=0,0,SER_hh_tesh_in!F13/SER_summary!F$27)</f>
        <v>34.919773098893856</v>
      </c>
      <c r="G13" s="132">
        <f>IF(SER_hh_tesh_in!G13=0,0,SER_hh_tesh_in!G13/SER_summary!G$27)</f>
        <v>38.435073274428511</v>
      </c>
      <c r="H13" s="132">
        <f>IF(SER_hh_tesh_in!H13=0,0,SER_hh_tesh_in!H13/SER_summary!H$27)</f>
        <v>43.694956008516378</v>
      </c>
      <c r="I13" s="132">
        <f>IF(SER_hh_tesh_in!I13=0,0,SER_hh_tesh_in!I13/SER_summary!I$27)</f>
        <v>39.287680243229872</v>
      </c>
      <c r="J13" s="132">
        <f>IF(SER_hh_tesh_in!J13=0,0,SER_hh_tesh_in!J13/SER_summary!J$27)</f>
        <v>36.128813557736848</v>
      </c>
      <c r="K13" s="132">
        <f>IF(SER_hh_tesh_in!K13=0,0,SER_hh_tesh_in!K13/SER_summary!K$27)</f>
        <v>38.190505926028862</v>
      </c>
      <c r="L13" s="132">
        <f>IF(SER_hh_tesh_in!L13=0,0,SER_hh_tesh_in!L13/SER_summary!L$27)</f>
        <v>40.347474765649807</v>
      </c>
      <c r="M13" s="132">
        <f>IF(SER_hh_tesh_in!M13=0,0,SER_hh_tesh_in!M13/SER_summary!M$27)</f>
        <v>37.658959386915861</v>
      </c>
      <c r="N13" s="132">
        <f>IF(SER_hh_tesh_in!N13=0,0,SER_hh_tesh_in!N13/SER_summary!N$27)</f>
        <v>33.57263669137793</v>
      </c>
      <c r="O13" s="132">
        <f>IF(SER_hh_tesh_in!O13=0,0,SER_hh_tesh_in!O13/SER_summary!O$27)</f>
        <v>36.201154310141497</v>
      </c>
      <c r="P13" s="132">
        <f>IF(SER_hh_tesh_in!P13=0,0,SER_hh_tesh_in!P13/SER_summary!P$27)</f>
        <v>31.258394661263232</v>
      </c>
      <c r="Q13" s="132">
        <f>IF(SER_hh_tesh_in!Q13=0,0,SER_hh_tesh_in!Q13/SER_summary!Q$27)</f>
        <v>32.523182767187613</v>
      </c>
      <c r="R13" s="132">
        <f>IF(SER_hh_tesh_in!R13=0,0,SER_hh_tesh_in!R13/SER_summary!R$27)</f>
        <v>32.515434672116221</v>
      </c>
      <c r="S13" s="132">
        <f>IF(SER_hh_tesh_in!S13=0,0,SER_hh_tesh_in!S13/SER_summary!S$27)</f>
        <v>31.958443011019277</v>
      </c>
      <c r="T13" s="132">
        <f>IF(SER_hh_tesh_in!T13=0,0,SER_hh_tesh_in!T13/SER_summary!T$27)</f>
        <v>30.320090149977268</v>
      </c>
      <c r="U13" s="132">
        <f>IF(SER_hh_tesh_in!U13=0,0,SER_hh_tesh_in!U13/SER_summary!U$27)</f>
        <v>30.466321363626829</v>
      </c>
      <c r="V13" s="132">
        <f>IF(SER_hh_tesh_in!V13=0,0,SER_hh_tesh_in!V13/SER_summary!V$27)</f>
        <v>29.053826538218928</v>
      </c>
      <c r="W13" s="132">
        <f>IF(SER_hh_tesh_in!W13=0,0,SER_hh_tesh_in!W13/SER_summary!W$27)</f>
        <v>29.236481876138232</v>
      </c>
      <c r="X13" s="132">
        <f>IF(SER_hh_tesh_in!X13=0,0,SER_hh_tesh_in!X13/SER_summary!X$27)</f>
        <v>28.400062428453854</v>
      </c>
      <c r="Y13" s="132">
        <f>IF(SER_hh_tesh_in!Y13=0,0,SER_hh_tesh_in!Y13/SER_summary!Y$27)</f>
        <v>28.714100028044051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31.452749176290887</v>
      </c>
      <c r="D14" s="65">
        <f>IF(SER_hh_tesh_in!D14=0,0,SER_hh_tesh_in!D14/SER_summary!D$27)</f>
        <v>40.202333161004866</v>
      </c>
      <c r="E14" s="65">
        <f>IF(SER_hh_tesh_in!E14=0,0,SER_hh_tesh_in!E14/SER_summary!E$27)</f>
        <v>42.735950892363554</v>
      </c>
      <c r="F14" s="65">
        <f>IF(SER_hh_tesh_in!F14=0,0,SER_hh_tesh_in!F14/SER_summary!F$27)</f>
        <v>27.974143993884255</v>
      </c>
      <c r="G14" s="65">
        <f>IF(SER_hh_tesh_in!G14=0,0,SER_hh_tesh_in!G14/SER_summary!G$27)</f>
        <v>0</v>
      </c>
      <c r="H14" s="65">
        <f>IF(SER_hh_tesh_in!H14=0,0,SER_hh_tesh_in!H14/SER_summary!H$27)</f>
        <v>47.273931166969177</v>
      </c>
      <c r="I14" s="65">
        <f>IF(SER_hh_tesh_in!I14=0,0,SER_hh_tesh_in!I14/SER_summary!I$27)</f>
        <v>33.76729389828435</v>
      </c>
      <c r="J14" s="65">
        <f>IF(SER_hh_tesh_in!J14=0,0,SER_hh_tesh_in!J14/SER_summary!J$27)</f>
        <v>42.474475796143984</v>
      </c>
      <c r="K14" s="65">
        <f>IF(SER_hh_tesh_in!K14=0,0,SER_hh_tesh_in!K14/SER_summary!K$27)</f>
        <v>32.5547970293362</v>
      </c>
      <c r="L14" s="65">
        <f>IF(SER_hh_tesh_in!L14=0,0,SER_hh_tesh_in!L14/SER_summary!L$27)</f>
        <v>41.928238422859266</v>
      </c>
      <c r="M14" s="65">
        <f>IF(SER_hh_tesh_in!M14=0,0,SER_hh_tesh_in!M14/SER_summary!M$27)</f>
        <v>48.947933722276545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39.627887616954396</v>
      </c>
      <c r="S14" s="65">
        <f>IF(SER_hh_tesh_in!S14=0,0,SER_hh_tesh_in!S14/SER_summary!S$27)</f>
        <v>33.297731596895318</v>
      </c>
      <c r="T14" s="65">
        <f>IF(SER_hh_tesh_in!T14=0,0,SER_hh_tesh_in!T14/SER_summary!T$27)</f>
        <v>37.786548889886646</v>
      </c>
      <c r="U14" s="65">
        <f>IF(SER_hh_tesh_in!U14=0,0,SER_hh_tesh_in!U14/SER_summary!U$27)</f>
        <v>49.150230391492471</v>
      </c>
      <c r="V14" s="65">
        <f>IF(SER_hh_tesh_in!V14=0,0,SER_hh_tesh_in!V14/SER_summary!V$27)</f>
        <v>14.47015011867882</v>
      </c>
      <c r="W14" s="65">
        <f>IF(SER_hh_tesh_in!W14=0,0,SER_hh_tesh_in!W14/SER_summary!W$27)</f>
        <v>38.844942954254336</v>
      </c>
      <c r="X14" s="65">
        <f>IF(SER_hh_tesh_in!X14=0,0,SER_hh_tesh_in!X14/SER_summary!X$27)</f>
        <v>31.335488870812892</v>
      </c>
      <c r="Y14" s="65">
        <f>IF(SER_hh_tesh_in!Y14=0,0,SER_hh_tesh_in!Y14/SER_summary!Y$27)</f>
        <v>25.379575209371165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0.30283634750143457</v>
      </c>
      <c r="D15" s="134">
        <f>IF(SER_hh_tesh_in!D15=0,0,SER_hh_tesh_in!D15/SER_summary!D$27)</f>
        <v>0.26343087023044548</v>
      </c>
      <c r="E15" s="134">
        <f>IF(SER_hh_tesh_in!E15=0,0,SER_hh_tesh_in!E15/SER_summary!E$27)</f>
        <v>0.25830632874131232</v>
      </c>
      <c r="F15" s="134">
        <f>IF(SER_hh_tesh_in!F15=0,0,SER_hh_tesh_in!F15/SER_summary!F$27)</f>
        <v>0.22366718445275621</v>
      </c>
      <c r="G15" s="134">
        <f>IF(SER_hh_tesh_in!G15=0,0,SER_hh_tesh_in!G15/SER_summary!G$27)</f>
        <v>0.33827947299914063</v>
      </c>
      <c r="H15" s="134">
        <f>IF(SER_hh_tesh_in!H15=0,0,SER_hh_tesh_in!H15/SER_summary!H$27)</f>
        <v>0.49515737510416519</v>
      </c>
      <c r="I15" s="134">
        <f>IF(SER_hh_tesh_in!I15=0,0,SER_hh_tesh_in!I15/SER_summary!I$27)</f>
        <v>0.36680626818115591</v>
      </c>
      <c r="J15" s="134">
        <f>IF(SER_hh_tesh_in!J15=0,0,SER_hh_tesh_in!J15/SER_summary!J$27)</f>
        <v>0.80186504600467912</v>
      </c>
      <c r="K15" s="134">
        <f>IF(SER_hh_tesh_in!K15=0,0,SER_hh_tesh_in!K15/SER_summary!K$27)</f>
        <v>0.3938567102661526</v>
      </c>
      <c r="L15" s="134">
        <f>IF(SER_hh_tesh_in!L15=0,0,SER_hh_tesh_in!L15/SER_summary!L$27)</f>
        <v>0.3582829630653126</v>
      </c>
      <c r="M15" s="134">
        <f>IF(SER_hh_tesh_in!M15=0,0,SER_hh_tesh_in!M15/SER_summary!M$27)</f>
        <v>0.23070847947798021</v>
      </c>
      <c r="N15" s="134">
        <f>IF(SER_hh_tesh_in!N15=0,0,SER_hh_tesh_in!N15/SER_summary!N$27)</f>
        <v>0.35995900808454728</v>
      </c>
      <c r="O15" s="134">
        <f>IF(SER_hh_tesh_in!O15=0,0,SER_hh_tesh_in!O15/SER_summary!O$27)</f>
        <v>0.30277087448027862</v>
      </c>
      <c r="P15" s="134">
        <f>IF(SER_hh_tesh_in!P15=0,0,SER_hh_tesh_in!P15/SER_summary!P$27)</f>
        <v>0.29641210316873412</v>
      </c>
      <c r="Q15" s="134">
        <f>IF(SER_hh_tesh_in!Q15=0,0,SER_hh_tesh_in!Q15/SER_summary!Q$27)</f>
        <v>0.38766005951178845</v>
      </c>
      <c r="R15" s="134">
        <f>IF(SER_hh_tesh_in!R15=0,0,SER_hh_tesh_in!R15/SER_summary!R$27)</f>
        <v>0.25337335598646737</v>
      </c>
      <c r="S15" s="134">
        <f>IF(SER_hh_tesh_in!S15=0,0,SER_hh_tesh_in!S15/SER_summary!S$27)</f>
        <v>0.27673557890672545</v>
      </c>
      <c r="T15" s="134">
        <f>IF(SER_hh_tesh_in!T15=0,0,SER_hh_tesh_in!T15/SER_summary!T$27)</f>
        <v>0.29320094179778428</v>
      </c>
      <c r="U15" s="134">
        <f>IF(SER_hh_tesh_in!U15=0,0,SER_hh_tesh_in!U15/SER_summary!U$27)</f>
        <v>0.27819260578344274</v>
      </c>
      <c r="V15" s="134">
        <f>IF(SER_hh_tesh_in!V15=0,0,SER_hh_tesh_in!V15/SER_summary!V$27)</f>
        <v>0.21656457424593412</v>
      </c>
      <c r="W15" s="134">
        <f>IF(SER_hh_tesh_in!W15=0,0,SER_hh_tesh_in!W15/SER_summary!W$27)</f>
        <v>0.26344806985346497</v>
      </c>
      <c r="X15" s="134">
        <f>IF(SER_hh_tesh_in!X15=0,0,SER_hh_tesh_in!X15/SER_summary!X$27)</f>
        <v>0.19299045862849004</v>
      </c>
      <c r="Y15" s="134">
        <f>IF(SER_hh_tesh_in!Y15=0,0,SER_hh_tesh_in!Y15/SER_summary!Y$27)</f>
        <v>0.39342598693133701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29.862940798199471</v>
      </c>
      <c r="D16" s="130">
        <f>IF(SER_hh_tesh_in!D16=0,0,SER_hh_tesh_in!D16/SER_summary!D$27)</f>
        <v>22.011113489946055</v>
      </c>
      <c r="E16" s="130">
        <f>IF(SER_hh_tesh_in!E16=0,0,SER_hh_tesh_in!E16/SER_summary!E$27)</f>
        <v>24.329075476359986</v>
      </c>
      <c r="F16" s="130">
        <f>IF(SER_hh_tesh_in!F16=0,0,SER_hh_tesh_in!F16/SER_summary!F$27)</f>
        <v>19.073505070680937</v>
      </c>
      <c r="G16" s="130">
        <f>IF(SER_hh_tesh_in!G16=0,0,SER_hh_tesh_in!G16/SER_summary!G$27)</f>
        <v>19.215935811238399</v>
      </c>
      <c r="H16" s="130">
        <f>IF(SER_hh_tesh_in!H16=0,0,SER_hh_tesh_in!H16/SER_summary!H$27)</f>
        <v>22.171051300968905</v>
      </c>
      <c r="I16" s="130">
        <f>IF(SER_hh_tesh_in!I16=0,0,SER_hh_tesh_in!I16/SER_summary!I$27)</f>
        <v>39.663142806227583</v>
      </c>
      <c r="J16" s="130">
        <f>IF(SER_hh_tesh_in!J16=0,0,SER_hh_tesh_in!J16/SER_summary!J$27)</f>
        <v>25.085104041745971</v>
      </c>
      <c r="K16" s="130">
        <f>IF(SER_hh_tesh_in!K16=0,0,SER_hh_tesh_in!K16/SER_summary!K$27)</f>
        <v>21.422876959554401</v>
      </c>
      <c r="L16" s="130">
        <f>IF(SER_hh_tesh_in!L16=0,0,SER_hh_tesh_in!L16/SER_summary!L$27)</f>
        <v>26.446808408587923</v>
      </c>
      <c r="M16" s="130">
        <f>IF(SER_hh_tesh_in!M16=0,0,SER_hh_tesh_in!M16/SER_summary!M$27)</f>
        <v>21.696305272398849</v>
      </c>
      <c r="N16" s="130">
        <f>IF(SER_hh_tesh_in!N16=0,0,SER_hh_tesh_in!N16/SER_summary!N$27)</f>
        <v>44.625704781480358</v>
      </c>
      <c r="O16" s="130">
        <f>IF(SER_hh_tesh_in!O16=0,0,SER_hh_tesh_in!O16/SER_summary!O$27)</f>
        <v>21.360996271371221</v>
      </c>
      <c r="P16" s="130">
        <f>IF(SER_hh_tesh_in!P16=0,0,SER_hh_tesh_in!P16/SER_summary!P$27)</f>
        <v>19.436925422682588</v>
      </c>
      <c r="Q16" s="130">
        <f>IF(SER_hh_tesh_in!Q16=0,0,SER_hh_tesh_in!Q16/SER_summary!Q$27)</f>
        <v>27.48351169339201</v>
      </c>
      <c r="R16" s="130">
        <f>IF(SER_hh_tesh_in!R16=0,0,SER_hh_tesh_in!R16/SER_summary!R$27)</f>
        <v>24.913638871260801</v>
      </c>
      <c r="S16" s="130">
        <f>IF(SER_hh_tesh_in!S16=0,0,SER_hh_tesh_in!S16/SER_summary!S$27)</f>
        <v>25.856587062804795</v>
      </c>
      <c r="T16" s="130">
        <f>IF(SER_hh_tesh_in!T16=0,0,SER_hh_tesh_in!T16/SER_summary!T$27)</f>
        <v>18.930312054250518</v>
      </c>
      <c r="U16" s="130">
        <f>IF(SER_hh_tesh_in!U16=0,0,SER_hh_tesh_in!U16/SER_summary!U$27)</f>
        <v>20.337242056159486</v>
      </c>
      <c r="V16" s="130">
        <f>IF(SER_hh_tesh_in!V16=0,0,SER_hh_tesh_in!V16/SER_summary!V$27)</f>
        <v>19.21597845103943</v>
      </c>
      <c r="W16" s="130">
        <f>IF(SER_hh_tesh_in!W16=0,0,SER_hh_tesh_in!W16/SER_summary!W$27)</f>
        <v>25.428649029010401</v>
      </c>
      <c r="X16" s="130">
        <f>IF(SER_hh_tesh_in!X16=0,0,SER_hh_tesh_in!X16/SER_summary!X$27)</f>
        <v>21.981193070375625</v>
      </c>
      <c r="Y16" s="130">
        <f>IF(SER_hh_tesh_in!Y16=0,0,SER_hh_tesh_in!Y16/SER_summary!Y$27)</f>
        <v>27.565656862695558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0</v>
      </c>
      <c r="D17" s="132">
        <f>IF(SER_hh_tesh_in!D17=0,0,SER_hh_tesh_in!D17/SER_summary!D$27)</f>
        <v>0</v>
      </c>
      <c r="E17" s="132">
        <f>IF(SER_hh_tesh_in!E17=0,0,SER_hh_tesh_in!E17/SER_summary!E$27)</f>
        <v>0</v>
      </c>
      <c r="F17" s="132">
        <f>IF(SER_hh_tesh_in!F17=0,0,SER_hh_tesh_in!F17/SER_summary!F$27)</f>
        <v>0</v>
      </c>
      <c r="G17" s="132">
        <f>IF(SER_hh_tesh_in!G17=0,0,SER_hh_tesh_in!G17/SER_summary!G$27)</f>
        <v>0</v>
      </c>
      <c r="H17" s="132">
        <f>IF(SER_hh_tesh_in!H17=0,0,SER_hh_tesh_in!H17/SER_summary!H$27)</f>
        <v>0</v>
      </c>
      <c r="I17" s="132">
        <f>IF(SER_hh_tesh_in!I17=0,0,SER_hh_tesh_in!I17/SER_summary!I$27)</f>
        <v>0</v>
      </c>
      <c r="J17" s="132">
        <f>IF(SER_hh_tesh_in!J17=0,0,SER_hh_tesh_in!J17/SER_summary!J$27)</f>
        <v>0</v>
      </c>
      <c r="K17" s="132">
        <f>IF(SER_hh_tesh_in!K17=0,0,SER_hh_tesh_in!K17/SER_summary!K$27)</f>
        <v>0</v>
      </c>
      <c r="L17" s="132">
        <f>IF(SER_hh_tesh_in!L17=0,0,SER_hh_tesh_in!L17/SER_summary!L$27)</f>
        <v>0</v>
      </c>
      <c r="M17" s="132">
        <f>IF(SER_hh_tesh_in!M17=0,0,SER_hh_tesh_in!M17/SER_summary!M$27)</f>
        <v>0</v>
      </c>
      <c r="N17" s="132">
        <f>IF(SER_hh_tesh_in!N17=0,0,SER_hh_tesh_in!N17/SER_summary!N$27)</f>
        <v>0</v>
      </c>
      <c r="O17" s="132">
        <f>IF(SER_hh_tesh_in!O17=0,0,SER_hh_tesh_in!O17/SER_summary!O$27)</f>
        <v>0</v>
      </c>
      <c r="P17" s="132">
        <f>IF(SER_hh_tesh_in!P17=0,0,SER_hh_tesh_in!P17/SER_summary!P$27)</f>
        <v>0</v>
      </c>
      <c r="Q17" s="132">
        <f>IF(SER_hh_tesh_in!Q17=0,0,SER_hh_tesh_in!Q17/SER_summary!Q$27)</f>
        <v>0</v>
      </c>
      <c r="R17" s="132">
        <f>IF(SER_hh_tesh_in!R17=0,0,SER_hh_tesh_in!R17/SER_summary!R$27)</f>
        <v>0</v>
      </c>
      <c r="S17" s="132">
        <f>IF(SER_hh_tesh_in!S17=0,0,SER_hh_tesh_in!S17/SER_summary!S$27)</f>
        <v>0</v>
      </c>
      <c r="T17" s="132">
        <f>IF(SER_hh_tesh_in!T17=0,0,SER_hh_tesh_in!T17/SER_summary!T$27)</f>
        <v>0</v>
      </c>
      <c r="U17" s="132">
        <f>IF(SER_hh_tesh_in!U17=0,0,SER_hh_tesh_in!U17/SER_summary!U$27)</f>
        <v>0</v>
      </c>
      <c r="V17" s="132">
        <f>IF(SER_hh_tesh_in!V17=0,0,SER_hh_tesh_in!V17/SER_summary!V$27)</f>
        <v>0</v>
      </c>
      <c r="W17" s="132">
        <f>IF(SER_hh_tesh_in!W17=0,0,SER_hh_tesh_in!W17/SER_summary!W$27)</f>
        <v>0</v>
      </c>
      <c r="X17" s="132">
        <f>IF(SER_hh_tesh_in!X17=0,0,SER_hh_tesh_in!X17/SER_summary!X$27)</f>
        <v>0</v>
      </c>
      <c r="Y17" s="132">
        <f>IF(SER_hh_tesh_in!Y17=0,0,SER_hh_tesh_in!Y17/SER_summary!Y$27)</f>
        <v>0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29.862940798199471</v>
      </c>
      <c r="D18" s="132">
        <f>IF(SER_hh_tesh_in!D18=0,0,SER_hh_tesh_in!D18/SER_summary!D$27)</f>
        <v>22.011113489946055</v>
      </c>
      <c r="E18" s="132">
        <f>IF(SER_hh_tesh_in!E18=0,0,SER_hh_tesh_in!E18/SER_summary!E$27)</f>
        <v>24.329075476359986</v>
      </c>
      <c r="F18" s="132">
        <f>IF(SER_hh_tesh_in!F18=0,0,SER_hh_tesh_in!F18/SER_summary!F$27)</f>
        <v>19.073505070680937</v>
      </c>
      <c r="G18" s="132">
        <f>IF(SER_hh_tesh_in!G18=0,0,SER_hh_tesh_in!G18/SER_summary!G$27)</f>
        <v>19.215935811238399</v>
      </c>
      <c r="H18" s="132">
        <f>IF(SER_hh_tesh_in!H18=0,0,SER_hh_tesh_in!H18/SER_summary!H$27)</f>
        <v>22.171051300968905</v>
      </c>
      <c r="I18" s="132">
        <f>IF(SER_hh_tesh_in!I18=0,0,SER_hh_tesh_in!I18/SER_summary!I$27)</f>
        <v>39.663142806227583</v>
      </c>
      <c r="J18" s="132">
        <f>IF(SER_hh_tesh_in!J18=0,0,SER_hh_tesh_in!J18/SER_summary!J$27)</f>
        <v>25.085104041745971</v>
      </c>
      <c r="K18" s="132">
        <f>IF(SER_hh_tesh_in!K18=0,0,SER_hh_tesh_in!K18/SER_summary!K$27)</f>
        <v>21.422876959554401</v>
      </c>
      <c r="L18" s="132">
        <f>IF(SER_hh_tesh_in!L18=0,0,SER_hh_tesh_in!L18/SER_summary!L$27)</f>
        <v>26.446808408587923</v>
      </c>
      <c r="M18" s="132">
        <f>IF(SER_hh_tesh_in!M18=0,0,SER_hh_tesh_in!M18/SER_summary!M$27)</f>
        <v>21.696305272398849</v>
      </c>
      <c r="N18" s="132">
        <f>IF(SER_hh_tesh_in!N18=0,0,SER_hh_tesh_in!N18/SER_summary!N$27)</f>
        <v>44.625704781480358</v>
      </c>
      <c r="O18" s="132">
        <f>IF(SER_hh_tesh_in!O18=0,0,SER_hh_tesh_in!O18/SER_summary!O$27)</f>
        <v>21.360996271371221</v>
      </c>
      <c r="P18" s="132">
        <f>IF(SER_hh_tesh_in!P18=0,0,SER_hh_tesh_in!P18/SER_summary!P$27)</f>
        <v>19.436925422682588</v>
      </c>
      <c r="Q18" s="132">
        <f>IF(SER_hh_tesh_in!Q18=0,0,SER_hh_tesh_in!Q18/SER_summary!Q$27)</f>
        <v>27.48351169339201</v>
      </c>
      <c r="R18" s="132">
        <f>IF(SER_hh_tesh_in!R18=0,0,SER_hh_tesh_in!R18/SER_summary!R$27)</f>
        <v>24.913638871260801</v>
      </c>
      <c r="S18" s="132">
        <f>IF(SER_hh_tesh_in!S18=0,0,SER_hh_tesh_in!S18/SER_summary!S$27)</f>
        <v>25.856587062804795</v>
      </c>
      <c r="T18" s="132">
        <f>IF(SER_hh_tesh_in!T18=0,0,SER_hh_tesh_in!T18/SER_summary!T$27)</f>
        <v>18.930312054250518</v>
      </c>
      <c r="U18" s="132">
        <f>IF(SER_hh_tesh_in!U18=0,0,SER_hh_tesh_in!U18/SER_summary!U$27)</f>
        <v>20.337242056159486</v>
      </c>
      <c r="V18" s="132">
        <f>IF(SER_hh_tesh_in!V18=0,0,SER_hh_tesh_in!V18/SER_summary!V$27)</f>
        <v>19.21597845103943</v>
      </c>
      <c r="W18" s="132">
        <f>IF(SER_hh_tesh_in!W18=0,0,SER_hh_tesh_in!W18/SER_summary!W$27)</f>
        <v>25.428649029010401</v>
      </c>
      <c r="X18" s="132">
        <f>IF(SER_hh_tesh_in!X18=0,0,SER_hh_tesh_in!X18/SER_summary!X$27)</f>
        <v>21.981193070375625</v>
      </c>
      <c r="Y18" s="132">
        <f>IF(SER_hh_tesh_in!Y18=0,0,SER_hh_tesh_in!Y18/SER_summary!Y$27)</f>
        <v>27.565656862695558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10.232590353453329</v>
      </c>
      <c r="D19" s="130">
        <f>IF(SER_hh_tesh_in!D19=0,0,SER_hh_tesh_in!D19/SER_summary!D$27)</f>
        <v>10.038162418671662</v>
      </c>
      <c r="E19" s="130">
        <f>IF(SER_hh_tesh_in!E19=0,0,SER_hh_tesh_in!E19/SER_summary!E$27)</f>
        <v>9.9253402684245913</v>
      </c>
      <c r="F19" s="130">
        <f>IF(SER_hh_tesh_in!F19=0,0,SER_hh_tesh_in!F19/SER_summary!F$27)</f>
        <v>9.7600563969936758</v>
      </c>
      <c r="G19" s="130">
        <f>IF(SER_hh_tesh_in!G19=0,0,SER_hh_tesh_in!G19/SER_summary!G$27)</f>
        <v>9.7192003821733</v>
      </c>
      <c r="H19" s="130">
        <f>IF(SER_hh_tesh_in!H19=0,0,SER_hh_tesh_in!H19/SER_summary!H$27)</f>
        <v>9.8634649213601193</v>
      </c>
      <c r="I19" s="130">
        <f>IF(SER_hh_tesh_in!I19=0,0,SER_hh_tesh_in!I19/SER_summary!I$27)</f>
        <v>9.9104481915737708</v>
      </c>
      <c r="J19" s="130">
        <f>IF(SER_hh_tesh_in!J19=0,0,SER_hh_tesh_in!J19/SER_summary!J$27)</f>
        <v>9.8556618461319516</v>
      </c>
      <c r="K19" s="130">
        <f>IF(SER_hh_tesh_in!K19=0,0,SER_hh_tesh_in!K19/SER_summary!K$27)</f>
        <v>10.168224451165296</v>
      </c>
      <c r="L19" s="130">
        <f>IF(SER_hh_tesh_in!L19=0,0,SER_hh_tesh_in!L19/SER_summary!L$27)</f>
        <v>10.741273271486136</v>
      </c>
      <c r="M19" s="130">
        <f>IF(SER_hh_tesh_in!M19=0,0,SER_hh_tesh_in!M19/SER_summary!M$27)</f>
        <v>10.791322002643115</v>
      </c>
      <c r="N19" s="130">
        <f>IF(SER_hh_tesh_in!N19=0,0,SER_hh_tesh_in!N19/SER_summary!N$27)</f>
        <v>10.785900492207171</v>
      </c>
      <c r="O19" s="130">
        <f>IF(SER_hh_tesh_in!O19=0,0,SER_hh_tesh_in!O19/SER_summary!O$27)</f>
        <v>10.992425451814865</v>
      </c>
      <c r="P19" s="130">
        <f>IF(SER_hh_tesh_in!P19=0,0,SER_hh_tesh_in!P19/SER_summary!P$27)</f>
        <v>10.79392039260888</v>
      </c>
      <c r="Q19" s="130">
        <f>IF(SER_hh_tesh_in!Q19=0,0,SER_hh_tesh_in!Q19/SER_summary!Q$27)</f>
        <v>10.995930205537418</v>
      </c>
      <c r="R19" s="130">
        <f>IF(SER_hh_tesh_in!R19=0,0,SER_hh_tesh_in!R19/SER_summary!R$27)</f>
        <v>11.094989656181356</v>
      </c>
      <c r="S19" s="130">
        <f>IF(SER_hh_tesh_in!S19=0,0,SER_hh_tesh_in!S19/SER_summary!S$27)</f>
        <v>11.272485032521804</v>
      </c>
      <c r="T19" s="130">
        <f>IF(SER_hh_tesh_in!T19=0,0,SER_hh_tesh_in!T19/SER_summary!T$27)</f>
        <v>11.43041553422346</v>
      </c>
      <c r="U19" s="130">
        <f>IF(SER_hh_tesh_in!U19=0,0,SER_hh_tesh_in!U19/SER_summary!U$27)</f>
        <v>11.535930677971617</v>
      </c>
      <c r="V19" s="130">
        <f>IF(SER_hh_tesh_in!V19=0,0,SER_hh_tesh_in!V19/SER_summary!V$27)</f>
        <v>10.148479791422634</v>
      </c>
      <c r="W19" s="130">
        <f>IF(SER_hh_tesh_in!W19=0,0,SER_hh_tesh_in!W19/SER_summary!W$27)</f>
        <v>10.807027168004884</v>
      </c>
      <c r="X19" s="130">
        <f>IF(SER_hh_tesh_in!X19=0,0,SER_hh_tesh_in!X19/SER_summary!X$27)</f>
        <v>11.313302440127494</v>
      </c>
      <c r="Y19" s="130">
        <f>IF(SER_hh_tesh_in!Y19=0,0,SER_hh_tesh_in!Y19/SER_summary!Y$27)</f>
        <v>11.595733382854188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0</v>
      </c>
      <c r="D21" s="132">
        <f>IF(SER_hh_tesh_in!D21=0,0,SER_hh_tesh_in!D21/SER_summary!D$27)</f>
        <v>0</v>
      </c>
      <c r="E21" s="132">
        <f>IF(SER_hh_tesh_in!E21=0,0,SER_hh_tesh_in!E21/SER_summary!E$27)</f>
        <v>0</v>
      </c>
      <c r="F21" s="132">
        <f>IF(SER_hh_tesh_in!F21=0,0,SER_hh_tesh_in!F21/SER_summary!F$27)</f>
        <v>0</v>
      </c>
      <c r="G21" s="132">
        <f>IF(SER_hh_tesh_in!G21=0,0,SER_hh_tesh_in!G21/SER_summary!G$27)</f>
        <v>0</v>
      </c>
      <c r="H21" s="132">
        <f>IF(SER_hh_tesh_in!H21=0,0,SER_hh_tesh_in!H21/SER_summary!H$27)</f>
        <v>0</v>
      </c>
      <c r="I21" s="132">
        <f>IF(SER_hh_tesh_in!I21=0,0,SER_hh_tesh_in!I21/SER_summary!I$27)</f>
        <v>0</v>
      </c>
      <c r="J21" s="132">
        <f>IF(SER_hh_tesh_in!J21=0,0,SER_hh_tesh_in!J21/SER_summary!J$27)</f>
        <v>0</v>
      </c>
      <c r="K21" s="132">
        <f>IF(SER_hh_tesh_in!K21=0,0,SER_hh_tesh_in!K21/SER_summary!K$27)</f>
        <v>0</v>
      </c>
      <c r="L21" s="132">
        <f>IF(SER_hh_tesh_in!L21=0,0,SER_hh_tesh_in!L21/SER_summary!L$27)</f>
        <v>0</v>
      </c>
      <c r="M21" s="132">
        <f>IF(SER_hh_tesh_in!M21=0,0,SER_hh_tesh_in!M21/SER_summary!M$27)</f>
        <v>0</v>
      </c>
      <c r="N21" s="132">
        <f>IF(SER_hh_tesh_in!N21=0,0,SER_hh_tesh_in!N21/SER_summary!N$27)</f>
        <v>0</v>
      </c>
      <c r="O21" s="132">
        <f>IF(SER_hh_tesh_in!O21=0,0,SER_hh_tesh_in!O21/SER_summary!O$27)</f>
        <v>0</v>
      </c>
      <c r="P21" s="132">
        <f>IF(SER_hh_tesh_in!P21=0,0,SER_hh_tesh_in!P21/SER_summary!P$27)</f>
        <v>0</v>
      </c>
      <c r="Q21" s="132">
        <f>IF(SER_hh_tesh_in!Q21=0,0,SER_hh_tesh_in!Q21/SER_summary!Q$27)</f>
        <v>0</v>
      </c>
      <c r="R21" s="132">
        <f>IF(SER_hh_tesh_in!R21=0,0,SER_hh_tesh_in!R21/SER_summary!R$27)</f>
        <v>0</v>
      </c>
      <c r="S21" s="132">
        <f>IF(SER_hh_tesh_in!S21=0,0,SER_hh_tesh_in!S21/SER_summary!S$27)</f>
        <v>0</v>
      </c>
      <c r="T21" s="132">
        <f>IF(SER_hh_tesh_in!T21=0,0,SER_hh_tesh_in!T21/SER_summary!T$27)</f>
        <v>0</v>
      </c>
      <c r="U21" s="132">
        <f>IF(SER_hh_tesh_in!U21=0,0,SER_hh_tesh_in!U21/SER_summary!U$27)</f>
        <v>0</v>
      </c>
      <c r="V21" s="132">
        <f>IF(SER_hh_tesh_in!V21=0,0,SER_hh_tesh_in!V21/SER_summary!V$27)</f>
        <v>0</v>
      </c>
      <c r="W21" s="132">
        <f>IF(SER_hh_tesh_in!W21=0,0,SER_hh_tesh_in!W21/SER_summary!W$27)</f>
        <v>0</v>
      </c>
      <c r="X21" s="132">
        <f>IF(SER_hh_tesh_in!X21=0,0,SER_hh_tesh_in!X21/SER_summary!X$27)</f>
        <v>0</v>
      </c>
      <c r="Y21" s="132">
        <f>IF(SER_hh_tesh_in!Y21=0,0,SER_hh_tesh_in!Y21/SER_summary!Y$27)</f>
        <v>0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10.530261663211164</v>
      </c>
      <c r="D22" s="132">
        <f>IF(SER_hh_tesh_in!D22=0,0,SER_hh_tesh_in!D22/SER_summary!D$27)</f>
        <v>10.59829530492164</v>
      </c>
      <c r="E22" s="132">
        <f>IF(SER_hh_tesh_in!E22=0,0,SER_hh_tesh_in!E22/SER_summary!E$27)</f>
        <v>10.404884429960896</v>
      </c>
      <c r="F22" s="132">
        <f>IF(SER_hh_tesh_in!F22=0,0,SER_hh_tesh_in!F22/SER_summary!F$27)</f>
        <v>0</v>
      </c>
      <c r="G22" s="132">
        <f>IF(SER_hh_tesh_in!G22=0,0,SER_hh_tesh_in!G22/SER_summary!G$27)</f>
        <v>0</v>
      </c>
      <c r="H22" s="132">
        <f>IF(SER_hh_tesh_in!H22=0,0,SER_hh_tesh_in!H22/SER_summary!H$27)</f>
        <v>9.6148269970274765</v>
      </c>
      <c r="I22" s="132">
        <f>IF(SER_hh_tesh_in!I22=0,0,SER_hh_tesh_in!I22/SER_summary!I$27)</f>
        <v>9.8952173819466083</v>
      </c>
      <c r="J22" s="132">
        <f>IF(SER_hh_tesh_in!J22=0,0,SER_hh_tesh_in!J22/SER_summary!J$27)</f>
        <v>10.116581856142702</v>
      </c>
      <c r="K22" s="132">
        <f>IF(SER_hh_tesh_in!K22=0,0,SER_hh_tesh_in!K22/SER_summary!K$27)</f>
        <v>10.221760967738774</v>
      </c>
      <c r="L22" s="132">
        <f>IF(SER_hh_tesh_in!L22=0,0,SER_hh_tesh_in!L22/SER_summary!L$27)</f>
        <v>5.2012201107018834</v>
      </c>
      <c r="M22" s="132">
        <f>IF(SER_hh_tesh_in!M22=0,0,SER_hh_tesh_in!M22/SER_summary!M$27)</f>
        <v>10.550443122898317</v>
      </c>
      <c r="N22" s="132">
        <f>IF(SER_hh_tesh_in!N22=0,0,SER_hh_tesh_in!N22/SER_summary!N$27)</f>
        <v>11.472266115656272</v>
      </c>
      <c r="O22" s="132">
        <f>IF(SER_hh_tesh_in!O22=0,0,SER_hh_tesh_in!O22/SER_summary!O$27)</f>
        <v>0</v>
      </c>
      <c r="P22" s="132">
        <f>IF(SER_hh_tesh_in!P22=0,0,SER_hh_tesh_in!P22/SER_summary!P$27)</f>
        <v>0</v>
      </c>
      <c r="Q22" s="132">
        <f>IF(SER_hh_tesh_in!Q22=0,0,SER_hh_tesh_in!Q22/SER_summary!Q$27)</f>
        <v>0</v>
      </c>
      <c r="R22" s="132">
        <f>IF(SER_hh_tesh_in!R22=0,0,SER_hh_tesh_in!R22/SER_summary!R$27)</f>
        <v>0</v>
      </c>
      <c r="S22" s="132">
        <f>IF(SER_hh_tesh_in!S22=0,0,SER_hh_tesh_in!S22/SER_summary!S$27)</f>
        <v>0</v>
      </c>
      <c r="T22" s="132">
        <f>IF(SER_hh_tesh_in!T22=0,0,SER_hh_tesh_in!T22/SER_summary!T$27)</f>
        <v>0</v>
      </c>
      <c r="U22" s="132">
        <f>IF(SER_hh_tesh_in!U22=0,0,SER_hh_tesh_in!U22/SER_summary!U$27)</f>
        <v>0</v>
      </c>
      <c r="V22" s="132">
        <f>IF(SER_hh_tesh_in!V22=0,0,SER_hh_tesh_in!V22/SER_summary!V$27)</f>
        <v>8.5646748804961437</v>
      </c>
      <c r="W22" s="132">
        <f>IF(SER_hh_tesh_in!W22=0,0,SER_hh_tesh_in!W22/SER_summary!W$27)</f>
        <v>9.6493080887205416</v>
      </c>
      <c r="X22" s="132">
        <f>IF(SER_hh_tesh_in!X22=0,0,SER_hh_tesh_in!X22/SER_summary!X$27)</f>
        <v>9.6980099228134389</v>
      </c>
      <c r="Y22" s="132">
        <f>IF(SER_hh_tesh_in!Y22=0,0,SER_hh_tesh_in!Y22/SER_summary!Y$27)</f>
        <v>13.041413293480645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10.230172949760588</v>
      </c>
      <c r="D23" s="132">
        <f>IF(SER_hh_tesh_in!D23=0,0,SER_hh_tesh_in!D23/SER_summary!D$27)</f>
        <v>9.2096497815297163</v>
      </c>
      <c r="E23" s="132">
        <f>IF(SER_hh_tesh_in!E23=0,0,SER_hh_tesh_in!E23/SER_summary!E$27)</f>
        <v>9.7565901180204762</v>
      </c>
      <c r="F23" s="132">
        <f>IF(SER_hh_tesh_in!F23=0,0,SER_hh_tesh_in!F23/SER_summary!F$27)</f>
        <v>9.6183433064452011</v>
      </c>
      <c r="G23" s="132">
        <f>IF(SER_hh_tesh_in!G23=0,0,SER_hh_tesh_in!G23/SER_summary!G$27)</f>
        <v>9.4148759254758172</v>
      </c>
      <c r="H23" s="132">
        <f>IF(SER_hh_tesh_in!H23=0,0,SER_hh_tesh_in!H23/SER_summary!H$27)</f>
        <v>9.7760868922608424</v>
      </c>
      <c r="I23" s="132">
        <f>IF(SER_hh_tesh_in!I23=0,0,SER_hh_tesh_in!I23/SER_summary!I$27)</f>
        <v>10.327102411009424</v>
      </c>
      <c r="J23" s="132">
        <f>IF(SER_hh_tesh_in!J23=0,0,SER_hh_tesh_in!J23/SER_summary!J$27)</f>
        <v>10.206678463245099</v>
      </c>
      <c r="K23" s="132">
        <f>IF(SER_hh_tesh_in!K23=0,0,SER_hh_tesh_in!K23/SER_summary!K$27)</f>
        <v>10.311652892976378</v>
      </c>
      <c r="L23" s="132">
        <f>IF(SER_hh_tesh_in!L23=0,0,SER_hh_tesh_in!L23/SER_summary!L$27)</f>
        <v>4.7922129453318618</v>
      </c>
      <c r="M23" s="132">
        <f>IF(SER_hh_tesh_in!M23=0,0,SER_hh_tesh_in!M23/SER_summary!M$27)</f>
        <v>9.7573768287090576</v>
      </c>
      <c r="N23" s="132">
        <f>IF(SER_hh_tesh_in!N23=0,0,SER_hh_tesh_in!N23/SER_summary!N$27)</f>
        <v>10.382491293062174</v>
      </c>
      <c r="O23" s="132">
        <f>IF(SER_hh_tesh_in!O23=0,0,SER_hh_tesh_in!O23/SER_summary!O$27)</f>
        <v>7.9869528447615865</v>
      </c>
      <c r="P23" s="132">
        <f>IF(SER_hh_tesh_in!P23=0,0,SER_hh_tesh_in!P23/SER_summary!P$27)</f>
        <v>11.096060048201503</v>
      </c>
      <c r="Q23" s="132">
        <f>IF(SER_hh_tesh_in!Q23=0,0,SER_hh_tesh_in!Q23/SER_summary!Q$27)</f>
        <v>10.447087516205793</v>
      </c>
      <c r="R23" s="132">
        <f>IF(SER_hh_tesh_in!R23=0,0,SER_hh_tesh_in!R23/SER_summary!R$27)</f>
        <v>10.673235807436237</v>
      </c>
      <c r="S23" s="132">
        <f>IF(SER_hh_tesh_in!S23=0,0,SER_hh_tesh_in!S23/SER_summary!S$27)</f>
        <v>10.879355388245104</v>
      </c>
      <c r="T23" s="132">
        <f>IF(SER_hh_tesh_in!T23=0,0,SER_hh_tesh_in!T23/SER_summary!T$27)</f>
        <v>11.760896071561987</v>
      </c>
      <c r="U23" s="132">
        <f>IF(SER_hh_tesh_in!U23=0,0,SER_hh_tesh_in!U23/SER_summary!U$27)</f>
        <v>11.77609525525488</v>
      </c>
      <c r="V23" s="132">
        <f>IF(SER_hh_tesh_in!V23=0,0,SER_hh_tesh_in!V23/SER_summary!V$27)</f>
        <v>7.584671079824977</v>
      </c>
      <c r="W23" s="132">
        <f>IF(SER_hh_tesh_in!W23=0,0,SER_hh_tesh_in!W23/SER_summary!W$27)</f>
        <v>11.546495524284479</v>
      </c>
      <c r="X23" s="132">
        <f>IF(SER_hh_tesh_in!X23=0,0,SER_hh_tesh_in!X23/SER_summary!X$27)</f>
        <v>8.9798218669409948</v>
      </c>
      <c r="Y23" s="132">
        <f>IF(SER_hh_tesh_in!Y23=0,0,SER_hh_tesh_in!Y23/SER_summary!Y$27)</f>
        <v>11.505071758341613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0</v>
      </c>
      <c r="D24" s="132">
        <f>IF(SER_hh_tesh_in!D24=0,0,SER_hh_tesh_in!D24/SER_summary!D$27)</f>
        <v>0</v>
      </c>
      <c r="E24" s="132">
        <f>IF(SER_hh_tesh_in!E24=0,0,SER_hh_tesh_in!E24/SER_summary!E$27)</f>
        <v>0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0</v>
      </c>
      <c r="K24" s="132">
        <f>IF(SER_hh_tesh_in!K24=0,0,SER_hh_tesh_in!K24/SER_summary!K$27)</f>
        <v>0</v>
      </c>
      <c r="L24" s="132">
        <f>IF(SER_hh_tesh_in!L24=0,0,SER_hh_tesh_in!L24/SER_summary!L$27)</f>
        <v>0</v>
      </c>
      <c r="M24" s="132">
        <f>IF(SER_hh_tesh_in!M24=0,0,SER_hh_tesh_in!M24/SER_summary!M$27)</f>
        <v>0</v>
      </c>
      <c r="N24" s="132">
        <f>IF(SER_hh_tesh_in!N24=0,0,SER_hh_tesh_in!N24/SER_summary!N$27)</f>
        <v>0</v>
      </c>
      <c r="O24" s="132">
        <f>IF(SER_hh_tesh_in!O24=0,0,SER_hh_tesh_in!O24/SER_summary!O$27)</f>
        <v>0</v>
      </c>
      <c r="P24" s="132">
        <f>IF(SER_hh_tesh_in!P24=0,0,SER_hh_tesh_in!P24/SER_summary!P$27)</f>
        <v>0</v>
      </c>
      <c r="Q24" s="132">
        <f>IF(SER_hh_tesh_in!Q24=0,0,SER_hh_tesh_in!Q24/SER_summary!Q$27)</f>
        <v>0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0</v>
      </c>
      <c r="W24" s="132">
        <f>IF(SER_hh_tesh_in!W24=0,0,SER_hh_tesh_in!W24/SER_summary!W$27)</f>
        <v>0</v>
      </c>
      <c r="X24" s="132">
        <f>IF(SER_hh_tesh_in!X24=0,0,SER_hh_tesh_in!X24/SER_summary!X$27)</f>
        <v>0</v>
      </c>
      <c r="Y24" s="132">
        <f>IF(SER_hh_tesh_in!Y24=0,0,SER_hh_tesh_in!Y24/SER_summary!Y$27)</f>
        <v>0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10.210455747911229</v>
      </c>
      <c r="D25" s="132">
        <f>IF(SER_hh_tesh_in!D25=0,0,SER_hh_tesh_in!D25/SER_summary!D$27)</f>
        <v>10.053906538358076</v>
      </c>
      <c r="E25" s="132">
        <f>IF(SER_hh_tesh_in!E25=0,0,SER_hh_tesh_in!E25/SER_summary!E$27)</f>
        <v>9.9951230932757493</v>
      </c>
      <c r="F25" s="132">
        <f>IF(SER_hh_tesh_in!F25=0,0,SER_hh_tesh_in!F25/SER_summary!F$27)</f>
        <v>9.9070971188146864</v>
      </c>
      <c r="G25" s="132">
        <f>IF(SER_hh_tesh_in!G25=0,0,SER_hh_tesh_in!G25/SER_summary!G$27)</f>
        <v>9.8623301355907973</v>
      </c>
      <c r="H25" s="132">
        <f>IF(SER_hh_tesh_in!H25=0,0,SER_hh_tesh_in!H25/SER_summary!H$27)</f>
        <v>9.8347148413969521</v>
      </c>
      <c r="I25" s="132">
        <f>IF(SER_hh_tesh_in!I25=0,0,SER_hh_tesh_in!I25/SER_summary!I$27)</f>
        <v>9.8735143555785747</v>
      </c>
      <c r="J25" s="132">
        <f>IF(SER_hh_tesh_in!J25=0,0,SER_hh_tesh_in!J25/SER_summary!J$27)</f>
        <v>10.01981875320225</v>
      </c>
      <c r="K25" s="132">
        <f>IF(SER_hh_tesh_in!K25=0,0,SER_hh_tesh_in!K25/SER_summary!K$27)</f>
        <v>10.179553085922858</v>
      </c>
      <c r="L25" s="132">
        <f>IF(SER_hh_tesh_in!L25=0,0,SER_hh_tesh_in!L25/SER_summary!L$27)</f>
        <v>4.7968356704595791</v>
      </c>
      <c r="M25" s="132">
        <f>IF(SER_hh_tesh_in!M25=0,0,SER_hh_tesh_in!M25/SER_summary!M$27)</f>
        <v>9.7792350071397003</v>
      </c>
      <c r="N25" s="132">
        <f>IF(SER_hh_tesh_in!N25=0,0,SER_hh_tesh_in!N25/SER_summary!N$27)</f>
        <v>10.461965753696552</v>
      </c>
      <c r="O25" s="132">
        <f>IF(SER_hh_tesh_in!O25=0,0,SER_hh_tesh_in!O25/SER_summary!O$27)</f>
        <v>8.4531703423294733</v>
      </c>
      <c r="P25" s="132">
        <f>IF(SER_hh_tesh_in!P25=0,0,SER_hh_tesh_in!P25/SER_summary!P$27)</f>
        <v>11.270874957975629</v>
      </c>
      <c r="Q25" s="132">
        <f>IF(SER_hh_tesh_in!Q25=0,0,SER_hh_tesh_in!Q25/SER_summary!Q$27)</f>
        <v>10.660394952604399</v>
      </c>
      <c r="R25" s="132">
        <f>IF(SER_hh_tesh_in!R25=0,0,SER_hh_tesh_in!R25/SER_summary!R$27)</f>
        <v>10.957811445519972</v>
      </c>
      <c r="S25" s="132">
        <f>IF(SER_hh_tesh_in!S25=0,0,SER_hh_tesh_in!S25/SER_summary!S$27)</f>
        <v>11.200232359189096</v>
      </c>
      <c r="T25" s="132">
        <f>IF(SER_hh_tesh_in!T25=0,0,SER_hh_tesh_in!T25/SER_summary!T$27)</f>
        <v>11.833746854694381</v>
      </c>
      <c r="U25" s="132">
        <f>IF(SER_hh_tesh_in!U25=0,0,SER_hh_tesh_in!U25/SER_summary!U$27)</f>
        <v>11.603384748754864</v>
      </c>
      <c r="V25" s="132">
        <f>IF(SER_hh_tesh_in!V25=0,0,SER_hh_tesh_in!V25/SER_summary!V$27)</f>
        <v>7.9265350116904374</v>
      </c>
      <c r="W25" s="132">
        <f>IF(SER_hh_tesh_in!W25=0,0,SER_hh_tesh_in!W25/SER_summary!W$27)</f>
        <v>10.932324040441603</v>
      </c>
      <c r="X25" s="132">
        <f>IF(SER_hh_tesh_in!X25=0,0,SER_hh_tesh_in!X25/SER_summary!X$27)</f>
        <v>11.155267351264657</v>
      </c>
      <c r="Y25" s="132">
        <f>IF(SER_hh_tesh_in!Y25=0,0,SER_hh_tesh_in!Y25/SER_summary!Y$27)</f>
        <v>10.885933408877642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10.213995224332866</v>
      </c>
      <c r="D26" s="65">
        <f>IF(SER_hh_tesh_in!D26=0,0,SER_hh_tesh_in!D26/SER_summary!D$27)</f>
        <v>10.22483458959943</v>
      </c>
      <c r="E26" s="65">
        <f>IF(SER_hh_tesh_in!E26=0,0,SER_hh_tesh_in!E26/SER_summary!E$27)</f>
        <v>9.9300833193654245</v>
      </c>
      <c r="F26" s="65">
        <f>IF(SER_hh_tesh_in!F26=0,0,SER_hh_tesh_in!F26/SER_summary!F$27)</f>
        <v>9.7220397423358094</v>
      </c>
      <c r="G26" s="65">
        <f>IF(SER_hh_tesh_in!G26=0,0,SER_hh_tesh_in!G26/SER_summary!G$27)</f>
        <v>9.7736819602217473</v>
      </c>
      <c r="H26" s="65">
        <f>IF(SER_hh_tesh_in!H26=0,0,SER_hh_tesh_in!H26/SER_summary!H$27)</f>
        <v>9.9219444593617698</v>
      </c>
      <c r="I26" s="65">
        <f>IF(SER_hh_tesh_in!I26=0,0,SER_hh_tesh_in!I26/SER_summary!I$27)</f>
        <v>9.7564948059423209</v>
      </c>
      <c r="J26" s="65">
        <f>IF(SER_hh_tesh_in!J26=0,0,SER_hh_tesh_in!J26/SER_summary!J$27)</f>
        <v>9.6626510426976608</v>
      </c>
      <c r="K26" s="65">
        <f>IF(SER_hh_tesh_in!K26=0,0,SER_hh_tesh_in!K26/SER_summary!K$27)</f>
        <v>10.118103263554636</v>
      </c>
      <c r="L26" s="65">
        <f>IF(SER_hh_tesh_in!L26=0,0,SER_hh_tesh_in!L26/SER_summary!L$27)</f>
        <v>3.0963614581878369</v>
      </c>
      <c r="M26" s="65">
        <f>IF(SER_hh_tesh_in!M26=0,0,SER_hh_tesh_in!M26/SER_summary!M$27)</f>
        <v>2.9161067757620414</v>
      </c>
      <c r="N26" s="65">
        <f>IF(SER_hh_tesh_in!N26=0,0,SER_hh_tesh_in!N26/SER_summary!N$27)</f>
        <v>2.6182346105894112</v>
      </c>
      <c r="O26" s="65">
        <f>IF(SER_hh_tesh_in!O26=0,0,SER_hh_tesh_in!O26/SER_summary!O$27)</f>
        <v>2.7516827529999879</v>
      </c>
      <c r="P26" s="65">
        <f>IF(SER_hh_tesh_in!P26=0,0,SER_hh_tesh_in!P26/SER_summary!P$27)</f>
        <v>4.6931704660450571</v>
      </c>
      <c r="Q26" s="65">
        <f>IF(SER_hh_tesh_in!Q26=0,0,SER_hh_tesh_in!Q26/SER_summary!Q$27)</f>
        <v>2.6816581574081484</v>
      </c>
      <c r="R26" s="65">
        <f>IF(SER_hh_tesh_in!R26=0,0,SER_hh_tesh_in!R26/SER_summary!R$27)</f>
        <v>3.0232762806148776</v>
      </c>
      <c r="S26" s="65">
        <f>IF(SER_hh_tesh_in!S26=0,0,SER_hh_tesh_in!S26/SER_summary!S$27)</f>
        <v>3.3471034844523166</v>
      </c>
      <c r="T26" s="65">
        <f>IF(SER_hh_tesh_in!T26=0,0,SER_hh_tesh_in!T26/SER_summary!T$27)</f>
        <v>3.6989247110602199</v>
      </c>
      <c r="U26" s="65">
        <f>IF(SER_hh_tesh_in!U26=0,0,SER_hh_tesh_in!U26/SER_summary!U$27)</f>
        <v>3.3360779461956334</v>
      </c>
      <c r="V26" s="65">
        <f>IF(SER_hh_tesh_in!V26=0,0,SER_hh_tesh_in!V26/SER_summary!V$27)</f>
        <v>2.6930144895305417</v>
      </c>
      <c r="W26" s="65">
        <f>IF(SER_hh_tesh_in!W26=0,0,SER_hh_tesh_in!W26/SER_summary!W$27)</f>
        <v>5.2977292753762777</v>
      </c>
      <c r="X26" s="65">
        <f>IF(SER_hh_tesh_in!X26=0,0,SER_hh_tesh_in!X26/SER_summary!X$27)</f>
        <v>3.0078199423410523</v>
      </c>
      <c r="Y26" s="65">
        <f>IF(SER_hh_tesh_in!Y26=0,0,SER_hh_tesh_in!Y26/SER_summary!Y$27)</f>
        <v>3.0891032720650804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</v>
      </c>
      <c r="D27" s="145">
        <f>IF(SER_hh_tesh_in!D27=0,0,SER_hh_tesh_in!D27/SER_summary!D$27)</f>
        <v>0</v>
      </c>
      <c r="E27" s="145">
        <f>IF(SER_hh_tesh_in!E27=0,0,SER_hh_tesh_in!E27/SER_summary!E$27)</f>
        <v>0</v>
      </c>
      <c r="F27" s="145">
        <f>IF(SER_hh_tesh_in!F27=0,0,SER_hh_tesh_in!F27/SER_summary!F$27)</f>
        <v>0</v>
      </c>
      <c r="G27" s="145">
        <f>IF(SER_hh_tesh_in!G27=0,0,SER_hh_tesh_in!G27/SER_summary!G$27)</f>
        <v>0</v>
      </c>
      <c r="H27" s="145">
        <f>IF(SER_hh_tesh_in!H27=0,0,SER_hh_tesh_in!H27/SER_summary!H$27)</f>
        <v>0</v>
      </c>
      <c r="I27" s="145">
        <f>IF(SER_hh_tesh_in!I27=0,0,SER_hh_tesh_in!I27/SER_summary!I$27)</f>
        <v>0</v>
      </c>
      <c r="J27" s="145">
        <f>IF(SER_hh_tesh_in!J27=0,0,SER_hh_tesh_in!J27/SER_summary!J$27)</f>
        <v>0</v>
      </c>
      <c r="K27" s="145">
        <f>IF(SER_hh_tesh_in!K27=0,0,SER_hh_tesh_in!K27/SER_summary!K$27)</f>
        <v>0</v>
      </c>
      <c r="L27" s="145">
        <f>IF(SER_hh_tesh_in!L27=0,0,SER_hh_tesh_in!L27/SER_summary!L$27)</f>
        <v>7.0205391121476737</v>
      </c>
      <c r="M27" s="145">
        <f>IF(SER_hh_tesh_in!M27=0,0,SER_hh_tesh_in!M27/SER_summary!M$27)</f>
        <v>5.5450098583502969</v>
      </c>
      <c r="N27" s="145">
        <f>IF(SER_hh_tesh_in!N27=0,0,SER_hh_tesh_in!N27/SER_summary!N$27)</f>
        <v>5.0047791394147465</v>
      </c>
      <c r="O27" s="145">
        <f>IF(SER_hh_tesh_in!O27=0,0,SER_hh_tesh_in!O27/SER_summary!O$27)</f>
        <v>6.0357864360631357</v>
      </c>
      <c r="P27" s="145">
        <f>IF(SER_hh_tesh_in!P27=0,0,SER_hh_tesh_in!P27/SER_summary!P$27)</f>
        <v>3.4290801226032088</v>
      </c>
      <c r="Q27" s="145">
        <f>IF(SER_hh_tesh_in!Q27=0,0,SER_hh_tesh_in!Q27/SER_summary!Q$27)</f>
        <v>5.220373967569456</v>
      </c>
      <c r="R27" s="145">
        <f>IF(SER_hh_tesh_in!R27=0,0,SER_hh_tesh_in!R27/SER_summary!R$27)</f>
        <v>4.6117126276774307</v>
      </c>
      <c r="S27" s="145">
        <f>IF(SER_hh_tesh_in!S27=0,0,SER_hh_tesh_in!S27/SER_summary!S$27)</f>
        <v>4.5937672331521355</v>
      </c>
      <c r="T27" s="145">
        <f>IF(SER_hh_tesh_in!T27=0,0,SER_hh_tesh_in!T27/SER_summary!T$27)</f>
        <v>4.172221998402323</v>
      </c>
      <c r="U27" s="145">
        <f>IF(SER_hh_tesh_in!U27=0,0,SER_hh_tesh_in!U27/SER_summary!U$27)</f>
        <v>4.7429957912741374</v>
      </c>
      <c r="V27" s="145">
        <f>IF(SER_hh_tesh_in!V27=0,0,SER_hh_tesh_in!V27/SER_summary!V$27)</f>
        <v>5.1795694030697046</v>
      </c>
      <c r="W27" s="145">
        <f>IF(SER_hh_tesh_in!W27=0,0,SER_hh_tesh_in!W27/SER_summary!W$27)</f>
        <v>3.182409291477061</v>
      </c>
      <c r="X27" s="145">
        <f>IF(SER_hh_tesh_in!X27=0,0,SER_hh_tesh_in!X27/SER_summary!X$27)</f>
        <v>4.819860815744847</v>
      </c>
      <c r="Y27" s="145">
        <f>IF(SER_hh_tesh_in!Y27=0,0,SER_hh_tesh_in!Y27/SER_summary!Y$27)</f>
        <v>4.897789226374571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0</v>
      </c>
      <c r="D28" s="146">
        <f>IF(SER_hh_tesh_in!D28=0,0,SER_hh_tesh_in!D28/SER_summary!D$27)</f>
        <v>0</v>
      </c>
      <c r="E28" s="146">
        <f>IF(SER_hh_tesh_in!E28=0,0,SER_hh_tesh_in!E28/SER_summary!E$27)</f>
        <v>0</v>
      </c>
      <c r="F28" s="146">
        <f>IF(SER_hh_tesh_in!F28=0,0,SER_hh_tesh_in!F28/SER_summary!F$27)</f>
        <v>0</v>
      </c>
      <c r="G28" s="146">
        <f>IF(SER_hh_tesh_in!G28=0,0,SER_hh_tesh_in!G28/SER_summary!G$27)</f>
        <v>0</v>
      </c>
      <c r="H28" s="146">
        <f>IF(SER_hh_tesh_in!H28=0,0,SER_hh_tesh_in!H28/SER_summary!H$27)</f>
        <v>0</v>
      </c>
      <c r="I28" s="146">
        <f>IF(SER_hh_tesh_in!I28=0,0,SER_hh_tesh_in!I28/SER_summary!I$27)</f>
        <v>0</v>
      </c>
      <c r="J28" s="146">
        <f>IF(SER_hh_tesh_in!J28=0,0,SER_hh_tesh_in!J28/SER_summary!J$27)</f>
        <v>0</v>
      </c>
      <c r="K28" s="146">
        <f>IF(SER_hh_tesh_in!K28=0,0,SER_hh_tesh_in!K28/SER_summary!K$27)</f>
        <v>0</v>
      </c>
      <c r="L28" s="146">
        <f>IF(SER_hh_tesh_in!L28=0,0,SER_hh_tesh_in!L28/SER_summary!L$27)</f>
        <v>7.0205391121476737</v>
      </c>
      <c r="M28" s="146">
        <f>IF(SER_hh_tesh_in!M28=0,0,SER_hh_tesh_in!M28/SER_summary!M$27)</f>
        <v>7.5395744811085654</v>
      </c>
      <c r="N28" s="146">
        <f>IF(SER_hh_tesh_in!N28=0,0,SER_hh_tesh_in!N28/SER_summary!N$27)</f>
        <v>7.8300021830894213</v>
      </c>
      <c r="O28" s="146">
        <f>IF(SER_hh_tesh_in!O28=0,0,SER_hh_tesh_in!O28/SER_summary!O$27)</f>
        <v>7.4157242676860085</v>
      </c>
      <c r="P28" s="146">
        <f>IF(SER_hh_tesh_in!P28=0,0,SER_hh_tesh_in!P28/SER_summary!P$27)</f>
        <v>7.671148921007112</v>
      </c>
      <c r="Q28" s="146">
        <f>IF(SER_hh_tesh_in!Q28=0,0,SER_hh_tesh_in!Q28/SER_summary!Q$27)</f>
        <v>7.8881870907983762</v>
      </c>
      <c r="R28" s="146">
        <f>IF(SER_hh_tesh_in!R28=0,0,SER_hh_tesh_in!R28/SER_summary!R$27)</f>
        <v>7.6338959690262369</v>
      </c>
      <c r="S28" s="146">
        <f>IF(SER_hh_tesh_in!S28=0,0,SER_hh_tesh_in!S28/SER_summary!S$27)</f>
        <v>7.4739647284928088</v>
      </c>
      <c r="T28" s="146">
        <f>IF(SER_hh_tesh_in!T28=0,0,SER_hh_tesh_in!T28/SER_summary!T$27)</f>
        <v>7.9335242936329529</v>
      </c>
      <c r="U28" s="146">
        <f>IF(SER_hh_tesh_in!U28=0,0,SER_hh_tesh_in!U28/SER_summary!U$27)</f>
        <v>7.9816666601688828</v>
      </c>
      <c r="V28" s="146">
        <f>IF(SER_hh_tesh_in!V28=0,0,SER_hh_tesh_in!V28/SER_summary!V$27)</f>
        <v>6.3657989612309862</v>
      </c>
      <c r="W28" s="146">
        <f>IF(SER_hh_tesh_in!W28=0,0,SER_hh_tesh_in!W28/SER_summary!W$27)</f>
        <v>7.567544810756055</v>
      </c>
      <c r="X28" s="146">
        <f>IF(SER_hh_tesh_in!X28=0,0,SER_hh_tesh_in!X28/SER_summary!X$27)</f>
        <v>7.3433106850367746</v>
      </c>
      <c r="Y28" s="146">
        <f>IF(SER_hh_tesh_in!Y28=0,0,SER_hh_tesh_in!Y28/SER_summary!Y$27)</f>
        <v>7.7759544698924463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12.79083625208634</v>
      </c>
      <c r="D29" s="130">
        <f>IF(SER_hh_tesh_in!D29=0,0,SER_hh_tesh_in!D29/SER_summary!D$27)</f>
        <v>12.59901573360613</v>
      </c>
      <c r="E29" s="130">
        <f>IF(SER_hh_tesh_in!E29=0,0,SER_hh_tesh_in!E29/SER_summary!E$27)</f>
        <v>12.474843167989084</v>
      </c>
      <c r="F29" s="130">
        <f>IF(SER_hh_tesh_in!F29=0,0,SER_hh_tesh_in!F29/SER_summary!F$27)</f>
        <v>12.374871750669143</v>
      </c>
      <c r="G29" s="130">
        <f>IF(SER_hh_tesh_in!G29=0,0,SER_hh_tesh_in!G29/SER_summary!G$27)</f>
        <v>12.086761121024972</v>
      </c>
      <c r="H29" s="130">
        <f>IF(SER_hh_tesh_in!H29=0,0,SER_hh_tesh_in!H29/SER_summary!H$27)</f>
        <v>12.086057703065807</v>
      </c>
      <c r="I29" s="130">
        <f>IF(SER_hh_tesh_in!I29=0,0,SER_hh_tesh_in!I29/SER_summary!I$27)</f>
        <v>11.927043481446519</v>
      </c>
      <c r="J29" s="130">
        <f>IF(SER_hh_tesh_in!J29=0,0,SER_hh_tesh_in!J29/SER_summary!J$27)</f>
        <v>12.967000868915701</v>
      </c>
      <c r="K29" s="130">
        <f>IF(SER_hh_tesh_in!K29=0,0,SER_hh_tesh_in!K29/SER_summary!K$27)</f>
        <v>12.360430872484521</v>
      </c>
      <c r="L29" s="130">
        <f>IF(SER_hh_tesh_in!L29=0,0,SER_hh_tesh_in!L29/SER_summary!L$27)</f>
        <v>13.414957245198648</v>
      </c>
      <c r="M29" s="130">
        <f>IF(SER_hh_tesh_in!M29=0,0,SER_hh_tesh_in!M29/SER_summary!M$27)</f>
        <v>12.776778594230375</v>
      </c>
      <c r="N29" s="130">
        <f>IF(SER_hh_tesh_in!N29=0,0,SER_hh_tesh_in!N29/SER_summary!N$27)</f>
        <v>13.383942718346686</v>
      </c>
      <c r="O29" s="130">
        <f>IF(SER_hh_tesh_in!O29=0,0,SER_hh_tesh_in!O29/SER_summary!O$27)</f>
        <v>13.052004587545646</v>
      </c>
      <c r="P29" s="130">
        <f>IF(SER_hh_tesh_in!P29=0,0,SER_hh_tesh_in!P29/SER_summary!P$27)</f>
        <v>13.040428199751968</v>
      </c>
      <c r="Q29" s="130">
        <f>IF(SER_hh_tesh_in!Q29=0,0,SER_hh_tesh_in!Q29/SER_summary!Q$27)</f>
        <v>13.107949133820872</v>
      </c>
      <c r="R29" s="130">
        <f>IF(SER_hh_tesh_in!R29=0,0,SER_hh_tesh_in!R29/SER_summary!R$27)</f>
        <v>12.985849663330848</v>
      </c>
      <c r="S29" s="130">
        <f>IF(SER_hh_tesh_in!S29=0,0,SER_hh_tesh_in!S29/SER_summary!S$27)</f>
        <v>13.497742449403308</v>
      </c>
      <c r="T29" s="130">
        <f>IF(SER_hh_tesh_in!T29=0,0,SER_hh_tesh_in!T29/SER_summary!T$27)</f>
        <v>14.346498674118807</v>
      </c>
      <c r="U29" s="130">
        <f>IF(SER_hh_tesh_in!U29=0,0,SER_hh_tesh_in!U29/SER_summary!U$27)</f>
        <v>14.463233615749902</v>
      </c>
      <c r="V29" s="130">
        <f>IF(SER_hh_tesh_in!V29=0,0,SER_hh_tesh_in!V29/SER_summary!V$27)</f>
        <v>12.034295546183374</v>
      </c>
      <c r="W29" s="130">
        <f>IF(SER_hh_tesh_in!W29=0,0,SER_hh_tesh_in!W29/SER_summary!W$27)</f>
        <v>13.527566348345273</v>
      </c>
      <c r="X29" s="130">
        <f>IF(SER_hh_tesh_in!X29=0,0,SER_hh_tesh_in!X29/SER_summary!X$27)</f>
        <v>14.12825441901065</v>
      </c>
      <c r="Y29" s="130">
        <f>IF(SER_hh_tesh_in!Y29=0,0,SER_hh_tesh_in!Y29/SER_summary!Y$27)</f>
        <v>14.012077991709985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25.469333617267619</v>
      </c>
      <c r="D30" s="132">
        <f>IF(SER_hh_tesh_in!D30=0,0,SER_hh_tesh_in!D30/SER_summary!D$27)</f>
        <v>0</v>
      </c>
      <c r="E30" s="132">
        <f>IF(SER_hh_tesh_in!E30=0,0,SER_hh_tesh_in!E30/SER_summary!E$27)</f>
        <v>0</v>
      </c>
      <c r="F30" s="132">
        <f>IF(SER_hh_tesh_in!F30=0,0,SER_hh_tesh_in!F30/SER_summary!F$27)</f>
        <v>0</v>
      </c>
      <c r="G30" s="132">
        <f>IF(SER_hh_tesh_in!G30=0,0,SER_hh_tesh_in!G30/SER_summary!G$27)</f>
        <v>0</v>
      </c>
      <c r="H30" s="132">
        <f>IF(SER_hh_tesh_in!H30=0,0,SER_hh_tesh_in!H30/SER_summary!H$27)</f>
        <v>0</v>
      </c>
      <c r="I30" s="132">
        <f>IF(SER_hh_tesh_in!I30=0,0,SER_hh_tesh_in!I30/SER_summary!I$27)</f>
        <v>0</v>
      </c>
      <c r="J30" s="132">
        <f>IF(SER_hh_tesh_in!J30=0,0,SER_hh_tesh_in!J30/SER_summary!J$27)</f>
        <v>0</v>
      </c>
      <c r="K30" s="132">
        <f>IF(SER_hh_tesh_in!K30=0,0,SER_hh_tesh_in!K30/SER_summary!K$27)</f>
        <v>0</v>
      </c>
      <c r="L30" s="132">
        <f>IF(SER_hh_tesh_in!L30=0,0,SER_hh_tesh_in!L30/SER_summary!L$27)</f>
        <v>14.978140012515421</v>
      </c>
      <c r="M30" s="132">
        <f>IF(SER_hh_tesh_in!M30=0,0,SER_hh_tesh_in!M30/SER_summary!M$27)</f>
        <v>13.944015760826733</v>
      </c>
      <c r="N30" s="132">
        <f>IF(SER_hh_tesh_in!N30=0,0,SER_hh_tesh_in!N30/SER_summary!N$27)</f>
        <v>22.038122481810774</v>
      </c>
      <c r="O30" s="132">
        <f>IF(SER_hh_tesh_in!O30=0,0,SER_hh_tesh_in!O30/SER_summary!O$27)</f>
        <v>15.7061615469638</v>
      </c>
      <c r="P30" s="132">
        <f>IF(SER_hh_tesh_in!P30=0,0,SER_hh_tesh_in!P30/SER_summary!P$27)</f>
        <v>9.8332855407992987</v>
      </c>
      <c r="Q30" s="132">
        <f>IF(SER_hh_tesh_in!Q30=0,0,SER_hh_tesh_in!Q30/SER_summary!Q$27)</f>
        <v>9.9115039291608369</v>
      </c>
      <c r="R30" s="132">
        <f>IF(SER_hh_tesh_in!R30=0,0,SER_hh_tesh_in!R30/SER_summary!R$27)</f>
        <v>11.632982238005436</v>
      </c>
      <c r="S30" s="132">
        <f>IF(SER_hh_tesh_in!S30=0,0,SER_hh_tesh_in!S30/SER_summary!S$27)</f>
        <v>13.835374894047227</v>
      </c>
      <c r="T30" s="132">
        <f>IF(SER_hh_tesh_in!T30=0,0,SER_hh_tesh_in!T30/SER_summary!T$27)</f>
        <v>14.949596889152359</v>
      </c>
      <c r="U30" s="132">
        <f>IF(SER_hh_tesh_in!U30=0,0,SER_hh_tesh_in!U30/SER_summary!U$27)</f>
        <v>14.543695311288701</v>
      </c>
      <c r="V30" s="132">
        <f>IF(SER_hh_tesh_in!V30=0,0,SER_hh_tesh_in!V30/SER_summary!V$27)</f>
        <v>11.578465716862283</v>
      </c>
      <c r="W30" s="132">
        <f>IF(SER_hh_tesh_in!W30=0,0,SER_hh_tesh_in!W30/SER_summary!W$27)</f>
        <v>13.062831783466491</v>
      </c>
      <c r="X30" s="132">
        <f>IF(SER_hh_tesh_in!X30=0,0,SER_hh_tesh_in!X30/SER_summary!X$27)</f>
        <v>14.134564371495104</v>
      </c>
      <c r="Y30" s="132">
        <f>IF(SER_hh_tesh_in!Y30=0,0,SER_hh_tesh_in!Y30/SER_summary!Y$27)</f>
        <v>14.545235079017193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12.369156563641486</v>
      </c>
      <c r="D31" s="132">
        <f>IF(SER_hh_tesh_in!D31=0,0,SER_hh_tesh_in!D31/SER_summary!D$27)</f>
        <v>11.504014332103194</v>
      </c>
      <c r="E31" s="132">
        <f>IF(SER_hh_tesh_in!E31=0,0,SER_hh_tesh_in!E31/SER_summary!E$27)</f>
        <v>12.136685520520071</v>
      </c>
      <c r="F31" s="132">
        <f>IF(SER_hh_tesh_in!F31=0,0,SER_hh_tesh_in!F31/SER_summary!F$27)</f>
        <v>12.318361628953408</v>
      </c>
      <c r="G31" s="132">
        <f>IF(SER_hh_tesh_in!G31=0,0,SER_hh_tesh_in!G31/SER_summary!G$27)</f>
        <v>11.306219644565379</v>
      </c>
      <c r="H31" s="132">
        <f>IF(SER_hh_tesh_in!H31=0,0,SER_hh_tesh_in!H31/SER_summary!H$27)</f>
        <v>12.488188327296646</v>
      </c>
      <c r="I31" s="132">
        <f>IF(SER_hh_tesh_in!I31=0,0,SER_hh_tesh_in!I31/SER_summary!I$27)</f>
        <v>12.609783453109337</v>
      </c>
      <c r="J31" s="132">
        <f>IF(SER_hh_tesh_in!J31=0,0,SER_hh_tesh_in!J31/SER_summary!J$27)</f>
        <v>12.473742084727119</v>
      </c>
      <c r="K31" s="132">
        <f>IF(SER_hh_tesh_in!K31=0,0,SER_hh_tesh_in!K31/SER_summary!K$27)</f>
        <v>12.405460575228817</v>
      </c>
      <c r="L31" s="132">
        <f>IF(SER_hh_tesh_in!L31=0,0,SER_hh_tesh_in!L31/SER_summary!L$27)</f>
        <v>12.675328173588449</v>
      </c>
      <c r="M31" s="132">
        <f>IF(SER_hh_tesh_in!M31=0,0,SER_hh_tesh_in!M31/SER_summary!M$27)</f>
        <v>12.792454858534752</v>
      </c>
      <c r="N31" s="132">
        <f>IF(SER_hh_tesh_in!N31=0,0,SER_hh_tesh_in!N31/SER_summary!N$27)</f>
        <v>13.018776565736676</v>
      </c>
      <c r="O31" s="132">
        <f>IF(SER_hh_tesh_in!O31=0,0,SER_hh_tesh_in!O31/SER_summary!O$27)</f>
        <v>13.115045091572693</v>
      </c>
      <c r="P31" s="132">
        <f>IF(SER_hh_tesh_in!P31=0,0,SER_hh_tesh_in!P31/SER_summary!P$27)</f>
        <v>13.116449122709843</v>
      </c>
      <c r="Q31" s="132">
        <f>IF(SER_hh_tesh_in!Q31=0,0,SER_hh_tesh_in!Q31/SER_summary!Q$27)</f>
        <v>13.213140899642793</v>
      </c>
      <c r="R31" s="132">
        <f>IF(SER_hh_tesh_in!R31=0,0,SER_hh_tesh_in!R31/SER_summary!R$27)</f>
        <v>13.21863341073098</v>
      </c>
      <c r="S31" s="132">
        <f>IF(SER_hh_tesh_in!S31=0,0,SER_hh_tesh_in!S31/SER_summary!S$27)</f>
        <v>13.672590144182145</v>
      </c>
      <c r="T31" s="132">
        <f>IF(SER_hh_tesh_in!T31=0,0,SER_hh_tesh_in!T31/SER_summary!T$27)</f>
        <v>14.062262011923181</v>
      </c>
      <c r="U31" s="132">
        <f>IF(SER_hh_tesh_in!U31=0,0,SER_hh_tesh_in!U31/SER_summary!U$27)</f>
        <v>13.876537897930127</v>
      </c>
      <c r="V31" s="132">
        <f>IF(SER_hh_tesh_in!V31=0,0,SER_hh_tesh_in!V31/SER_summary!V$27)</f>
        <v>12.108960494285716</v>
      </c>
      <c r="W31" s="132">
        <f>IF(SER_hh_tesh_in!W31=0,0,SER_hh_tesh_in!W31/SER_summary!W$27)</f>
        <v>13.973619401016039</v>
      </c>
      <c r="X31" s="132">
        <f>IF(SER_hh_tesh_in!X31=0,0,SER_hh_tesh_in!X31/SER_summary!X$27)</f>
        <v>13.949026780252925</v>
      </c>
      <c r="Y31" s="132">
        <f>IF(SER_hh_tesh_in!Y31=0,0,SER_hh_tesh_in!Y31/SER_summary!Y$27)</f>
        <v>13.870675156572299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17.691106332201564</v>
      </c>
      <c r="K32" s="132">
        <f>IF(SER_hh_tesh_in!K32=0,0,SER_hh_tesh_in!K32/SER_summary!K$27)</f>
        <v>14.078875514186574</v>
      </c>
      <c r="L32" s="132">
        <f>IF(SER_hh_tesh_in!L32=0,0,SER_hh_tesh_in!L32/SER_summary!L$27)</f>
        <v>12.948946134903688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11.114167912496939</v>
      </c>
      <c r="R32" s="132">
        <f>IF(SER_hh_tesh_in!R32=0,0,SER_hh_tesh_in!R32/SER_summary!R$27)</f>
        <v>8.9173000877212054</v>
      </c>
      <c r="S32" s="132">
        <f>IF(SER_hh_tesh_in!S32=0,0,SER_hh_tesh_in!S32/SER_summary!S$27)</f>
        <v>12.810850320372381</v>
      </c>
      <c r="T32" s="132">
        <f>IF(SER_hh_tesh_in!T32=0,0,SER_hh_tesh_in!T32/SER_summary!T$27)</f>
        <v>15.235823066378629</v>
      </c>
      <c r="U32" s="132">
        <f>IF(SER_hh_tesh_in!U32=0,0,SER_hh_tesh_in!U32/SER_summary!U$27)</f>
        <v>15.385660933057135</v>
      </c>
      <c r="V32" s="132">
        <f>IF(SER_hh_tesh_in!V32=0,0,SER_hh_tesh_in!V32/SER_summary!V$27)</f>
        <v>12.659145883632331</v>
      </c>
      <c r="W32" s="132">
        <f>IF(SER_hh_tesh_in!W32=0,0,SER_hh_tesh_in!W32/SER_summary!W$27)</f>
        <v>11.97303134340237</v>
      </c>
      <c r="X32" s="132">
        <f>IF(SER_hh_tesh_in!X32=0,0,SER_hh_tesh_in!X32/SER_summary!X$27)</f>
        <v>17.426558062532234</v>
      </c>
      <c r="Y32" s="132">
        <f>IF(SER_hh_tesh_in!Y32=0,0,SER_hh_tesh_in!Y32/SER_summary!Y$27)</f>
        <v>12.506413270940127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12.595013101805822</v>
      </c>
      <c r="D33" s="68">
        <f>IF(SER_hh_tesh_in!D33=0,0,SER_hh_tesh_in!D33/SER_summary!D$27)</f>
        <v>12.712886058331947</v>
      </c>
      <c r="E33" s="68">
        <f>IF(SER_hh_tesh_in!E33=0,0,SER_hh_tesh_in!E33/SER_summary!E$27)</f>
        <v>12.515454437476732</v>
      </c>
      <c r="F33" s="68">
        <f>IF(SER_hh_tesh_in!F33=0,0,SER_hh_tesh_in!F33/SER_summary!F$27)</f>
        <v>12.383523158114086</v>
      </c>
      <c r="G33" s="68">
        <f>IF(SER_hh_tesh_in!G33=0,0,SER_hh_tesh_in!G33/SER_summary!G$27)</f>
        <v>12.216150146626598</v>
      </c>
      <c r="H33" s="68">
        <f>IF(SER_hh_tesh_in!H33=0,0,SER_hh_tesh_in!H33/SER_summary!H$27)</f>
        <v>12.002512293037505</v>
      </c>
      <c r="I33" s="68">
        <f>IF(SER_hh_tesh_in!I33=0,0,SER_hh_tesh_in!I33/SER_summary!I$27)</f>
        <v>11.821631580570621</v>
      </c>
      <c r="J33" s="68">
        <f>IF(SER_hh_tesh_in!J33=0,0,SER_hh_tesh_in!J33/SER_summary!J$27)</f>
        <v>11.852982076789996</v>
      </c>
      <c r="K33" s="68">
        <f>IF(SER_hh_tesh_in!K33=0,0,SER_hh_tesh_in!K33/SER_summary!K$27)</f>
        <v>12.264892293840377</v>
      </c>
      <c r="L33" s="68">
        <f>IF(SER_hh_tesh_in!L33=0,0,SER_hh_tesh_in!L33/SER_summary!L$27)</f>
        <v>12.754457995867089</v>
      </c>
      <c r="M33" s="68">
        <f>IF(SER_hh_tesh_in!M33=0,0,SER_hh_tesh_in!M33/SER_summary!M$27)</f>
        <v>12.64131035552842</v>
      </c>
      <c r="N33" s="68">
        <f>IF(SER_hh_tesh_in!N33=0,0,SER_hh_tesh_in!N33/SER_summary!N$27)</f>
        <v>12.760914502976808</v>
      </c>
      <c r="O33" s="68">
        <f>IF(SER_hh_tesh_in!O33=0,0,SER_hh_tesh_in!O33/SER_summary!O$27)</f>
        <v>13.012864195808641</v>
      </c>
      <c r="P33" s="68">
        <f>IF(SER_hh_tesh_in!P33=0,0,SER_hh_tesh_in!P33/SER_summary!P$27)</f>
        <v>13.050258351084022</v>
      </c>
      <c r="Q33" s="68">
        <f>IF(SER_hh_tesh_in!Q33=0,0,SER_hh_tesh_in!Q33/SER_summary!Q$27)</f>
        <v>13.165776552478157</v>
      </c>
      <c r="R33" s="68">
        <f>IF(SER_hh_tesh_in!R33=0,0,SER_hh_tesh_in!R33/SER_summary!R$27)</f>
        <v>13.345361901173103</v>
      </c>
      <c r="S33" s="68">
        <f>IF(SER_hh_tesh_in!S33=0,0,SER_hh_tesh_in!S33/SER_summary!S$27)</f>
        <v>13.611577697731049</v>
      </c>
      <c r="T33" s="68">
        <f>IF(SER_hh_tesh_in!T33=0,0,SER_hh_tesh_in!T33/SER_summary!T$27)</f>
        <v>14.03015301514278</v>
      </c>
      <c r="U33" s="68">
        <f>IF(SER_hh_tesh_in!U33=0,0,SER_hh_tesh_in!U33/SER_summary!U$27)</f>
        <v>14.282098478227514</v>
      </c>
      <c r="V33" s="68">
        <f>IF(SER_hh_tesh_in!V33=0,0,SER_hh_tesh_in!V33/SER_summary!V$27)</f>
        <v>11.958351421967286</v>
      </c>
      <c r="W33" s="68">
        <f>IF(SER_hh_tesh_in!W33=0,0,SER_hh_tesh_in!W33/SER_summary!W$27)</f>
        <v>13.754944381567748</v>
      </c>
      <c r="X33" s="68">
        <f>IF(SER_hh_tesh_in!X33=0,0,SER_hh_tesh_in!X33/SER_summary!X$27)</f>
        <v>13.847746100957178</v>
      </c>
      <c r="Y33" s="68">
        <f>IF(SER_hh_tesh_in!Y33=0,0,SER_hh_tesh_in!Y33/SER_summary!Y$27)</f>
        <v>14.047656831271317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3.5628430725313249</v>
      </c>
      <c r="D3" s="125">
        <f>IF(SER_hh_emih_in!D3=0,0,SER_hh_emih_in!D3/SER_summary!D$27)</f>
        <v>2.6660801812526307</v>
      </c>
      <c r="E3" s="125">
        <f>IF(SER_hh_emih_in!E3=0,0,SER_hh_emih_in!E3/SER_summary!E$27)</f>
        <v>2.5860725844489258</v>
      </c>
      <c r="F3" s="125">
        <f>IF(SER_hh_emih_in!F3=0,0,SER_hh_emih_in!F3/SER_summary!F$27)</f>
        <v>2.4320509257721015</v>
      </c>
      <c r="G3" s="125">
        <f>IF(SER_hh_emih_in!G3=0,0,SER_hh_emih_in!G3/SER_summary!G$27)</f>
        <v>2.9751623050129123</v>
      </c>
      <c r="H3" s="125">
        <f>IF(SER_hh_emih_in!H3=0,0,SER_hh_emih_in!H3/SER_summary!H$27)</f>
        <v>5.765776229889199</v>
      </c>
      <c r="I3" s="125">
        <f>IF(SER_hh_emih_in!I3=0,0,SER_hh_emih_in!I3/SER_summary!I$27)</f>
        <v>3.4011972826307142</v>
      </c>
      <c r="J3" s="125">
        <f>IF(SER_hh_emih_in!J3=0,0,SER_hh_emih_in!J3/SER_summary!J$27)</f>
        <v>2.2659898697668064</v>
      </c>
      <c r="K3" s="125">
        <f>IF(SER_hh_emih_in!K3=0,0,SER_hh_emih_in!K3/SER_summary!K$27)</f>
        <v>3.2214705515939528</v>
      </c>
      <c r="L3" s="125">
        <f>IF(SER_hh_emih_in!L3=0,0,SER_hh_emih_in!L3/SER_summary!L$27)</f>
        <v>4.3653393094638391</v>
      </c>
      <c r="M3" s="125">
        <f>IF(SER_hh_emih_in!M3=0,0,SER_hh_emih_in!M3/SER_summary!M$27)</f>
        <v>1.9967286395130672</v>
      </c>
      <c r="N3" s="125">
        <f>IF(SER_hh_emih_in!N3=0,0,SER_hh_emih_in!N3/SER_summary!N$27)</f>
        <v>3.5341818506208407</v>
      </c>
      <c r="O3" s="125">
        <f>IF(SER_hh_emih_in!O3=0,0,SER_hh_emih_in!O3/SER_summary!O$27)</f>
        <v>2.8843687810179044</v>
      </c>
      <c r="P3" s="125">
        <f>IF(SER_hh_emih_in!P3=0,0,SER_hh_emih_in!P3/SER_summary!P$27)</f>
        <v>2.9770562302829919</v>
      </c>
      <c r="Q3" s="125">
        <f>IF(SER_hh_emih_in!Q3=0,0,SER_hh_emih_in!Q3/SER_summary!Q$27)</f>
        <v>5.3901164040578697</v>
      </c>
      <c r="R3" s="125">
        <f>IF(SER_hh_emih_in!R3=0,0,SER_hh_emih_in!R3/SER_summary!R$27)</f>
        <v>2.7757235249327992</v>
      </c>
      <c r="S3" s="125">
        <f>IF(SER_hh_emih_in!S3=0,0,SER_hh_emih_in!S3/SER_summary!S$27)</f>
        <v>1.9256244735290815</v>
      </c>
      <c r="T3" s="125">
        <f>IF(SER_hh_emih_in!T3=0,0,SER_hh_emih_in!T3/SER_summary!T$27)</f>
        <v>2.0041237037520485</v>
      </c>
      <c r="U3" s="125">
        <f>IF(SER_hh_emih_in!U3=0,0,SER_hh_emih_in!U3/SER_summary!U$27)</f>
        <v>1.9430532846279331</v>
      </c>
      <c r="V3" s="125">
        <f>IF(SER_hh_emih_in!V3=0,0,SER_hh_emih_in!V3/SER_summary!V$27)</f>
        <v>1.7796387892754619</v>
      </c>
      <c r="W3" s="125">
        <f>IF(SER_hh_emih_in!W3=0,0,SER_hh_emih_in!W3/SER_summary!W$27)</f>
        <v>2.153836496603704</v>
      </c>
      <c r="X3" s="125">
        <f>IF(SER_hh_emih_in!X3=0,0,SER_hh_emih_in!X3/SER_summary!X$27)</f>
        <v>2.0226235495750897</v>
      </c>
      <c r="Y3" s="125">
        <f>IF(SER_hh_emih_in!Y3=0,0,SER_hh_emih_in!Y3/SER_summary!Y$27)</f>
        <v>2.5356325149712129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2.489746461721364</v>
      </c>
      <c r="D4" s="130">
        <f>IF(SER_hh_emih_in!D4=0,0,SER_hh_emih_in!D4/SER_summary!D$27)</f>
        <v>1.5782488674514659</v>
      </c>
      <c r="E4" s="130">
        <f>IF(SER_hh_emih_in!E4=0,0,SER_hh_emih_in!E4/SER_summary!E$27)</f>
        <v>1.4744972679531769</v>
      </c>
      <c r="F4" s="130">
        <f>IF(SER_hh_emih_in!F4=0,0,SER_hh_emih_in!F4/SER_summary!F$27)</f>
        <v>1.1540199882780724</v>
      </c>
      <c r="G4" s="130">
        <f>IF(SER_hh_emih_in!G4=0,0,SER_hh_emih_in!G4/SER_summary!G$27)</f>
        <v>1.5938203661874466</v>
      </c>
      <c r="H4" s="130">
        <f>IF(SER_hh_emih_in!H4=0,0,SER_hh_emih_in!H4/SER_summary!H$27)</f>
        <v>4.010875491804728</v>
      </c>
      <c r="I4" s="130">
        <f>IF(SER_hh_emih_in!I4=0,0,SER_hh_emih_in!I4/SER_summary!I$27)</f>
        <v>1.6453033967432911</v>
      </c>
      <c r="J4" s="130">
        <f>IF(SER_hh_emih_in!J4=0,0,SER_hh_emih_in!J4/SER_summary!J$27)</f>
        <v>0.82962013634358833</v>
      </c>
      <c r="K4" s="130">
        <f>IF(SER_hh_emih_in!K4=0,0,SER_hh_emih_in!K4/SER_summary!K$27)</f>
        <v>1.9822014320538115</v>
      </c>
      <c r="L4" s="130">
        <f>IF(SER_hh_emih_in!L4=0,0,SER_hh_emih_in!L4/SER_summary!L$27)</f>
        <v>1.9471374525134324</v>
      </c>
      <c r="M4" s="130">
        <f>IF(SER_hh_emih_in!M4=0,0,SER_hh_emih_in!M4/SER_summary!M$27)</f>
        <v>0.63557889260219957</v>
      </c>
      <c r="N4" s="130">
        <f>IF(SER_hh_emih_in!N4=0,0,SER_hh_emih_in!N4/SER_summary!N$27)</f>
        <v>2.0571100748983975</v>
      </c>
      <c r="O4" s="130">
        <f>IF(SER_hh_emih_in!O4=0,0,SER_hh_emih_in!O4/SER_summary!O$27)</f>
        <v>2.0630790075691716</v>
      </c>
      <c r="P4" s="130">
        <f>IF(SER_hh_emih_in!P4=0,0,SER_hh_emih_in!P4/SER_summary!P$27)</f>
        <v>1.9125257040333044</v>
      </c>
      <c r="Q4" s="130">
        <f>IF(SER_hh_emih_in!Q4=0,0,SER_hh_emih_in!Q4/SER_summary!Q$27)</f>
        <v>4.4826552183536617</v>
      </c>
      <c r="R4" s="130">
        <f>IF(SER_hh_emih_in!R4=0,0,SER_hh_emih_in!R4/SER_summary!R$27)</f>
        <v>1.8143995769094043</v>
      </c>
      <c r="S4" s="130">
        <f>IF(SER_hh_emih_in!S4=0,0,SER_hh_emih_in!S4/SER_summary!S$27)</f>
        <v>0.82853554592637613</v>
      </c>
      <c r="T4" s="130">
        <f>IF(SER_hh_emih_in!T4=0,0,SER_hh_emih_in!T4/SER_summary!T$27)</f>
        <v>0.7042414473012556</v>
      </c>
      <c r="U4" s="130">
        <f>IF(SER_hh_emih_in!U4=0,0,SER_hh_emih_in!U4/SER_summary!U$27)</f>
        <v>0.78934001948760435</v>
      </c>
      <c r="V4" s="130">
        <f>IF(SER_hh_emih_in!V4=0,0,SER_hh_emih_in!V4/SER_summary!V$27)</f>
        <v>0.95462593181445488</v>
      </c>
      <c r="W4" s="130">
        <f>IF(SER_hh_emih_in!W4=0,0,SER_hh_emih_in!W4/SER_summary!W$27)</f>
        <v>0.94418310335495892</v>
      </c>
      <c r="X4" s="130">
        <f>IF(SER_hh_emih_in!X4=0,0,SER_hh_emih_in!X4/SER_summary!X$27)</f>
        <v>0.60393908511514549</v>
      </c>
      <c r="Y4" s="130">
        <f>IF(SER_hh_emih_in!Y4=0,0,SER_hh_emih_in!Y4/SER_summary!Y$27)</f>
        <v>1.0922090433229716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22.084423685391776</v>
      </c>
      <c r="D5" s="132">
        <f>IF(SER_hh_emih_in!D5=0,0,SER_hh_emih_in!D5/SER_summary!D$27)</f>
        <v>26.259952574098143</v>
      </c>
      <c r="E5" s="132">
        <f>IF(SER_hh_emih_in!E5=0,0,SER_hh_emih_in!E5/SER_summary!E$27)</f>
        <v>28.130636858776928</v>
      </c>
      <c r="F5" s="132">
        <f>IF(SER_hh_emih_in!F5=0,0,SER_hh_emih_in!F5/SER_summary!F$27)</f>
        <v>19.259472218166504</v>
      </c>
      <c r="G5" s="132">
        <f>IF(SER_hh_emih_in!G5=0,0,SER_hh_emih_in!G5/SER_summary!G$27)</f>
        <v>0</v>
      </c>
      <c r="H5" s="132">
        <f>IF(SER_hh_emih_in!H5=0,0,SER_hh_emih_in!H5/SER_summary!H$27)</f>
        <v>0</v>
      </c>
      <c r="I5" s="132">
        <f>IF(SER_hh_emih_in!I5=0,0,SER_hh_emih_in!I5/SER_summary!I$27)</f>
        <v>0</v>
      </c>
      <c r="J5" s="132">
        <f>IF(SER_hh_emih_in!J5=0,0,SER_hh_emih_in!J5/SER_summary!J$27)</f>
        <v>27.147898388038573</v>
      </c>
      <c r="K5" s="132">
        <f>IF(SER_hh_emih_in!K5=0,0,SER_hh_emih_in!K5/SER_summary!K$27)</f>
        <v>22.961470071062411</v>
      </c>
      <c r="L5" s="132">
        <f>IF(SER_hh_emih_in!L5=0,0,SER_hh_emih_in!L5/SER_summary!L$27)</f>
        <v>21.485740215733454</v>
      </c>
      <c r="M5" s="132">
        <f>IF(SER_hh_emih_in!M5=0,0,SER_hh_emih_in!M5/SER_summary!M$27)</f>
        <v>23.456889897301366</v>
      </c>
      <c r="N5" s="132">
        <f>IF(SER_hh_emih_in!N5=0,0,SER_hh_emih_in!N5/SER_summary!N$27)</f>
        <v>17.513304914784758</v>
      </c>
      <c r="O5" s="132">
        <f>IF(SER_hh_emih_in!O5=0,0,SER_hh_emih_in!O5/SER_summary!O$27)</f>
        <v>22.593761592236557</v>
      </c>
      <c r="P5" s="132">
        <f>IF(SER_hh_emih_in!P5=0,0,SER_hh_emih_in!P5/SER_summary!P$27)</f>
        <v>10.075332227776482</v>
      </c>
      <c r="Q5" s="132">
        <f>IF(SER_hh_emih_in!Q5=0,0,SER_hh_emih_in!Q5/SER_summary!Q$27)</f>
        <v>24.690242692452653</v>
      </c>
      <c r="R5" s="132">
        <f>IF(SER_hh_emih_in!R5=0,0,SER_hh_emih_in!R5/SER_summary!R$27)</f>
        <v>26.507451181028166</v>
      </c>
      <c r="S5" s="132">
        <f>IF(SER_hh_emih_in!S5=0,0,SER_hh_emih_in!S5/SER_summary!S$27)</f>
        <v>18.341876553869984</v>
      </c>
      <c r="T5" s="132">
        <f>IF(SER_hh_emih_in!T5=0,0,SER_hh_emih_in!T5/SER_summary!T$27)</f>
        <v>12.81876828361416</v>
      </c>
      <c r="U5" s="132">
        <f>IF(SER_hh_emih_in!U5=0,0,SER_hh_emih_in!U5/SER_summary!U$27)</f>
        <v>18.797833245005435</v>
      </c>
      <c r="V5" s="132">
        <f>IF(SER_hh_emih_in!V5=0,0,SER_hh_emih_in!V5/SER_summary!V$27)</f>
        <v>0</v>
      </c>
      <c r="W5" s="132">
        <f>IF(SER_hh_emih_in!W5=0,0,SER_hh_emih_in!W5/SER_summary!W$27)</f>
        <v>0</v>
      </c>
      <c r="X5" s="132">
        <f>IF(SER_hh_emih_in!X5=0,0,SER_hh_emih_in!X5/SER_summary!X$27)</f>
        <v>0</v>
      </c>
      <c r="Y5" s="132">
        <f>IF(SER_hh_emih_in!Y5=0,0,SER_hh_emih_in!Y5/SER_summary!Y$27)</f>
        <v>0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30.961341847667885</v>
      </c>
      <c r="D7" s="132">
        <f>IF(SER_hh_emih_in!D7=0,0,SER_hh_emih_in!D7/SER_summary!D$27)</f>
        <v>0</v>
      </c>
      <c r="E7" s="132">
        <f>IF(SER_hh_emih_in!E7=0,0,SER_hh_emih_in!E7/SER_summary!E$27)</f>
        <v>0</v>
      </c>
      <c r="F7" s="132">
        <f>IF(SER_hh_emih_in!F7=0,0,SER_hh_emih_in!F7/SER_summary!F$27)</f>
        <v>0</v>
      </c>
      <c r="G7" s="132">
        <f>IF(SER_hh_emih_in!G7=0,0,SER_hh_emih_in!G7/SER_summary!G$27)</f>
        <v>0</v>
      </c>
      <c r="H7" s="132">
        <f>IF(SER_hh_emih_in!H7=0,0,SER_hh_emih_in!H7/SER_summary!H$27)</f>
        <v>27.970486794127023</v>
      </c>
      <c r="I7" s="132">
        <f>IF(SER_hh_emih_in!I7=0,0,SER_hh_emih_in!I7/SER_summary!I$27)</f>
        <v>0</v>
      </c>
      <c r="J7" s="132">
        <f>IF(SER_hh_emih_in!J7=0,0,SER_hh_emih_in!J7/SER_summary!J$27)</f>
        <v>0</v>
      </c>
      <c r="K7" s="132">
        <f>IF(SER_hh_emih_in!K7=0,0,SER_hh_emih_in!K7/SER_summary!K$27)</f>
        <v>26.931198381290507</v>
      </c>
      <c r="L7" s="132">
        <f>IF(SER_hh_emih_in!L7=0,0,SER_hh_emih_in!L7/SER_summary!L$27)</f>
        <v>18.254388729285434</v>
      </c>
      <c r="M7" s="132">
        <f>IF(SER_hh_emih_in!M7=0,0,SER_hh_emih_in!M7/SER_summary!M$27)</f>
        <v>0</v>
      </c>
      <c r="N7" s="132">
        <f>IF(SER_hh_emih_in!N7=0,0,SER_hh_emih_in!N7/SER_summary!N$27)</f>
        <v>18.278616184825072</v>
      </c>
      <c r="O7" s="132">
        <f>IF(SER_hh_emih_in!O7=0,0,SER_hh_emih_in!O7/SER_summary!O$27)</f>
        <v>12.645044817799803</v>
      </c>
      <c r="P7" s="132">
        <f>IF(SER_hh_emih_in!P7=0,0,SER_hh_emih_in!P7/SER_summary!P$27)</f>
        <v>7.1499059495805444</v>
      </c>
      <c r="Q7" s="132">
        <f>IF(SER_hh_emih_in!Q7=0,0,SER_hh_emih_in!Q7/SER_summary!Q$27)</f>
        <v>19.083079606939553</v>
      </c>
      <c r="R7" s="132">
        <f>IF(SER_hh_emih_in!R7=0,0,SER_hh_emih_in!R7/SER_summary!R$27)</f>
        <v>17.190066122228131</v>
      </c>
      <c r="S7" s="132">
        <f>IF(SER_hh_emih_in!S7=0,0,SER_hh_emih_in!S7/SER_summary!S$27)</f>
        <v>0</v>
      </c>
      <c r="T7" s="132">
        <f>IF(SER_hh_emih_in!T7=0,0,SER_hh_emih_in!T7/SER_summary!T$27)</f>
        <v>0</v>
      </c>
      <c r="U7" s="132">
        <f>IF(SER_hh_emih_in!U7=0,0,SER_hh_emih_in!U7/SER_summary!U$27)</f>
        <v>0</v>
      </c>
      <c r="V7" s="132">
        <f>IF(SER_hh_emih_in!V7=0,0,SER_hh_emih_in!V7/SER_summary!V$27)</f>
        <v>0</v>
      </c>
      <c r="W7" s="132">
        <f>IF(SER_hh_emih_in!W7=0,0,SER_hh_emih_in!W7/SER_summary!W$27)</f>
        <v>10.474192660585041</v>
      </c>
      <c r="X7" s="132">
        <f>IF(SER_hh_emih_in!X7=0,0,SER_hh_emih_in!X7/SER_summary!X$27)</f>
        <v>10.409959414279655</v>
      </c>
      <c r="Y7" s="132">
        <f>IF(SER_hh_emih_in!Y7=0,0,SER_hh_emih_in!Y7/SER_summary!Y$27)</f>
        <v>12.817010877211779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0</v>
      </c>
      <c r="D8" s="132">
        <f>IF(SER_hh_emih_in!D8=0,0,SER_hh_emih_in!D8/SER_summary!D$27)</f>
        <v>0</v>
      </c>
      <c r="E8" s="132">
        <f>IF(SER_hh_emih_in!E8=0,0,SER_hh_emih_in!E8/SER_summary!E$27)</f>
        <v>0</v>
      </c>
      <c r="F8" s="132">
        <f>IF(SER_hh_emih_in!F8=0,0,SER_hh_emih_in!F8/SER_summary!F$27)</f>
        <v>0</v>
      </c>
      <c r="G8" s="132">
        <f>IF(SER_hh_emih_in!G8=0,0,SER_hh_emih_in!G8/SER_summary!G$27)</f>
        <v>0</v>
      </c>
      <c r="H8" s="132">
        <f>IF(SER_hh_emih_in!H8=0,0,SER_hh_emih_in!H8/SER_summary!H$27)</f>
        <v>0</v>
      </c>
      <c r="I8" s="132">
        <f>IF(SER_hh_emih_in!I8=0,0,SER_hh_emih_in!I8/SER_summary!I$27)</f>
        <v>0</v>
      </c>
      <c r="J8" s="132">
        <f>IF(SER_hh_emih_in!J8=0,0,SER_hh_emih_in!J8/SER_summary!J$27)</f>
        <v>0</v>
      </c>
      <c r="K8" s="132">
        <f>IF(SER_hh_emih_in!K8=0,0,SER_hh_emih_in!K8/SER_summary!K$27)</f>
        <v>0</v>
      </c>
      <c r="L8" s="132">
        <f>IF(SER_hh_emih_in!L8=0,0,SER_hh_emih_in!L8/SER_summary!L$27)</f>
        <v>0</v>
      </c>
      <c r="M8" s="132">
        <f>IF(SER_hh_emih_in!M8=0,0,SER_hh_emih_in!M8/SER_summary!M$27)</f>
        <v>0</v>
      </c>
      <c r="N8" s="132">
        <f>IF(SER_hh_emih_in!N8=0,0,SER_hh_emih_in!N8/SER_summary!N$27)</f>
        <v>0</v>
      </c>
      <c r="O8" s="132">
        <f>IF(SER_hh_emih_in!O8=0,0,SER_hh_emih_in!O8/SER_summary!O$27)</f>
        <v>0</v>
      </c>
      <c r="P8" s="132">
        <f>IF(SER_hh_emih_in!P8=0,0,SER_hh_emih_in!P8/SER_summary!P$27)</f>
        <v>0</v>
      </c>
      <c r="Q8" s="132">
        <f>IF(SER_hh_emih_in!Q8=0,0,SER_hh_emih_in!Q8/SER_summary!Q$27)</f>
        <v>0</v>
      </c>
      <c r="R8" s="132">
        <f>IF(SER_hh_emih_in!R8=0,0,SER_hh_emih_in!R8/SER_summary!R$27)</f>
        <v>0</v>
      </c>
      <c r="S8" s="132">
        <f>IF(SER_hh_emih_in!S8=0,0,SER_hh_emih_in!S8/SER_summary!S$27)</f>
        <v>0</v>
      </c>
      <c r="T8" s="132">
        <f>IF(SER_hh_emih_in!T8=0,0,SER_hh_emih_in!T8/SER_summary!T$27)</f>
        <v>0</v>
      </c>
      <c r="U8" s="132">
        <f>IF(SER_hh_emih_in!U8=0,0,SER_hh_emih_in!U8/SER_summary!U$27)</f>
        <v>0</v>
      </c>
      <c r="V8" s="132">
        <f>IF(SER_hh_emih_in!V8=0,0,SER_hh_emih_in!V8/SER_summary!V$27)</f>
        <v>0</v>
      </c>
      <c r="W8" s="132">
        <f>IF(SER_hh_emih_in!W8=0,0,SER_hh_emih_in!W8/SER_summary!W$27)</f>
        <v>0</v>
      </c>
      <c r="X8" s="132">
        <f>IF(SER_hh_emih_in!X8=0,0,SER_hh_emih_in!X8/SER_summary!X$27)</f>
        <v>0</v>
      </c>
      <c r="Y8" s="132">
        <f>IF(SER_hh_emih_in!Y8=0,0,SER_hh_emih_in!Y8/SER_summary!Y$27)</f>
        <v>0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17.299858266484016</v>
      </c>
      <c r="D9" s="132">
        <f>IF(SER_hh_emih_in!D9=0,0,SER_hh_emih_in!D9/SER_summary!D$27)</f>
        <v>14.358166441641</v>
      </c>
      <c r="E9" s="132">
        <f>IF(SER_hh_emih_in!E9=0,0,SER_hh_emih_in!E9/SER_summary!E$27)</f>
        <v>15.82652608089578</v>
      </c>
      <c r="F9" s="132">
        <f>IF(SER_hh_emih_in!F9=0,0,SER_hh_emih_in!F9/SER_summary!F$27)</f>
        <v>12.076204917261203</v>
      </c>
      <c r="G9" s="132">
        <f>IF(SER_hh_emih_in!G9=0,0,SER_hh_emih_in!G9/SER_summary!G$27)</f>
        <v>15.113647916761206</v>
      </c>
      <c r="H9" s="132">
        <f>IF(SER_hh_emih_in!H9=0,0,SER_hh_emih_in!H9/SER_summary!H$27)</f>
        <v>18.878867202802965</v>
      </c>
      <c r="I9" s="132">
        <f>IF(SER_hh_emih_in!I9=0,0,SER_hh_emih_in!I9/SER_summary!I$27)</f>
        <v>16.656481354965067</v>
      </c>
      <c r="J9" s="132">
        <f>IF(SER_hh_emih_in!J9=0,0,SER_hh_emih_in!J9/SER_summary!J$27)</f>
        <v>19.272262197088391</v>
      </c>
      <c r="K9" s="132">
        <f>IF(SER_hh_emih_in!K9=0,0,SER_hh_emih_in!K9/SER_summary!K$27)</f>
        <v>11.779558944399634</v>
      </c>
      <c r="L9" s="132">
        <f>IF(SER_hh_emih_in!L9=0,0,SER_hh_emih_in!L9/SER_summary!L$27)</f>
        <v>15.565931420700226</v>
      </c>
      <c r="M9" s="132">
        <f>IF(SER_hh_emih_in!M9=0,0,SER_hh_emih_in!M9/SER_summary!M$27)</f>
        <v>15.466958882010845</v>
      </c>
      <c r="N9" s="132">
        <f>IF(SER_hh_emih_in!N9=0,0,SER_hh_emih_in!N9/SER_summary!N$27)</f>
        <v>13.119834312517792</v>
      </c>
      <c r="O9" s="132">
        <f>IF(SER_hh_emih_in!O9=0,0,SER_hh_emih_in!O9/SER_summary!O$27)</f>
        <v>10.544497259812816</v>
      </c>
      <c r="P9" s="132">
        <f>IF(SER_hh_emih_in!P9=0,0,SER_hh_emih_in!P9/SER_summary!P$27)</f>
        <v>10.011681261229656</v>
      </c>
      <c r="Q9" s="132">
        <f>IF(SER_hh_emih_in!Q9=0,0,SER_hh_emih_in!Q9/SER_summary!Q$27)</f>
        <v>10.180366461592682</v>
      </c>
      <c r="R9" s="132">
        <f>IF(SER_hh_emih_in!R9=0,0,SER_hh_emih_in!R9/SER_summary!R$27)</f>
        <v>9.8826804244406183</v>
      </c>
      <c r="S9" s="132">
        <f>IF(SER_hh_emih_in!S9=0,0,SER_hh_emih_in!S9/SER_summary!S$27)</f>
        <v>9.9626343577709822</v>
      </c>
      <c r="T9" s="132">
        <f>IF(SER_hh_emih_in!T9=0,0,SER_hh_emih_in!T9/SER_summary!T$27)</f>
        <v>10.141695036006475</v>
      </c>
      <c r="U9" s="132">
        <f>IF(SER_hh_emih_in!U9=0,0,SER_hh_emih_in!U9/SER_summary!U$27)</f>
        <v>8.3646873540769402</v>
      </c>
      <c r="V9" s="132">
        <f>IF(SER_hh_emih_in!V9=0,0,SER_hh_emih_in!V9/SER_summary!V$27)</f>
        <v>7.9163662781772857</v>
      </c>
      <c r="W9" s="132">
        <f>IF(SER_hh_emih_in!W9=0,0,SER_hh_emih_in!W9/SER_summary!W$27)</f>
        <v>9.4806113094827165</v>
      </c>
      <c r="X9" s="132">
        <f>IF(SER_hh_emih_in!X9=0,0,SER_hh_emih_in!X9/SER_summary!X$27)</f>
        <v>8.280146027948124</v>
      </c>
      <c r="Y9" s="132">
        <f>IF(SER_hh_emih_in!Y9=0,0,SER_hh_emih_in!Y9/SER_summary!Y$27)</f>
        <v>0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0</v>
      </c>
      <c r="K10" s="132">
        <f>IF(SER_hh_emih_in!K10=0,0,SER_hh_emih_in!K10/SER_summary!K$27)</f>
        <v>0</v>
      </c>
      <c r="L10" s="132">
        <f>IF(SER_hh_emih_in!L10=0,0,SER_hh_emih_in!L10/SER_summary!L$27)</f>
        <v>0</v>
      </c>
      <c r="M10" s="132">
        <f>IF(SER_hh_emih_in!M10=0,0,SER_hh_emih_in!M10/SER_summary!M$27)</f>
        <v>0</v>
      </c>
      <c r="N10" s="132">
        <f>IF(SER_hh_emih_in!N10=0,0,SER_hh_emih_in!N10/SER_summary!N$27)</f>
        <v>0</v>
      </c>
      <c r="O10" s="132">
        <f>IF(SER_hh_emih_in!O10=0,0,SER_hh_emih_in!O10/SER_summary!O$27)</f>
        <v>0</v>
      </c>
      <c r="P10" s="132">
        <f>IF(SER_hh_emih_in!P10=0,0,SER_hh_emih_in!P10/SER_summary!P$27)</f>
        <v>0</v>
      </c>
      <c r="Q10" s="132">
        <f>IF(SER_hh_emih_in!Q10=0,0,SER_hh_emih_in!Q10/SER_summary!Q$27)</f>
        <v>0</v>
      </c>
      <c r="R10" s="132">
        <f>IF(SER_hh_emih_in!R10=0,0,SER_hh_emih_in!R10/SER_summary!R$27)</f>
        <v>0</v>
      </c>
      <c r="S10" s="132">
        <f>IF(SER_hh_emih_in!S10=0,0,SER_hh_emih_in!S10/SER_summary!S$27)</f>
        <v>0</v>
      </c>
      <c r="T10" s="132">
        <f>IF(SER_hh_emih_in!T10=0,0,SER_hh_emih_in!T10/SER_summary!T$27)</f>
        <v>0</v>
      </c>
      <c r="U10" s="132">
        <f>IF(SER_hh_emih_in!U10=0,0,SER_hh_emih_in!U10/SER_summary!U$27)</f>
        <v>0</v>
      </c>
      <c r="V10" s="132">
        <f>IF(SER_hh_emih_in!V10=0,0,SER_hh_emih_in!V10/SER_summary!V$27)</f>
        <v>0</v>
      </c>
      <c r="W10" s="132">
        <f>IF(SER_hh_emih_in!W10=0,0,SER_hh_emih_in!W10/SER_summary!W$27)</f>
        <v>0</v>
      </c>
      <c r="X10" s="132">
        <f>IF(SER_hh_emih_in!X10=0,0,SER_hh_emih_in!X10/SER_summary!X$27)</f>
        <v>0</v>
      </c>
      <c r="Y10" s="132">
        <f>IF(SER_hh_emih_in!Y10=0,0,SER_hh_emih_in!Y10/SER_summary!Y$27)</f>
        <v>0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0</v>
      </c>
      <c r="D16" s="130">
        <f>IF(SER_hh_emih_in!D16=0,0,SER_hh_emih_in!D16/SER_summary!D$27)</f>
        <v>0</v>
      </c>
      <c r="E16" s="130">
        <f>IF(SER_hh_emih_in!E16=0,0,SER_hh_emih_in!E16/SER_summary!E$27)</f>
        <v>0</v>
      </c>
      <c r="F16" s="130">
        <f>IF(SER_hh_emih_in!F16=0,0,SER_hh_emih_in!F16/SER_summary!F$27)</f>
        <v>0</v>
      </c>
      <c r="G16" s="130">
        <f>IF(SER_hh_emih_in!G16=0,0,SER_hh_emih_in!G16/SER_summary!G$27)</f>
        <v>0</v>
      </c>
      <c r="H16" s="130">
        <f>IF(SER_hh_emih_in!H16=0,0,SER_hh_emih_in!H16/SER_summary!H$27)</f>
        <v>0</v>
      </c>
      <c r="I16" s="130">
        <f>IF(SER_hh_emih_in!I16=0,0,SER_hh_emih_in!I16/SER_summary!I$27)</f>
        <v>0</v>
      </c>
      <c r="J16" s="130">
        <f>IF(SER_hh_emih_in!J16=0,0,SER_hh_emih_in!J16/SER_summary!J$27)</f>
        <v>0</v>
      </c>
      <c r="K16" s="130">
        <f>IF(SER_hh_emih_in!K16=0,0,SER_hh_emih_in!K16/SER_summary!K$27)</f>
        <v>0</v>
      </c>
      <c r="L16" s="130">
        <f>IF(SER_hh_emih_in!L16=0,0,SER_hh_emih_in!L16/SER_summary!L$27)</f>
        <v>0</v>
      </c>
      <c r="M16" s="130">
        <f>IF(SER_hh_emih_in!M16=0,0,SER_hh_emih_in!M16/SER_summary!M$27)</f>
        <v>0</v>
      </c>
      <c r="N16" s="130">
        <f>IF(SER_hh_emih_in!N16=0,0,SER_hh_emih_in!N16/SER_summary!N$27)</f>
        <v>0</v>
      </c>
      <c r="O16" s="130">
        <f>IF(SER_hh_emih_in!O16=0,0,SER_hh_emih_in!O16/SER_summary!O$27)</f>
        <v>0</v>
      </c>
      <c r="P16" s="130">
        <f>IF(SER_hh_emih_in!P16=0,0,SER_hh_emih_in!P16/SER_summary!P$27)</f>
        <v>0</v>
      </c>
      <c r="Q16" s="130">
        <f>IF(SER_hh_emih_in!Q16=0,0,SER_hh_emih_in!Q16/SER_summary!Q$27)</f>
        <v>0</v>
      </c>
      <c r="R16" s="130">
        <f>IF(SER_hh_emih_in!R16=0,0,SER_hh_emih_in!R16/SER_summary!R$27)</f>
        <v>0</v>
      </c>
      <c r="S16" s="130">
        <f>IF(SER_hh_emih_in!S16=0,0,SER_hh_emih_in!S16/SER_summary!S$27)</f>
        <v>0</v>
      </c>
      <c r="T16" s="130">
        <f>IF(SER_hh_emih_in!T16=0,0,SER_hh_emih_in!T16/SER_summary!T$27)</f>
        <v>0</v>
      </c>
      <c r="U16" s="130">
        <f>IF(SER_hh_emih_in!U16=0,0,SER_hh_emih_in!U16/SER_summary!U$27)</f>
        <v>0</v>
      </c>
      <c r="V16" s="130">
        <f>IF(SER_hh_emih_in!V16=0,0,SER_hh_emih_in!V16/SER_summary!V$27)</f>
        <v>0</v>
      </c>
      <c r="W16" s="130">
        <f>IF(SER_hh_emih_in!W16=0,0,SER_hh_emih_in!W16/SER_summary!W$27)</f>
        <v>0</v>
      </c>
      <c r="X16" s="130">
        <f>IF(SER_hh_emih_in!X16=0,0,SER_hh_emih_in!X16/SER_summary!X$27)</f>
        <v>0</v>
      </c>
      <c r="Y16" s="130">
        <f>IF(SER_hh_emih_in!Y16=0,0,SER_hh_emih_in!Y16/SER_summary!Y$27)</f>
        <v>0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0</v>
      </c>
      <c r="D17" s="132">
        <f>IF(SER_hh_emih_in!D17=0,0,SER_hh_emih_in!D17/SER_summary!D$27)</f>
        <v>0</v>
      </c>
      <c r="E17" s="132">
        <f>IF(SER_hh_emih_in!E17=0,0,SER_hh_emih_in!E17/SER_summary!E$27)</f>
        <v>0</v>
      </c>
      <c r="F17" s="132">
        <f>IF(SER_hh_emih_in!F17=0,0,SER_hh_emih_in!F17/SER_summary!F$27)</f>
        <v>0</v>
      </c>
      <c r="G17" s="132">
        <f>IF(SER_hh_emih_in!G17=0,0,SER_hh_emih_in!G17/SER_summary!G$27)</f>
        <v>0</v>
      </c>
      <c r="H17" s="132">
        <f>IF(SER_hh_emih_in!H17=0,0,SER_hh_emih_in!H17/SER_summary!H$27)</f>
        <v>0</v>
      </c>
      <c r="I17" s="132">
        <f>IF(SER_hh_emih_in!I17=0,0,SER_hh_emih_in!I17/SER_summary!I$27)</f>
        <v>0</v>
      </c>
      <c r="J17" s="132">
        <f>IF(SER_hh_emih_in!J17=0,0,SER_hh_emih_in!J17/SER_summary!J$27)</f>
        <v>0</v>
      </c>
      <c r="K17" s="132">
        <f>IF(SER_hh_emih_in!K17=0,0,SER_hh_emih_in!K17/SER_summary!K$27)</f>
        <v>0</v>
      </c>
      <c r="L17" s="132">
        <f>IF(SER_hh_emih_in!L17=0,0,SER_hh_emih_in!L17/SER_summary!L$27)</f>
        <v>0</v>
      </c>
      <c r="M17" s="132">
        <f>IF(SER_hh_emih_in!M17=0,0,SER_hh_emih_in!M17/SER_summary!M$27)</f>
        <v>0</v>
      </c>
      <c r="N17" s="132">
        <f>IF(SER_hh_emih_in!N17=0,0,SER_hh_emih_in!N17/SER_summary!N$27)</f>
        <v>0</v>
      </c>
      <c r="O17" s="132">
        <f>IF(SER_hh_emih_in!O17=0,0,SER_hh_emih_in!O17/SER_summary!O$27)</f>
        <v>0</v>
      </c>
      <c r="P17" s="132">
        <f>IF(SER_hh_emih_in!P17=0,0,SER_hh_emih_in!P17/SER_summary!P$27)</f>
        <v>0</v>
      </c>
      <c r="Q17" s="132">
        <f>IF(SER_hh_emih_in!Q17=0,0,SER_hh_emih_in!Q17/SER_summary!Q$27)</f>
        <v>0</v>
      </c>
      <c r="R17" s="132">
        <f>IF(SER_hh_emih_in!R17=0,0,SER_hh_emih_in!R17/SER_summary!R$27)</f>
        <v>0</v>
      </c>
      <c r="S17" s="132">
        <f>IF(SER_hh_emih_in!S17=0,0,SER_hh_emih_in!S17/SER_summary!S$27)</f>
        <v>0</v>
      </c>
      <c r="T17" s="132">
        <f>IF(SER_hh_emih_in!T17=0,0,SER_hh_emih_in!T17/SER_summary!T$27)</f>
        <v>0</v>
      </c>
      <c r="U17" s="132">
        <f>IF(SER_hh_emih_in!U17=0,0,SER_hh_emih_in!U17/SER_summary!U$27)</f>
        <v>0</v>
      </c>
      <c r="V17" s="132">
        <f>IF(SER_hh_emih_in!V17=0,0,SER_hh_emih_in!V17/SER_summary!V$27)</f>
        <v>0</v>
      </c>
      <c r="W17" s="132">
        <f>IF(SER_hh_emih_in!W17=0,0,SER_hh_emih_in!W17/SER_summary!W$27)</f>
        <v>0</v>
      </c>
      <c r="X17" s="132">
        <f>IF(SER_hh_emih_in!X17=0,0,SER_hh_emih_in!X17/SER_summary!X$27)</f>
        <v>0</v>
      </c>
      <c r="Y17" s="132">
        <f>IF(SER_hh_emih_in!Y17=0,0,SER_hh_emih_in!Y17/SER_summary!Y$27)</f>
        <v>0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0.68106185460886492</v>
      </c>
      <c r="D19" s="130">
        <f>IF(SER_hh_emih_in!D19=0,0,SER_hh_emih_in!D19/SER_summary!D$27)</f>
        <v>0.68982464882644634</v>
      </c>
      <c r="E19" s="130">
        <f>IF(SER_hh_emih_in!E19=0,0,SER_hh_emih_in!E19/SER_summary!E$27)</f>
        <v>0.63428108263222627</v>
      </c>
      <c r="F19" s="130">
        <f>IF(SER_hh_emih_in!F19=0,0,SER_hh_emih_in!F19/SER_summary!F$27)</f>
        <v>0.67897637702693969</v>
      </c>
      <c r="G19" s="130">
        <f>IF(SER_hh_emih_in!G19=0,0,SER_hh_emih_in!G19/SER_summary!G$27)</f>
        <v>0.7932714166802648</v>
      </c>
      <c r="H19" s="130">
        <f>IF(SER_hh_emih_in!H19=0,0,SER_hh_emih_in!H19/SER_summary!H$27)</f>
        <v>0.97020056813276412</v>
      </c>
      <c r="I19" s="130">
        <f>IF(SER_hh_emih_in!I19=0,0,SER_hh_emih_in!I19/SER_summary!I$27)</f>
        <v>1.1406856812639945</v>
      </c>
      <c r="J19" s="130">
        <f>IF(SER_hh_emih_in!J19=0,0,SER_hh_emih_in!J19/SER_summary!J$27)</f>
        <v>1.007557913820011</v>
      </c>
      <c r="K19" s="130">
        <f>IF(SER_hh_emih_in!K19=0,0,SER_hh_emih_in!K19/SER_summary!K$27)</f>
        <v>0.94019202293527349</v>
      </c>
      <c r="L19" s="130">
        <f>IF(SER_hh_emih_in!L19=0,0,SER_hh_emih_in!L19/SER_summary!L$27)</f>
        <v>0.31310202986909352</v>
      </c>
      <c r="M19" s="130">
        <f>IF(SER_hh_emih_in!M19=0,0,SER_hh_emih_in!M19/SER_summary!M$27)</f>
        <v>0.46798220525862216</v>
      </c>
      <c r="N19" s="130">
        <f>IF(SER_hh_emih_in!N19=0,0,SER_hh_emih_in!N19/SER_summary!N$27)</f>
        <v>0.44384677512548842</v>
      </c>
      <c r="O19" s="130">
        <f>IF(SER_hh_emih_in!O19=0,0,SER_hh_emih_in!O19/SER_summary!O$27)</f>
        <v>0.24949781415930838</v>
      </c>
      <c r="P19" s="130">
        <f>IF(SER_hh_emih_in!P19=0,0,SER_hh_emih_in!P19/SER_summary!P$27)</f>
        <v>0.50754899061424275</v>
      </c>
      <c r="Q19" s="130">
        <f>IF(SER_hh_emih_in!Q19=0,0,SER_hh_emih_in!Q19/SER_summary!Q$27)</f>
        <v>0.41216114908761475</v>
      </c>
      <c r="R19" s="130">
        <f>IF(SER_hh_emih_in!R19=0,0,SER_hh_emih_in!R19/SER_summary!R$27)</f>
        <v>0.44375884147711225</v>
      </c>
      <c r="S19" s="130">
        <f>IF(SER_hh_emih_in!S19=0,0,SER_hh_emih_in!S19/SER_summary!S$27)</f>
        <v>0.46898055189241628</v>
      </c>
      <c r="T19" s="130">
        <f>IF(SER_hh_emih_in!T19=0,0,SER_hh_emih_in!T19/SER_summary!T$27)</f>
        <v>0.52232938685413277</v>
      </c>
      <c r="U19" s="130">
        <f>IF(SER_hh_emih_in!U19=0,0,SER_hh_emih_in!U19/SER_summary!U$27)</f>
        <v>0.49038898522929414</v>
      </c>
      <c r="V19" s="130">
        <f>IF(SER_hh_emih_in!V19=0,0,SER_hh_emih_in!V19/SER_summary!V$27)</f>
        <v>0.22808564790072991</v>
      </c>
      <c r="W19" s="130">
        <f>IF(SER_hh_emih_in!W19=0,0,SER_hh_emih_in!W19/SER_summary!W$27)</f>
        <v>0.37374357729973984</v>
      </c>
      <c r="X19" s="130">
        <f>IF(SER_hh_emih_in!X19=0,0,SER_hh_emih_in!X19/SER_summary!X$27)</f>
        <v>0.37673415897740048</v>
      </c>
      <c r="Y19" s="130">
        <f>IF(SER_hh_emih_in!Y19=0,0,SER_hh_emih_in!Y19/SER_summary!Y$27)</f>
        <v>0.60342787524527508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0</v>
      </c>
      <c r="D21" s="132">
        <f>IF(SER_hh_emih_in!D21=0,0,SER_hh_emih_in!D21/SER_summary!D$27)</f>
        <v>0</v>
      </c>
      <c r="E21" s="132">
        <f>IF(SER_hh_emih_in!E21=0,0,SER_hh_emih_in!E21/SER_summary!E$27)</f>
        <v>0</v>
      </c>
      <c r="F21" s="132">
        <f>IF(SER_hh_emih_in!F21=0,0,SER_hh_emih_in!F21/SER_summary!F$27)</f>
        <v>0</v>
      </c>
      <c r="G21" s="132">
        <f>IF(SER_hh_emih_in!G21=0,0,SER_hh_emih_in!G21/SER_summary!G$27)</f>
        <v>0</v>
      </c>
      <c r="H21" s="132">
        <f>IF(SER_hh_emih_in!H21=0,0,SER_hh_emih_in!H21/SER_summary!H$27)</f>
        <v>0</v>
      </c>
      <c r="I21" s="132">
        <f>IF(SER_hh_emih_in!I21=0,0,SER_hh_emih_in!I21/SER_summary!I$27)</f>
        <v>0</v>
      </c>
      <c r="J21" s="132">
        <f>IF(SER_hh_emih_in!J21=0,0,SER_hh_emih_in!J21/SER_summary!J$27)</f>
        <v>0</v>
      </c>
      <c r="K21" s="132">
        <f>IF(SER_hh_emih_in!K21=0,0,SER_hh_emih_in!K21/SER_summary!K$27)</f>
        <v>0</v>
      </c>
      <c r="L21" s="132">
        <f>IF(SER_hh_emih_in!L21=0,0,SER_hh_emih_in!L21/SER_summary!L$27)</f>
        <v>0</v>
      </c>
      <c r="M21" s="132">
        <f>IF(SER_hh_emih_in!M21=0,0,SER_hh_emih_in!M21/SER_summary!M$27)</f>
        <v>0</v>
      </c>
      <c r="N21" s="132">
        <f>IF(SER_hh_emih_in!N21=0,0,SER_hh_emih_in!N21/SER_summary!N$27)</f>
        <v>0</v>
      </c>
      <c r="O21" s="132">
        <f>IF(SER_hh_emih_in!O21=0,0,SER_hh_emih_in!O21/SER_summary!O$27)</f>
        <v>0</v>
      </c>
      <c r="P21" s="132">
        <f>IF(SER_hh_emih_in!P21=0,0,SER_hh_emih_in!P21/SER_summary!P$27)</f>
        <v>0</v>
      </c>
      <c r="Q21" s="132">
        <f>IF(SER_hh_emih_in!Q21=0,0,SER_hh_emih_in!Q21/SER_summary!Q$27)</f>
        <v>0</v>
      </c>
      <c r="R21" s="132">
        <f>IF(SER_hh_emih_in!R21=0,0,SER_hh_emih_in!R21/SER_summary!R$27)</f>
        <v>0</v>
      </c>
      <c r="S21" s="132">
        <f>IF(SER_hh_emih_in!S21=0,0,SER_hh_emih_in!S21/SER_summary!S$27)</f>
        <v>0</v>
      </c>
      <c r="T21" s="132">
        <f>IF(SER_hh_emih_in!T21=0,0,SER_hh_emih_in!T21/SER_summary!T$27)</f>
        <v>0</v>
      </c>
      <c r="U21" s="132">
        <f>IF(SER_hh_emih_in!U21=0,0,SER_hh_emih_in!U21/SER_summary!U$27)</f>
        <v>0</v>
      </c>
      <c r="V21" s="132">
        <f>IF(SER_hh_emih_in!V21=0,0,SER_hh_emih_in!V21/SER_summary!V$27)</f>
        <v>0</v>
      </c>
      <c r="W21" s="132">
        <f>IF(SER_hh_emih_in!W21=0,0,SER_hh_emih_in!W21/SER_summary!W$27)</f>
        <v>0</v>
      </c>
      <c r="X21" s="132">
        <f>IF(SER_hh_emih_in!X21=0,0,SER_hh_emih_in!X21/SER_summary!X$27)</f>
        <v>0</v>
      </c>
      <c r="Y21" s="132">
        <f>IF(SER_hh_emih_in!Y21=0,0,SER_hh_emih_in!Y21/SER_summary!Y$27)</f>
        <v>0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6.1509553340229646</v>
      </c>
      <c r="D22" s="132">
        <f>IF(SER_hh_emih_in!D22=0,0,SER_hh_emih_in!D22/SER_summary!D$27)</f>
        <v>6.1774614291703616</v>
      </c>
      <c r="E22" s="132">
        <f>IF(SER_hh_emih_in!E22=0,0,SER_hh_emih_in!E22/SER_summary!E$27)</f>
        <v>6.0528074139095214</v>
      </c>
      <c r="F22" s="132">
        <f>IF(SER_hh_emih_in!F22=0,0,SER_hh_emih_in!F22/SER_summary!F$27)</f>
        <v>0</v>
      </c>
      <c r="G22" s="132">
        <f>IF(SER_hh_emih_in!G22=0,0,SER_hh_emih_in!G22/SER_summary!G$27)</f>
        <v>0</v>
      </c>
      <c r="H22" s="132">
        <f>IF(SER_hh_emih_in!H22=0,0,SER_hh_emih_in!H22/SER_summary!H$27)</f>
        <v>5.6032397156789369</v>
      </c>
      <c r="I22" s="132">
        <f>IF(SER_hh_emih_in!I22=0,0,SER_hh_emih_in!I22/SER_summary!I$27)</f>
        <v>5.6322189110359657</v>
      </c>
      <c r="J22" s="132">
        <f>IF(SER_hh_emih_in!J22=0,0,SER_hh_emih_in!J22/SER_summary!J$27)</f>
        <v>5.7019406135697333</v>
      </c>
      <c r="K22" s="132">
        <f>IF(SER_hh_emih_in!K22=0,0,SER_hh_emih_in!K22/SER_summary!K$27)</f>
        <v>5.6779009748771001</v>
      </c>
      <c r="L22" s="132">
        <f>IF(SER_hh_emih_in!L22=0,0,SER_hh_emih_in!L22/SER_summary!L$27)</f>
        <v>2.8568642744764312</v>
      </c>
      <c r="M22" s="132">
        <f>IF(SER_hh_emih_in!M22=0,0,SER_hh_emih_in!M22/SER_summary!M$27)</f>
        <v>5.6882363586864013</v>
      </c>
      <c r="N22" s="132">
        <f>IF(SER_hh_emih_in!N22=0,0,SER_hh_emih_in!N22/SER_summary!N$27)</f>
        <v>6.0084450206544808</v>
      </c>
      <c r="O22" s="132">
        <f>IF(SER_hh_emih_in!O22=0,0,SER_hh_emih_in!O22/SER_summary!O$27)</f>
        <v>0</v>
      </c>
      <c r="P22" s="132">
        <f>IF(SER_hh_emih_in!P22=0,0,SER_hh_emih_in!P22/SER_summary!P$27)</f>
        <v>0</v>
      </c>
      <c r="Q22" s="132">
        <f>IF(SER_hh_emih_in!Q22=0,0,SER_hh_emih_in!Q22/SER_summary!Q$27)</f>
        <v>0</v>
      </c>
      <c r="R22" s="132">
        <f>IF(SER_hh_emih_in!R22=0,0,SER_hh_emih_in!R22/SER_summary!R$27)</f>
        <v>0</v>
      </c>
      <c r="S22" s="132">
        <f>IF(SER_hh_emih_in!S22=0,0,SER_hh_emih_in!S22/SER_summary!S$27)</f>
        <v>0</v>
      </c>
      <c r="T22" s="132">
        <f>IF(SER_hh_emih_in!T22=0,0,SER_hh_emih_in!T22/SER_summary!T$27)</f>
        <v>0</v>
      </c>
      <c r="U22" s="132">
        <f>IF(SER_hh_emih_in!U22=0,0,SER_hh_emih_in!U22/SER_summary!U$27)</f>
        <v>0</v>
      </c>
      <c r="V22" s="132">
        <f>IF(SER_hh_emih_in!V22=0,0,SER_hh_emih_in!V22/SER_summary!V$27)</f>
        <v>3.3256139591602301</v>
      </c>
      <c r="W22" s="132">
        <f>IF(SER_hh_emih_in!W22=0,0,SER_hh_emih_in!W22/SER_summary!W$27)</f>
        <v>3.7086828320921272</v>
      </c>
      <c r="X22" s="132">
        <f>IF(SER_hh_emih_in!X22=0,0,SER_hh_emih_in!X22/SER_summary!X$27)</f>
        <v>3.7118810302427412</v>
      </c>
      <c r="Y22" s="132">
        <f>IF(SER_hh_emih_in!Y22=0,0,SER_hh_emih_in!Y22/SER_summary!Y$27)</f>
        <v>4.9417379965092527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4.1537987536767158</v>
      </c>
      <c r="D23" s="132">
        <f>IF(SER_hh_emih_in!D23=0,0,SER_hh_emih_in!D23/SER_summary!D$27)</f>
        <v>3.6954318267309065</v>
      </c>
      <c r="E23" s="132">
        <f>IF(SER_hh_emih_in!E23=0,0,SER_hh_emih_in!E23/SER_summary!E$27)</f>
        <v>3.8673294452589597</v>
      </c>
      <c r="F23" s="132">
        <f>IF(SER_hh_emih_in!F23=0,0,SER_hh_emih_in!F23/SER_summary!F$27)</f>
        <v>3.7664167019992658</v>
      </c>
      <c r="G23" s="132">
        <f>IF(SER_hh_emih_in!G23=0,0,SER_hh_emih_in!G23/SER_summary!G$27)</f>
        <v>3.6409718975189449</v>
      </c>
      <c r="H23" s="132">
        <f>IF(SER_hh_emih_in!H23=0,0,SER_hh_emih_in!H23/SER_summary!H$27)</f>
        <v>3.7327557676338818</v>
      </c>
      <c r="I23" s="132">
        <f>IF(SER_hh_emih_in!I23=0,0,SER_hh_emih_in!I23/SER_summary!I$27)</f>
        <v>3.8918792672971843</v>
      </c>
      <c r="J23" s="132">
        <f>IF(SER_hh_emih_in!J23=0,0,SER_hh_emih_in!J23/SER_summary!J$27)</f>
        <v>3.793905651345209</v>
      </c>
      <c r="K23" s="132">
        <f>IF(SER_hh_emih_in!K23=0,0,SER_hh_emih_in!K23/SER_summary!K$27)</f>
        <v>3.7687655138073302</v>
      </c>
      <c r="L23" s="132">
        <f>IF(SER_hh_emih_in!L23=0,0,SER_hh_emih_in!L23/SER_summary!L$27)</f>
        <v>1.7051050688177494</v>
      </c>
      <c r="M23" s="132">
        <f>IF(SER_hh_emih_in!M23=0,0,SER_hh_emih_in!M23/SER_summary!M$27)</f>
        <v>3.3810470005659057</v>
      </c>
      <c r="N23" s="132">
        <f>IF(SER_hh_emih_in!N23=0,0,SER_hh_emih_in!N23/SER_summary!N$27)</f>
        <v>3.5350821502115628</v>
      </c>
      <c r="O23" s="132">
        <f>IF(SER_hh_emih_in!O23=0,0,SER_hh_emih_in!O23/SER_summary!O$27)</f>
        <v>2.5950945023179934</v>
      </c>
      <c r="P23" s="132">
        <f>IF(SER_hh_emih_in!P23=0,0,SER_hh_emih_in!P23/SER_summary!P$27)</f>
        <v>3.4255331706024461</v>
      </c>
      <c r="Q23" s="132">
        <f>IF(SER_hh_emih_in!Q23=0,0,SER_hh_emih_in!Q23/SER_summary!Q$27)</f>
        <v>2.9912017970347549</v>
      </c>
      <c r="R23" s="132">
        <f>IF(SER_hh_emih_in!R23=0,0,SER_hh_emih_in!R23/SER_summary!R$27)</f>
        <v>2.8784856360931776</v>
      </c>
      <c r="S23" s="132">
        <f>IF(SER_hh_emih_in!S23=0,0,SER_hh_emih_in!S23/SER_summary!S$27)</f>
        <v>3.0209905601314011</v>
      </c>
      <c r="T23" s="132">
        <f>IF(SER_hh_emih_in!T23=0,0,SER_hh_emih_in!T23/SER_summary!T$27)</f>
        <v>3.1752955903696822</v>
      </c>
      <c r="U23" s="132">
        <f>IF(SER_hh_emih_in!U23=0,0,SER_hh_emih_in!U23/SER_summary!U$27)</f>
        <v>3.1724743936265662</v>
      </c>
      <c r="V23" s="132">
        <f>IF(SER_hh_emih_in!V23=0,0,SER_hh_emih_in!V23/SER_summary!V$27)</f>
        <v>1.9859444300168692</v>
      </c>
      <c r="W23" s="132">
        <f>IF(SER_hh_emih_in!W23=0,0,SER_hh_emih_in!W23/SER_summary!W$27)</f>
        <v>3.0539294996487092</v>
      </c>
      <c r="X23" s="132">
        <f>IF(SER_hh_emih_in!X23=0,0,SER_hh_emih_in!X23/SER_summary!X$27)</f>
        <v>2.3569781686033897</v>
      </c>
      <c r="Y23" s="132">
        <f>IF(SER_hh_emih_in!Y23=0,0,SER_hh_emih_in!Y23/SER_summary!Y$27)</f>
        <v>3.0040635133564502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0.39203475620109557</v>
      </c>
      <c r="D29" s="130">
        <f>IF(SER_hh_emih_in!D29=0,0,SER_hh_emih_in!D29/SER_summary!D$27)</f>
        <v>0.39800666497471904</v>
      </c>
      <c r="E29" s="130">
        <f>IF(SER_hh_emih_in!E29=0,0,SER_hh_emih_in!E29/SER_summary!E$27)</f>
        <v>0.47729423386352238</v>
      </c>
      <c r="F29" s="130">
        <f>IF(SER_hh_emih_in!F29=0,0,SER_hh_emih_in!F29/SER_summary!F$27)</f>
        <v>0.59905456046708938</v>
      </c>
      <c r="G29" s="130">
        <f>IF(SER_hh_emih_in!G29=0,0,SER_hh_emih_in!G29/SER_summary!G$27)</f>
        <v>0.58807052214520084</v>
      </c>
      <c r="H29" s="130">
        <f>IF(SER_hh_emih_in!H29=0,0,SER_hh_emih_in!H29/SER_summary!H$27)</f>
        <v>0.78470016995170655</v>
      </c>
      <c r="I29" s="130">
        <f>IF(SER_hh_emih_in!I29=0,0,SER_hh_emih_in!I29/SER_summary!I$27)</f>
        <v>0.61520820462342851</v>
      </c>
      <c r="J29" s="130">
        <f>IF(SER_hh_emih_in!J29=0,0,SER_hh_emih_in!J29/SER_summary!J$27)</f>
        <v>0.42881181960320691</v>
      </c>
      <c r="K29" s="130">
        <f>IF(SER_hh_emih_in!K29=0,0,SER_hh_emih_in!K29/SER_summary!K$27)</f>
        <v>0.29907709660486814</v>
      </c>
      <c r="L29" s="130">
        <f>IF(SER_hh_emih_in!L29=0,0,SER_hh_emih_in!L29/SER_summary!L$27)</f>
        <v>2.1050998270813124</v>
      </c>
      <c r="M29" s="130">
        <f>IF(SER_hh_emih_in!M29=0,0,SER_hh_emih_in!M29/SER_summary!M$27)</f>
        <v>0.89316754165224566</v>
      </c>
      <c r="N29" s="130">
        <f>IF(SER_hh_emih_in!N29=0,0,SER_hh_emih_in!N29/SER_summary!N$27)</f>
        <v>1.0332250005969545</v>
      </c>
      <c r="O29" s="130">
        <f>IF(SER_hh_emih_in!O29=0,0,SER_hh_emih_in!O29/SER_summary!O$27)</f>
        <v>0.57179195928942494</v>
      </c>
      <c r="P29" s="130">
        <f>IF(SER_hh_emih_in!P29=0,0,SER_hh_emih_in!P29/SER_summary!P$27)</f>
        <v>0.55698153563544539</v>
      </c>
      <c r="Q29" s="130">
        <f>IF(SER_hh_emih_in!Q29=0,0,SER_hh_emih_in!Q29/SER_summary!Q$27)</f>
        <v>0.4953000366165935</v>
      </c>
      <c r="R29" s="130">
        <f>IF(SER_hh_emih_in!R29=0,0,SER_hh_emih_in!R29/SER_summary!R$27)</f>
        <v>0.51756510654628285</v>
      </c>
      <c r="S29" s="130">
        <f>IF(SER_hh_emih_in!S29=0,0,SER_hh_emih_in!S29/SER_summary!S$27)</f>
        <v>0.62810837571028877</v>
      </c>
      <c r="T29" s="130">
        <f>IF(SER_hh_emih_in!T29=0,0,SER_hh_emih_in!T29/SER_summary!T$27)</f>
        <v>0.77755286959666037</v>
      </c>
      <c r="U29" s="130">
        <f>IF(SER_hh_emih_in!U29=0,0,SER_hh_emih_in!U29/SER_summary!U$27)</f>
        <v>0.66332427991103504</v>
      </c>
      <c r="V29" s="130">
        <f>IF(SER_hh_emih_in!V29=0,0,SER_hh_emih_in!V29/SER_summary!V$27)</f>
        <v>0.59692720956027723</v>
      </c>
      <c r="W29" s="130">
        <f>IF(SER_hh_emih_in!W29=0,0,SER_hh_emih_in!W29/SER_summary!W$27)</f>
        <v>0.83590981594900604</v>
      </c>
      <c r="X29" s="130">
        <f>IF(SER_hh_emih_in!X29=0,0,SER_hh_emih_in!X29/SER_summary!X$27)</f>
        <v>1.0419503054825443</v>
      </c>
      <c r="Y29" s="130">
        <f>IF(SER_hh_emih_in!Y29=0,0,SER_hh_emih_in!Y29/SER_summary!Y$27)</f>
        <v>0.83999559640296673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10.667074787247492</v>
      </c>
      <c r="D30" s="132">
        <f>IF(SER_hh_emih_in!D30=0,0,SER_hh_emih_in!D30/SER_summary!D$27)</f>
        <v>0</v>
      </c>
      <c r="E30" s="132">
        <f>IF(SER_hh_emih_in!E30=0,0,SER_hh_emih_in!E30/SER_summary!E$27)</f>
        <v>0</v>
      </c>
      <c r="F30" s="132">
        <f>IF(SER_hh_emih_in!F30=0,0,SER_hh_emih_in!F30/SER_summary!F$27)</f>
        <v>0</v>
      </c>
      <c r="G30" s="132">
        <f>IF(SER_hh_emih_in!G30=0,0,SER_hh_emih_in!G30/SER_summary!G$27)</f>
        <v>0</v>
      </c>
      <c r="H30" s="132">
        <f>IF(SER_hh_emih_in!H30=0,0,SER_hh_emih_in!H30/SER_summary!H$27)</f>
        <v>0</v>
      </c>
      <c r="I30" s="132">
        <f>IF(SER_hh_emih_in!I30=0,0,SER_hh_emih_in!I30/SER_summary!I$27)</f>
        <v>0</v>
      </c>
      <c r="J30" s="132">
        <f>IF(SER_hh_emih_in!J30=0,0,SER_hh_emih_in!J30/SER_summary!J$27)</f>
        <v>0</v>
      </c>
      <c r="K30" s="132">
        <f>IF(SER_hh_emih_in!K30=0,0,SER_hh_emih_in!K30/SER_summary!K$27)</f>
        <v>0</v>
      </c>
      <c r="L30" s="132">
        <f>IF(SER_hh_emih_in!L30=0,0,SER_hh_emih_in!L30/SER_summary!L$27)</f>
        <v>6.1982708170016929</v>
      </c>
      <c r="M30" s="132">
        <f>IF(SER_hh_emih_in!M30=0,0,SER_hh_emih_in!M30/SER_summary!M$27)</f>
        <v>5.7645185939876562</v>
      </c>
      <c r="N30" s="132">
        <f>IF(SER_hh_emih_in!N30=0,0,SER_hh_emih_in!N30/SER_summary!N$27)</f>
        <v>9.1055342369290422</v>
      </c>
      <c r="O30" s="132">
        <f>IF(SER_hh_emih_in!O30=0,0,SER_hh_emih_in!O30/SER_summary!O$27)</f>
        <v>6.4871647756149518</v>
      </c>
      <c r="P30" s="132">
        <f>IF(SER_hh_emih_in!P30=0,0,SER_hh_emih_in!P30/SER_summary!P$27)</f>
        <v>4.057667658703707</v>
      </c>
      <c r="Q30" s="132">
        <f>IF(SER_hh_emih_in!Q30=0,0,SER_hh_emih_in!Q30/SER_summary!Q$27)</f>
        <v>4.0744081601388418</v>
      </c>
      <c r="R30" s="132">
        <f>IF(SER_hh_emih_in!R30=0,0,SER_hh_emih_in!R30/SER_summary!R$27)</f>
        <v>4.7348273676309915</v>
      </c>
      <c r="S30" s="132">
        <f>IF(SER_hh_emih_in!S30=0,0,SER_hh_emih_in!S30/SER_summary!S$27)</f>
        <v>5.5538414848182036</v>
      </c>
      <c r="T30" s="132">
        <f>IF(SER_hh_emih_in!T30=0,0,SER_hh_emih_in!T30/SER_summary!T$27)</f>
        <v>5.9119616971395477</v>
      </c>
      <c r="U30" s="132">
        <f>IF(SER_hh_emih_in!U30=0,0,SER_hh_emih_in!U30/SER_summary!U$27)</f>
        <v>5.6745705626452985</v>
      </c>
      <c r="V30" s="132">
        <f>IF(SER_hh_emih_in!V30=0,0,SER_hh_emih_in!V30/SER_summary!V$27)</f>
        <v>4.4751733421018312</v>
      </c>
      <c r="W30" s="132">
        <f>IF(SER_hh_emih_in!W30=0,0,SER_hh_emih_in!W30/SER_summary!W$27)</f>
        <v>5.0261988857677062</v>
      </c>
      <c r="X30" s="132">
        <f>IF(SER_hh_emih_in!X30=0,0,SER_hh_emih_in!X30/SER_summary!X$27)</f>
        <v>5.4349770980514469</v>
      </c>
      <c r="Y30" s="132">
        <f>IF(SER_hh_emih_in!Y30=0,0,SER_hh_emih_in!Y30/SER_summary!Y$27)</f>
        <v>5.5925173610737913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4.549337761757335</v>
      </c>
      <c r="D31" s="132">
        <f>IF(SER_hh_emih_in!D31=0,0,SER_hh_emih_in!D31/SER_summary!D$27)</f>
        <v>4.2253238962569748</v>
      </c>
      <c r="E31" s="132">
        <f>IF(SER_hh_emih_in!E31=0,0,SER_hh_emih_in!E31/SER_summary!E$27)</f>
        <v>4.4515776608540101</v>
      </c>
      <c r="F31" s="132">
        <f>IF(SER_hh_emih_in!F31=0,0,SER_hh_emih_in!F31/SER_summary!F$27)</f>
        <v>4.5120185887820909</v>
      </c>
      <c r="G31" s="132">
        <f>IF(SER_hh_emih_in!G31=0,0,SER_hh_emih_in!G31/SER_summary!G$27)</f>
        <v>4.1356158528506706</v>
      </c>
      <c r="H31" s="132">
        <f>IF(SER_hh_emih_in!H31=0,0,SER_hh_emih_in!H31/SER_summary!H$27)</f>
        <v>4.5617116068436285</v>
      </c>
      <c r="I31" s="132">
        <f>IF(SER_hh_emih_in!I31=0,0,SER_hh_emih_in!I31/SER_summary!I$27)</f>
        <v>4.5998363984155439</v>
      </c>
      <c r="J31" s="132">
        <f>IF(SER_hh_emih_in!J31=0,0,SER_hh_emih_in!J31/SER_summary!J$27)</f>
        <v>4.5440029181502792</v>
      </c>
      <c r="K31" s="132">
        <f>IF(SER_hh_emih_in!K31=0,0,SER_hh_emih_in!K31/SER_summary!K$27)</f>
        <v>4.5031959384191858</v>
      </c>
      <c r="L31" s="132">
        <f>IF(SER_hh_emih_in!L31=0,0,SER_hh_emih_in!L31/SER_summary!L$27)</f>
        <v>4.5439260829153634</v>
      </c>
      <c r="M31" s="132">
        <f>IF(SER_hh_emih_in!M31=0,0,SER_hh_emih_in!M31/SER_summary!M$27)</f>
        <v>4.5686091112394118</v>
      </c>
      <c r="N31" s="132">
        <f>IF(SER_hh_emih_in!N31=0,0,SER_hh_emih_in!N31/SER_summary!N$27)</f>
        <v>4.720649460742453</v>
      </c>
      <c r="O31" s="132">
        <f>IF(SER_hh_emih_in!O31=0,0,SER_hh_emih_in!O31/SER_summary!O$27)</f>
        <v>4.7378987080749395</v>
      </c>
      <c r="P31" s="132">
        <f>IF(SER_hh_emih_in!P31=0,0,SER_hh_emih_in!P31/SER_summary!P$27)</f>
        <v>4.7200714193764739</v>
      </c>
      <c r="Q31" s="132">
        <f>IF(SER_hh_emih_in!Q31=0,0,SER_hh_emih_in!Q31/SER_summary!Q$27)</f>
        <v>4.5738194520558189</v>
      </c>
      <c r="R31" s="132">
        <f>IF(SER_hh_emih_in!R31=0,0,SER_hh_emih_in!R31/SER_summary!R$27)</f>
        <v>4.3695951372563773</v>
      </c>
      <c r="S31" s="132">
        <f>IF(SER_hh_emih_in!S31=0,0,SER_hh_emih_in!S31/SER_summary!S$27)</f>
        <v>4.6803154217357807</v>
      </c>
      <c r="T31" s="132">
        <f>IF(SER_hh_emih_in!T31=0,0,SER_hh_emih_in!T31/SER_summary!T$27)</f>
        <v>4.6856041293384418</v>
      </c>
      <c r="U31" s="132">
        <f>IF(SER_hh_emih_in!U31=0,0,SER_hh_emih_in!U31/SER_summary!U$27)</f>
        <v>4.6121119352628854</v>
      </c>
      <c r="V31" s="132">
        <f>IF(SER_hh_emih_in!V31=0,0,SER_hh_emih_in!V31/SER_summary!V$27)</f>
        <v>3.9160931575343629</v>
      </c>
      <c r="W31" s="132">
        <f>IF(SER_hh_emih_in!W31=0,0,SER_hh_emih_in!W31/SER_summary!W$27)</f>
        <v>4.576229739943428</v>
      </c>
      <c r="X31" s="132">
        <f>IF(SER_hh_emih_in!X31=0,0,SER_hh_emih_in!X31/SER_summary!X$27)</f>
        <v>4.5451273689116727</v>
      </c>
      <c r="Y31" s="132">
        <f>IF(SER_hh_emih_in!Y31=0,0,SER_hh_emih_in!Y31/SER_summary!Y$27)</f>
        <v>4.5043106287837409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220.42185268285286</v>
      </c>
      <c r="C3" s="179">
        <f t="shared" ref="C3:W3" si="1">SUM(C4:C9)</f>
        <v>229.76927675063698</v>
      </c>
      <c r="D3" s="179">
        <f t="shared" si="1"/>
        <v>239.94935500712299</v>
      </c>
      <c r="E3" s="179">
        <f t="shared" si="1"/>
        <v>252.11082694569993</v>
      </c>
      <c r="F3" s="179">
        <f t="shared" si="1"/>
        <v>266.69872073520065</v>
      </c>
      <c r="G3" s="179">
        <f t="shared" si="1"/>
        <v>282.531450666078</v>
      </c>
      <c r="H3" s="179">
        <f t="shared" si="1"/>
        <v>300.64383522300227</v>
      </c>
      <c r="I3" s="179">
        <f t="shared" si="1"/>
        <v>318.07835754527355</v>
      </c>
      <c r="J3" s="179">
        <f t="shared" si="1"/>
        <v>332.33442661790025</v>
      </c>
      <c r="K3" s="179">
        <f t="shared" si="1"/>
        <v>341.00365281257064</v>
      </c>
      <c r="L3" s="179">
        <f t="shared" si="1"/>
        <v>348.24171795042275</v>
      </c>
      <c r="M3" s="179">
        <f t="shared" si="1"/>
        <v>356.19114532384975</v>
      </c>
      <c r="N3" s="179">
        <f t="shared" si="1"/>
        <v>361.85508017950883</v>
      </c>
      <c r="O3" s="179">
        <f t="shared" si="1"/>
        <v>368.1470697221979</v>
      </c>
      <c r="P3" s="179">
        <f t="shared" si="1"/>
        <v>377.11814139174766</v>
      </c>
      <c r="Q3" s="179">
        <f t="shared" si="1"/>
        <v>390.7399595075118</v>
      </c>
      <c r="R3" s="179">
        <f t="shared" si="1"/>
        <v>395.60168243358908</v>
      </c>
      <c r="S3" s="179">
        <f t="shared" si="1"/>
        <v>396.28364926163027</v>
      </c>
      <c r="T3" s="179">
        <f t="shared" si="1"/>
        <v>393.38367671941376</v>
      </c>
      <c r="U3" s="179">
        <f t="shared" si="1"/>
        <v>382.74634003715613</v>
      </c>
      <c r="V3" s="179">
        <f t="shared" si="1"/>
        <v>333.84575274396263</v>
      </c>
      <c r="W3" s="179">
        <f t="shared" si="1"/>
        <v>362.89942754705504</v>
      </c>
      <c r="X3" s="179">
        <f t="shared" ref="X3:Y3" si="2">SUM(X4:X9)</f>
        <v>357.81969314919115</v>
      </c>
      <c r="Y3" s="179">
        <f t="shared" si="2"/>
        <v>350.49316107784574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8.4505676679051138</v>
      </c>
      <c r="C4" s="180">
        <f t="shared" ref="C4:R9" si="4">C12*C44/11630</f>
        <v>8.9193662180180056</v>
      </c>
      <c r="D4" s="180">
        <f t="shared" si="4"/>
        <v>9.4998309462749742</v>
      </c>
      <c r="E4" s="180">
        <f t="shared" si="4"/>
        <v>10.119134765707663</v>
      </c>
      <c r="F4" s="180">
        <f t="shared" si="4"/>
        <v>10.824853697126693</v>
      </c>
      <c r="G4" s="180">
        <f t="shared" si="4"/>
        <v>11.747952443518223</v>
      </c>
      <c r="H4" s="180">
        <f t="shared" si="4"/>
        <v>12.766757625827754</v>
      </c>
      <c r="I4" s="180">
        <f t="shared" si="4"/>
        <v>13.749304712555436</v>
      </c>
      <c r="J4" s="180">
        <f t="shared" si="4"/>
        <v>14.612058794077926</v>
      </c>
      <c r="K4" s="180">
        <f t="shared" si="4"/>
        <v>15.129332224459157</v>
      </c>
      <c r="L4" s="180">
        <f t="shared" si="4"/>
        <v>15.841065191095076</v>
      </c>
      <c r="M4" s="180">
        <f t="shared" si="4"/>
        <v>16.672549703395795</v>
      </c>
      <c r="N4" s="180">
        <f t="shared" si="4"/>
        <v>17.411825797298604</v>
      </c>
      <c r="O4" s="180">
        <f t="shared" si="4"/>
        <v>18.167314172714388</v>
      </c>
      <c r="P4" s="180">
        <f t="shared" si="4"/>
        <v>18.956717975990177</v>
      </c>
      <c r="Q4" s="180">
        <f t="shared" si="4"/>
        <v>19.827811451719565</v>
      </c>
      <c r="R4" s="180">
        <f t="shared" si="4"/>
        <v>20.266148288446765</v>
      </c>
      <c r="S4" s="180">
        <f t="shared" ref="D4:W9" si="5">S12*S44/11630</f>
        <v>20.703311031432239</v>
      </c>
      <c r="T4" s="180">
        <f t="shared" si="5"/>
        <v>21.133365413034042</v>
      </c>
      <c r="U4" s="180">
        <f t="shared" si="5"/>
        <v>21.526582157937359</v>
      </c>
      <c r="V4" s="180">
        <f t="shared" si="5"/>
        <v>21.873415709116799</v>
      </c>
      <c r="W4" s="180">
        <f t="shared" si="5"/>
        <v>22.203165671294514</v>
      </c>
      <c r="X4" s="180">
        <f t="shared" ref="X4:Y4" si="6">X12*X44/11630</f>
        <v>22.285312565126961</v>
      </c>
      <c r="Y4" s="180">
        <f t="shared" si="6"/>
        <v>22.187097021501412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30.318189590312773</v>
      </c>
      <c r="C5" s="180">
        <f t="shared" si="4"/>
        <v>31.057176740840429</v>
      </c>
      <c r="D5" s="180">
        <f t="shared" si="5"/>
        <v>31.996272755461256</v>
      </c>
      <c r="E5" s="180">
        <f t="shared" si="5"/>
        <v>32.836778116054575</v>
      </c>
      <c r="F5" s="180">
        <f t="shared" si="5"/>
        <v>33.805515595188552</v>
      </c>
      <c r="G5" s="180">
        <f t="shared" si="5"/>
        <v>34.632977950731387</v>
      </c>
      <c r="H5" s="180">
        <f t="shared" si="5"/>
        <v>35.326015724853832</v>
      </c>
      <c r="I5" s="180">
        <f t="shared" si="5"/>
        <v>35.755522050717239</v>
      </c>
      <c r="J5" s="180">
        <f t="shared" si="5"/>
        <v>36.318027388859043</v>
      </c>
      <c r="K5" s="180">
        <f t="shared" si="5"/>
        <v>36.79583988379818</v>
      </c>
      <c r="L5" s="180">
        <f t="shared" si="5"/>
        <v>37.108247191281912</v>
      </c>
      <c r="M5" s="180">
        <f t="shared" si="5"/>
        <v>37.638915483958101</v>
      </c>
      <c r="N5" s="180">
        <f t="shared" si="5"/>
        <v>38.225387740551213</v>
      </c>
      <c r="O5" s="180">
        <f t="shared" si="5"/>
        <v>38.835911256185902</v>
      </c>
      <c r="P5" s="180">
        <f t="shared" si="5"/>
        <v>39.073036983885551</v>
      </c>
      <c r="Q5" s="180">
        <f t="shared" si="5"/>
        <v>39.571848612272902</v>
      </c>
      <c r="R5" s="180">
        <f t="shared" si="5"/>
        <v>39.839269662959559</v>
      </c>
      <c r="S5" s="180">
        <f t="shared" si="5"/>
        <v>39.551808221321878</v>
      </c>
      <c r="T5" s="180">
        <f t="shared" si="5"/>
        <v>38.68397825094857</v>
      </c>
      <c r="U5" s="180">
        <f t="shared" si="5"/>
        <v>37.069761333575329</v>
      </c>
      <c r="V5" s="180">
        <f t="shared" si="5"/>
        <v>35.622139381286047</v>
      </c>
      <c r="W5" s="180">
        <f t="shared" si="5"/>
        <v>34.551242577653163</v>
      </c>
      <c r="X5" s="180">
        <f t="shared" ref="X5:Y5" si="7">X13*X45/11630</f>
        <v>33.642696374609514</v>
      </c>
      <c r="Y5" s="180">
        <f t="shared" si="7"/>
        <v>32.794415446052732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97.06711405712133</v>
      </c>
      <c r="C6" s="180">
        <f t="shared" si="4"/>
        <v>100.43535679504707</v>
      </c>
      <c r="D6" s="180">
        <f t="shared" si="5"/>
        <v>104.95503287865222</v>
      </c>
      <c r="E6" s="180">
        <f t="shared" si="5"/>
        <v>109.26949806740262</v>
      </c>
      <c r="F6" s="180">
        <f t="shared" si="5"/>
        <v>114.05760897622417</v>
      </c>
      <c r="G6" s="180">
        <f t="shared" si="5"/>
        <v>118.21576285669548</v>
      </c>
      <c r="H6" s="180">
        <f t="shared" si="5"/>
        <v>122.57561872255407</v>
      </c>
      <c r="I6" s="180">
        <f t="shared" si="5"/>
        <v>127.39088964215888</v>
      </c>
      <c r="J6" s="180">
        <f t="shared" si="5"/>
        <v>131.37950972962372</v>
      </c>
      <c r="K6" s="180">
        <f t="shared" si="5"/>
        <v>132.66091011319256</v>
      </c>
      <c r="L6" s="180">
        <f t="shared" si="5"/>
        <v>134.36153645573432</v>
      </c>
      <c r="M6" s="180">
        <f t="shared" si="5"/>
        <v>137.6705389168003</v>
      </c>
      <c r="N6" s="180">
        <f t="shared" si="5"/>
        <v>139.10063824806764</v>
      </c>
      <c r="O6" s="180">
        <f t="shared" si="5"/>
        <v>140.3858034484453</v>
      </c>
      <c r="P6" s="180">
        <f t="shared" si="5"/>
        <v>142.80530010928945</v>
      </c>
      <c r="Q6" s="180">
        <f t="shared" si="5"/>
        <v>147.50900031923206</v>
      </c>
      <c r="R6" s="180">
        <f t="shared" si="5"/>
        <v>147.21895193989448</v>
      </c>
      <c r="S6" s="180">
        <f t="shared" si="5"/>
        <v>144.29904884154428</v>
      </c>
      <c r="T6" s="180">
        <f t="shared" si="5"/>
        <v>139.21941335688604</v>
      </c>
      <c r="U6" s="180">
        <f t="shared" si="5"/>
        <v>129.26193567541679</v>
      </c>
      <c r="V6" s="180">
        <f t="shared" si="5"/>
        <v>96.908096540222942</v>
      </c>
      <c r="W6" s="180">
        <f t="shared" si="5"/>
        <v>110.19368441235346</v>
      </c>
      <c r="X6" s="180">
        <f t="shared" ref="X6:Y6" si="8">X14*X46/11630</f>
        <v>105.06952785695644</v>
      </c>
      <c r="Y6" s="180">
        <f t="shared" si="8"/>
        <v>99.065884892811482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47.061811649014281</v>
      </c>
      <c r="C7" s="180">
        <f t="shared" si="4"/>
        <v>48.58742685808533</v>
      </c>
      <c r="D7" s="180">
        <f t="shared" si="5"/>
        <v>48.795521830957703</v>
      </c>
      <c r="E7" s="180">
        <f t="shared" si="5"/>
        <v>50.124046163589561</v>
      </c>
      <c r="F7" s="180">
        <f t="shared" si="5"/>
        <v>52.189070097846908</v>
      </c>
      <c r="G7" s="180">
        <f t="shared" si="5"/>
        <v>55.34771333175177</v>
      </c>
      <c r="H7" s="180">
        <f t="shared" si="5"/>
        <v>59.547016573793684</v>
      </c>
      <c r="I7" s="180">
        <f t="shared" si="5"/>
        <v>63.316914261549123</v>
      </c>
      <c r="J7" s="180">
        <f t="shared" si="5"/>
        <v>65.760988704789739</v>
      </c>
      <c r="K7" s="180">
        <f t="shared" si="5"/>
        <v>67.38041878147736</v>
      </c>
      <c r="L7" s="180">
        <f t="shared" si="5"/>
        <v>67.866386528246579</v>
      </c>
      <c r="M7" s="180">
        <f t="shared" si="5"/>
        <v>67.476866210890549</v>
      </c>
      <c r="N7" s="180">
        <f t="shared" si="5"/>
        <v>67.283177367054165</v>
      </c>
      <c r="O7" s="180">
        <f t="shared" si="5"/>
        <v>67.245924978856635</v>
      </c>
      <c r="P7" s="180">
        <f t="shared" si="5"/>
        <v>67.438413023944577</v>
      </c>
      <c r="Q7" s="180">
        <f t="shared" si="5"/>
        <v>68.033242692822611</v>
      </c>
      <c r="R7" s="180">
        <f t="shared" si="5"/>
        <v>67.513423509091879</v>
      </c>
      <c r="S7" s="180">
        <f t="shared" si="5"/>
        <v>67.074143958963845</v>
      </c>
      <c r="T7" s="180">
        <f t="shared" si="5"/>
        <v>66.816386676378173</v>
      </c>
      <c r="U7" s="180">
        <f t="shared" si="5"/>
        <v>66.685276822603868</v>
      </c>
      <c r="V7" s="180">
        <f t="shared" si="5"/>
        <v>66.719827478223465</v>
      </c>
      <c r="W7" s="180">
        <f t="shared" si="5"/>
        <v>66.791611992302975</v>
      </c>
      <c r="X7" s="180">
        <f t="shared" ref="X7:Y7" si="9">X15*X47/11630</f>
        <v>66.464745239824339</v>
      </c>
      <c r="Y7" s="180">
        <f t="shared" si="9"/>
        <v>65.770852674065509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16.532623237802223</v>
      </c>
      <c r="C8" s="55">
        <f t="shared" si="4"/>
        <v>17.839528742220011</v>
      </c>
      <c r="D8" s="55">
        <f t="shared" si="5"/>
        <v>19.592737786730783</v>
      </c>
      <c r="E8" s="55">
        <f t="shared" si="5"/>
        <v>21.950121510851453</v>
      </c>
      <c r="F8" s="55">
        <f t="shared" si="5"/>
        <v>24.570835671337825</v>
      </c>
      <c r="G8" s="55">
        <f t="shared" si="5"/>
        <v>27.654239937704755</v>
      </c>
      <c r="H8" s="55">
        <f t="shared" si="5"/>
        <v>31.064082350903814</v>
      </c>
      <c r="I8" s="55">
        <f t="shared" si="5"/>
        <v>34.689294287231689</v>
      </c>
      <c r="J8" s="55">
        <f t="shared" si="5"/>
        <v>37.683308357527864</v>
      </c>
      <c r="K8" s="55">
        <f t="shared" si="5"/>
        <v>39.300345168200636</v>
      </c>
      <c r="L8" s="55">
        <f t="shared" si="5"/>
        <v>41.087487237762126</v>
      </c>
      <c r="M8" s="55">
        <f t="shared" si="5"/>
        <v>43.219103790275668</v>
      </c>
      <c r="N8" s="55">
        <f t="shared" si="5"/>
        <v>44.47759579136013</v>
      </c>
      <c r="O8" s="55">
        <f t="shared" si="5"/>
        <v>45.547872766875102</v>
      </c>
      <c r="P8" s="55">
        <f t="shared" si="5"/>
        <v>46.872872305556839</v>
      </c>
      <c r="Q8" s="55">
        <f t="shared" si="5"/>
        <v>48.142250580597228</v>
      </c>
      <c r="R8" s="55">
        <f t="shared" si="5"/>
        <v>50.033571855527725</v>
      </c>
      <c r="S8" s="55">
        <f t="shared" si="5"/>
        <v>51.347869985093652</v>
      </c>
      <c r="T8" s="55">
        <f t="shared" si="5"/>
        <v>52.22323268705977</v>
      </c>
      <c r="U8" s="55">
        <f t="shared" si="5"/>
        <v>52.069540026871991</v>
      </c>
      <c r="V8" s="55">
        <f t="shared" si="5"/>
        <v>42.049357048756058</v>
      </c>
      <c r="W8" s="55">
        <f t="shared" si="5"/>
        <v>51.921426468652953</v>
      </c>
      <c r="X8" s="55">
        <f t="shared" ref="X8:Y8" si="10">X16*X48/11630</f>
        <v>52.485379696435153</v>
      </c>
      <c r="Y8" s="55">
        <f t="shared" si="10"/>
        <v>52.773218445929842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20.991546480697131</v>
      </c>
      <c r="C9" s="63">
        <f t="shared" si="4"/>
        <v>22.930421396426116</v>
      </c>
      <c r="D9" s="63">
        <f t="shared" si="5"/>
        <v>25.109958809046052</v>
      </c>
      <c r="E9" s="63">
        <f t="shared" si="5"/>
        <v>27.811248322094048</v>
      </c>
      <c r="F9" s="63">
        <f t="shared" si="5"/>
        <v>31.250836697476505</v>
      </c>
      <c r="G9" s="63">
        <f t="shared" si="5"/>
        <v>34.932804145676393</v>
      </c>
      <c r="H9" s="63">
        <f t="shared" si="5"/>
        <v>39.364344225069125</v>
      </c>
      <c r="I9" s="63">
        <f t="shared" si="5"/>
        <v>43.176432591061115</v>
      </c>
      <c r="J9" s="63">
        <f t="shared" si="5"/>
        <v>46.580533643021937</v>
      </c>
      <c r="K9" s="63">
        <f t="shared" si="5"/>
        <v>49.736806641442733</v>
      </c>
      <c r="L9" s="63">
        <f t="shared" si="5"/>
        <v>51.976995346302729</v>
      </c>
      <c r="M9" s="63">
        <f t="shared" si="5"/>
        <v>53.513171218529351</v>
      </c>
      <c r="N9" s="63">
        <f t="shared" si="5"/>
        <v>55.356455235177094</v>
      </c>
      <c r="O9" s="63">
        <f t="shared" si="5"/>
        <v>57.964243099120537</v>
      </c>
      <c r="P9" s="63">
        <f t="shared" si="5"/>
        <v>61.971800993081089</v>
      </c>
      <c r="Q9" s="63">
        <f t="shared" si="5"/>
        <v>67.655805850867424</v>
      </c>
      <c r="R9" s="63">
        <f t="shared" si="5"/>
        <v>70.730317177668667</v>
      </c>
      <c r="S9" s="63">
        <f t="shared" si="5"/>
        <v>73.307467223274401</v>
      </c>
      <c r="T9" s="63">
        <f t="shared" si="5"/>
        <v>75.307300335107215</v>
      </c>
      <c r="U9" s="63">
        <f t="shared" si="5"/>
        <v>76.13324402075078</v>
      </c>
      <c r="V9" s="63">
        <f t="shared" si="5"/>
        <v>70.672916586357275</v>
      </c>
      <c r="W9" s="63">
        <f t="shared" si="5"/>
        <v>77.238296424797952</v>
      </c>
      <c r="X9" s="63">
        <f t="shared" ref="X9:Y9" si="11">X17*X49/11630</f>
        <v>77.872031416238769</v>
      </c>
      <c r="Y9" s="63">
        <f t="shared" si="11"/>
        <v>77.901692597484796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1050.4553720070535</v>
      </c>
      <c r="C11" s="179">
        <f t="shared" ref="C11:W11" si="13">SUM(C12:C17)</f>
        <v>1088.5555685407999</v>
      </c>
      <c r="D11" s="179">
        <f t="shared" si="13"/>
        <v>1136.4557007818337</v>
      </c>
      <c r="E11" s="179">
        <f t="shared" si="13"/>
        <v>1198.1166427192982</v>
      </c>
      <c r="F11" s="179">
        <f t="shared" si="13"/>
        <v>1271.5024108036632</v>
      </c>
      <c r="G11" s="179">
        <f t="shared" si="13"/>
        <v>1349.5721110995448</v>
      </c>
      <c r="H11" s="179">
        <f t="shared" si="13"/>
        <v>1438.8452618914482</v>
      </c>
      <c r="I11" s="179">
        <f t="shared" si="13"/>
        <v>1529.1539502480148</v>
      </c>
      <c r="J11" s="179">
        <f t="shared" si="13"/>
        <v>1603.7445239943261</v>
      </c>
      <c r="K11" s="179">
        <f t="shared" si="13"/>
        <v>1644.8240761952327</v>
      </c>
      <c r="L11" s="179">
        <f t="shared" si="13"/>
        <v>1681.3973945643995</v>
      </c>
      <c r="M11" s="179">
        <f t="shared" si="13"/>
        <v>1726.6395536806795</v>
      </c>
      <c r="N11" s="179">
        <f t="shared" si="13"/>
        <v>1754.1536897786707</v>
      </c>
      <c r="O11" s="179">
        <f t="shared" si="13"/>
        <v>1783.7672384120799</v>
      </c>
      <c r="P11" s="179">
        <f t="shared" si="13"/>
        <v>1828.8722496958144</v>
      </c>
      <c r="Q11" s="179">
        <f t="shared" si="13"/>
        <v>1893.926049790085</v>
      </c>
      <c r="R11" s="179">
        <f t="shared" si="13"/>
        <v>1901.0083142907083</v>
      </c>
      <c r="S11" s="179">
        <f t="shared" si="13"/>
        <v>1901.9125120418671</v>
      </c>
      <c r="T11" s="179">
        <f t="shared" si="13"/>
        <v>1893.5686261640383</v>
      </c>
      <c r="U11" s="179">
        <f t="shared" si="13"/>
        <v>1873.8638434433292</v>
      </c>
      <c r="V11" s="179">
        <f t="shared" si="13"/>
        <v>1842.2628257158617</v>
      </c>
      <c r="W11" s="179">
        <f t="shared" si="13"/>
        <v>1808.1784259282151</v>
      </c>
      <c r="X11" s="179">
        <f t="shared" ref="X11:Y11" si="14">SUM(X12:X17)</f>
        <v>1778.6748540847693</v>
      </c>
      <c r="Y11" s="179">
        <f t="shared" si="14"/>
        <v>1743.2792993301919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11.219189723485901</v>
      </c>
      <c r="C12" s="180">
        <f t="shared" ref="C12:W12" si="15">C20*C52</f>
        <v>11.841578666158608</v>
      </c>
      <c r="D12" s="180">
        <f t="shared" si="15"/>
        <v>12.61221848232625</v>
      </c>
      <c r="E12" s="180">
        <f t="shared" si="15"/>
        <v>13.434422069084494</v>
      </c>
      <c r="F12" s="180">
        <f t="shared" si="15"/>
        <v>14.371352568217288</v>
      </c>
      <c r="G12" s="180">
        <f t="shared" si="15"/>
        <v>15.596882068278191</v>
      </c>
      <c r="H12" s="180">
        <f t="shared" si="15"/>
        <v>16.949473879951697</v>
      </c>
      <c r="I12" s="180">
        <f t="shared" si="15"/>
        <v>18.253928516783077</v>
      </c>
      <c r="J12" s="180">
        <f t="shared" si="15"/>
        <v>19.399342896703914</v>
      </c>
      <c r="K12" s="180">
        <f t="shared" si="15"/>
        <v>20.086088329961182</v>
      </c>
      <c r="L12" s="180">
        <f t="shared" si="15"/>
        <v>21.031003216031472</v>
      </c>
      <c r="M12" s="180">
        <f t="shared" si="15"/>
        <v>22.134903316266332</v>
      </c>
      <c r="N12" s="180">
        <f t="shared" si="15"/>
        <v>23.116385162395286</v>
      </c>
      <c r="O12" s="180">
        <f t="shared" si="15"/>
        <v>24.119390848021503</v>
      </c>
      <c r="P12" s="180">
        <f t="shared" si="15"/>
        <v>25.167423522918465</v>
      </c>
      <c r="Q12" s="180">
        <f t="shared" si="15"/>
        <v>26.323909495833171</v>
      </c>
      <c r="R12" s="180">
        <f t="shared" si="15"/>
        <v>26.905856688885379</v>
      </c>
      <c r="S12" s="180">
        <f t="shared" si="15"/>
        <v>27.486245125063572</v>
      </c>
      <c r="T12" s="180">
        <f t="shared" si="15"/>
        <v>28.057196318902495</v>
      </c>
      <c r="U12" s="180">
        <f t="shared" si="15"/>
        <v>28.579240924293554</v>
      </c>
      <c r="V12" s="180">
        <f t="shared" si="15"/>
        <v>29.039706015642508</v>
      </c>
      <c r="W12" s="180">
        <f t="shared" si="15"/>
        <v>29.477490497392147</v>
      </c>
      <c r="X12" s="180">
        <f t="shared" ref="X12:Y12" si="16">X20*X52</f>
        <v>29.586550814203946</v>
      </c>
      <c r="Y12" s="180">
        <f t="shared" si="16"/>
        <v>29.456157347038978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124.29896115051334</v>
      </c>
      <c r="C13" s="180">
        <f t="shared" ref="C13:W13" si="17">C21*C53/1000</f>
        <v>126.2050469994859</v>
      </c>
      <c r="D13" s="180">
        <f t="shared" si="17"/>
        <v>128.50460220144907</v>
      </c>
      <c r="E13" s="180">
        <f t="shared" si="17"/>
        <v>130.82626396984912</v>
      </c>
      <c r="F13" s="180">
        <f t="shared" si="17"/>
        <v>133.48820326631889</v>
      </c>
      <c r="G13" s="180">
        <f t="shared" si="17"/>
        <v>135.48862193979397</v>
      </c>
      <c r="H13" s="180">
        <f t="shared" si="17"/>
        <v>136.97123863720356</v>
      </c>
      <c r="I13" s="180">
        <f t="shared" si="17"/>
        <v>138.05409427899087</v>
      </c>
      <c r="J13" s="180">
        <f t="shared" si="17"/>
        <v>139.36382715860216</v>
      </c>
      <c r="K13" s="180">
        <f t="shared" si="17"/>
        <v>140.7711537358544</v>
      </c>
      <c r="L13" s="180">
        <f t="shared" si="17"/>
        <v>140.86703353649938</v>
      </c>
      <c r="M13" s="180">
        <f t="shared" si="17"/>
        <v>141.23643672236452</v>
      </c>
      <c r="N13" s="180">
        <f t="shared" si="17"/>
        <v>141.46178247351659</v>
      </c>
      <c r="O13" s="180">
        <f t="shared" si="17"/>
        <v>141.70242646688763</v>
      </c>
      <c r="P13" s="180">
        <f t="shared" si="17"/>
        <v>140.79744476296526</v>
      </c>
      <c r="Q13" s="180">
        <f t="shared" si="17"/>
        <v>140.56171176383162</v>
      </c>
      <c r="R13" s="180">
        <f t="shared" si="17"/>
        <v>138.72213064535802</v>
      </c>
      <c r="S13" s="180">
        <f t="shared" si="17"/>
        <v>136.44831276178525</v>
      </c>
      <c r="T13" s="180">
        <f t="shared" si="17"/>
        <v>133.06976394023843</v>
      </c>
      <c r="U13" s="180">
        <f t="shared" si="17"/>
        <v>129.09261205532158</v>
      </c>
      <c r="V13" s="180">
        <f t="shared" si="17"/>
        <v>124.5047022750778</v>
      </c>
      <c r="W13" s="180">
        <f t="shared" si="17"/>
        <v>120.36744855411551</v>
      </c>
      <c r="X13" s="180">
        <f t="shared" ref="X13:Y13" si="18">X21*X53/1000</f>
        <v>116.29092958219587</v>
      </c>
      <c r="Y13" s="180">
        <f t="shared" si="18"/>
        <v>112.48402905168844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523.09423039172043</v>
      </c>
      <c r="C14" s="180">
        <f t="shared" ref="C14:W14" si="19">C22*C54</f>
        <v>536.67342854372669</v>
      </c>
      <c r="D14" s="180">
        <f t="shared" si="19"/>
        <v>554.26518203344881</v>
      </c>
      <c r="E14" s="180">
        <f t="shared" si="19"/>
        <v>572.51485040811804</v>
      </c>
      <c r="F14" s="180">
        <f t="shared" si="19"/>
        <v>592.56838536752889</v>
      </c>
      <c r="G14" s="180">
        <f t="shared" si="19"/>
        <v>608.15180168137761</v>
      </c>
      <c r="H14" s="180">
        <f t="shared" si="19"/>
        <v>624.24225863236677</v>
      </c>
      <c r="I14" s="180">
        <f t="shared" si="19"/>
        <v>643.56988183640453</v>
      </c>
      <c r="J14" s="180">
        <f t="shared" si="19"/>
        <v>659.33777749840738</v>
      </c>
      <c r="K14" s="180">
        <f t="shared" si="19"/>
        <v>662.44622956027217</v>
      </c>
      <c r="L14" s="180">
        <f t="shared" si="19"/>
        <v>667.54183335915695</v>
      </c>
      <c r="M14" s="180">
        <f t="shared" si="19"/>
        <v>680.39182749943325</v>
      </c>
      <c r="N14" s="180">
        <f t="shared" si="19"/>
        <v>683.65006131344353</v>
      </c>
      <c r="O14" s="180">
        <f t="shared" si="19"/>
        <v>686.60579301222026</v>
      </c>
      <c r="P14" s="180">
        <f t="shared" si="19"/>
        <v>694.4238524753888</v>
      </c>
      <c r="Q14" s="180">
        <f t="shared" si="19"/>
        <v>712.24330527088466</v>
      </c>
      <c r="R14" s="180">
        <f t="shared" si="19"/>
        <v>697.44306736088549</v>
      </c>
      <c r="S14" s="180">
        <f t="shared" si="19"/>
        <v>678.77948599522551</v>
      </c>
      <c r="T14" s="180">
        <f t="shared" si="19"/>
        <v>655.77986078810352</v>
      </c>
      <c r="U14" s="180">
        <f t="shared" si="19"/>
        <v>625.45912881828053</v>
      </c>
      <c r="V14" s="180">
        <f t="shared" si="19"/>
        <v>587.0947103062789</v>
      </c>
      <c r="W14" s="180">
        <f t="shared" si="19"/>
        <v>545.62450958000261</v>
      </c>
      <c r="X14" s="180">
        <f t="shared" ref="X14:Y14" si="20">X22*X54</f>
        <v>516.76721834274645</v>
      </c>
      <c r="Y14" s="180">
        <f t="shared" si="20"/>
        <v>485.61280185681977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62.480464552287238</v>
      </c>
      <c r="C15" s="180">
        <f t="shared" ref="C15:W15" si="21">C23*C55/1000</f>
        <v>64.505910315015086</v>
      </c>
      <c r="D15" s="180">
        <f t="shared" si="21"/>
        <v>64.782182522150464</v>
      </c>
      <c r="E15" s="180">
        <f t="shared" si="21"/>
        <v>66.545965397550972</v>
      </c>
      <c r="F15" s="180">
        <f t="shared" si="21"/>
        <v>69.287543976936036</v>
      </c>
      <c r="G15" s="180">
        <f t="shared" si="21"/>
        <v>73.481039503227507</v>
      </c>
      <c r="H15" s="180">
        <f t="shared" si="21"/>
        <v>79.056141866806001</v>
      </c>
      <c r="I15" s="180">
        <f t="shared" si="21"/>
        <v>84.061154436280404</v>
      </c>
      <c r="J15" s="180">
        <f t="shared" si="21"/>
        <v>87.305970164007419</v>
      </c>
      <c r="K15" s="180">
        <f t="shared" si="21"/>
        <v>89.455966943902013</v>
      </c>
      <c r="L15" s="180">
        <f t="shared" si="21"/>
        <v>90.101150151085349</v>
      </c>
      <c r="M15" s="180">
        <f t="shared" si="21"/>
        <v>89.584013017426614</v>
      </c>
      <c r="N15" s="180">
        <f t="shared" si="21"/>
        <v>89.326866755575395</v>
      </c>
      <c r="O15" s="180">
        <f t="shared" si="21"/>
        <v>89.27740953243179</v>
      </c>
      <c r="P15" s="180">
        <f t="shared" si="21"/>
        <v>89.532961583159306</v>
      </c>
      <c r="Q15" s="180">
        <f t="shared" si="21"/>
        <v>90.322672661818132</v>
      </c>
      <c r="R15" s="180">
        <f t="shared" si="21"/>
        <v>89.632547421317213</v>
      </c>
      <c r="S15" s="180">
        <f t="shared" si="21"/>
        <v>89.049348657848128</v>
      </c>
      <c r="T15" s="180">
        <f t="shared" si="21"/>
        <v>88.707143498433538</v>
      </c>
      <c r="U15" s="180">
        <f t="shared" si="21"/>
        <v>88.533078703982056</v>
      </c>
      <c r="V15" s="180">
        <f t="shared" si="21"/>
        <v>88.578949037869762</v>
      </c>
      <c r="W15" s="180">
        <f t="shared" si="21"/>
        <v>88.674251994347443</v>
      </c>
      <c r="X15" s="180">
        <f t="shared" ref="X15:Y15" si="22">X23*X55/1000</f>
        <v>88.240295335520202</v>
      </c>
      <c r="Y15" s="180">
        <f t="shared" si="22"/>
        <v>87.319065821847232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220.32500174564021</v>
      </c>
      <c r="C16" s="55">
        <f t="shared" ref="C16:W16" si="23">C24*C56</f>
        <v>236.61144995873195</v>
      </c>
      <c r="D16" s="55">
        <f t="shared" si="23"/>
        <v>258.73672547371467</v>
      </c>
      <c r="E16" s="55">
        <f t="shared" si="23"/>
        <v>288.70996537720839</v>
      </c>
      <c r="F16" s="55">
        <f t="shared" si="23"/>
        <v>321.98492512802733</v>
      </c>
      <c r="G16" s="55">
        <f t="shared" si="23"/>
        <v>361.14297986869832</v>
      </c>
      <c r="H16" s="55">
        <f t="shared" si="23"/>
        <v>404.36591735867125</v>
      </c>
      <c r="I16" s="55">
        <f t="shared" si="23"/>
        <v>450.18915861104909</v>
      </c>
      <c r="J16" s="55">
        <f t="shared" si="23"/>
        <v>487.64908356319444</v>
      </c>
      <c r="K16" s="55">
        <f t="shared" si="23"/>
        <v>507.20169729980199</v>
      </c>
      <c r="L16" s="55">
        <f t="shared" si="23"/>
        <v>528.907951211252</v>
      </c>
      <c r="M16" s="55">
        <f t="shared" si="23"/>
        <v>555.44359186680447</v>
      </c>
      <c r="N16" s="55">
        <f t="shared" si="23"/>
        <v>570.73178691138185</v>
      </c>
      <c r="O16" s="55">
        <f t="shared" si="23"/>
        <v>583.60009137109591</v>
      </c>
      <c r="P16" s="55">
        <f t="shared" si="23"/>
        <v>599.72576373225081</v>
      </c>
      <c r="Q16" s="55">
        <f t="shared" si="23"/>
        <v>615.12951965069101</v>
      </c>
      <c r="R16" s="55">
        <f t="shared" si="23"/>
        <v>629.29126354114828</v>
      </c>
      <c r="S16" s="55">
        <f t="shared" si="23"/>
        <v>641.82117387727203</v>
      </c>
      <c r="T16" s="55">
        <f t="shared" si="23"/>
        <v>652.19936962671045</v>
      </c>
      <c r="U16" s="55">
        <f t="shared" si="23"/>
        <v>661.47072482674309</v>
      </c>
      <c r="V16" s="55">
        <f t="shared" si="23"/>
        <v>668.81510071446064</v>
      </c>
      <c r="W16" s="55">
        <f t="shared" si="23"/>
        <v>674.96676415295565</v>
      </c>
      <c r="X16" s="55">
        <f t="shared" ref="X16:Y16" si="24">X24*X56</f>
        <v>677.06609914576666</v>
      </c>
      <c r="Y16" s="55">
        <f t="shared" si="24"/>
        <v>678.17907256660703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109.03752444340637</v>
      </c>
      <c r="C17" s="63">
        <f t="shared" ref="C17:W17" si="25">C25*C57/1000</f>
        <v>112.71815405768169</v>
      </c>
      <c r="D17" s="63">
        <f t="shared" si="25"/>
        <v>117.55479006874421</v>
      </c>
      <c r="E17" s="63">
        <f t="shared" si="25"/>
        <v>126.08517549748717</v>
      </c>
      <c r="F17" s="63">
        <f t="shared" si="25"/>
        <v>139.80200049663472</v>
      </c>
      <c r="G17" s="63">
        <f t="shared" si="25"/>
        <v>155.71078603816909</v>
      </c>
      <c r="H17" s="63">
        <f t="shared" si="25"/>
        <v>177.2602315164489</v>
      </c>
      <c r="I17" s="63">
        <f t="shared" si="25"/>
        <v>195.0257325685067</v>
      </c>
      <c r="J17" s="63">
        <f t="shared" si="25"/>
        <v>210.6885227134108</v>
      </c>
      <c r="K17" s="63">
        <f t="shared" si="25"/>
        <v>224.86294032544112</v>
      </c>
      <c r="L17" s="63">
        <f t="shared" si="25"/>
        <v>232.94842309037432</v>
      </c>
      <c r="M17" s="63">
        <f t="shared" si="25"/>
        <v>237.84878125838452</v>
      </c>
      <c r="N17" s="63">
        <f t="shared" si="25"/>
        <v>245.8668071623581</v>
      </c>
      <c r="O17" s="63">
        <f t="shared" si="25"/>
        <v>258.46212718142277</v>
      </c>
      <c r="P17" s="63">
        <f t="shared" si="25"/>
        <v>279.22480361913165</v>
      </c>
      <c r="Q17" s="63">
        <f t="shared" si="25"/>
        <v>309.3449309470264</v>
      </c>
      <c r="R17" s="63">
        <f t="shared" si="25"/>
        <v>319.01344863311397</v>
      </c>
      <c r="S17" s="63">
        <f t="shared" si="25"/>
        <v>328.32794562467285</v>
      </c>
      <c r="T17" s="63">
        <f t="shared" si="25"/>
        <v>335.75529199164993</v>
      </c>
      <c r="U17" s="63">
        <f t="shared" si="25"/>
        <v>340.72905811470849</v>
      </c>
      <c r="V17" s="63">
        <f t="shared" si="25"/>
        <v>344.22965736653219</v>
      </c>
      <c r="W17" s="63">
        <f t="shared" si="25"/>
        <v>349.0679611494017</v>
      </c>
      <c r="X17" s="63">
        <f t="shared" ref="X17:Y17" si="26">X25*X57/1000</f>
        <v>350.72376086433621</v>
      </c>
      <c r="Y17" s="63">
        <f t="shared" si="26"/>
        <v>350.22817268619013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12.942042929570391</v>
      </c>
      <c r="C20" s="181">
        <v>13.815578369795453</v>
      </c>
      <c r="D20" s="181">
        <v>14.909538542230795</v>
      </c>
      <c r="E20" s="181">
        <v>16.104857822304037</v>
      </c>
      <c r="F20" s="181">
        <v>17.493166446091394</v>
      </c>
      <c r="G20" s="181">
        <v>19.328238043864367</v>
      </c>
      <c r="H20" s="181">
        <v>21.403519796686862</v>
      </c>
      <c r="I20" s="181">
        <v>23.474528165709042</v>
      </c>
      <c r="J20" s="181">
        <v>25.372576739925215</v>
      </c>
      <c r="K20" s="181">
        <v>26.628266441535292</v>
      </c>
      <c r="L20" s="181">
        <v>28.336666135987791</v>
      </c>
      <c r="M20" s="181">
        <v>30.375781666486617</v>
      </c>
      <c r="N20" s="181">
        <v>32.307247607638537</v>
      </c>
      <c r="O20" s="181">
        <v>34.364022345539908</v>
      </c>
      <c r="P20" s="181">
        <v>36.600565857205126</v>
      </c>
      <c r="Q20" s="181">
        <v>39.151990638850258</v>
      </c>
      <c r="R20" s="181">
        <v>40.69538362652245</v>
      </c>
      <c r="S20" s="181">
        <v>42.270812902627547</v>
      </c>
      <c r="T20" s="181">
        <v>43.863792975480138</v>
      </c>
      <c r="U20" s="181">
        <v>45.460439911491115</v>
      </c>
      <c r="V20" s="181">
        <v>47.032501381000991</v>
      </c>
      <c r="W20" s="181">
        <v>48.587552200023623</v>
      </c>
      <c r="X20" s="181">
        <v>49.575017369790849</v>
      </c>
      <c r="Y20" s="181">
        <v>50.238987860415001</v>
      </c>
      <c r="DA20" s="190" t="s">
        <v>922</v>
      </c>
    </row>
    <row r="21" spans="1:105" ht="12" customHeight="1" x14ac:dyDescent="0.25">
      <c r="A21" s="131" t="s">
        <v>156</v>
      </c>
      <c r="B21" s="181">
        <v>565.48006190362946</v>
      </c>
      <c r="C21" s="181">
        <v>580.04002420906261</v>
      </c>
      <c r="D21" s="181">
        <v>597.71283610876878</v>
      </c>
      <c r="E21" s="181">
        <v>617.30254601020874</v>
      </c>
      <c r="F21" s="181">
        <v>641.07756768929482</v>
      </c>
      <c r="G21" s="181">
        <v>663.80879784688625</v>
      </c>
      <c r="H21" s="181">
        <v>686.84586214018339</v>
      </c>
      <c r="I21" s="181">
        <v>709.47917593204261</v>
      </c>
      <c r="J21" s="181">
        <v>726.65875882338116</v>
      </c>
      <c r="K21" s="181">
        <v>745.95113885019509</v>
      </c>
      <c r="L21" s="181">
        <v>758.77730349798082</v>
      </c>
      <c r="M21" s="181">
        <v>774.39814911974452</v>
      </c>
      <c r="N21" s="181">
        <v>790.91648298926793</v>
      </c>
      <c r="O21" s="181">
        <v>810.55103738523439</v>
      </c>
      <c r="P21" s="181">
        <v>829.74564075517947</v>
      </c>
      <c r="Q21" s="181">
        <v>857.64383186231385</v>
      </c>
      <c r="R21" s="181">
        <v>882.25378158386491</v>
      </c>
      <c r="S21" s="181">
        <v>906.88923890098351</v>
      </c>
      <c r="T21" s="181">
        <v>930.16950822082435</v>
      </c>
      <c r="U21" s="181">
        <v>952.45201920198724</v>
      </c>
      <c r="V21" s="181">
        <v>973.24387380941971</v>
      </c>
      <c r="W21" s="181">
        <v>992.40417866566384</v>
      </c>
      <c r="X21" s="181">
        <v>1002.3683792586164</v>
      </c>
      <c r="Y21" s="181">
        <v>1009.3627955907488</v>
      </c>
      <c r="DA21" s="190" t="s">
        <v>923</v>
      </c>
    </row>
    <row r="22" spans="1:105" ht="12" customHeight="1" x14ac:dyDescent="0.25">
      <c r="A22" s="131" t="s">
        <v>160</v>
      </c>
      <c r="B22" s="181">
        <v>9.6747257220616927</v>
      </c>
      <c r="C22" s="181">
        <v>10.047898976874217</v>
      </c>
      <c r="D22" s="181">
        <v>10.582239667255248</v>
      </c>
      <c r="E22" s="181">
        <v>11.202672108568052</v>
      </c>
      <c r="F22" s="181">
        <v>11.91964499759704</v>
      </c>
      <c r="G22" s="181">
        <v>12.607849146618101</v>
      </c>
      <c r="H22" s="181">
        <v>13.400695694223893</v>
      </c>
      <c r="I22" s="181">
        <v>14.256351098795134</v>
      </c>
      <c r="J22" s="181">
        <v>15.084622549904106</v>
      </c>
      <c r="K22" s="181">
        <v>15.627419486199731</v>
      </c>
      <c r="L22" s="181">
        <v>16.291058124533617</v>
      </c>
      <c r="M22" s="181">
        <v>17.238950801700646</v>
      </c>
      <c r="N22" s="181">
        <v>17.993997933783383</v>
      </c>
      <c r="O22" s="181">
        <v>18.890572528098073</v>
      </c>
      <c r="P22" s="181">
        <v>20.104025035827132</v>
      </c>
      <c r="Q22" s="181">
        <v>21.797504674861614</v>
      </c>
      <c r="R22" s="181">
        <v>22.806752677723431</v>
      </c>
      <c r="S22" s="181">
        <v>23.848960842863338</v>
      </c>
      <c r="T22" s="181">
        <v>24.868992087549007</v>
      </c>
      <c r="U22" s="181">
        <v>25.828039166288484</v>
      </c>
      <c r="V22" s="181">
        <v>26.652109902031818</v>
      </c>
      <c r="W22" s="181">
        <v>27.239639512808253</v>
      </c>
      <c r="X22" s="181">
        <v>27.64461966163368</v>
      </c>
      <c r="Y22" s="181">
        <v>27.939866699534214</v>
      </c>
      <c r="DA22" s="190" t="s">
        <v>924</v>
      </c>
    </row>
    <row r="23" spans="1:105" ht="12" customHeight="1" x14ac:dyDescent="0.25">
      <c r="A23" s="131" t="s">
        <v>172</v>
      </c>
      <c r="B23" s="181">
        <v>86.08950188483125</v>
      </c>
      <c r="C23" s="181">
        <v>89.789197500246388</v>
      </c>
      <c r="D23" s="181">
        <v>91.061054284189552</v>
      </c>
      <c r="E23" s="181">
        <v>94.747107352677432</v>
      </c>
      <c r="F23" s="181">
        <v>100.12926426478433</v>
      </c>
      <c r="G23" s="181">
        <v>108.04988184574144</v>
      </c>
      <c r="H23" s="181">
        <v>118.54425784785528</v>
      </c>
      <c r="I23" s="181">
        <v>128.562366862083</v>
      </c>
      <c r="J23" s="181">
        <v>136.09235213527546</v>
      </c>
      <c r="K23" s="181">
        <v>142.1481718862324</v>
      </c>
      <c r="L23" s="181">
        <v>145.9216207551388</v>
      </c>
      <c r="M23" s="181">
        <v>147.36847092905657</v>
      </c>
      <c r="N23" s="181">
        <v>148.66541281402999</v>
      </c>
      <c r="O23" s="181">
        <v>150.97216496057169</v>
      </c>
      <c r="P23" s="181">
        <v>154.52869639091659</v>
      </c>
      <c r="Q23" s="181">
        <v>159.72600368641383</v>
      </c>
      <c r="R23" s="181">
        <v>162.54067302693761</v>
      </c>
      <c r="S23" s="181">
        <v>165.36454460710712</v>
      </c>
      <c r="T23" s="181">
        <v>168.03950339136455</v>
      </c>
      <c r="U23" s="181">
        <v>170.68674311188835</v>
      </c>
      <c r="V23" s="181">
        <v>173.31814653721591</v>
      </c>
      <c r="W23" s="181">
        <v>175.95860703815924</v>
      </c>
      <c r="X23" s="181">
        <v>177.18175148483968</v>
      </c>
      <c r="Y23" s="181">
        <v>178.03595419118764</v>
      </c>
      <c r="DA23" s="190" t="s">
        <v>925</v>
      </c>
    </row>
    <row r="24" spans="1:105" ht="12" customHeight="1" x14ac:dyDescent="0.25">
      <c r="A24" s="60" t="s">
        <v>159</v>
      </c>
      <c r="B24" s="36">
        <v>4.3239868926995904</v>
      </c>
      <c r="C24" s="36">
        <v>4.6726410337397919</v>
      </c>
      <c r="D24" s="36">
        <v>5.1486311879005555</v>
      </c>
      <c r="E24" s="36">
        <v>5.7981194965939604</v>
      </c>
      <c r="F24" s="36">
        <v>6.5283958506773034</v>
      </c>
      <c r="G24" s="36">
        <v>7.3980941564609841</v>
      </c>
      <c r="H24" s="36">
        <v>8.3716026716207086</v>
      </c>
      <c r="I24" s="36">
        <v>9.4196218762849551</v>
      </c>
      <c r="J24" s="36">
        <v>10.298128044132753</v>
      </c>
      <c r="K24" s="36">
        <v>10.788470902912993</v>
      </c>
      <c r="L24" s="36">
        <v>11.347109339944593</v>
      </c>
      <c r="M24" s="36">
        <v>12.049806264305134</v>
      </c>
      <c r="N24" s="36">
        <v>12.519863182552704</v>
      </c>
      <c r="O24" s="36">
        <v>12.970603657274928</v>
      </c>
      <c r="P24" s="36">
        <v>13.555062585010633</v>
      </c>
      <c r="Q24" s="36">
        <v>14.182390469635546</v>
      </c>
      <c r="R24" s="36">
        <v>14.718837499601991</v>
      </c>
      <c r="S24" s="36">
        <v>15.265285716609972</v>
      </c>
      <c r="T24" s="36">
        <v>15.821664207660094</v>
      </c>
      <c r="U24" s="36">
        <v>16.386346746839624</v>
      </c>
      <c r="V24" s="36">
        <v>16.955467438487869</v>
      </c>
      <c r="W24" s="36">
        <v>17.531819059067807</v>
      </c>
      <c r="X24" s="36">
        <v>18.020643479142766</v>
      </c>
      <c r="Y24" s="36">
        <v>18.431441037838116</v>
      </c>
      <c r="DA24" s="89" t="s">
        <v>926</v>
      </c>
    </row>
    <row r="25" spans="1:105" ht="12" customHeight="1" x14ac:dyDescent="0.25">
      <c r="A25" s="62" t="s">
        <v>157</v>
      </c>
      <c r="B25" s="38">
        <v>270.55792777002097</v>
      </c>
      <c r="C25" s="38">
        <v>284.31452370684593</v>
      </c>
      <c r="D25" s="38">
        <v>303.39563015580416</v>
      </c>
      <c r="E25" s="38">
        <v>335.67850847475086</v>
      </c>
      <c r="F25" s="38">
        <v>386.81715844582902</v>
      </c>
      <c r="G25" s="38">
        <v>449.41686787827734</v>
      </c>
      <c r="H25" s="38">
        <v>535.75269208047484</v>
      </c>
      <c r="I25" s="38">
        <v>616.79414459910424</v>
      </c>
      <c r="J25" s="38">
        <v>699.93808298094177</v>
      </c>
      <c r="K25" s="38">
        <v>792.35073307986886</v>
      </c>
      <c r="L25" s="38">
        <v>874.42223467110307</v>
      </c>
      <c r="M25" s="38">
        <v>957.78193690130604</v>
      </c>
      <c r="N25" s="38">
        <v>1049.9914286437113</v>
      </c>
      <c r="O25" s="38">
        <v>1159.7768673577839</v>
      </c>
      <c r="P25" s="38">
        <v>1303.5550933230415</v>
      </c>
      <c r="Q25" s="38">
        <v>1482.4057645324781</v>
      </c>
      <c r="R25" s="38">
        <v>1557.9804066908991</v>
      </c>
      <c r="S25" s="38">
        <v>1633.2987685873261</v>
      </c>
      <c r="T25" s="38">
        <v>1706.7193085715185</v>
      </c>
      <c r="U25" s="38">
        <v>1778.4847207370847</v>
      </c>
      <c r="V25" s="38">
        <v>1847.0769181274804</v>
      </c>
      <c r="W25" s="38">
        <v>1914.0931595921243</v>
      </c>
      <c r="X25" s="38">
        <v>1961.8267641923692</v>
      </c>
      <c r="Y25" s="38">
        <v>1998.2575951711869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1.4348749021500709</v>
      </c>
      <c r="D28" s="182">
        <v>1.6711774546437574</v>
      </c>
      <c r="E28" s="182">
        <v>1.7888634961479362</v>
      </c>
      <c r="F28" s="182">
        <v>1.9986415907557973</v>
      </c>
      <c r="G28" s="182">
        <v>2.4626681954317107</v>
      </c>
      <c r="H28" s="182">
        <v>2.7206302932253443</v>
      </c>
      <c r="I28" s="182">
        <v>2.7346109764195994</v>
      </c>
      <c r="J28" s="182">
        <v>2.5804215757414575</v>
      </c>
      <c r="K28" s="182">
        <v>1.9573640290163397</v>
      </c>
      <c r="L28" s="182">
        <v>2.4299212972130206</v>
      </c>
      <c r="M28" s="182">
        <v>2.7810458005921923</v>
      </c>
      <c r="N28" s="182">
        <v>2.6943821498624736</v>
      </c>
      <c r="O28" s="182">
        <v>2.8412704849747925</v>
      </c>
      <c r="P28" s="182">
        <v>3.0432291871687767</v>
      </c>
      <c r="Q28" s="182">
        <v>3.3809280408919022</v>
      </c>
      <c r="R28" s="182">
        <v>2.3963592395787998</v>
      </c>
      <c r="S28" s="182">
        <v>2.4525221853629233</v>
      </c>
      <c r="T28" s="182">
        <v>2.4948820763032415</v>
      </c>
      <c r="U28" s="182">
        <v>3.0315218381610478</v>
      </c>
      <c r="V28" s="182">
        <v>3.243238924153637</v>
      </c>
      <c r="W28" s="182">
        <v>3.343914315170565</v>
      </c>
      <c r="X28" s="182">
        <v>2.9861067605230218</v>
      </c>
      <c r="Y28" s="182">
        <v>3.1266386860558626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85.496286097380505</v>
      </c>
      <c r="D29" s="182">
        <v>91.662581344077751</v>
      </c>
      <c r="E29" s="182">
        <v>96.76436020454355</v>
      </c>
      <c r="F29" s="182">
        <v>104.27164566011129</v>
      </c>
      <c r="G29" s="182">
        <v>106.69282177988578</v>
      </c>
      <c r="H29" s="182">
        <v>110.61277267841729</v>
      </c>
      <c r="I29" s="182">
        <v>113.97870816762656</v>
      </c>
      <c r="J29" s="182">
        <v>102.67586898871912</v>
      </c>
      <c r="K29" s="182">
        <v>110.95496137089162</v>
      </c>
      <c r="L29" s="182">
        <v>109.59052485232928</v>
      </c>
      <c r="M29" s="182">
        <v>119.89249128187498</v>
      </c>
      <c r="N29" s="182">
        <v>123.21115564940919</v>
      </c>
      <c r="O29" s="182">
        <v>130.24732707438375</v>
      </c>
      <c r="P29" s="182">
        <v>133.17331153757164</v>
      </c>
      <c r="Q29" s="182">
        <v>130.5740600958535</v>
      </c>
      <c r="R29" s="182">
        <v>135.56491109244269</v>
      </c>
      <c r="S29" s="182">
        <v>134.22598216944789</v>
      </c>
      <c r="T29" s="182">
        <v>143.17276060171582</v>
      </c>
      <c r="U29" s="182">
        <v>145.49366663057208</v>
      </c>
      <c r="V29" s="182">
        <v>151.03918168181622</v>
      </c>
      <c r="W29" s="182">
        <v>152.33361639381576</v>
      </c>
      <c r="X29" s="182">
        <v>140.53826068880608</v>
      </c>
      <c r="Y29" s="182">
        <v>142.55932742457503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1.8840374127047852</v>
      </c>
      <c r="D30" s="182">
        <v>2.0844546093198559</v>
      </c>
      <c r="E30" s="182">
        <v>2.2108157654099205</v>
      </c>
      <c r="F30" s="182">
        <v>2.3486717510698565</v>
      </c>
      <c r="G30" s="182">
        <v>2.3622918585969739</v>
      </c>
      <c r="H30" s="182">
        <v>2.5104242971224977</v>
      </c>
      <c r="I30" s="182">
        <v>2.7396928172760262</v>
      </c>
      <c r="J30" s="182">
        <v>2.9127260604288274</v>
      </c>
      <c r="K30" s="182">
        <v>2.7536127017055456</v>
      </c>
      <c r="L30" s="182">
        <v>3.0123103894037424</v>
      </c>
      <c r="M30" s="182">
        <v>3.3101845357640034</v>
      </c>
      <c r="N30" s="182">
        <v>3.2654714292052347</v>
      </c>
      <c r="O30" s="182">
        <v>3.6362674115907154</v>
      </c>
      <c r="P30" s="182">
        <v>4.1261785681578864</v>
      </c>
      <c r="Q30" s="182">
        <v>4.4470923407400278</v>
      </c>
      <c r="R30" s="182">
        <v>4.0215583922655611</v>
      </c>
      <c r="S30" s="182">
        <v>4.3523927009039092</v>
      </c>
      <c r="T30" s="182">
        <v>4.2855026738909032</v>
      </c>
      <c r="U30" s="182">
        <v>4.5953144903301926</v>
      </c>
      <c r="V30" s="182">
        <v>4.9502493039012201</v>
      </c>
      <c r="W30" s="182">
        <v>5.0346219515164634</v>
      </c>
      <c r="X30" s="182">
        <v>4.4265385410909879</v>
      </c>
      <c r="Y30" s="182">
        <v>4.6476397388044433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11.523776629121826</v>
      </c>
      <c r="D31" s="182">
        <v>9.2607456890934685</v>
      </c>
      <c r="E31" s="182">
        <v>11.843221409028544</v>
      </c>
      <c r="F31" s="182">
        <v>13.711149357229289</v>
      </c>
      <c r="G31" s="182">
        <v>16.425053465420902</v>
      </c>
      <c r="H31" s="182">
        <v>19.177950899016338</v>
      </c>
      <c r="I31" s="182">
        <v>18.884596340902348</v>
      </c>
      <c r="J31" s="182">
        <v>16.583237930934189</v>
      </c>
      <c r="K31" s="182">
        <v>15.299771799287143</v>
      </c>
      <c r="L31" s="182">
        <v>13.212117235104756</v>
      </c>
      <c r="M31" s="182">
        <v>12.970626803039579</v>
      </c>
      <c r="N31" s="182">
        <v>10.557687574066904</v>
      </c>
      <c r="O31" s="182">
        <v>14.149973555570256</v>
      </c>
      <c r="P31" s="182">
        <v>17.267680787574193</v>
      </c>
      <c r="Q31" s="182">
        <v>21.622360760918127</v>
      </c>
      <c r="R31" s="182">
        <v>21.992620239540116</v>
      </c>
      <c r="S31" s="182">
        <v>21.708467921071872</v>
      </c>
      <c r="T31" s="182">
        <v>19.258196715191616</v>
      </c>
      <c r="U31" s="182">
        <v>17.947011519810928</v>
      </c>
      <c r="V31" s="182">
        <v>15.843520660432318</v>
      </c>
      <c r="W31" s="182">
        <v>15.611087303982913</v>
      </c>
      <c r="X31" s="182">
        <v>11.78083202074734</v>
      </c>
      <c r="Y31" s="182">
        <v>15.004176261918218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0.47181190116472926</v>
      </c>
      <c r="D32" s="41">
        <v>0.61300703882484164</v>
      </c>
      <c r="E32" s="41">
        <v>0.80192390563887361</v>
      </c>
      <c r="F32" s="41">
        <v>0.89986575376273414</v>
      </c>
      <c r="G32" s="41">
        <v>1.0583718509393112</v>
      </c>
      <c r="H32" s="41">
        <v>1.1834137728520755</v>
      </c>
      <c r="I32" s="41">
        <v>1.2815454108451316</v>
      </c>
      <c r="J32" s="41">
        <v>1.1383114227174289</v>
      </c>
      <c r="K32" s="41">
        <v>0.77938438247797492</v>
      </c>
      <c r="L32" s="41">
        <v>0.8802062300442195</v>
      </c>
      <c r="M32" s="41">
        <v>1.0604512157859602</v>
      </c>
      <c r="N32" s="41">
        <v>0.86806982816694322</v>
      </c>
      <c r="O32" s="41">
        <v>0.89354236490028249</v>
      </c>
      <c r="P32" s="41">
        <v>1.0770899682338158</v>
      </c>
      <c r="Q32" s="41">
        <v>1.1753954232812234</v>
      </c>
      <c r="R32" s="41">
        <v>1.0082589311311736</v>
      </c>
      <c r="S32" s="41">
        <v>1.1594552558328228</v>
      </c>
      <c r="T32" s="41">
        <v>1.3583023966889964</v>
      </c>
      <c r="U32" s="41">
        <v>1.4645482929422649</v>
      </c>
      <c r="V32" s="41">
        <v>1.6274925425875555</v>
      </c>
      <c r="W32" s="41">
        <v>1.7597653934320139</v>
      </c>
      <c r="X32" s="41">
        <v>1.7703698309200924</v>
      </c>
      <c r="Y32" s="41">
        <v>1.549108981412779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67.868181490829159</v>
      </c>
      <c r="D33" s="42">
        <v>73.192692002962417</v>
      </c>
      <c r="E33" s="42">
        <v>86.394463872950894</v>
      </c>
      <c r="F33" s="42">
        <v>105.25023552508236</v>
      </c>
      <c r="G33" s="42">
        <v>116.71129498645251</v>
      </c>
      <c r="H33" s="42">
        <v>154.20400569302666</v>
      </c>
      <c r="I33" s="42">
        <v>154.23414452159182</v>
      </c>
      <c r="J33" s="42">
        <v>169.53840225478848</v>
      </c>
      <c r="K33" s="42">
        <v>197.6628856240095</v>
      </c>
      <c r="L33" s="42">
        <v>198.78279657768667</v>
      </c>
      <c r="M33" s="42">
        <v>237.56370792322957</v>
      </c>
      <c r="N33" s="42">
        <v>246.44363626399706</v>
      </c>
      <c r="O33" s="42">
        <v>279.32384096886108</v>
      </c>
      <c r="P33" s="42">
        <v>341.44111158926717</v>
      </c>
      <c r="Q33" s="42">
        <v>377.63346778712321</v>
      </c>
      <c r="R33" s="42">
        <v>313.13835008165051</v>
      </c>
      <c r="S33" s="42">
        <v>321.76199816042413</v>
      </c>
      <c r="T33" s="42">
        <v>352.74438095305345</v>
      </c>
      <c r="U33" s="42">
        <v>413.20652375483337</v>
      </c>
      <c r="V33" s="42">
        <v>446.22566517751898</v>
      </c>
      <c r="W33" s="42">
        <v>380.15459154629434</v>
      </c>
      <c r="X33" s="42">
        <v>369.49560276066904</v>
      </c>
      <c r="Y33" s="42">
        <v>389.17521193187122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0.56133946192500872</v>
      </c>
      <c r="D36" s="182">
        <v>0.57721728220841584</v>
      </c>
      <c r="E36" s="182">
        <v>0.59354421607469376</v>
      </c>
      <c r="F36" s="182">
        <v>0.61033296696844275</v>
      </c>
      <c r="G36" s="182">
        <v>0.62759659765873721</v>
      </c>
      <c r="H36" s="182">
        <v>0.64534854040284984</v>
      </c>
      <c r="I36" s="182">
        <v>0.66360260739741861</v>
      </c>
      <c r="J36" s="182">
        <v>0.68237300152528491</v>
      </c>
      <c r="K36" s="182">
        <v>0.70167432740626268</v>
      </c>
      <c r="L36" s="182">
        <v>0.72152160276052157</v>
      </c>
      <c r="M36" s="182">
        <v>0.74193027009336632</v>
      </c>
      <c r="N36" s="182">
        <v>0.76291620871055699</v>
      </c>
      <c r="O36" s="182">
        <v>0.78449574707342151</v>
      </c>
      <c r="P36" s="182">
        <v>0.80668567550355874</v>
      </c>
      <c r="Q36" s="182">
        <v>0.8295032592467706</v>
      </c>
      <c r="R36" s="182">
        <v>0.85296625190660791</v>
      </c>
      <c r="S36" s="182">
        <v>0.87709290925782568</v>
      </c>
      <c r="T36" s="182">
        <v>0.90190200345065108</v>
      </c>
      <c r="U36" s="182">
        <v>1.4348749021500709</v>
      </c>
      <c r="V36" s="182">
        <v>1.671177454643761</v>
      </c>
      <c r="W36" s="182">
        <v>1.7888634961479326</v>
      </c>
      <c r="X36" s="182">
        <v>1.9986415907557955</v>
      </c>
      <c r="Y36" s="182">
        <v>2.4626681954317107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70.936323791947302</v>
      </c>
      <c r="D37" s="182">
        <v>73.989769444371518</v>
      </c>
      <c r="E37" s="182">
        <v>77.17465030310359</v>
      </c>
      <c r="F37" s="182">
        <v>80.496623981025209</v>
      </c>
      <c r="G37" s="182">
        <v>83.96159162229435</v>
      </c>
      <c r="H37" s="182">
        <v>87.575708385120151</v>
      </c>
      <c r="I37" s="182">
        <v>91.345394375767341</v>
      </c>
      <c r="J37" s="182">
        <v>85.496286097380562</v>
      </c>
      <c r="K37" s="182">
        <v>91.662581344077694</v>
      </c>
      <c r="L37" s="182">
        <v>96.76436020454355</v>
      </c>
      <c r="M37" s="182">
        <v>104.27164566011129</v>
      </c>
      <c r="N37" s="182">
        <v>106.69282177988578</v>
      </c>
      <c r="O37" s="182">
        <v>110.61277267841729</v>
      </c>
      <c r="P37" s="182">
        <v>113.97870816762656</v>
      </c>
      <c r="Q37" s="182">
        <v>102.67586898871912</v>
      </c>
      <c r="R37" s="182">
        <v>110.95496137089162</v>
      </c>
      <c r="S37" s="182">
        <v>109.59052485232928</v>
      </c>
      <c r="T37" s="182">
        <v>119.89249128187498</v>
      </c>
      <c r="U37" s="182">
        <v>123.21115564940919</v>
      </c>
      <c r="V37" s="182">
        <v>130.24732707438375</v>
      </c>
      <c r="W37" s="182">
        <v>133.17331153757152</v>
      </c>
      <c r="X37" s="182">
        <v>130.57406009585361</v>
      </c>
      <c r="Y37" s="182">
        <v>135.56491109244269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1.5108641578922608</v>
      </c>
      <c r="D38" s="182">
        <v>1.5501139189388251</v>
      </c>
      <c r="E38" s="182">
        <v>1.5903833240971164</v>
      </c>
      <c r="F38" s="182">
        <v>1.631698862040869</v>
      </c>
      <c r="G38" s="182">
        <v>1.6740877095759128</v>
      </c>
      <c r="H38" s="182">
        <v>1.7175777495167051</v>
      </c>
      <c r="I38" s="182">
        <v>1.884037412704787</v>
      </c>
      <c r="J38" s="182">
        <v>2.0844546093198542</v>
      </c>
      <c r="K38" s="182">
        <v>2.2108157654099223</v>
      </c>
      <c r="L38" s="182">
        <v>2.3486717510698547</v>
      </c>
      <c r="M38" s="182">
        <v>2.3622918585969757</v>
      </c>
      <c r="N38" s="182">
        <v>2.5104242971224977</v>
      </c>
      <c r="O38" s="182">
        <v>2.7396928172760262</v>
      </c>
      <c r="P38" s="182">
        <v>2.9127260604288274</v>
      </c>
      <c r="Q38" s="182">
        <v>2.7536127017055456</v>
      </c>
      <c r="R38" s="182">
        <v>3.0123103894037442</v>
      </c>
      <c r="S38" s="182">
        <v>3.3101845357640016</v>
      </c>
      <c r="T38" s="182">
        <v>3.2654714292052347</v>
      </c>
      <c r="U38" s="182">
        <v>3.6362674115907154</v>
      </c>
      <c r="V38" s="182">
        <v>4.1261785681578864</v>
      </c>
      <c r="W38" s="182">
        <v>4.4470923407400278</v>
      </c>
      <c r="X38" s="182">
        <v>4.0215583922655611</v>
      </c>
      <c r="Y38" s="182">
        <v>4.3523927009039127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7.8240810137066887</v>
      </c>
      <c r="D39" s="182">
        <v>7.9888889051503043</v>
      </c>
      <c r="E39" s="182">
        <v>8.1571683405406645</v>
      </c>
      <c r="F39" s="182">
        <v>8.3289924451223953</v>
      </c>
      <c r="G39" s="182">
        <v>8.5044358844637884</v>
      </c>
      <c r="H39" s="182">
        <v>8.6835748969024991</v>
      </c>
      <c r="I39" s="182">
        <v>8.8664873266746156</v>
      </c>
      <c r="J39" s="182">
        <v>9.0532526577417229</v>
      </c>
      <c r="K39" s="182">
        <v>9.2439520483302147</v>
      </c>
      <c r="L39" s="182">
        <v>9.4386683661983568</v>
      </c>
      <c r="M39" s="182">
        <v>11.523776629121812</v>
      </c>
      <c r="N39" s="182">
        <v>9.2607456890934827</v>
      </c>
      <c r="O39" s="182">
        <v>11.843221409028558</v>
      </c>
      <c r="P39" s="182">
        <v>13.711149357229289</v>
      </c>
      <c r="Q39" s="182">
        <v>16.425053465420888</v>
      </c>
      <c r="R39" s="182">
        <v>19.177950899016338</v>
      </c>
      <c r="S39" s="182">
        <v>18.884596340902362</v>
      </c>
      <c r="T39" s="182">
        <v>16.583237930934189</v>
      </c>
      <c r="U39" s="182">
        <v>15.299771799287129</v>
      </c>
      <c r="V39" s="182">
        <v>13.212117235104756</v>
      </c>
      <c r="W39" s="182">
        <v>12.970626803039579</v>
      </c>
      <c r="X39" s="182">
        <v>10.557687574066904</v>
      </c>
      <c r="Y39" s="182">
        <v>14.149973555570256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0.12315776012452773</v>
      </c>
      <c r="D40" s="41">
        <v>0.13701688466407802</v>
      </c>
      <c r="E40" s="41">
        <v>0.15243559694546871</v>
      </c>
      <c r="F40" s="41">
        <v>0.16958939967939113</v>
      </c>
      <c r="G40" s="41">
        <v>0.18867354515563051</v>
      </c>
      <c r="H40" s="41">
        <v>0.20990525769235013</v>
      </c>
      <c r="I40" s="41">
        <v>0.23352620618088515</v>
      </c>
      <c r="J40" s="41">
        <v>0.25980525486963124</v>
      </c>
      <c r="K40" s="41">
        <v>0.28904152369773506</v>
      </c>
      <c r="L40" s="41">
        <v>0.32156779301261906</v>
      </c>
      <c r="M40" s="41">
        <v>0.35775429142541881</v>
      </c>
      <c r="N40" s="41">
        <v>0.39801290991937321</v>
      </c>
      <c r="O40" s="41">
        <v>0.4428018901780586</v>
      </c>
      <c r="P40" s="41">
        <v>0.49263104049811091</v>
      </c>
      <c r="Q40" s="41">
        <v>0.5480675386563103</v>
      </c>
      <c r="R40" s="41">
        <v>0.47181190116472926</v>
      </c>
      <c r="S40" s="41">
        <v>0.61300703882484164</v>
      </c>
      <c r="T40" s="41">
        <v>0.8019239056388745</v>
      </c>
      <c r="U40" s="41">
        <v>0.89986575376273592</v>
      </c>
      <c r="V40" s="41">
        <v>1.058371850939313</v>
      </c>
      <c r="W40" s="41">
        <v>1.1834137728520773</v>
      </c>
      <c r="X40" s="41">
        <v>1.2815454108451334</v>
      </c>
      <c r="Y40" s="41">
        <v>1.1383114227174289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54.111585554004193</v>
      </c>
      <c r="D41" s="42">
        <v>54.111585554004193</v>
      </c>
      <c r="E41" s="42">
        <v>54.111585554004193</v>
      </c>
      <c r="F41" s="42">
        <v>54.111585554004193</v>
      </c>
      <c r="G41" s="42">
        <v>54.111585554004193</v>
      </c>
      <c r="H41" s="42">
        <v>67.868181490829102</v>
      </c>
      <c r="I41" s="42">
        <v>73.192692002962417</v>
      </c>
      <c r="J41" s="42">
        <v>86.394463872950951</v>
      </c>
      <c r="K41" s="42">
        <v>105.25023552508242</v>
      </c>
      <c r="L41" s="42">
        <v>116.71129498645246</v>
      </c>
      <c r="M41" s="42">
        <v>154.20400569302672</v>
      </c>
      <c r="N41" s="42">
        <v>154.23414452159182</v>
      </c>
      <c r="O41" s="42">
        <v>169.53840225478848</v>
      </c>
      <c r="P41" s="42">
        <v>197.6628856240095</v>
      </c>
      <c r="Q41" s="42">
        <v>198.78279657768667</v>
      </c>
      <c r="R41" s="42">
        <v>237.56370792322946</v>
      </c>
      <c r="S41" s="42">
        <v>246.44363626399718</v>
      </c>
      <c r="T41" s="42">
        <v>279.32384096886108</v>
      </c>
      <c r="U41" s="42">
        <v>341.44111158926739</v>
      </c>
      <c r="V41" s="42">
        <v>377.63346778712321</v>
      </c>
      <c r="W41" s="42">
        <v>313.13835008165051</v>
      </c>
      <c r="X41" s="42">
        <v>321.76199816042413</v>
      </c>
      <c r="Y41" s="42">
        <v>352.74438095305322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8759.9999999999982</v>
      </c>
      <c r="C44" s="184">
        <v>8760</v>
      </c>
      <c r="D44" s="184">
        <v>8760</v>
      </c>
      <c r="E44" s="184">
        <v>8759.9999999999964</v>
      </c>
      <c r="F44" s="184">
        <v>8760</v>
      </c>
      <c r="G44" s="184">
        <v>8759.9999999999982</v>
      </c>
      <c r="H44" s="184">
        <v>8759.9999999999964</v>
      </c>
      <c r="I44" s="184">
        <v>8759.9999999999982</v>
      </c>
      <c r="J44" s="184">
        <v>8760</v>
      </c>
      <c r="K44" s="184">
        <v>8760.0000000000018</v>
      </c>
      <c r="L44" s="184">
        <v>8760.0000000000018</v>
      </c>
      <c r="M44" s="184">
        <v>8760.0000000000018</v>
      </c>
      <c r="N44" s="184">
        <v>8760.0000000000036</v>
      </c>
      <c r="O44" s="184">
        <v>8759.9999999999982</v>
      </c>
      <c r="P44" s="184">
        <v>8760</v>
      </c>
      <c r="Q44" s="184">
        <v>8760</v>
      </c>
      <c r="R44" s="184">
        <v>8759.9999999999982</v>
      </c>
      <c r="S44" s="184">
        <v>8760.0000000000018</v>
      </c>
      <c r="T44" s="184">
        <v>8760.0000000000018</v>
      </c>
      <c r="U44" s="184">
        <v>8759.9999999999982</v>
      </c>
      <c r="V44" s="184">
        <v>8760</v>
      </c>
      <c r="W44" s="184">
        <v>8760</v>
      </c>
      <c r="X44" s="184">
        <v>8760</v>
      </c>
      <c r="Y44" s="184">
        <v>8760</v>
      </c>
      <c r="DA44" s="193" t="s">
        <v>940</v>
      </c>
    </row>
    <row r="45" spans="1:105" ht="12" customHeight="1" x14ac:dyDescent="0.25">
      <c r="A45" s="131" t="s">
        <v>6</v>
      </c>
      <c r="B45" s="184">
        <v>2836.7135306012278</v>
      </c>
      <c r="C45" s="184">
        <v>2861.9692641724978</v>
      </c>
      <c r="D45" s="184">
        <v>2895.7457224969194</v>
      </c>
      <c r="E45" s="184">
        <v>2919.0754050557262</v>
      </c>
      <c r="F45" s="184">
        <v>2945.2651002250968</v>
      </c>
      <c r="G45" s="184">
        <v>2972.8070726557903</v>
      </c>
      <c r="H45" s="184">
        <v>2999.4732249465037</v>
      </c>
      <c r="I45" s="184">
        <v>3012.1288587753506</v>
      </c>
      <c r="J45" s="184">
        <v>3030.7624807960042</v>
      </c>
      <c r="K45" s="184">
        <v>3039.9382720948579</v>
      </c>
      <c r="L45" s="184">
        <v>3063.6615537359694</v>
      </c>
      <c r="M45" s="184">
        <v>3099.3460132311407</v>
      </c>
      <c r="N45" s="184">
        <v>3142.6244717780082</v>
      </c>
      <c r="O45" s="184">
        <v>3187.395298520059</v>
      </c>
      <c r="P45" s="184">
        <v>3227.4692263599763</v>
      </c>
      <c r="Q45" s="184">
        <v>3274.1533493415709</v>
      </c>
      <c r="R45" s="184">
        <v>3339.9912762637764</v>
      </c>
      <c r="S45" s="184">
        <v>3371.1485345885567</v>
      </c>
      <c r="T45" s="184">
        <v>3380.8932528097021</v>
      </c>
      <c r="U45" s="184">
        <v>3339.6281742655233</v>
      </c>
      <c r="V45" s="184">
        <v>3327.4685488508212</v>
      </c>
      <c r="W45" s="184">
        <v>3338.3689361617458</v>
      </c>
      <c r="X45" s="184">
        <v>3364.5320425455711</v>
      </c>
      <c r="Y45" s="184">
        <v>3390.6951489293965</v>
      </c>
      <c r="DA45" s="193" t="s">
        <v>941</v>
      </c>
    </row>
    <row r="46" spans="1:105" ht="12" customHeight="1" x14ac:dyDescent="0.25">
      <c r="A46" s="131" t="s">
        <v>5</v>
      </c>
      <c r="B46" s="184">
        <v>2158.1016782367274</v>
      </c>
      <c r="C46" s="184">
        <v>2176.4878553722301</v>
      </c>
      <c r="D46" s="184">
        <v>2202.2437489228087</v>
      </c>
      <c r="E46" s="184">
        <v>2219.6878589577159</v>
      </c>
      <c r="F46" s="184">
        <v>2238.5433059692473</v>
      </c>
      <c r="G46" s="184">
        <v>2260.7008944514782</v>
      </c>
      <c r="H46" s="184">
        <v>2283.6557859227719</v>
      </c>
      <c r="I46" s="184">
        <v>2302.0903997414212</v>
      </c>
      <c r="J46" s="184">
        <v>2317.3914043765139</v>
      </c>
      <c r="K46" s="184">
        <v>2329.0137610724446</v>
      </c>
      <c r="L46" s="184">
        <v>2340.8640341188216</v>
      </c>
      <c r="M46" s="184">
        <v>2353.2151664530702</v>
      </c>
      <c r="N46" s="184">
        <v>2366.328205569072</v>
      </c>
      <c r="O46" s="184">
        <v>2377.910164350099</v>
      </c>
      <c r="P46" s="184">
        <v>2391.6598405293084</v>
      </c>
      <c r="Q46" s="184">
        <v>2408.6287101852199</v>
      </c>
      <c r="R46" s="184">
        <v>2454.904910790422</v>
      </c>
      <c r="S46" s="184">
        <v>2472.3757459561239</v>
      </c>
      <c r="T46" s="184">
        <v>2469.0019839809588</v>
      </c>
      <c r="U46" s="184">
        <v>2403.5404435544938</v>
      </c>
      <c r="V46" s="184">
        <v>1919.6922455234378</v>
      </c>
      <c r="W46" s="184">
        <v>2348.7811255072702</v>
      </c>
      <c r="X46" s="184">
        <v>2364.6209852381503</v>
      </c>
      <c r="Y46" s="184">
        <v>2372.5409151035901</v>
      </c>
      <c r="DA46" s="193" t="s">
        <v>942</v>
      </c>
    </row>
    <row r="47" spans="1:105" ht="12" customHeight="1" x14ac:dyDescent="0.25">
      <c r="A47" s="131" t="s">
        <v>171</v>
      </c>
      <c r="B47" s="184">
        <v>8759.9999999999982</v>
      </c>
      <c r="C47" s="184">
        <v>8760.0000000000036</v>
      </c>
      <c r="D47" s="184">
        <v>8760</v>
      </c>
      <c r="E47" s="184">
        <v>8760.0000000000018</v>
      </c>
      <c r="F47" s="184">
        <v>8759.9999999999982</v>
      </c>
      <c r="G47" s="184">
        <v>8760.0000000000018</v>
      </c>
      <c r="H47" s="184">
        <v>8760</v>
      </c>
      <c r="I47" s="184">
        <v>8760</v>
      </c>
      <c r="J47" s="184">
        <v>8759.9999999999964</v>
      </c>
      <c r="K47" s="184">
        <v>8760</v>
      </c>
      <c r="L47" s="184">
        <v>8760.0000000000018</v>
      </c>
      <c r="M47" s="184">
        <v>8760</v>
      </c>
      <c r="N47" s="184">
        <v>8759.9999999999945</v>
      </c>
      <c r="O47" s="184">
        <v>8760.0000000000018</v>
      </c>
      <c r="P47" s="184">
        <v>8759.9999999999982</v>
      </c>
      <c r="Q47" s="184">
        <v>8760.0000000000018</v>
      </c>
      <c r="R47" s="184">
        <v>8759.9999999999982</v>
      </c>
      <c r="S47" s="184">
        <v>8760</v>
      </c>
      <c r="T47" s="184">
        <v>8760.0000000000036</v>
      </c>
      <c r="U47" s="184">
        <v>8760.0000000000018</v>
      </c>
      <c r="V47" s="184">
        <v>8759.9999999999982</v>
      </c>
      <c r="W47" s="184">
        <v>8760</v>
      </c>
      <c r="X47" s="184">
        <v>8760</v>
      </c>
      <c r="Y47" s="184">
        <v>8760</v>
      </c>
      <c r="DA47" s="193" t="s">
        <v>943</v>
      </c>
    </row>
    <row r="48" spans="1:105" ht="12" customHeight="1" x14ac:dyDescent="0.25">
      <c r="A48" s="60" t="s">
        <v>4</v>
      </c>
      <c r="B48" s="44">
        <v>872.68538174172318</v>
      </c>
      <c r="C48" s="44">
        <v>876.85409690953156</v>
      </c>
      <c r="D48" s="44">
        <v>880.67722138204113</v>
      </c>
      <c r="E48" s="44">
        <v>884.20887321181101</v>
      </c>
      <c r="F48" s="44">
        <v>887.49129712838499</v>
      </c>
      <c r="G48" s="44">
        <v>890.55811244742483</v>
      </c>
      <c r="H48" s="44">
        <v>893.43651933098351</v>
      </c>
      <c r="I48" s="44">
        <v>896.14884064558851</v>
      </c>
      <c r="J48" s="44">
        <v>898.71362619151796</v>
      </c>
      <c r="K48" s="44">
        <v>901.14646054902278</v>
      </c>
      <c r="L48" s="44">
        <v>903.46056526632867</v>
      </c>
      <c r="M48" s="44">
        <v>904.93109370760146</v>
      </c>
      <c r="N48" s="44">
        <v>906.33542920895013</v>
      </c>
      <c r="O48" s="44">
        <v>907.67936487851114</v>
      </c>
      <c r="P48" s="44">
        <v>908.96796149148167</v>
      </c>
      <c r="Q48" s="44">
        <v>910.20566623154218</v>
      </c>
      <c r="R48" s="44">
        <v>924.6758605949384</v>
      </c>
      <c r="S48" s="44">
        <v>930.43943115661386</v>
      </c>
      <c r="T48" s="44">
        <v>931.24315115196828</v>
      </c>
      <c r="U48" s="44">
        <v>915.48836219643124</v>
      </c>
      <c r="V48" s="44">
        <v>731.1946484979527</v>
      </c>
      <c r="W48" s="44">
        <v>894.63099799917688</v>
      </c>
      <c r="X48" s="44">
        <v>901.54412787713022</v>
      </c>
      <c r="Y48" s="44">
        <v>905.00069281610683</v>
      </c>
      <c r="DA48" s="95" t="s">
        <v>944</v>
      </c>
    </row>
    <row r="49" spans="1:105" ht="12" customHeight="1" x14ac:dyDescent="0.25">
      <c r="A49" s="62" t="s">
        <v>3</v>
      </c>
      <c r="B49" s="185">
        <v>2238.9694448466598</v>
      </c>
      <c r="C49" s="185">
        <v>2365.9081633289184</v>
      </c>
      <c r="D49" s="185">
        <v>2484.1932921528055</v>
      </c>
      <c r="E49" s="185">
        <v>2565.2882403482868</v>
      </c>
      <c r="F49" s="185">
        <v>2599.7283980238935</v>
      </c>
      <c r="G49" s="185">
        <v>2609.1224798944154</v>
      </c>
      <c r="H49" s="185">
        <v>2582.6849001665191</v>
      </c>
      <c r="I49" s="185">
        <v>2574.7469547776386</v>
      </c>
      <c r="J49" s="185">
        <v>2571.2440302466589</v>
      </c>
      <c r="K49" s="185">
        <v>2572.4072646333448</v>
      </c>
      <c r="L49" s="185">
        <v>2594.9626439110202</v>
      </c>
      <c r="M49" s="185">
        <v>2616.6128662875262</v>
      </c>
      <c r="N49" s="185">
        <v>2618.4729114734846</v>
      </c>
      <c r="O49" s="185">
        <v>2608.2124858841803</v>
      </c>
      <c r="P49" s="185">
        <v>2581.1891931084547</v>
      </c>
      <c r="Q49" s="185">
        <v>2543.5588022624802</v>
      </c>
      <c r="R49" s="185">
        <v>2578.5545791278605</v>
      </c>
      <c r="S49" s="185">
        <v>2596.6898497921025</v>
      </c>
      <c r="T49" s="185">
        <v>2608.5185365271268</v>
      </c>
      <c r="U49" s="185">
        <v>2598.6325699971453</v>
      </c>
      <c r="V49" s="185">
        <v>2387.7257589811816</v>
      </c>
      <c r="W49" s="185">
        <v>2573.3710549159628</v>
      </c>
      <c r="X49" s="185">
        <v>2582.2365816873548</v>
      </c>
      <c r="Y49" s="185">
        <v>2586.875515924115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0.86687934698871527</v>
      </c>
      <c r="C52" s="180">
        <v>0.85711783822582943</v>
      </c>
      <c r="D52" s="180">
        <v>0.84591608563890441</v>
      </c>
      <c r="E52" s="180">
        <v>0.83418445647367423</v>
      </c>
      <c r="F52" s="180">
        <v>0.82154094929042243</v>
      </c>
      <c r="G52" s="180">
        <v>0.80694795008639331</v>
      </c>
      <c r="H52" s="180">
        <v>0.7919012405882595</v>
      </c>
      <c r="I52" s="180">
        <v>0.77760576859848984</v>
      </c>
      <c r="J52" s="180">
        <v>0.76457913973624636</v>
      </c>
      <c r="K52" s="180">
        <v>0.75431453166739038</v>
      </c>
      <c r="L52" s="180">
        <v>0.74218339994915394</v>
      </c>
      <c r="M52" s="180">
        <v>0.72870234449596449</v>
      </c>
      <c r="N52" s="180">
        <v>0.71551700854051659</v>
      </c>
      <c r="O52" s="180">
        <v>0.70187915155840153</v>
      </c>
      <c r="P52" s="180">
        <v>0.68762389142035762</v>
      </c>
      <c r="Q52" s="180">
        <v>0.67235175188543628</v>
      </c>
      <c r="R52" s="180">
        <v>0.6611525507613103</v>
      </c>
      <c r="S52" s="180">
        <v>0.65024169722922531</v>
      </c>
      <c r="T52" s="180">
        <v>0.63964364264135731</v>
      </c>
      <c r="U52" s="180">
        <v>0.62866177669938317</v>
      </c>
      <c r="V52" s="180">
        <v>0.61743911471766288</v>
      </c>
      <c r="W52" s="180">
        <v>0.60668811583757487</v>
      </c>
      <c r="X52" s="180">
        <v>0.59680363989610774</v>
      </c>
      <c r="Y52" s="180">
        <v>0.58632067646108932</v>
      </c>
      <c r="DA52" s="189" t="s">
        <v>946</v>
      </c>
    </row>
    <row r="53" spans="1:105" ht="12" customHeight="1" x14ac:dyDescent="0.25">
      <c r="A53" s="131" t="s">
        <v>100</v>
      </c>
      <c r="B53" s="180">
        <v>219.81139482101966</v>
      </c>
      <c r="C53" s="180">
        <v>217.57989402813706</v>
      </c>
      <c r="D53" s="180">
        <v>214.99388073717805</v>
      </c>
      <c r="E53" s="180">
        <v>211.93216327295943</v>
      </c>
      <c r="F53" s="180">
        <v>208.22472972726976</v>
      </c>
      <c r="G53" s="180">
        <v>204.10790332888251</v>
      </c>
      <c r="H53" s="180">
        <v>199.42063596395096</v>
      </c>
      <c r="I53" s="180">
        <v>194.58512520487898</v>
      </c>
      <c r="J53" s="180">
        <v>191.78717034149915</v>
      </c>
      <c r="K53" s="180">
        <v>188.71363874159138</v>
      </c>
      <c r="L53" s="180">
        <v>185.65003577083698</v>
      </c>
      <c r="M53" s="180">
        <v>182.38219820502854</v>
      </c>
      <c r="N53" s="180">
        <v>178.85805330401251</v>
      </c>
      <c r="O53" s="180">
        <v>174.82233681916821</v>
      </c>
      <c r="P53" s="180">
        <v>169.68747752000331</v>
      </c>
      <c r="Q53" s="180">
        <v>163.89287317395105</v>
      </c>
      <c r="R53" s="180">
        <v>157.23608505969486</v>
      </c>
      <c r="S53" s="180">
        <v>150.4575276768534</v>
      </c>
      <c r="T53" s="180">
        <v>143.05969263039674</v>
      </c>
      <c r="U53" s="180">
        <v>135.53712885556371</v>
      </c>
      <c r="V53" s="180">
        <v>127.92754788966518</v>
      </c>
      <c r="W53" s="180">
        <v>121.28873612357765</v>
      </c>
      <c r="X53" s="180">
        <v>116.01615931680561</v>
      </c>
      <c r="Y53" s="180">
        <v>111.44063318269525</v>
      </c>
      <c r="DA53" s="189" t="s">
        <v>947</v>
      </c>
    </row>
    <row r="54" spans="1:105" ht="12" customHeight="1" x14ac:dyDescent="0.25">
      <c r="A54" s="131" t="s">
        <v>140</v>
      </c>
      <c r="B54" s="180">
        <v>54.068119905341213</v>
      </c>
      <c r="C54" s="180">
        <v>53.411507199555807</v>
      </c>
      <c r="D54" s="180">
        <v>52.376925817369106</v>
      </c>
      <c r="E54" s="180">
        <v>51.105204620801672</v>
      </c>
      <c r="F54" s="180">
        <v>49.713593440659409</v>
      </c>
      <c r="G54" s="180">
        <v>48.235967500016194</v>
      </c>
      <c r="H54" s="180">
        <v>46.582824718677415</v>
      </c>
      <c r="I54" s="180">
        <v>45.142679033121972</v>
      </c>
      <c r="J54" s="180">
        <v>43.709265864434826</v>
      </c>
      <c r="K54" s="180">
        <v>42.389994723394068</v>
      </c>
      <c r="L54" s="180">
        <v>40.975965358190471</v>
      </c>
      <c r="M54" s="180">
        <v>39.468285241136115</v>
      </c>
      <c r="N54" s="180">
        <v>37.993227732337559</v>
      </c>
      <c r="O54" s="180">
        <v>36.346478752348787</v>
      </c>
      <c r="P54" s="180">
        <v>34.541533411238035</v>
      </c>
      <c r="Q54" s="180">
        <v>32.675451428726738</v>
      </c>
      <c r="R54" s="180">
        <v>30.580551173430109</v>
      </c>
      <c r="S54" s="180">
        <v>28.461595893740849</v>
      </c>
      <c r="T54" s="180">
        <v>26.369378319776317</v>
      </c>
      <c r="U54" s="180">
        <v>24.216283891757769</v>
      </c>
      <c r="V54" s="180">
        <v>22.028076293559103</v>
      </c>
      <c r="W54" s="180">
        <v>20.030533418896621</v>
      </c>
      <c r="X54" s="180">
        <v>18.693229448185786</v>
      </c>
      <c r="Y54" s="180">
        <v>17.380641328003023</v>
      </c>
      <c r="DA54" s="189" t="s">
        <v>948</v>
      </c>
    </row>
    <row r="55" spans="1:105" ht="12" customHeight="1" x14ac:dyDescent="0.25">
      <c r="A55" s="131" t="s">
        <v>173</v>
      </c>
      <c r="B55" s="180">
        <v>725.7617152422639</v>
      </c>
      <c r="C55" s="180">
        <v>718.41504446944271</v>
      </c>
      <c r="D55" s="180">
        <v>711.41480879382107</v>
      </c>
      <c r="E55" s="180">
        <v>702.35353096160213</v>
      </c>
      <c r="F55" s="180">
        <v>691.98095567456016</v>
      </c>
      <c r="G55" s="180">
        <v>680.06589408522905</v>
      </c>
      <c r="H55" s="180">
        <v>666.89136447477711</v>
      </c>
      <c r="I55" s="180">
        <v>653.85506262853835</v>
      </c>
      <c r="J55" s="180">
        <v>641.52003249400457</v>
      </c>
      <c r="K55" s="180">
        <v>629.31493072944795</v>
      </c>
      <c r="L55" s="180">
        <v>617.46264662368299</v>
      </c>
      <c r="M55" s="180">
        <v>607.8913111648726</v>
      </c>
      <c r="N55" s="180">
        <v>600.85843145854676</v>
      </c>
      <c r="O55" s="180">
        <v>591.35013103738515</v>
      </c>
      <c r="P55" s="180">
        <v>579.39375452093816</v>
      </c>
      <c r="Q55" s="180">
        <v>565.48508431442656</v>
      </c>
      <c r="R55" s="180">
        <v>551.44688250714057</v>
      </c>
      <c r="S55" s="180">
        <v>538.50327389962717</v>
      </c>
      <c r="T55" s="180">
        <v>527.89458257225567</v>
      </c>
      <c r="U55" s="180">
        <v>518.68749200954039</v>
      </c>
      <c r="V55" s="180">
        <v>511.07717690051322</v>
      </c>
      <c r="W55" s="180">
        <v>503.94949975432075</v>
      </c>
      <c r="X55" s="180">
        <v>498.02135149945371</v>
      </c>
      <c r="Y55" s="180">
        <v>490.45748213351237</v>
      </c>
      <c r="DA55" s="189" t="s">
        <v>949</v>
      </c>
    </row>
    <row r="56" spans="1:105" ht="12" customHeight="1" x14ac:dyDescent="0.25">
      <c r="A56" s="60" t="s">
        <v>99</v>
      </c>
      <c r="B56" s="55">
        <v>50.954132658826104</v>
      </c>
      <c r="C56" s="55">
        <v>50.637626184042169</v>
      </c>
      <c r="D56" s="55">
        <v>50.25349768337535</v>
      </c>
      <c r="E56" s="55">
        <v>49.793724594121905</v>
      </c>
      <c r="F56" s="55">
        <v>49.320680377342967</v>
      </c>
      <c r="G56" s="55">
        <v>48.815677690895704</v>
      </c>
      <c r="H56" s="55">
        <v>48.302091393975303</v>
      </c>
      <c r="I56" s="55">
        <v>47.792699592799487</v>
      </c>
      <c r="J56" s="55">
        <v>47.353177341878869</v>
      </c>
      <c r="K56" s="55">
        <v>47.013307248467676</v>
      </c>
      <c r="L56" s="55">
        <v>46.611690728084106</v>
      </c>
      <c r="M56" s="55">
        <v>46.095644999055487</v>
      </c>
      <c r="N56" s="55">
        <v>45.586104144231868</v>
      </c>
      <c r="O56" s="55">
        <v>44.994057855107414</v>
      </c>
      <c r="P56" s="55">
        <v>44.243673533122262</v>
      </c>
      <c r="Q56" s="55">
        <v>43.372767162748858</v>
      </c>
      <c r="R56" s="55">
        <v>42.754141660859077</v>
      </c>
      <c r="S56" s="55">
        <v>42.044491389958999</v>
      </c>
      <c r="T56" s="55">
        <v>41.221919582324766</v>
      </c>
      <c r="U56" s="55">
        <v>40.367187088502114</v>
      </c>
      <c r="V56" s="55">
        <v>39.445394421641922</v>
      </c>
      <c r="W56" s="55">
        <v>38.499528307865425</v>
      </c>
      <c r="X56" s="55">
        <v>37.57169381489669</v>
      </c>
      <c r="Y56" s="55">
        <v>36.794685297496024</v>
      </c>
      <c r="DA56" s="101" t="s">
        <v>950</v>
      </c>
    </row>
    <row r="57" spans="1:105" ht="12" customHeight="1" x14ac:dyDescent="0.25">
      <c r="A57" s="62" t="s">
        <v>98</v>
      </c>
      <c r="B57" s="63">
        <v>403.00990380178473</v>
      </c>
      <c r="C57" s="63">
        <v>396.45584259319912</v>
      </c>
      <c r="D57" s="63">
        <v>387.46368894099021</v>
      </c>
      <c r="E57" s="63">
        <v>375.61289243803668</v>
      </c>
      <c r="F57" s="63">
        <v>361.41623359816134</v>
      </c>
      <c r="G57" s="63">
        <v>346.47294564907764</v>
      </c>
      <c r="H57" s="63">
        <v>330.86204537414221</v>
      </c>
      <c r="I57" s="63">
        <v>316.19258106814061</v>
      </c>
      <c r="J57" s="63">
        <v>301.01022909928952</v>
      </c>
      <c r="K57" s="63">
        <v>283.79217805655134</v>
      </c>
      <c r="L57" s="63">
        <v>266.40267579425557</v>
      </c>
      <c r="M57" s="63">
        <v>248.33291597447769</v>
      </c>
      <c r="N57" s="63">
        <v>234.16077546456521</v>
      </c>
      <c r="O57" s="63">
        <v>222.85504604886108</v>
      </c>
      <c r="P57" s="63">
        <v>214.20253355562264</v>
      </c>
      <c r="Q57" s="63">
        <v>208.67763627766772</v>
      </c>
      <c r="R57" s="63">
        <v>204.76088612095478</v>
      </c>
      <c r="S57" s="63">
        <v>201.02136359819244</v>
      </c>
      <c r="T57" s="63">
        <v>196.72554842815293</v>
      </c>
      <c r="U57" s="63">
        <v>191.58391081003774</v>
      </c>
      <c r="V57" s="63">
        <v>186.36454929852269</v>
      </c>
      <c r="W57" s="63">
        <v>182.36727893839026</v>
      </c>
      <c r="X57" s="63">
        <v>178.77407285179925</v>
      </c>
      <c r="Y57" s="63">
        <v>175.26677918428567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0.77289143966730789</v>
      </c>
      <c r="D60" s="180">
        <v>0.76055212048681997</v>
      </c>
      <c r="E60" s="180">
        <v>0.74725366808393834</v>
      </c>
      <c r="F60" s="180">
        <v>0.7335059721386582</v>
      </c>
      <c r="G60" s="180">
        <v>0.71856209947172145</v>
      </c>
      <c r="H60" s="180">
        <v>0.70278976813542304</v>
      </c>
      <c r="I60" s="180">
        <v>0.68738041644708137</v>
      </c>
      <c r="J60" s="180">
        <v>0.67312622798339206</v>
      </c>
      <c r="K60" s="180">
        <v>0.66161040910144431</v>
      </c>
      <c r="L60" s="180">
        <v>0.64627075111886334</v>
      </c>
      <c r="M60" s="180">
        <v>0.62820401156735428</v>
      </c>
      <c r="N60" s="180">
        <v>0.60972722485818198</v>
      </c>
      <c r="O60" s="180">
        <v>0.59236487883327227</v>
      </c>
      <c r="P60" s="180">
        <v>0.57417030365966115</v>
      </c>
      <c r="Q60" s="180">
        <v>0.55474863526547646</v>
      </c>
      <c r="R60" s="180">
        <v>0.55140564848727303</v>
      </c>
      <c r="S60" s="180">
        <v>0.54667075902746798</v>
      </c>
      <c r="T60" s="180">
        <v>0.54222659519143013</v>
      </c>
      <c r="U60" s="180">
        <v>0.5380291554309633</v>
      </c>
      <c r="V60" s="180">
        <v>0.53387452749565134</v>
      </c>
      <c r="W60" s="180">
        <v>0.53067128033067745</v>
      </c>
      <c r="X60" s="180">
        <v>0.52746803316570356</v>
      </c>
      <c r="Y60" s="180">
        <v>0.52426478600072957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204.67202639919259</v>
      </c>
      <c r="D61" s="180">
        <v>202.51829431176654</v>
      </c>
      <c r="E61" s="180">
        <v>199.30405425699382</v>
      </c>
      <c r="F61" s="180">
        <v>195.22099572951495</v>
      </c>
      <c r="G61" s="180">
        <v>191.72923630763799</v>
      </c>
      <c r="H61" s="180">
        <v>187.43545440505054</v>
      </c>
      <c r="I61" s="180">
        <v>185.66287098884146</v>
      </c>
      <c r="J61" s="180">
        <v>183.18258408734522</v>
      </c>
      <c r="K61" s="180">
        <v>179.98903299611811</v>
      </c>
      <c r="L61" s="180">
        <v>176.85296354872514</v>
      </c>
      <c r="M61" s="180">
        <v>172.8666862819658</v>
      </c>
      <c r="N61" s="180">
        <v>167.85394862592284</v>
      </c>
      <c r="O61" s="180">
        <v>161.02748343829705</v>
      </c>
      <c r="P61" s="180">
        <v>152.10729726701697</v>
      </c>
      <c r="Q61" s="180">
        <v>142.23880295978805</v>
      </c>
      <c r="R61" s="180">
        <v>133.7447495718942</v>
      </c>
      <c r="S61" s="180">
        <v>127.45364896510947</v>
      </c>
      <c r="T61" s="180">
        <v>121.16039939117104</v>
      </c>
      <c r="U61" s="180">
        <v>114.81136940492512</v>
      </c>
      <c r="V61" s="180">
        <v>108.48502581023759</v>
      </c>
      <c r="W61" s="180">
        <v>105.81629417530574</v>
      </c>
      <c r="X61" s="180">
        <v>103.14756254037391</v>
      </c>
      <c r="Y61" s="180">
        <v>100.47883090544207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50.566290222887069</v>
      </c>
      <c r="D62" s="180">
        <v>48.647496698876225</v>
      </c>
      <c r="E62" s="180">
        <v>47.149430661889504</v>
      </c>
      <c r="F62" s="180">
        <v>46.101131259540168</v>
      </c>
      <c r="G62" s="180">
        <v>44.913244289074285</v>
      </c>
      <c r="H62" s="180">
        <v>43.401689819323735</v>
      </c>
      <c r="I62" s="180">
        <v>41.828195147653119</v>
      </c>
      <c r="J62" s="180">
        <v>40.227399335520467</v>
      </c>
      <c r="K62" s="180">
        <v>38.984115897193099</v>
      </c>
      <c r="L62" s="180">
        <v>37.636237248104756</v>
      </c>
      <c r="M62" s="180">
        <v>35.93400433794244</v>
      </c>
      <c r="N62" s="180">
        <v>34.364070519498007</v>
      </c>
      <c r="O62" s="180">
        <v>32.327693263075453</v>
      </c>
      <c r="P62" s="180">
        <v>30.29181887947647</v>
      </c>
      <c r="Q62" s="180">
        <v>28.145718573934413</v>
      </c>
      <c r="R62" s="180">
        <v>24.510844044962379</v>
      </c>
      <c r="S62" s="180">
        <v>23.04125822126446</v>
      </c>
      <c r="T62" s="180">
        <v>20.817923136305545</v>
      </c>
      <c r="U62" s="180">
        <v>18.982684584081884</v>
      </c>
      <c r="V62" s="180">
        <v>17.499125805794609</v>
      </c>
      <c r="W62" s="180">
        <v>16.624169515504878</v>
      </c>
      <c r="X62" s="180">
        <v>15.749213225215147</v>
      </c>
      <c r="Y62" s="180">
        <v>14.874256934925416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668.5190512944813</v>
      </c>
      <c r="D63" s="180">
        <v>655.91930992889343</v>
      </c>
      <c r="E63" s="180">
        <v>648.80517693382103</v>
      </c>
      <c r="F63" s="180">
        <v>640.82464523400949</v>
      </c>
      <c r="G63" s="180">
        <v>631.09015278338552</v>
      </c>
      <c r="H63" s="180">
        <v>619.32104413711511</v>
      </c>
      <c r="I63" s="180">
        <v>605.78311621507089</v>
      </c>
      <c r="J63" s="180">
        <v>591.88199228703434</v>
      </c>
      <c r="K63" s="180">
        <v>579.02192204727612</v>
      </c>
      <c r="L63" s="180">
        <v>567.31311241493961</v>
      </c>
      <c r="M63" s="180">
        <v>554.07708470088301</v>
      </c>
      <c r="N63" s="180">
        <v>550.98766838438894</v>
      </c>
      <c r="O63" s="180">
        <v>539.54066476698188</v>
      </c>
      <c r="P63" s="180">
        <v>523.63687889291373</v>
      </c>
      <c r="Q63" s="180">
        <v>515.91963999554025</v>
      </c>
      <c r="R63" s="180">
        <v>508.67896652782548</v>
      </c>
      <c r="S63" s="180">
        <v>500.1168620401844</v>
      </c>
      <c r="T63" s="180">
        <v>491.90040406243639</v>
      </c>
      <c r="U63" s="180">
        <v>483.91557948629361</v>
      </c>
      <c r="V63" s="180">
        <v>475.98496860358131</v>
      </c>
      <c r="W63" s="180">
        <v>466.46526923150969</v>
      </c>
      <c r="X63" s="180">
        <v>456.94556985943802</v>
      </c>
      <c r="Y63" s="180">
        <v>447.42587048736641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47.819575989380382</v>
      </c>
      <c r="D64" s="55">
        <v>47.482084526230224</v>
      </c>
      <c r="E64" s="55">
        <v>47.062399894555547</v>
      </c>
      <c r="F64" s="55">
        <v>46.58054864777673</v>
      </c>
      <c r="G64" s="55">
        <v>46.081867678601668</v>
      </c>
      <c r="H64" s="55">
        <v>45.56181368944889</v>
      </c>
      <c r="I64" s="55">
        <v>45.041218245528363</v>
      </c>
      <c r="J64" s="55">
        <v>44.537966818609242</v>
      </c>
      <c r="K64" s="55">
        <v>43.984040031723296</v>
      </c>
      <c r="L64" s="55">
        <v>43.275610414058654</v>
      </c>
      <c r="M64" s="55">
        <v>42.212880341628924</v>
      </c>
      <c r="N64" s="55">
        <v>40.97435079807213</v>
      </c>
      <c r="O64" s="55">
        <v>39.652166595794121</v>
      </c>
      <c r="P64" s="55">
        <v>38.276523750522522</v>
      </c>
      <c r="Q64" s="55">
        <v>36.864242561171793</v>
      </c>
      <c r="R64" s="55">
        <v>36.42277575433679</v>
      </c>
      <c r="S64" s="55">
        <v>35.910624544861598</v>
      </c>
      <c r="T64" s="55">
        <v>35.425586672682904</v>
      </c>
      <c r="U64" s="55">
        <v>34.951114938525208</v>
      </c>
      <c r="V64" s="55">
        <v>34.480113431573876</v>
      </c>
      <c r="W64" s="55">
        <v>34.135312297258139</v>
      </c>
      <c r="X64" s="55">
        <v>33.790511162942401</v>
      </c>
      <c r="Y64" s="55">
        <v>33.445710028626657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375.5535207083858</v>
      </c>
      <c r="D65" s="63">
        <v>364.02733894068831</v>
      </c>
      <c r="E65" s="63">
        <v>351.15549026426311</v>
      </c>
      <c r="F65" s="63">
        <v>337.52256905271224</v>
      </c>
      <c r="G65" s="63">
        <v>323.15887193774711</v>
      </c>
      <c r="H65" s="63">
        <v>305.03474776701944</v>
      </c>
      <c r="I65" s="63">
        <v>287.93651424950531</v>
      </c>
      <c r="J65" s="63">
        <v>271.32897237757857</v>
      </c>
      <c r="K65" s="63">
        <v>251.43186260264926</v>
      </c>
      <c r="L65" s="63">
        <v>230.41115219067245</v>
      </c>
      <c r="M65" s="63">
        <v>218.62740989895124</v>
      </c>
      <c r="N65" s="63">
        <v>212.73695133930437</v>
      </c>
      <c r="O65" s="63">
        <v>209.77801349912426</v>
      </c>
      <c r="P65" s="63">
        <v>206.36479189515043</v>
      </c>
      <c r="Q65" s="63">
        <v>201.04653585905623</v>
      </c>
      <c r="R65" s="63">
        <v>196.73877638836143</v>
      </c>
      <c r="S65" s="63">
        <v>191.88768468720949</v>
      </c>
      <c r="T65" s="63">
        <v>187.17051330480888</v>
      </c>
      <c r="U65" s="63">
        <v>182.56050116329791</v>
      </c>
      <c r="V65" s="63">
        <v>177.98729650225553</v>
      </c>
      <c r="W65" s="63">
        <v>174.78352516521494</v>
      </c>
      <c r="X65" s="63">
        <v>171.57975382817432</v>
      </c>
      <c r="Y65" s="63">
        <v>168.37598249113373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220.00987724567207</v>
      </c>
      <c r="C68" s="187">
        <f>1000000*C20/SER_summary!C$8</f>
        <v>226.804546042666</v>
      </c>
      <c r="D68" s="187">
        <f>1000000*D20/SER_summary!D$8</f>
        <v>234.37607515629909</v>
      </c>
      <c r="E68" s="187">
        <f>1000000*E20/SER_summary!E$8</f>
        <v>241.51189270745104</v>
      </c>
      <c r="F68" s="187">
        <f>1000000*F20/SER_summary!F$8</f>
        <v>250.3047353767806</v>
      </c>
      <c r="G68" s="187">
        <f>1000000*G20/SER_summary!G$8</f>
        <v>264.8170818211218</v>
      </c>
      <c r="H68" s="187">
        <f>1000000*H20/SER_summary!H$8</f>
        <v>280.79609857419194</v>
      </c>
      <c r="I68" s="187">
        <f>1000000*I20/SER_summary!I$8</f>
        <v>293.91198766273203</v>
      </c>
      <c r="J68" s="187">
        <f>1000000*J20/SER_summary!J$8</f>
        <v>307.00629098028429</v>
      </c>
      <c r="K68" s="187">
        <f>1000000*K20/SER_summary!K$8</f>
        <v>318.56833970966858</v>
      </c>
      <c r="L68" s="187">
        <f>1000000*L20/SER_summary!L$8</f>
        <v>333.69828957527488</v>
      </c>
      <c r="M68" s="187">
        <f>1000000*M20/SER_summary!M$8</f>
        <v>347.65182938100259</v>
      </c>
      <c r="N68" s="187">
        <f>1000000*N20/SER_summary!N$8</f>
        <v>364.55155890473696</v>
      </c>
      <c r="O68" s="187">
        <f>1000000*O20/SER_summary!O$8</f>
        <v>381.88282443613315</v>
      </c>
      <c r="P68" s="187">
        <f>1000000*P20/SER_summary!P$8</f>
        <v>399.79523699675059</v>
      </c>
      <c r="Q68" s="187">
        <f>1000000*Q20/SER_summary!Q$8</f>
        <v>418.6160848808936</v>
      </c>
      <c r="R68" s="187">
        <f>1000000*R20/SER_summary!R$8</f>
        <v>429.07300001178896</v>
      </c>
      <c r="S68" s="187">
        <f>1000000*S20/SER_summary!S$8</f>
        <v>439.5278005032302</v>
      </c>
      <c r="T68" s="187">
        <f>1000000*T20/SER_summary!T$8</f>
        <v>449.99167010479368</v>
      </c>
      <c r="U68" s="187">
        <f>1000000*U20/SER_summary!U$8</f>
        <v>460.47139191537951</v>
      </c>
      <c r="V68" s="187">
        <f>1000000*V20/SER_summary!V$8</f>
        <v>470.97959171278546</v>
      </c>
      <c r="W68" s="187">
        <f>1000000*W20/SER_summary!W$8</f>
        <v>481.55537823033808</v>
      </c>
      <c r="X68" s="187">
        <f>1000000*X20/SER_summary!X$8</f>
        <v>486.93199520621607</v>
      </c>
      <c r="Y68" s="187">
        <f>1000000*Y20/SER_summary!Y$8</f>
        <v>489.64277341562035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6.9037800340724167E-2</v>
      </c>
      <c r="C69" s="187">
        <f>1000*C21/SER_summary!C$3</f>
        <v>7.1175201155346896E-2</v>
      </c>
      <c r="D69" s="187">
        <f>1000*D21/SER_summary!D$3</f>
        <v>7.5959701188650239E-2</v>
      </c>
      <c r="E69" s="187">
        <f>1000*E21/SER_summary!E$3</f>
        <v>7.908552578272425E-2</v>
      </c>
      <c r="F69" s="187">
        <f>1000*F21/SER_summary!F$3</f>
        <v>8.2771517143482853E-2</v>
      </c>
      <c r="G69" s="187">
        <f>1000*G21/SER_summary!G$3</f>
        <v>8.6337061226691381E-2</v>
      </c>
      <c r="H69" s="187">
        <f>1000*H21/SER_summary!H$3</f>
        <v>9.0026538510210516E-2</v>
      </c>
      <c r="I69" s="187">
        <f>1000*I21/SER_summary!I$3</f>
        <v>9.3689398173147406E-2</v>
      </c>
      <c r="J69" s="187">
        <f>1000*J21/SER_summary!J$3</f>
        <v>9.66558347315392E-2</v>
      </c>
      <c r="K69" s="187">
        <f>1000*K21/SER_summary!K$3</f>
        <v>9.9898118518024839E-2</v>
      </c>
      <c r="L69" s="187">
        <f>1000*L21/SER_summary!L$3</f>
        <v>0.10223675921579592</v>
      </c>
      <c r="M69" s="187">
        <f>1000*M21/SER_summary!M$3</f>
        <v>0.10508248861000863</v>
      </c>
      <c r="N69" s="187">
        <f>1000*N21/SER_summary!N$3</f>
        <v>0.10794217332365817</v>
      </c>
      <c r="O69" s="187">
        <f>1000*O21/SER_summary!O$3</f>
        <v>0.11253658248338984</v>
      </c>
      <c r="P69" s="187">
        <f>1000*P21/SER_summary!P$3</f>
        <v>0.11657901228925284</v>
      </c>
      <c r="Q69" s="187">
        <f>1000*Q21/SER_summary!Q$3</f>
        <v>0.12200308005933601</v>
      </c>
      <c r="R69" s="187">
        <f>1000*R21/SER_summary!R$3</f>
        <v>0.12714864164958964</v>
      </c>
      <c r="S69" s="187">
        <f>1000*S21/SER_summary!S$3</f>
        <v>0.13240190607587038</v>
      </c>
      <c r="T69" s="187">
        <f>1000*T21/SER_summary!T$3</f>
        <v>0.13765161607892606</v>
      </c>
      <c r="U69" s="187">
        <f>1000*U21/SER_summary!U$3</f>
        <v>0.14292117679377173</v>
      </c>
      <c r="V69" s="187">
        <f>1000*V21/SER_summary!V$3</f>
        <v>0.14815088024316531</v>
      </c>
      <c r="W69" s="187">
        <f>1000*W21/SER_summary!W$3</f>
        <v>0.15192688353035683</v>
      </c>
      <c r="X69" s="187">
        <f>1000*X21/SER_summary!X$3</f>
        <v>0.15462720451891843</v>
      </c>
      <c r="Y69" s="187">
        <f>1000*Y21/SER_summary!Y$3</f>
        <v>0.15654593578041642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164.46670978296586</v>
      </c>
      <c r="C70" s="187">
        <f>1000000*C22/SER_summary!C$8</f>
        <v>164.95213628658715</v>
      </c>
      <c r="D70" s="187">
        <f>1000000*D22/SER_summary!D$8</f>
        <v>166.35147979593268</v>
      </c>
      <c r="E70" s="187">
        <f>1000000*E22/SER_summary!E$8</f>
        <v>167.99766717432399</v>
      </c>
      <c r="F70" s="187">
        <f>1000000*F22/SER_summary!F$8</f>
        <v>170.55480470634433</v>
      </c>
      <c r="G70" s="187">
        <f>1000000*G22/SER_summary!G$8</f>
        <v>172.74072326050432</v>
      </c>
      <c r="H70" s="187">
        <f>1000000*H22/SER_summary!H$8</f>
        <v>175.80580693557286</v>
      </c>
      <c r="I70" s="187">
        <f>1000000*I22/SER_summary!I$8</f>
        <v>178.49613243283227</v>
      </c>
      <c r="J70" s="187">
        <f>1000000*J22/SER_summary!J$8</f>
        <v>182.52281064525684</v>
      </c>
      <c r="K70" s="187">
        <f>1000000*K22/SER_summary!K$8</f>
        <v>186.95926340513716</v>
      </c>
      <c r="L70" s="187">
        <f>1000000*L22/SER_summary!L$8</f>
        <v>191.84678273158292</v>
      </c>
      <c r="M70" s="187">
        <f>1000000*M22/SER_summary!M$8</f>
        <v>197.30036410659793</v>
      </c>
      <c r="N70" s="187">
        <f>1000000*N22/SER_summary!N$8</f>
        <v>203.04236613887221</v>
      </c>
      <c r="O70" s="187">
        <f>1000000*O22/SER_summary!O$8</f>
        <v>209.92842804334916</v>
      </c>
      <c r="P70" s="187">
        <f>1000000*P22/SER_summary!P$8</f>
        <v>219.60025113122308</v>
      </c>
      <c r="Q70" s="187">
        <f>1000000*Q22/SER_summary!Q$8</f>
        <v>233.0605907457763</v>
      </c>
      <c r="R70" s="187">
        <f>1000000*R22/SER_summary!R$8</f>
        <v>240.4636821160228</v>
      </c>
      <c r="S70" s="187">
        <f>1000000*S22/SER_summary!S$8</f>
        <v>247.97917484335414</v>
      </c>
      <c r="T70" s="187">
        <f>1000000*T22/SER_summary!T$8</f>
        <v>255.12703129788065</v>
      </c>
      <c r="U70" s="187">
        <f>1000000*U22/SER_summary!U$8</f>
        <v>261.61368364452551</v>
      </c>
      <c r="V70" s="187">
        <f>1000000*V22/SER_summary!V$8</f>
        <v>266.8920314966262</v>
      </c>
      <c r="W70" s="187">
        <f>1000000*W22/SER_summary!W$8</f>
        <v>269.97439291543611</v>
      </c>
      <c r="X70" s="187">
        <f>1000000*X22/SER_summary!X$8</f>
        <v>271.52889747163124</v>
      </c>
      <c r="Y70" s="187">
        <f>1000000*Y22/SER_summary!Y$8</f>
        <v>272.30950308220758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1.0510414500821554E-2</v>
      </c>
      <c r="C71" s="187">
        <f>1000*C23/SER_summary!C$3</f>
        <v>1.1017798646518568E-2</v>
      </c>
      <c r="D71" s="187">
        <f>1000*D23/SER_summary!D$3</f>
        <v>1.1572397404715901E-2</v>
      </c>
      <c r="E71" s="187">
        <f>1000*E23/SER_summary!E$3</f>
        <v>1.2138496511651829E-2</v>
      </c>
      <c r="F71" s="187">
        <f>1000*F23/SER_summary!F$3</f>
        <v>1.2928000496928507E-2</v>
      </c>
      <c r="G71" s="187">
        <f>1000*G23/SER_summary!G$3</f>
        <v>1.4053307661349049E-2</v>
      </c>
      <c r="H71" s="187">
        <f>1000*H23/SER_summary!H$3</f>
        <v>1.5537880887933654E-2</v>
      </c>
      <c r="I71" s="187">
        <f>1000*I23/SER_summary!I$3</f>
        <v>1.6977144908024287E-2</v>
      </c>
      <c r="J71" s="187">
        <f>1000*J23/SER_summary!J$3</f>
        <v>1.8102196851673552E-2</v>
      </c>
      <c r="K71" s="187">
        <f>1000*K23/SER_summary!K$3</f>
        <v>1.9036548351008254E-2</v>
      </c>
      <c r="L71" s="187">
        <f>1000*L23/SER_summary!L$3</f>
        <v>1.9661307127594538E-2</v>
      </c>
      <c r="M71" s="187">
        <f>1000*M23/SER_summary!M$3</f>
        <v>1.9997265857982331E-2</v>
      </c>
      <c r="N71" s="187">
        <f>1000*N23/SER_summary!N$3</f>
        <v>2.0289459256879548E-2</v>
      </c>
      <c r="O71" s="187">
        <f>1000*O23/SER_summary!O$3</f>
        <v>2.0960915119656368E-2</v>
      </c>
      <c r="P71" s="187">
        <f>1000*P23/SER_summary!P$3</f>
        <v>2.1711235239757338E-2</v>
      </c>
      <c r="Q71" s="187">
        <f>1000*Q23/SER_summary!Q$3</f>
        <v>2.272162836290275E-2</v>
      </c>
      <c r="R71" s="187">
        <f>1000*R23/SER_summary!R$3</f>
        <v>2.3425035085803906E-2</v>
      </c>
      <c r="S71" s="187">
        <f>1000*S23/SER_summary!S$3</f>
        <v>2.4142508218404145E-2</v>
      </c>
      <c r="T71" s="187">
        <f>1000*T23/SER_summary!T$3</f>
        <v>2.4867412877428118E-2</v>
      </c>
      <c r="U71" s="187">
        <f>1000*U23/SER_summary!U$3</f>
        <v>2.5612576483471004E-2</v>
      </c>
      <c r="V71" s="187">
        <f>1000*V23/SER_summary!V$3</f>
        <v>2.6383146776046962E-2</v>
      </c>
      <c r="W71" s="187">
        <f>1000*W23/SER_summary!W$3</f>
        <v>2.6937454892213237E-2</v>
      </c>
      <c r="X71" s="187">
        <f>1000*X23/SER_summary!X$3</f>
        <v>2.7332385469033119E-2</v>
      </c>
      <c r="Y71" s="187">
        <f>1000*Y23/SER_summary!Y$3</f>
        <v>2.7612276946572912E-2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73.506155917712647</v>
      </c>
      <c r="C72" s="187">
        <f>1000000*C24/SER_summary!C$8</f>
        <v>76.708784830509984</v>
      </c>
      <c r="D72" s="187">
        <f>1000000*D24/SER_summary!D$8</f>
        <v>80.935836265452579</v>
      </c>
      <c r="E72" s="187">
        <f>1000000*E24/SER_summary!E$8</f>
        <v>86.949840179715736</v>
      </c>
      <c r="F72" s="187">
        <f>1000000*F24/SER_summary!F$8</f>
        <v>93.412956474999362</v>
      </c>
      <c r="G72" s="187">
        <f>1000000*G24/SER_summary!G$8</f>
        <v>101.36162960667846</v>
      </c>
      <c r="H72" s="187">
        <f>1000000*H24/SER_summary!H$8</f>
        <v>109.82835493105455</v>
      </c>
      <c r="I72" s="187">
        <f>1000000*I24/SER_summary!I$8</f>
        <v>117.93803773804805</v>
      </c>
      <c r="J72" s="187">
        <f>1000000*J24/SER_summary!J$8</f>
        <v>124.60658321290251</v>
      </c>
      <c r="K72" s="187">
        <f>1000000*K24/SER_summary!K$8</f>
        <v>129.06830683450619</v>
      </c>
      <c r="L72" s="187">
        <f>1000000*L24/SER_summary!L$8</f>
        <v>133.62584575728329</v>
      </c>
      <c r="M72" s="187">
        <f>1000000*M24/SER_summary!M$8</f>
        <v>137.91043264227142</v>
      </c>
      <c r="N72" s="187">
        <f>1000000*N24/SER_summary!N$8</f>
        <v>141.27280961546512</v>
      </c>
      <c r="O72" s="187">
        <f>1000000*O24/SER_summary!O$8</f>
        <v>144.14059883547563</v>
      </c>
      <c r="P72" s="187">
        <f>1000000*P24/SER_summary!P$8</f>
        <v>148.06463593549302</v>
      </c>
      <c r="Q72" s="187">
        <f>1000000*Q24/SER_summary!Q$8</f>
        <v>151.63920597078678</v>
      </c>
      <c r="R72" s="187">
        <f>1000000*R24/SER_summary!R$8</f>
        <v>155.18850542360448</v>
      </c>
      <c r="S72" s="187">
        <f>1000000*S24/SER_summary!S$8</f>
        <v>158.72695589106814</v>
      </c>
      <c r="T72" s="187">
        <f>1000000*T24/SER_summary!T$8</f>
        <v>162.311934688869</v>
      </c>
      <c r="U72" s="187">
        <f>1000000*U24/SER_summary!U$8</f>
        <v>165.97824195313206</v>
      </c>
      <c r="V72" s="187">
        <f>1000000*V24/SER_summary!V$8</f>
        <v>169.79065320783258</v>
      </c>
      <c r="W72" s="187">
        <f>1000000*W24/SER_summary!W$8</f>
        <v>173.75935555055898</v>
      </c>
      <c r="X72" s="187">
        <f>1000000*X24/SER_summary!X$8</f>
        <v>177.00100473481476</v>
      </c>
      <c r="Y72" s="187">
        <f>1000000*Y24/SER_summary!Y$8</f>
        <v>179.63781302458318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3.3031622963163032E-2</v>
      </c>
      <c r="C73" s="52">
        <f>1000*C25/SER_summary!C$3</f>
        <v>3.4887494951430689E-2</v>
      </c>
      <c r="D73" s="52">
        <f>1000*D25/SER_summary!D$3</f>
        <v>3.8556711544979028E-2</v>
      </c>
      <c r="E73" s="52">
        <f>1000*E25/SER_summary!E$3</f>
        <v>4.3005348849229103E-2</v>
      </c>
      <c r="F73" s="52">
        <f>1000*F25/SER_summary!F$3</f>
        <v>4.9943165500387403E-2</v>
      </c>
      <c r="G73" s="52">
        <f>1000*G25/SER_summary!G$3</f>
        <v>5.845257213247209E-2</v>
      </c>
      <c r="H73" s="52">
        <f>1000*H25/SER_summary!H$3</f>
        <v>7.0222393442457426E-2</v>
      </c>
      <c r="I73" s="52">
        <f>1000*I25/SER_summary!I$3</f>
        <v>8.1449990591050778E-2</v>
      </c>
      <c r="J73" s="52">
        <f>1000*J25/SER_summary!J$3</f>
        <v>9.31016090419957E-2</v>
      </c>
      <c r="K73" s="52">
        <f>1000*K25/SER_summary!K$3</f>
        <v>0.10611197345051938</v>
      </c>
      <c r="L73" s="52">
        <f>1000*L25/SER_summary!L$3</f>
        <v>0.11781862088768402</v>
      </c>
      <c r="M73" s="52">
        <f>1000*M25/SER_summary!M$3</f>
        <v>0.12996687761935841</v>
      </c>
      <c r="N73" s="52">
        <f>1000*N25/SER_summary!N$3</f>
        <v>0.14330003131386612</v>
      </c>
      <c r="O73" s="52">
        <f>1000*O25/SER_summary!O$3</f>
        <v>0.16102295731651153</v>
      </c>
      <c r="P73" s="52">
        <f>1000*P25/SER_summary!P$3</f>
        <v>0.18314909748234959</v>
      </c>
      <c r="Q73" s="52">
        <f>1000*Q25/SER_summary!Q$3</f>
        <v>0.21087782882779726</v>
      </c>
      <c r="R73" s="52">
        <f>1000*R25/SER_summary!R$3</f>
        <v>0.22453300463251413</v>
      </c>
      <c r="S73" s="52">
        <f>1000*S25/SER_summary!S$3</f>
        <v>0.23845455528218573</v>
      </c>
      <c r="T73" s="52">
        <f>1000*T25/SER_summary!T$3</f>
        <v>0.2525697401835314</v>
      </c>
      <c r="U73" s="52">
        <f>1000*U25/SER_summary!U$3</f>
        <v>0.26687237159773591</v>
      </c>
      <c r="V73" s="52">
        <f>1000*V25/SER_summary!V$3</f>
        <v>0.28116906631667582</v>
      </c>
      <c r="W73" s="52">
        <f>1000*W25/SER_summary!W$3</f>
        <v>0.29302799683351111</v>
      </c>
      <c r="X73" s="52">
        <f>1000*X25/SER_summary!X$3</f>
        <v>0.30263503376057221</v>
      </c>
      <c r="Y73" s="52">
        <f>1000*Y25/SER_summary!Y$3</f>
        <v>0.3099174117897962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8.4505676679051138</v>
      </c>
      <c r="C3" s="198">
        <f>'SER_se-appl'!C4</f>
        <v>8.9193662180180056</v>
      </c>
      <c r="D3" s="198">
        <f>'SER_se-appl'!D4</f>
        <v>9.4998309462749742</v>
      </c>
      <c r="E3" s="198">
        <f>'SER_se-appl'!E4</f>
        <v>10.119134765707663</v>
      </c>
      <c r="F3" s="198">
        <f>'SER_se-appl'!F4</f>
        <v>10.824853697126693</v>
      </c>
      <c r="G3" s="198">
        <f>'SER_se-appl'!G4</f>
        <v>11.747952443518223</v>
      </c>
      <c r="H3" s="198">
        <f>'SER_se-appl'!H4</f>
        <v>12.766757625827754</v>
      </c>
      <c r="I3" s="198">
        <f>'SER_se-appl'!I4</f>
        <v>13.749304712555436</v>
      </c>
      <c r="J3" s="198">
        <f>'SER_se-appl'!J4</f>
        <v>14.612058794077926</v>
      </c>
      <c r="K3" s="198">
        <f>'SER_se-appl'!K4</f>
        <v>15.129332224459157</v>
      </c>
      <c r="L3" s="198">
        <f>'SER_se-appl'!L4</f>
        <v>15.841065191095076</v>
      </c>
      <c r="M3" s="198">
        <f>'SER_se-appl'!M4</f>
        <v>16.672549703395795</v>
      </c>
      <c r="N3" s="198">
        <f>'SER_se-appl'!N4</f>
        <v>17.411825797298604</v>
      </c>
      <c r="O3" s="198">
        <f>'SER_se-appl'!O4</f>
        <v>18.167314172714388</v>
      </c>
      <c r="P3" s="198">
        <f>'SER_se-appl'!P4</f>
        <v>18.956717975990177</v>
      </c>
      <c r="Q3" s="198">
        <f>'SER_se-appl'!Q4</f>
        <v>19.827811451719565</v>
      </c>
      <c r="R3" s="198">
        <f>'SER_se-appl'!R4</f>
        <v>20.266148288446765</v>
      </c>
      <c r="S3" s="198">
        <f>'SER_se-appl'!S4</f>
        <v>20.703311031432239</v>
      </c>
      <c r="T3" s="198">
        <f>'SER_se-appl'!T4</f>
        <v>21.133365413034042</v>
      </c>
      <c r="U3" s="198">
        <f>'SER_se-appl'!U4</f>
        <v>21.526582157937359</v>
      </c>
      <c r="V3" s="198">
        <f>'SER_se-appl'!V4</f>
        <v>21.873415709116799</v>
      </c>
      <c r="W3" s="198">
        <f>'SER_se-appl'!W4</f>
        <v>22.203165671294514</v>
      </c>
      <c r="X3" s="198">
        <f>'SER_se-appl'!X4</f>
        <v>22.285312565126961</v>
      </c>
      <c r="Y3" s="198">
        <f>'SER_se-appl'!Y4</f>
        <v>22.187097021501412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11.219189723485901</v>
      </c>
      <c r="C5" s="59">
        <f>'SER_se-appl'!C12</f>
        <v>11.841578666158608</v>
      </c>
      <c r="D5" s="59">
        <f>'SER_se-appl'!D12</f>
        <v>12.61221848232625</v>
      </c>
      <c r="E5" s="59">
        <f>'SER_se-appl'!E12</f>
        <v>13.434422069084494</v>
      </c>
      <c r="F5" s="59">
        <f>'SER_se-appl'!F12</f>
        <v>14.371352568217288</v>
      </c>
      <c r="G5" s="59">
        <f>'SER_se-appl'!G12</f>
        <v>15.596882068278191</v>
      </c>
      <c r="H5" s="59">
        <f>'SER_se-appl'!H12</f>
        <v>16.949473879951697</v>
      </c>
      <c r="I5" s="59">
        <f>'SER_se-appl'!I12</f>
        <v>18.253928516783077</v>
      </c>
      <c r="J5" s="59">
        <f>'SER_se-appl'!J12</f>
        <v>19.399342896703914</v>
      </c>
      <c r="K5" s="59">
        <f>'SER_se-appl'!K12</f>
        <v>20.086088329961182</v>
      </c>
      <c r="L5" s="59">
        <f>'SER_se-appl'!L12</f>
        <v>21.031003216031472</v>
      </c>
      <c r="M5" s="59">
        <f>'SER_se-appl'!M12</f>
        <v>22.134903316266332</v>
      </c>
      <c r="N5" s="59">
        <f>'SER_se-appl'!N12</f>
        <v>23.116385162395286</v>
      </c>
      <c r="O5" s="59">
        <f>'SER_se-appl'!O12</f>
        <v>24.119390848021503</v>
      </c>
      <c r="P5" s="59">
        <f>'SER_se-appl'!P12</f>
        <v>25.167423522918465</v>
      </c>
      <c r="Q5" s="59">
        <f>'SER_se-appl'!Q12</f>
        <v>26.323909495833171</v>
      </c>
      <c r="R5" s="59">
        <f>'SER_se-appl'!R12</f>
        <v>26.905856688885379</v>
      </c>
      <c r="S5" s="59">
        <f>'SER_se-appl'!S12</f>
        <v>27.486245125063572</v>
      </c>
      <c r="T5" s="59">
        <f>'SER_se-appl'!T12</f>
        <v>28.057196318902495</v>
      </c>
      <c r="U5" s="59">
        <f>'SER_se-appl'!U12</f>
        <v>28.579240924293554</v>
      </c>
      <c r="V5" s="59">
        <f>'SER_se-appl'!V12</f>
        <v>29.039706015642508</v>
      </c>
      <c r="W5" s="59">
        <f>'SER_se-appl'!W12</f>
        <v>29.477490497392147</v>
      </c>
      <c r="X5" s="59">
        <f>'SER_se-appl'!X12</f>
        <v>29.586550814203946</v>
      </c>
      <c r="Y5" s="59">
        <f>'SER_se-appl'!Y12</f>
        <v>29.456157347038978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220.00987724567207</v>
      </c>
      <c r="C6" s="201">
        <f>'SER_se-appl'!C68</f>
        <v>226.804546042666</v>
      </c>
      <c r="D6" s="201">
        <f>'SER_se-appl'!D68</f>
        <v>234.37607515629909</v>
      </c>
      <c r="E6" s="201">
        <f>'SER_se-appl'!E68</f>
        <v>241.51189270745104</v>
      </c>
      <c r="F6" s="201">
        <f>'SER_se-appl'!F68</f>
        <v>250.3047353767806</v>
      </c>
      <c r="G6" s="201">
        <f>'SER_se-appl'!G68</f>
        <v>264.8170818211218</v>
      </c>
      <c r="H6" s="201">
        <f>'SER_se-appl'!H68</f>
        <v>280.79609857419194</v>
      </c>
      <c r="I6" s="201">
        <f>'SER_se-appl'!I68</f>
        <v>293.91198766273203</v>
      </c>
      <c r="J6" s="201">
        <f>'SER_se-appl'!J68</f>
        <v>307.00629098028429</v>
      </c>
      <c r="K6" s="201">
        <f>'SER_se-appl'!K68</f>
        <v>318.56833970966858</v>
      </c>
      <c r="L6" s="201">
        <f>'SER_se-appl'!L68</f>
        <v>333.69828957527488</v>
      </c>
      <c r="M6" s="201">
        <f>'SER_se-appl'!M68</f>
        <v>347.65182938100259</v>
      </c>
      <c r="N6" s="201">
        <f>'SER_se-appl'!N68</f>
        <v>364.55155890473696</v>
      </c>
      <c r="O6" s="201">
        <f>'SER_se-appl'!O68</f>
        <v>381.88282443613315</v>
      </c>
      <c r="P6" s="201">
        <f>'SER_se-appl'!P68</f>
        <v>399.79523699675059</v>
      </c>
      <c r="Q6" s="201">
        <f>'SER_se-appl'!Q68</f>
        <v>418.6160848808936</v>
      </c>
      <c r="R6" s="201">
        <f>'SER_se-appl'!R68</f>
        <v>429.07300001178896</v>
      </c>
      <c r="S6" s="201">
        <f>'SER_se-appl'!S68</f>
        <v>439.5278005032302</v>
      </c>
      <c r="T6" s="201">
        <f>'SER_se-appl'!T68</f>
        <v>449.99167010479368</v>
      </c>
      <c r="U6" s="201">
        <f>'SER_se-appl'!U68</f>
        <v>460.47139191537951</v>
      </c>
      <c r="V6" s="201">
        <f>'SER_se-appl'!V68</f>
        <v>470.97959171278546</v>
      </c>
      <c r="W6" s="201">
        <f>'SER_se-appl'!W68</f>
        <v>481.55537823033808</v>
      </c>
      <c r="X6" s="201">
        <f>'SER_se-appl'!X68</f>
        <v>486.93199520621607</v>
      </c>
      <c r="Y6" s="201">
        <f>'SER_se-appl'!Y68</f>
        <v>489.64277341562035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12.942042929570391</v>
      </c>
      <c r="C8" s="34">
        <f>'SER_se-appl'!C20</f>
        <v>13.815578369795453</v>
      </c>
      <c r="D8" s="34">
        <f>'SER_se-appl'!D20</f>
        <v>14.909538542230795</v>
      </c>
      <c r="E8" s="34">
        <f>'SER_se-appl'!E20</f>
        <v>16.104857822304037</v>
      </c>
      <c r="F8" s="34">
        <f>'SER_se-appl'!F20</f>
        <v>17.493166446091394</v>
      </c>
      <c r="G8" s="34">
        <f>'SER_se-appl'!G20</f>
        <v>19.328238043864367</v>
      </c>
      <c r="H8" s="34">
        <f>'SER_se-appl'!H20</f>
        <v>21.403519796686862</v>
      </c>
      <c r="I8" s="34">
        <f>'SER_se-appl'!I20</f>
        <v>23.474528165709042</v>
      </c>
      <c r="J8" s="34">
        <f>'SER_se-appl'!J20</f>
        <v>25.372576739925215</v>
      </c>
      <c r="K8" s="34">
        <f>'SER_se-appl'!K20</f>
        <v>26.628266441535292</v>
      </c>
      <c r="L8" s="34">
        <f>'SER_se-appl'!L20</f>
        <v>28.336666135987791</v>
      </c>
      <c r="M8" s="34">
        <f>'SER_se-appl'!M20</f>
        <v>30.375781666486617</v>
      </c>
      <c r="N8" s="34">
        <f>'SER_se-appl'!N20</f>
        <v>32.307247607638537</v>
      </c>
      <c r="O8" s="34">
        <f>'SER_se-appl'!O20</f>
        <v>34.364022345539908</v>
      </c>
      <c r="P8" s="34">
        <f>'SER_se-appl'!P20</f>
        <v>36.600565857205126</v>
      </c>
      <c r="Q8" s="34">
        <f>'SER_se-appl'!Q20</f>
        <v>39.151990638850258</v>
      </c>
      <c r="R8" s="34">
        <f>'SER_se-appl'!R20</f>
        <v>40.69538362652245</v>
      </c>
      <c r="S8" s="34">
        <f>'SER_se-appl'!S20</f>
        <v>42.270812902627547</v>
      </c>
      <c r="T8" s="34">
        <f>'SER_se-appl'!T20</f>
        <v>43.863792975480138</v>
      </c>
      <c r="U8" s="34">
        <f>'SER_se-appl'!U20</f>
        <v>45.460439911491115</v>
      </c>
      <c r="V8" s="34">
        <f>'SER_se-appl'!V20</f>
        <v>47.032501381000991</v>
      </c>
      <c r="W8" s="34">
        <f>'SER_se-appl'!W20</f>
        <v>48.587552200023623</v>
      </c>
      <c r="X8" s="34">
        <f>'SER_se-appl'!X20</f>
        <v>49.575017369790849</v>
      </c>
      <c r="Y8" s="34">
        <f>'SER_se-appl'!Y20</f>
        <v>50.238987860415001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1.4348749021500709</v>
      </c>
      <c r="D9" s="36">
        <f>'SER_se-appl'!D28</f>
        <v>1.6711774546437574</v>
      </c>
      <c r="E9" s="36">
        <f>'SER_se-appl'!E28</f>
        <v>1.7888634961479362</v>
      </c>
      <c r="F9" s="36">
        <f>'SER_se-appl'!F28</f>
        <v>1.9986415907557973</v>
      </c>
      <c r="G9" s="36">
        <f>'SER_se-appl'!G28</f>
        <v>2.4626681954317107</v>
      </c>
      <c r="H9" s="36">
        <f>'SER_se-appl'!H28</f>
        <v>2.7206302932253443</v>
      </c>
      <c r="I9" s="36">
        <f>'SER_se-appl'!I28</f>
        <v>2.7346109764195994</v>
      </c>
      <c r="J9" s="36">
        <f>'SER_se-appl'!J28</f>
        <v>2.5804215757414575</v>
      </c>
      <c r="K9" s="36">
        <f>'SER_se-appl'!K28</f>
        <v>1.9573640290163397</v>
      </c>
      <c r="L9" s="36">
        <f>'SER_se-appl'!L28</f>
        <v>2.4299212972130206</v>
      </c>
      <c r="M9" s="36">
        <f>'SER_se-appl'!M28</f>
        <v>2.7810458005921923</v>
      </c>
      <c r="N9" s="36">
        <f>'SER_se-appl'!N28</f>
        <v>2.6943821498624736</v>
      </c>
      <c r="O9" s="36">
        <f>'SER_se-appl'!O28</f>
        <v>2.8412704849747925</v>
      </c>
      <c r="P9" s="36">
        <f>'SER_se-appl'!P28</f>
        <v>3.0432291871687767</v>
      </c>
      <c r="Q9" s="36">
        <f>'SER_se-appl'!Q28</f>
        <v>3.3809280408919022</v>
      </c>
      <c r="R9" s="36">
        <f>'SER_se-appl'!R28</f>
        <v>2.3963592395787998</v>
      </c>
      <c r="S9" s="36">
        <f>'SER_se-appl'!S28</f>
        <v>2.4525221853629233</v>
      </c>
      <c r="T9" s="36">
        <f>'SER_se-appl'!T28</f>
        <v>2.4948820763032415</v>
      </c>
      <c r="U9" s="36">
        <f>'SER_se-appl'!U28</f>
        <v>3.0315218381610478</v>
      </c>
      <c r="V9" s="36">
        <f>'SER_se-appl'!V28</f>
        <v>3.243238924153637</v>
      </c>
      <c r="W9" s="36">
        <f>'SER_se-appl'!W28</f>
        <v>3.343914315170565</v>
      </c>
      <c r="X9" s="36">
        <f>'SER_se-appl'!X28</f>
        <v>2.9861067605230218</v>
      </c>
      <c r="Y9" s="36">
        <f>'SER_se-appl'!Y28</f>
        <v>3.1266386860558626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0.56133946192500872</v>
      </c>
      <c r="D10" s="38">
        <f>'SER_se-appl'!D36</f>
        <v>0.57721728220841584</v>
      </c>
      <c r="E10" s="38">
        <f>'SER_se-appl'!E36</f>
        <v>0.59354421607469376</v>
      </c>
      <c r="F10" s="38">
        <f>'SER_se-appl'!F36</f>
        <v>0.61033296696844275</v>
      </c>
      <c r="G10" s="38">
        <f>'SER_se-appl'!G36</f>
        <v>0.62759659765873721</v>
      </c>
      <c r="H10" s="38">
        <f>'SER_se-appl'!H36</f>
        <v>0.64534854040284984</v>
      </c>
      <c r="I10" s="38">
        <f>'SER_se-appl'!I36</f>
        <v>0.66360260739741861</v>
      </c>
      <c r="J10" s="38">
        <f>'SER_se-appl'!J36</f>
        <v>0.68237300152528491</v>
      </c>
      <c r="K10" s="38">
        <f>'SER_se-appl'!K36</f>
        <v>0.70167432740626268</v>
      </c>
      <c r="L10" s="38">
        <f>'SER_se-appl'!L36</f>
        <v>0.72152160276052157</v>
      </c>
      <c r="M10" s="38">
        <f>'SER_se-appl'!M36</f>
        <v>0.74193027009336632</v>
      </c>
      <c r="N10" s="38">
        <f>'SER_se-appl'!N36</f>
        <v>0.76291620871055699</v>
      </c>
      <c r="O10" s="38">
        <f>'SER_se-appl'!O36</f>
        <v>0.78449574707342151</v>
      </c>
      <c r="P10" s="38">
        <f>'SER_se-appl'!P36</f>
        <v>0.80668567550355874</v>
      </c>
      <c r="Q10" s="38">
        <f>'SER_se-appl'!Q36</f>
        <v>0.8295032592467706</v>
      </c>
      <c r="R10" s="38">
        <f>'SER_se-appl'!R36</f>
        <v>0.85296625190660791</v>
      </c>
      <c r="S10" s="38">
        <f>'SER_se-appl'!S36</f>
        <v>0.87709290925782568</v>
      </c>
      <c r="T10" s="38">
        <f>'SER_se-appl'!T36</f>
        <v>0.90190200345065108</v>
      </c>
      <c r="U10" s="38">
        <f>'SER_se-appl'!U36</f>
        <v>1.4348749021500709</v>
      </c>
      <c r="V10" s="38">
        <f>'SER_se-appl'!V36</f>
        <v>1.671177454643761</v>
      </c>
      <c r="W10" s="38">
        <f>'SER_se-appl'!W36</f>
        <v>1.7888634961479326</v>
      </c>
      <c r="X10" s="38">
        <f>'SER_se-appl'!X36</f>
        <v>1.9986415907557955</v>
      </c>
      <c r="Y10" s="38">
        <f>'SER_se-appl'!Y36</f>
        <v>2.4626681954317107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8759.9999999999982</v>
      </c>
      <c r="C12" s="204">
        <f>'SER_se-appl'!C44</f>
        <v>8760</v>
      </c>
      <c r="D12" s="204">
        <f>'SER_se-appl'!D44</f>
        <v>8760</v>
      </c>
      <c r="E12" s="204">
        <f>'SER_se-appl'!E44</f>
        <v>8759.9999999999964</v>
      </c>
      <c r="F12" s="204">
        <f>'SER_se-appl'!F44</f>
        <v>8760</v>
      </c>
      <c r="G12" s="204">
        <f>'SER_se-appl'!G44</f>
        <v>8759.9999999999982</v>
      </c>
      <c r="H12" s="204">
        <f>'SER_se-appl'!H44</f>
        <v>8759.9999999999964</v>
      </c>
      <c r="I12" s="204">
        <f>'SER_se-appl'!I44</f>
        <v>8759.9999999999982</v>
      </c>
      <c r="J12" s="204">
        <f>'SER_se-appl'!J44</f>
        <v>8760</v>
      </c>
      <c r="K12" s="204">
        <f>'SER_se-appl'!K44</f>
        <v>8760.0000000000018</v>
      </c>
      <c r="L12" s="204">
        <f>'SER_se-appl'!L44</f>
        <v>8760.0000000000018</v>
      </c>
      <c r="M12" s="204">
        <f>'SER_se-appl'!M44</f>
        <v>8760.0000000000018</v>
      </c>
      <c r="N12" s="204">
        <f>'SER_se-appl'!N44</f>
        <v>8760.0000000000036</v>
      </c>
      <c r="O12" s="204">
        <f>'SER_se-appl'!O44</f>
        <v>8759.9999999999982</v>
      </c>
      <c r="P12" s="204">
        <f>'SER_se-appl'!P44</f>
        <v>8760</v>
      </c>
      <c r="Q12" s="204">
        <f>'SER_se-appl'!Q44</f>
        <v>8760</v>
      </c>
      <c r="R12" s="204">
        <f>'SER_se-appl'!R44</f>
        <v>8759.9999999999982</v>
      </c>
      <c r="S12" s="204">
        <f>'SER_se-appl'!S44</f>
        <v>8760.0000000000018</v>
      </c>
      <c r="T12" s="204">
        <f>'SER_se-appl'!T44</f>
        <v>8760.0000000000018</v>
      </c>
      <c r="U12" s="204">
        <f>'SER_se-appl'!U44</f>
        <v>8759.9999999999982</v>
      </c>
      <c r="V12" s="204">
        <f>'SER_se-appl'!V44</f>
        <v>8760</v>
      </c>
      <c r="W12" s="204">
        <f>'SER_se-appl'!W44</f>
        <v>8760</v>
      </c>
      <c r="X12" s="204">
        <f>'SER_se-appl'!X44</f>
        <v>8760</v>
      </c>
      <c r="Y12" s="204">
        <f>'SER_se-appl'!Y44</f>
        <v>8760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0.86687934698871527</v>
      </c>
      <c r="C14" s="59">
        <f>'SER_se-appl'!C52</f>
        <v>0.85711783822582943</v>
      </c>
      <c r="D14" s="59">
        <f>'SER_se-appl'!D52</f>
        <v>0.84591608563890441</v>
      </c>
      <c r="E14" s="59">
        <f>'SER_se-appl'!E52</f>
        <v>0.83418445647367423</v>
      </c>
      <c r="F14" s="59">
        <f>'SER_se-appl'!F52</f>
        <v>0.82154094929042243</v>
      </c>
      <c r="G14" s="59">
        <f>'SER_se-appl'!G52</f>
        <v>0.80694795008639331</v>
      </c>
      <c r="H14" s="59">
        <f>'SER_se-appl'!H52</f>
        <v>0.7919012405882595</v>
      </c>
      <c r="I14" s="59">
        <f>'SER_se-appl'!I52</f>
        <v>0.77760576859848984</v>
      </c>
      <c r="J14" s="59">
        <f>'SER_se-appl'!J52</f>
        <v>0.76457913973624636</v>
      </c>
      <c r="K14" s="59">
        <f>'SER_se-appl'!K52</f>
        <v>0.75431453166739038</v>
      </c>
      <c r="L14" s="59">
        <f>'SER_se-appl'!L52</f>
        <v>0.74218339994915394</v>
      </c>
      <c r="M14" s="59">
        <f>'SER_se-appl'!M52</f>
        <v>0.72870234449596449</v>
      </c>
      <c r="N14" s="59">
        <f>'SER_se-appl'!N52</f>
        <v>0.71551700854051659</v>
      </c>
      <c r="O14" s="59">
        <f>'SER_se-appl'!O52</f>
        <v>0.70187915155840153</v>
      </c>
      <c r="P14" s="59">
        <f>'SER_se-appl'!P52</f>
        <v>0.68762389142035762</v>
      </c>
      <c r="Q14" s="59">
        <f>'SER_se-appl'!Q52</f>
        <v>0.67235175188543628</v>
      </c>
      <c r="R14" s="59">
        <f>'SER_se-appl'!R52</f>
        <v>0.6611525507613103</v>
      </c>
      <c r="S14" s="59">
        <f>'SER_se-appl'!S52</f>
        <v>0.65024169722922531</v>
      </c>
      <c r="T14" s="59">
        <f>'SER_se-appl'!T52</f>
        <v>0.63964364264135731</v>
      </c>
      <c r="U14" s="59">
        <f>'SER_se-appl'!U52</f>
        <v>0.62866177669938317</v>
      </c>
      <c r="V14" s="59">
        <f>'SER_se-appl'!V52</f>
        <v>0.61743911471766288</v>
      </c>
      <c r="W14" s="59">
        <f>'SER_se-appl'!W52</f>
        <v>0.60668811583757487</v>
      </c>
      <c r="X14" s="59">
        <f>'SER_se-appl'!X52</f>
        <v>0.59680363989610774</v>
      </c>
      <c r="Y14" s="59">
        <f>'SER_se-appl'!Y52</f>
        <v>0.58632067646108932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0.77289143966730789</v>
      </c>
      <c r="D15" s="63">
        <f>'SER_se-appl'!D60</f>
        <v>0.76055212048681997</v>
      </c>
      <c r="E15" s="63">
        <f>'SER_se-appl'!E60</f>
        <v>0.74725366808393834</v>
      </c>
      <c r="F15" s="63">
        <f>'SER_se-appl'!F60</f>
        <v>0.7335059721386582</v>
      </c>
      <c r="G15" s="63">
        <f>'SER_se-appl'!G60</f>
        <v>0.71856209947172145</v>
      </c>
      <c r="H15" s="63">
        <f>'SER_se-appl'!H60</f>
        <v>0.70278976813542304</v>
      </c>
      <c r="I15" s="63">
        <f>'SER_se-appl'!I60</f>
        <v>0.68738041644708137</v>
      </c>
      <c r="J15" s="63">
        <f>'SER_se-appl'!J60</f>
        <v>0.67312622798339206</v>
      </c>
      <c r="K15" s="63">
        <f>'SER_se-appl'!K60</f>
        <v>0.66161040910144431</v>
      </c>
      <c r="L15" s="63">
        <f>'SER_se-appl'!L60</f>
        <v>0.64627075111886334</v>
      </c>
      <c r="M15" s="63">
        <f>'SER_se-appl'!M60</f>
        <v>0.62820401156735428</v>
      </c>
      <c r="N15" s="63">
        <f>'SER_se-appl'!N60</f>
        <v>0.60972722485818198</v>
      </c>
      <c r="O15" s="63">
        <f>'SER_se-appl'!O60</f>
        <v>0.59236487883327227</v>
      </c>
      <c r="P15" s="63">
        <f>'SER_se-appl'!P60</f>
        <v>0.57417030365966115</v>
      </c>
      <c r="Q15" s="63">
        <f>'SER_se-appl'!Q60</f>
        <v>0.55474863526547646</v>
      </c>
      <c r="R15" s="63">
        <f>'SER_se-appl'!R60</f>
        <v>0.55140564848727303</v>
      </c>
      <c r="S15" s="63">
        <f>'SER_se-appl'!S60</f>
        <v>0.54667075902746798</v>
      </c>
      <c r="T15" s="63">
        <f>'SER_se-appl'!T60</f>
        <v>0.54222659519143013</v>
      </c>
      <c r="U15" s="63">
        <f>'SER_se-appl'!U60</f>
        <v>0.5380291554309633</v>
      </c>
      <c r="V15" s="63">
        <f>'SER_se-appl'!V60</f>
        <v>0.53387452749565134</v>
      </c>
      <c r="W15" s="63">
        <f>'SER_se-appl'!W60</f>
        <v>0.53067128033067745</v>
      </c>
      <c r="X15" s="63">
        <f>'SER_se-appl'!X60</f>
        <v>0.52746803316570356</v>
      </c>
      <c r="Y15" s="63">
        <f>'SER_se-appl'!Y60</f>
        <v>0.52426478600072957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30.318189590312773</v>
      </c>
      <c r="C3" s="198">
        <f>'SER_se-appl'!C5</f>
        <v>31.057176740840429</v>
      </c>
      <c r="D3" s="198">
        <f>'SER_se-appl'!D5</f>
        <v>31.996272755461256</v>
      </c>
      <c r="E3" s="198">
        <f>'SER_se-appl'!E5</f>
        <v>32.836778116054575</v>
      </c>
      <c r="F3" s="198">
        <f>'SER_se-appl'!F5</f>
        <v>33.805515595188552</v>
      </c>
      <c r="G3" s="198">
        <f>'SER_se-appl'!G5</f>
        <v>34.632977950731387</v>
      </c>
      <c r="H3" s="198">
        <f>'SER_se-appl'!H5</f>
        <v>35.326015724853832</v>
      </c>
      <c r="I3" s="198">
        <f>'SER_se-appl'!I5</f>
        <v>35.755522050717239</v>
      </c>
      <c r="J3" s="198">
        <f>'SER_se-appl'!J5</f>
        <v>36.318027388859043</v>
      </c>
      <c r="K3" s="198">
        <f>'SER_se-appl'!K5</f>
        <v>36.79583988379818</v>
      </c>
      <c r="L3" s="198">
        <f>'SER_se-appl'!L5</f>
        <v>37.108247191281912</v>
      </c>
      <c r="M3" s="198">
        <f>'SER_se-appl'!M5</f>
        <v>37.638915483958101</v>
      </c>
      <c r="N3" s="198">
        <f>'SER_se-appl'!N5</f>
        <v>38.225387740551213</v>
      </c>
      <c r="O3" s="198">
        <f>'SER_se-appl'!O5</f>
        <v>38.835911256185902</v>
      </c>
      <c r="P3" s="198">
        <f>'SER_se-appl'!P5</f>
        <v>39.073036983885551</v>
      </c>
      <c r="Q3" s="198">
        <f>'SER_se-appl'!Q5</f>
        <v>39.571848612272902</v>
      </c>
      <c r="R3" s="198">
        <f>'SER_se-appl'!R5</f>
        <v>39.839269662959559</v>
      </c>
      <c r="S3" s="198">
        <f>'SER_se-appl'!S5</f>
        <v>39.551808221321878</v>
      </c>
      <c r="T3" s="198">
        <f>'SER_se-appl'!T5</f>
        <v>38.68397825094857</v>
      </c>
      <c r="U3" s="198">
        <f>'SER_se-appl'!U5</f>
        <v>37.069761333575329</v>
      </c>
      <c r="V3" s="198">
        <f>'SER_se-appl'!V5</f>
        <v>35.622139381286047</v>
      </c>
      <c r="W3" s="198">
        <f>'SER_se-appl'!W5</f>
        <v>34.551242577653163</v>
      </c>
      <c r="X3" s="198">
        <f>'SER_se-appl'!X5</f>
        <v>33.642696374609514</v>
      </c>
      <c r="Y3" s="198">
        <f>'SER_se-appl'!Y5</f>
        <v>32.794415446052732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124.29896115051334</v>
      </c>
      <c r="C5" s="59">
        <f>'SER_se-appl'!C13</f>
        <v>126.2050469994859</v>
      </c>
      <c r="D5" s="59">
        <f>'SER_se-appl'!D13</f>
        <v>128.50460220144907</v>
      </c>
      <c r="E5" s="59">
        <f>'SER_se-appl'!E13</f>
        <v>130.82626396984912</v>
      </c>
      <c r="F5" s="59">
        <f>'SER_se-appl'!F13</f>
        <v>133.48820326631889</v>
      </c>
      <c r="G5" s="59">
        <f>'SER_se-appl'!G13</f>
        <v>135.48862193979397</v>
      </c>
      <c r="H5" s="59">
        <f>'SER_se-appl'!H13</f>
        <v>136.97123863720356</v>
      </c>
      <c r="I5" s="59">
        <f>'SER_se-appl'!I13</f>
        <v>138.05409427899087</v>
      </c>
      <c r="J5" s="59">
        <f>'SER_se-appl'!J13</f>
        <v>139.36382715860216</v>
      </c>
      <c r="K5" s="59">
        <f>'SER_se-appl'!K13</f>
        <v>140.7711537358544</v>
      </c>
      <c r="L5" s="59">
        <f>'SER_se-appl'!L13</f>
        <v>140.86703353649938</v>
      </c>
      <c r="M5" s="59">
        <f>'SER_se-appl'!M13</f>
        <v>141.23643672236452</v>
      </c>
      <c r="N5" s="59">
        <f>'SER_se-appl'!N13</f>
        <v>141.46178247351659</v>
      </c>
      <c r="O5" s="59">
        <f>'SER_se-appl'!O13</f>
        <v>141.70242646688763</v>
      </c>
      <c r="P5" s="59">
        <f>'SER_se-appl'!P13</f>
        <v>140.79744476296526</v>
      </c>
      <c r="Q5" s="59">
        <f>'SER_se-appl'!Q13</f>
        <v>140.56171176383162</v>
      </c>
      <c r="R5" s="59">
        <f>'SER_se-appl'!R13</f>
        <v>138.72213064535802</v>
      </c>
      <c r="S5" s="59">
        <f>'SER_se-appl'!S13</f>
        <v>136.44831276178525</v>
      </c>
      <c r="T5" s="59">
        <f>'SER_se-appl'!T13</f>
        <v>133.06976394023843</v>
      </c>
      <c r="U5" s="59">
        <f>'SER_se-appl'!U13</f>
        <v>129.09261205532158</v>
      </c>
      <c r="V5" s="59">
        <f>'SER_se-appl'!V13</f>
        <v>124.5047022750778</v>
      </c>
      <c r="W5" s="59">
        <f>'SER_se-appl'!W13</f>
        <v>120.36744855411551</v>
      </c>
      <c r="X5" s="59">
        <f>'SER_se-appl'!X13</f>
        <v>116.29092958219587</v>
      </c>
      <c r="Y5" s="59">
        <f>'SER_se-appl'!Y13</f>
        <v>112.48402905168844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6.9037800340724167E-2</v>
      </c>
      <c r="C6" s="201">
        <f>'SER_se-appl'!C69</f>
        <v>7.1175201155346896E-2</v>
      </c>
      <c r="D6" s="201">
        <f>'SER_se-appl'!D69</f>
        <v>7.5959701188650239E-2</v>
      </c>
      <c r="E6" s="201">
        <f>'SER_se-appl'!E69</f>
        <v>7.908552578272425E-2</v>
      </c>
      <c r="F6" s="201">
        <f>'SER_se-appl'!F69</f>
        <v>8.2771517143482853E-2</v>
      </c>
      <c r="G6" s="201">
        <f>'SER_se-appl'!G69</f>
        <v>8.6337061226691381E-2</v>
      </c>
      <c r="H6" s="201">
        <f>'SER_se-appl'!H69</f>
        <v>9.0026538510210516E-2</v>
      </c>
      <c r="I6" s="201">
        <f>'SER_se-appl'!I69</f>
        <v>9.3689398173147406E-2</v>
      </c>
      <c r="J6" s="201">
        <f>'SER_se-appl'!J69</f>
        <v>9.66558347315392E-2</v>
      </c>
      <c r="K6" s="201">
        <f>'SER_se-appl'!K69</f>
        <v>9.9898118518024839E-2</v>
      </c>
      <c r="L6" s="201">
        <f>'SER_se-appl'!L69</f>
        <v>0.10223675921579592</v>
      </c>
      <c r="M6" s="201">
        <f>'SER_se-appl'!M69</f>
        <v>0.10508248861000863</v>
      </c>
      <c r="N6" s="201">
        <f>'SER_se-appl'!N69</f>
        <v>0.10794217332365817</v>
      </c>
      <c r="O6" s="201">
        <f>'SER_se-appl'!O69</f>
        <v>0.11253658248338984</v>
      </c>
      <c r="P6" s="201">
        <f>'SER_se-appl'!P69</f>
        <v>0.11657901228925284</v>
      </c>
      <c r="Q6" s="201">
        <f>'SER_se-appl'!Q69</f>
        <v>0.12200308005933601</v>
      </c>
      <c r="R6" s="201">
        <f>'SER_se-appl'!R69</f>
        <v>0.12714864164958964</v>
      </c>
      <c r="S6" s="201">
        <f>'SER_se-appl'!S69</f>
        <v>0.13240190607587038</v>
      </c>
      <c r="T6" s="201">
        <f>'SER_se-appl'!T69</f>
        <v>0.13765161607892606</v>
      </c>
      <c r="U6" s="201">
        <f>'SER_se-appl'!U69</f>
        <v>0.14292117679377173</v>
      </c>
      <c r="V6" s="201">
        <f>'SER_se-appl'!V69</f>
        <v>0.14815088024316531</v>
      </c>
      <c r="W6" s="201">
        <f>'SER_se-appl'!W69</f>
        <v>0.15192688353035683</v>
      </c>
      <c r="X6" s="201">
        <f>'SER_se-appl'!X69</f>
        <v>0.15462720451891843</v>
      </c>
      <c r="Y6" s="201">
        <f>'SER_se-appl'!Y69</f>
        <v>0.15654593578041642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565.48006190362946</v>
      </c>
      <c r="C8" s="34">
        <f>'SER_se-appl'!C21</f>
        <v>580.04002420906261</v>
      </c>
      <c r="D8" s="34">
        <f>'SER_se-appl'!D21</f>
        <v>597.71283610876878</v>
      </c>
      <c r="E8" s="34">
        <f>'SER_se-appl'!E21</f>
        <v>617.30254601020874</v>
      </c>
      <c r="F8" s="34">
        <f>'SER_se-appl'!F21</f>
        <v>641.07756768929482</v>
      </c>
      <c r="G8" s="34">
        <f>'SER_se-appl'!G21</f>
        <v>663.80879784688625</v>
      </c>
      <c r="H8" s="34">
        <f>'SER_se-appl'!H21</f>
        <v>686.84586214018339</v>
      </c>
      <c r="I8" s="34">
        <f>'SER_se-appl'!I21</f>
        <v>709.47917593204261</v>
      </c>
      <c r="J8" s="34">
        <f>'SER_se-appl'!J21</f>
        <v>726.65875882338116</v>
      </c>
      <c r="K8" s="34">
        <f>'SER_se-appl'!K21</f>
        <v>745.95113885019509</v>
      </c>
      <c r="L8" s="34">
        <f>'SER_se-appl'!L21</f>
        <v>758.77730349798082</v>
      </c>
      <c r="M8" s="34">
        <f>'SER_se-appl'!M21</f>
        <v>774.39814911974452</v>
      </c>
      <c r="N8" s="34">
        <f>'SER_se-appl'!N21</f>
        <v>790.91648298926793</v>
      </c>
      <c r="O8" s="34">
        <f>'SER_se-appl'!O21</f>
        <v>810.55103738523439</v>
      </c>
      <c r="P8" s="34">
        <f>'SER_se-appl'!P21</f>
        <v>829.74564075517947</v>
      </c>
      <c r="Q8" s="34">
        <f>'SER_se-appl'!Q21</f>
        <v>857.64383186231385</v>
      </c>
      <c r="R8" s="34">
        <f>'SER_se-appl'!R21</f>
        <v>882.25378158386491</v>
      </c>
      <c r="S8" s="34">
        <f>'SER_se-appl'!S21</f>
        <v>906.88923890098351</v>
      </c>
      <c r="T8" s="34">
        <f>'SER_se-appl'!T21</f>
        <v>930.16950822082435</v>
      </c>
      <c r="U8" s="34">
        <f>'SER_se-appl'!U21</f>
        <v>952.45201920198724</v>
      </c>
      <c r="V8" s="34">
        <f>'SER_se-appl'!V21</f>
        <v>973.24387380941971</v>
      </c>
      <c r="W8" s="34">
        <f>'SER_se-appl'!W21</f>
        <v>992.40417866566384</v>
      </c>
      <c r="X8" s="34">
        <f>'SER_se-appl'!X21</f>
        <v>1002.3683792586164</v>
      </c>
      <c r="Y8" s="34">
        <f>'SER_se-appl'!Y21</f>
        <v>1009.3627955907488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85.496286097380505</v>
      </c>
      <c r="D9" s="36">
        <f>'SER_se-appl'!D29</f>
        <v>91.662581344077751</v>
      </c>
      <c r="E9" s="36">
        <f>'SER_se-appl'!E29</f>
        <v>96.76436020454355</v>
      </c>
      <c r="F9" s="36">
        <f>'SER_se-appl'!F29</f>
        <v>104.27164566011129</v>
      </c>
      <c r="G9" s="36">
        <f>'SER_se-appl'!G29</f>
        <v>106.69282177988578</v>
      </c>
      <c r="H9" s="36">
        <f>'SER_se-appl'!H29</f>
        <v>110.61277267841729</v>
      </c>
      <c r="I9" s="36">
        <f>'SER_se-appl'!I29</f>
        <v>113.97870816762656</v>
      </c>
      <c r="J9" s="36">
        <f>'SER_se-appl'!J29</f>
        <v>102.67586898871912</v>
      </c>
      <c r="K9" s="36">
        <f>'SER_se-appl'!K29</f>
        <v>110.95496137089162</v>
      </c>
      <c r="L9" s="36">
        <f>'SER_se-appl'!L29</f>
        <v>109.59052485232928</v>
      </c>
      <c r="M9" s="36">
        <f>'SER_se-appl'!M29</f>
        <v>119.89249128187498</v>
      </c>
      <c r="N9" s="36">
        <f>'SER_se-appl'!N29</f>
        <v>123.21115564940919</v>
      </c>
      <c r="O9" s="36">
        <f>'SER_se-appl'!O29</f>
        <v>130.24732707438375</v>
      </c>
      <c r="P9" s="36">
        <f>'SER_se-appl'!P29</f>
        <v>133.17331153757164</v>
      </c>
      <c r="Q9" s="36">
        <f>'SER_se-appl'!Q29</f>
        <v>130.5740600958535</v>
      </c>
      <c r="R9" s="36">
        <f>'SER_se-appl'!R29</f>
        <v>135.56491109244269</v>
      </c>
      <c r="S9" s="36">
        <f>'SER_se-appl'!S29</f>
        <v>134.22598216944789</v>
      </c>
      <c r="T9" s="36">
        <f>'SER_se-appl'!T29</f>
        <v>143.17276060171582</v>
      </c>
      <c r="U9" s="36">
        <f>'SER_se-appl'!U29</f>
        <v>145.49366663057208</v>
      </c>
      <c r="V9" s="36">
        <f>'SER_se-appl'!V29</f>
        <v>151.03918168181622</v>
      </c>
      <c r="W9" s="36">
        <f>'SER_se-appl'!W29</f>
        <v>152.33361639381576</v>
      </c>
      <c r="X9" s="36">
        <f>'SER_se-appl'!X29</f>
        <v>140.53826068880608</v>
      </c>
      <c r="Y9" s="36">
        <f>'SER_se-appl'!Y29</f>
        <v>142.55932742457503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70.936323791947302</v>
      </c>
      <c r="D10" s="38">
        <f>'SER_se-appl'!D37</f>
        <v>73.989769444371518</v>
      </c>
      <c r="E10" s="38">
        <f>'SER_se-appl'!E37</f>
        <v>77.17465030310359</v>
      </c>
      <c r="F10" s="38">
        <f>'SER_se-appl'!F37</f>
        <v>80.496623981025209</v>
      </c>
      <c r="G10" s="38">
        <f>'SER_se-appl'!G37</f>
        <v>83.96159162229435</v>
      </c>
      <c r="H10" s="38">
        <f>'SER_se-appl'!H37</f>
        <v>87.575708385120151</v>
      </c>
      <c r="I10" s="38">
        <f>'SER_se-appl'!I37</f>
        <v>91.345394375767341</v>
      </c>
      <c r="J10" s="38">
        <f>'SER_se-appl'!J37</f>
        <v>85.496286097380562</v>
      </c>
      <c r="K10" s="38">
        <f>'SER_se-appl'!K37</f>
        <v>91.662581344077694</v>
      </c>
      <c r="L10" s="38">
        <f>'SER_se-appl'!L37</f>
        <v>96.76436020454355</v>
      </c>
      <c r="M10" s="38">
        <f>'SER_se-appl'!M37</f>
        <v>104.27164566011129</v>
      </c>
      <c r="N10" s="38">
        <f>'SER_se-appl'!N37</f>
        <v>106.69282177988578</v>
      </c>
      <c r="O10" s="38">
        <f>'SER_se-appl'!O37</f>
        <v>110.61277267841729</v>
      </c>
      <c r="P10" s="38">
        <f>'SER_se-appl'!P37</f>
        <v>113.97870816762656</v>
      </c>
      <c r="Q10" s="38">
        <f>'SER_se-appl'!Q37</f>
        <v>102.67586898871912</v>
      </c>
      <c r="R10" s="38">
        <f>'SER_se-appl'!R37</f>
        <v>110.95496137089162</v>
      </c>
      <c r="S10" s="38">
        <f>'SER_se-appl'!S37</f>
        <v>109.59052485232928</v>
      </c>
      <c r="T10" s="38">
        <f>'SER_se-appl'!T37</f>
        <v>119.89249128187498</v>
      </c>
      <c r="U10" s="38">
        <f>'SER_se-appl'!U37</f>
        <v>123.21115564940919</v>
      </c>
      <c r="V10" s="38">
        <f>'SER_se-appl'!V37</f>
        <v>130.24732707438375</v>
      </c>
      <c r="W10" s="38">
        <f>'SER_se-appl'!W37</f>
        <v>133.17331153757152</v>
      </c>
      <c r="X10" s="38">
        <f>'SER_se-appl'!X37</f>
        <v>130.57406009585361</v>
      </c>
      <c r="Y10" s="38">
        <f>'SER_se-appl'!Y37</f>
        <v>135.56491109244269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2836.7135306012278</v>
      </c>
      <c r="C12" s="204">
        <f>'SER_se-appl'!C45</f>
        <v>2861.9692641724978</v>
      </c>
      <c r="D12" s="204">
        <f>'SER_se-appl'!D45</f>
        <v>2895.7457224969194</v>
      </c>
      <c r="E12" s="204">
        <f>'SER_se-appl'!E45</f>
        <v>2919.0754050557262</v>
      </c>
      <c r="F12" s="204">
        <f>'SER_se-appl'!F45</f>
        <v>2945.2651002250968</v>
      </c>
      <c r="G12" s="204">
        <f>'SER_se-appl'!G45</f>
        <v>2972.8070726557903</v>
      </c>
      <c r="H12" s="204">
        <f>'SER_se-appl'!H45</f>
        <v>2999.4732249465037</v>
      </c>
      <c r="I12" s="204">
        <f>'SER_se-appl'!I45</f>
        <v>3012.1288587753506</v>
      </c>
      <c r="J12" s="204">
        <f>'SER_se-appl'!J45</f>
        <v>3030.7624807960042</v>
      </c>
      <c r="K12" s="204">
        <f>'SER_se-appl'!K45</f>
        <v>3039.9382720948579</v>
      </c>
      <c r="L12" s="204">
        <f>'SER_se-appl'!L45</f>
        <v>3063.6615537359694</v>
      </c>
      <c r="M12" s="204">
        <f>'SER_se-appl'!M45</f>
        <v>3099.3460132311407</v>
      </c>
      <c r="N12" s="204">
        <f>'SER_se-appl'!N45</f>
        <v>3142.6244717780082</v>
      </c>
      <c r="O12" s="204">
        <f>'SER_se-appl'!O45</f>
        <v>3187.395298520059</v>
      </c>
      <c r="P12" s="204">
        <f>'SER_se-appl'!P45</f>
        <v>3227.4692263599763</v>
      </c>
      <c r="Q12" s="204">
        <f>'SER_se-appl'!Q45</f>
        <v>3274.1533493415709</v>
      </c>
      <c r="R12" s="204">
        <f>'SER_se-appl'!R45</f>
        <v>3339.9912762637764</v>
      </c>
      <c r="S12" s="204">
        <f>'SER_se-appl'!S45</f>
        <v>3371.1485345885567</v>
      </c>
      <c r="T12" s="204">
        <f>'SER_se-appl'!T45</f>
        <v>3380.8932528097021</v>
      </c>
      <c r="U12" s="204">
        <f>'SER_se-appl'!U45</f>
        <v>3339.6281742655233</v>
      </c>
      <c r="V12" s="204">
        <f>'SER_se-appl'!V45</f>
        <v>3327.4685488508212</v>
      </c>
      <c r="W12" s="204">
        <f>'SER_se-appl'!W45</f>
        <v>3338.3689361617458</v>
      </c>
      <c r="X12" s="204">
        <f>'SER_se-appl'!X45</f>
        <v>3364.5320425455711</v>
      </c>
      <c r="Y12" s="204">
        <f>'SER_se-appl'!Y45</f>
        <v>3390.6951489293965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219.81139482101966</v>
      </c>
      <c r="C14" s="59">
        <f>'SER_se-appl'!C53</f>
        <v>217.57989402813706</v>
      </c>
      <c r="D14" s="59">
        <f>'SER_se-appl'!D53</f>
        <v>214.99388073717805</v>
      </c>
      <c r="E14" s="59">
        <f>'SER_se-appl'!E53</f>
        <v>211.93216327295943</v>
      </c>
      <c r="F14" s="59">
        <f>'SER_se-appl'!F53</f>
        <v>208.22472972726976</v>
      </c>
      <c r="G14" s="59">
        <f>'SER_se-appl'!G53</f>
        <v>204.10790332888251</v>
      </c>
      <c r="H14" s="59">
        <f>'SER_se-appl'!H53</f>
        <v>199.42063596395096</v>
      </c>
      <c r="I14" s="59">
        <f>'SER_se-appl'!I53</f>
        <v>194.58512520487898</v>
      </c>
      <c r="J14" s="59">
        <f>'SER_se-appl'!J53</f>
        <v>191.78717034149915</v>
      </c>
      <c r="K14" s="59">
        <f>'SER_se-appl'!K53</f>
        <v>188.71363874159138</v>
      </c>
      <c r="L14" s="59">
        <f>'SER_se-appl'!L53</f>
        <v>185.65003577083698</v>
      </c>
      <c r="M14" s="59">
        <f>'SER_se-appl'!M53</f>
        <v>182.38219820502854</v>
      </c>
      <c r="N14" s="59">
        <f>'SER_se-appl'!N53</f>
        <v>178.85805330401251</v>
      </c>
      <c r="O14" s="59">
        <f>'SER_se-appl'!O53</f>
        <v>174.82233681916821</v>
      </c>
      <c r="P14" s="59">
        <f>'SER_se-appl'!P53</f>
        <v>169.68747752000331</v>
      </c>
      <c r="Q14" s="59">
        <f>'SER_se-appl'!Q53</f>
        <v>163.89287317395105</v>
      </c>
      <c r="R14" s="59">
        <f>'SER_se-appl'!R53</f>
        <v>157.23608505969486</v>
      </c>
      <c r="S14" s="59">
        <f>'SER_se-appl'!S53</f>
        <v>150.4575276768534</v>
      </c>
      <c r="T14" s="59">
        <f>'SER_se-appl'!T53</f>
        <v>143.05969263039674</v>
      </c>
      <c r="U14" s="59">
        <f>'SER_se-appl'!U53</f>
        <v>135.53712885556371</v>
      </c>
      <c r="V14" s="59">
        <f>'SER_se-appl'!V53</f>
        <v>127.92754788966518</v>
      </c>
      <c r="W14" s="59">
        <f>'SER_se-appl'!W53</f>
        <v>121.28873612357765</v>
      </c>
      <c r="X14" s="59">
        <f>'SER_se-appl'!X53</f>
        <v>116.01615931680561</v>
      </c>
      <c r="Y14" s="59">
        <f>'SER_se-appl'!Y53</f>
        <v>111.44063318269525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204.67202639919259</v>
      </c>
      <c r="D15" s="63">
        <f>'SER_se-appl'!D61</f>
        <v>202.51829431176654</v>
      </c>
      <c r="E15" s="63">
        <f>'SER_se-appl'!E61</f>
        <v>199.30405425699382</v>
      </c>
      <c r="F15" s="63">
        <f>'SER_se-appl'!F61</f>
        <v>195.22099572951495</v>
      </c>
      <c r="G15" s="63">
        <f>'SER_se-appl'!G61</f>
        <v>191.72923630763799</v>
      </c>
      <c r="H15" s="63">
        <f>'SER_se-appl'!H61</f>
        <v>187.43545440505054</v>
      </c>
      <c r="I15" s="63">
        <f>'SER_se-appl'!I61</f>
        <v>185.66287098884146</v>
      </c>
      <c r="J15" s="63">
        <f>'SER_se-appl'!J61</f>
        <v>183.18258408734522</v>
      </c>
      <c r="K15" s="63">
        <f>'SER_se-appl'!K61</f>
        <v>179.98903299611811</v>
      </c>
      <c r="L15" s="63">
        <f>'SER_se-appl'!L61</f>
        <v>176.85296354872514</v>
      </c>
      <c r="M15" s="63">
        <f>'SER_se-appl'!M61</f>
        <v>172.8666862819658</v>
      </c>
      <c r="N15" s="63">
        <f>'SER_se-appl'!N61</f>
        <v>167.85394862592284</v>
      </c>
      <c r="O15" s="63">
        <f>'SER_se-appl'!O61</f>
        <v>161.02748343829705</v>
      </c>
      <c r="P15" s="63">
        <f>'SER_se-appl'!P61</f>
        <v>152.10729726701697</v>
      </c>
      <c r="Q15" s="63">
        <f>'SER_se-appl'!Q61</f>
        <v>142.23880295978805</v>
      </c>
      <c r="R15" s="63">
        <f>'SER_se-appl'!R61</f>
        <v>133.7447495718942</v>
      </c>
      <c r="S15" s="63">
        <f>'SER_se-appl'!S61</f>
        <v>127.45364896510947</v>
      </c>
      <c r="T15" s="63">
        <f>'SER_se-appl'!T61</f>
        <v>121.16039939117104</v>
      </c>
      <c r="U15" s="63">
        <f>'SER_se-appl'!U61</f>
        <v>114.81136940492512</v>
      </c>
      <c r="V15" s="63">
        <f>'SER_se-appl'!V61</f>
        <v>108.48502581023759</v>
      </c>
      <c r="W15" s="63">
        <f>'SER_se-appl'!W61</f>
        <v>105.81629417530574</v>
      </c>
      <c r="X15" s="63">
        <f>'SER_se-appl'!X61</f>
        <v>103.14756254037391</v>
      </c>
      <c r="Y15" s="63">
        <f>'SER_se-appl'!Y61</f>
        <v>100.47883090544207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97.06711405712133</v>
      </c>
      <c r="C3" s="198">
        <f>'SER_se-appl'!C6</f>
        <v>100.43535679504707</v>
      </c>
      <c r="D3" s="198">
        <f>'SER_se-appl'!D6</f>
        <v>104.95503287865222</v>
      </c>
      <c r="E3" s="198">
        <f>'SER_se-appl'!E6</f>
        <v>109.26949806740262</v>
      </c>
      <c r="F3" s="198">
        <f>'SER_se-appl'!F6</f>
        <v>114.05760897622417</v>
      </c>
      <c r="G3" s="198">
        <f>'SER_se-appl'!G6</f>
        <v>118.21576285669548</v>
      </c>
      <c r="H3" s="198">
        <f>'SER_se-appl'!H6</f>
        <v>122.57561872255407</v>
      </c>
      <c r="I3" s="198">
        <f>'SER_se-appl'!I6</f>
        <v>127.39088964215888</v>
      </c>
      <c r="J3" s="198">
        <f>'SER_se-appl'!J6</f>
        <v>131.37950972962372</v>
      </c>
      <c r="K3" s="198">
        <f>'SER_se-appl'!K6</f>
        <v>132.66091011319256</v>
      </c>
      <c r="L3" s="198">
        <f>'SER_se-appl'!L6</f>
        <v>134.36153645573432</v>
      </c>
      <c r="M3" s="198">
        <f>'SER_se-appl'!M6</f>
        <v>137.6705389168003</v>
      </c>
      <c r="N3" s="198">
        <f>'SER_se-appl'!N6</f>
        <v>139.10063824806764</v>
      </c>
      <c r="O3" s="198">
        <f>'SER_se-appl'!O6</f>
        <v>140.3858034484453</v>
      </c>
      <c r="P3" s="198">
        <f>'SER_se-appl'!P6</f>
        <v>142.80530010928945</v>
      </c>
      <c r="Q3" s="198">
        <f>'SER_se-appl'!Q6</f>
        <v>147.50900031923206</v>
      </c>
      <c r="R3" s="198">
        <f>'SER_se-appl'!R6</f>
        <v>147.21895193989448</v>
      </c>
      <c r="S3" s="198">
        <f>'SER_se-appl'!S6</f>
        <v>144.29904884154428</v>
      </c>
      <c r="T3" s="198">
        <f>'SER_se-appl'!T6</f>
        <v>139.21941335688604</v>
      </c>
      <c r="U3" s="198">
        <f>'SER_se-appl'!U6</f>
        <v>129.26193567541679</v>
      </c>
      <c r="V3" s="198">
        <f>'SER_se-appl'!V6</f>
        <v>96.908096540222942</v>
      </c>
      <c r="W3" s="198">
        <f>'SER_se-appl'!W6</f>
        <v>110.19368441235346</v>
      </c>
      <c r="X3" s="198">
        <f>'SER_se-appl'!X6</f>
        <v>105.06952785695644</v>
      </c>
      <c r="Y3" s="198">
        <f>'SER_se-appl'!Y6</f>
        <v>99.065884892811482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523.09423039172043</v>
      </c>
      <c r="C5" s="59">
        <f>'SER_se-appl'!C14</f>
        <v>536.67342854372669</v>
      </c>
      <c r="D5" s="59">
        <f>'SER_se-appl'!D14</f>
        <v>554.26518203344881</v>
      </c>
      <c r="E5" s="59">
        <f>'SER_se-appl'!E14</f>
        <v>572.51485040811804</v>
      </c>
      <c r="F5" s="59">
        <f>'SER_se-appl'!F14</f>
        <v>592.56838536752889</v>
      </c>
      <c r="G5" s="59">
        <f>'SER_se-appl'!G14</f>
        <v>608.15180168137761</v>
      </c>
      <c r="H5" s="59">
        <f>'SER_se-appl'!H14</f>
        <v>624.24225863236677</v>
      </c>
      <c r="I5" s="59">
        <f>'SER_se-appl'!I14</f>
        <v>643.56988183640453</v>
      </c>
      <c r="J5" s="59">
        <f>'SER_se-appl'!J14</f>
        <v>659.33777749840738</v>
      </c>
      <c r="K5" s="59">
        <f>'SER_se-appl'!K14</f>
        <v>662.44622956027217</v>
      </c>
      <c r="L5" s="59">
        <f>'SER_se-appl'!L14</f>
        <v>667.54183335915695</v>
      </c>
      <c r="M5" s="59">
        <f>'SER_se-appl'!M14</f>
        <v>680.39182749943325</v>
      </c>
      <c r="N5" s="59">
        <f>'SER_se-appl'!N14</f>
        <v>683.65006131344353</v>
      </c>
      <c r="O5" s="59">
        <f>'SER_se-appl'!O14</f>
        <v>686.60579301222026</v>
      </c>
      <c r="P5" s="59">
        <f>'SER_se-appl'!P14</f>
        <v>694.4238524753888</v>
      </c>
      <c r="Q5" s="59">
        <f>'SER_se-appl'!Q14</f>
        <v>712.24330527088466</v>
      </c>
      <c r="R5" s="59">
        <f>'SER_se-appl'!R14</f>
        <v>697.44306736088549</v>
      </c>
      <c r="S5" s="59">
        <f>'SER_se-appl'!S14</f>
        <v>678.77948599522551</v>
      </c>
      <c r="T5" s="59">
        <f>'SER_se-appl'!T14</f>
        <v>655.77986078810352</v>
      </c>
      <c r="U5" s="59">
        <f>'SER_se-appl'!U14</f>
        <v>625.45912881828053</v>
      </c>
      <c r="V5" s="59">
        <f>'SER_se-appl'!V14</f>
        <v>587.0947103062789</v>
      </c>
      <c r="W5" s="59">
        <f>'SER_se-appl'!W14</f>
        <v>545.62450958000261</v>
      </c>
      <c r="X5" s="59">
        <f>'SER_se-appl'!X14</f>
        <v>516.76721834274645</v>
      </c>
      <c r="Y5" s="59">
        <f>'SER_se-appl'!Y14</f>
        <v>485.61280185681977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164.46670978296586</v>
      </c>
      <c r="C6" s="201">
        <f>'SER_se-appl'!C70</f>
        <v>164.95213628658715</v>
      </c>
      <c r="D6" s="201">
        <f>'SER_se-appl'!D70</f>
        <v>166.35147979593268</v>
      </c>
      <c r="E6" s="201">
        <f>'SER_se-appl'!E70</f>
        <v>167.99766717432399</v>
      </c>
      <c r="F6" s="201">
        <f>'SER_se-appl'!F70</f>
        <v>170.55480470634433</v>
      </c>
      <c r="G6" s="201">
        <f>'SER_se-appl'!G70</f>
        <v>172.74072326050432</v>
      </c>
      <c r="H6" s="201">
        <f>'SER_se-appl'!H70</f>
        <v>175.80580693557286</v>
      </c>
      <c r="I6" s="201">
        <f>'SER_se-appl'!I70</f>
        <v>178.49613243283227</v>
      </c>
      <c r="J6" s="201">
        <f>'SER_se-appl'!J70</f>
        <v>182.52281064525684</v>
      </c>
      <c r="K6" s="201">
        <f>'SER_se-appl'!K70</f>
        <v>186.95926340513716</v>
      </c>
      <c r="L6" s="201">
        <f>'SER_se-appl'!L70</f>
        <v>191.84678273158292</v>
      </c>
      <c r="M6" s="201">
        <f>'SER_se-appl'!M70</f>
        <v>197.30036410659793</v>
      </c>
      <c r="N6" s="201">
        <f>'SER_se-appl'!N70</f>
        <v>203.04236613887221</v>
      </c>
      <c r="O6" s="201">
        <f>'SER_se-appl'!O70</f>
        <v>209.92842804334916</v>
      </c>
      <c r="P6" s="201">
        <f>'SER_se-appl'!P70</f>
        <v>219.60025113122308</v>
      </c>
      <c r="Q6" s="201">
        <f>'SER_se-appl'!Q70</f>
        <v>233.0605907457763</v>
      </c>
      <c r="R6" s="201">
        <f>'SER_se-appl'!R70</f>
        <v>240.4636821160228</v>
      </c>
      <c r="S6" s="201">
        <f>'SER_se-appl'!S70</f>
        <v>247.97917484335414</v>
      </c>
      <c r="T6" s="201">
        <f>'SER_se-appl'!T70</f>
        <v>255.12703129788065</v>
      </c>
      <c r="U6" s="201">
        <f>'SER_se-appl'!U70</f>
        <v>261.61368364452551</v>
      </c>
      <c r="V6" s="201">
        <f>'SER_se-appl'!V70</f>
        <v>266.8920314966262</v>
      </c>
      <c r="W6" s="201">
        <f>'SER_se-appl'!W70</f>
        <v>269.97439291543611</v>
      </c>
      <c r="X6" s="201">
        <f>'SER_se-appl'!X70</f>
        <v>271.52889747163124</v>
      </c>
      <c r="Y6" s="201">
        <f>'SER_se-appl'!Y70</f>
        <v>272.30950308220758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9.6747257220616927</v>
      </c>
      <c r="C8" s="34">
        <f>'SER_se-appl'!C22</f>
        <v>10.047898976874217</v>
      </c>
      <c r="D8" s="34">
        <f>'SER_se-appl'!D22</f>
        <v>10.582239667255248</v>
      </c>
      <c r="E8" s="34">
        <f>'SER_se-appl'!E22</f>
        <v>11.202672108568052</v>
      </c>
      <c r="F8" s="34">
        <f>'SER_se-appl'!F22</f>
        <v>11.91964499759704</v>
      </c>
      <c r="G8" s="34">
        <f>'SER_se-appl'!G22</f>
        <v>12.607849146618101</v>
      </c>
      <c r="H8" s="34">
        <f>'SER_se-appl'!H22</f>
        <v>13.400695694223893</v>
      </c>
      <c r="I8" s="34">
        <f>'SER_se-appl'!I22</f>
        <v>14.256351098795134</v>
      </c>
      <c r="J8" s="34">
        <f>'SER_se-appl'!J22</f>
        <v>15.084622549904106</v>
      </c>
      <c r="K8" s="34">
        <f>'SER_se-appl'!K22</f>
        <v>15.627419486199731</v>
      </c>
      <c r="L8" s="34">
        <f>'SER_se-appl'!L22</f>
        <v>16.291058124533617</v>
      </c>
      <c r="M8" s="34">
        <f>'SER_se-appl'!M22</f>
        <v>17.238950801700646</v>
      </c>
      <c r="N8" s="34">
        <f>'SER_se-appl'!N22</f>
        <v>17.993997933783383</v>
      </c>
      <c r="O8" s="34">
        <f>'SER_se-appl'!O22</f>
        <v>18.890572528098073</v>
      </c>
      <c r="P8" s="34">
        <f>'SER_se-appl'!P22</f>
        <v>20.104025035827132</v>
      </c>
      <c r="Q8" s="34">
        <f>'SER_se-appl'!Q22</f>
        <v>21.797504674861614</v>
      </c>
      <c r="R8" s="34">
        <f>'SER_se-appl'!R22</f>
        <v>22.806752677723431</v>
      </c>
      <c r="S8" s="34">
        <f>'SER_se-appl'!S22</f>
        <v>23.848960842863338</v>
      </c>
      <c r="T8" s="34">
        <f>'SER_se-appl'!T22</f>
        <v>24.868992087549007</v>
      </c>
      <c r="U8" s="34">
        <f>'SER_se-appl'!U22</f>
        <v>25.828039166288484</v>
      </c>
      <c r="V8" s="34">
        <f>'SER_se-appl'!V22</f>
        <v>26.652109902031818</v>
      </c>
      <c r="W8" s="34">
        <f>'SER_se-appl'!W22</f>
        <v>27.239639512808253</v>
      </c>
      <c r="X8" s="34">
        <f>'SER_se-appl'!X22</f>
        <v>27.64461966163368</v>
      </c>
      <c r="Y8" s="34">
        <f>'SER_se-appl'!Y22</f>
        <v>27.939866699534214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1.8840374127047852</v>
      </c>
      <c r="D9" s="36">
        <f>'SER_se-appl'!D30</f>
        <v>2.0844546093198559</v>
      </c>
      <c r="E9" s="36">
        <f>'SER_se-appl'!E30</f>
        <v>2.2108157654099205</v>
      </c>
      <c r="F9" s="36">
        <f>'SER_se-appl'!F30</f>
        <v>2.3486717510698565</v>
      </c>
      <c r="G9" s="36">
        <f>'SER_se-appl'!G30</f>
        <v>2.3622918585969739</v>
      </c>
      <c r="H9" s="36">
        <f>'SER_se-appl'!H30</f>
        <v>2.5104242971224977</v>
      </c>
      <c r="I9" s="36">
        <f>'SER_se-appl'!I30</f>
        <v>2.7396928172760262</v>
      </c>
      <c r="J9" s="36">
        <f>'SER_se-appl'!J30</f>
        <v>2.9127260604288274</v>
      </c>
      <c r="K9" s="36">
        <f>'SER_se-appl'!K30</f>
        <v>2.7536127017055456</v>
      </c>
      <c r="L9" s="36">
        <f>'SER_se-appl'!L30</f>
        <v>3.0123103894037424</v>
      </c>
      <c r="M9" s="36">
        <f>'SER_se-appl'!M30</f>
        <v>3.3101845357640034</v>
      </c>
      <c r="N9" s="36">
        <f>'SER_se-appl'!N30</f>
        <v>3.2654714292052347</v>
      </c>
      <c r="O9" s="36">
        <f>'SER_se-appl'!O30</f>
        <v>3.6362674115907154</v>
      </c>
      <c r="P9" s="36">
        <f>'SER_se-appl'!P30</f>
        <v>4.1261785681578864</v>
      </c>
      <c r="Q9" s="36">
        <f>'SER_se-appl'!Q30</f>
        <v>4.4470923407400278</v>
      </c>
      <c r="R9" s="36">
        <f>'SER_se-appl'!R30</f>
        <v>4.0215583922655611</v>
      </c>
      <c r="S9" s="36">
        <f>'SER_se-appl'!S30</f>
        <v>4.3523927009039092</v>
      </c>
      <c r="T9" s="36">
        <f>'SER_se-appl'!T30</f>
        <v>4.2855026738909032</v>
      </c>
      <c r="U9" s="36">
        <f>'SER_se-appl'!U30</f>
        <v>4.5953144903301926</v>
      </c>
      <c r="V9" s="36">
        <f>'SER_se-appl'!V30</f>
        <v>4.9502493039012201</v>
      </c>
      <c r="W9" s="36">
        <f>'SER_se-appl'!W30</f>
        <v>5.0346219515164634</v>
      </c>
      <c r="X9" s="36">
        <f>'SER_se-appl'!X30</f>
        <v>4.4265385410909879</v>
      </c>
      <c r="Y9" s="36">
        <f>'SER_se-appl'!Y30</f>
        <v>4.6476397388044433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1.5108641578922608</v>
      </c>
      <c r="D10" s="38">
        <f>'SER_se-appl'!D38</f>
        <v>1.5501139189388251</v>
      </c>
      <c r="E10" s="38">
        <f>'SER_se-appl'!E38</f>
        <v>1.5903833240971164</v>
      </c>
      <c r="F10" s="38">
        <f>'SER_se-appl'!F38</f>
        <v>1.631698862040869</v>
      </c>
      <c r="G10" s="38">
        <f>'SER_se-appl'!G38</f>
        <v>1.6740877095759128</v>
      </c>
      <c r="H10" s="38">
        <f>'SER_se-appl'!H38</f>
        <v>1.7175777495167051</v>
      </c>
      <c r="I10" s="38">
        <f>'SER_se-appl'!I38</f>
        <v>1.884037412704787</v>
      </c>
      <c r="J10" s="38">
        <f>'SER_se-appl'!J38</f>
        <v>2.0844546093198542</v>
      </c>
      <c r="K10" s="38">
        <f>'SER_se-appl'!K38</f>
        <v>2.2108157654099223</v>
      </c>
      <c r="L10" s="38">
        <f>'SER_se-appl'!L38</f>
        <v>2.3486717510698547</v>
      </c>
      <c r="M10" s="38">
        <f>'SER_se-appl'!M38</f>
        <v>2.3622918585969757</v>
      </c>
      <c r="N10" s="38">
        <f>'SER_se-appl'!N38</f>
        <v>2.5104242971224977</v>
      </c>
      <c r="O10" s="38">
        <f>'SER_se-appl'!O38</f>
        <v>2.7396928172760262</v>
      </c>
      <c r="P10" s="38">
        <f>'SER_se-appl'!P38</f>
        <v>2.9127260604288274</v>
      </c>
      <c r="Q10" s="38">
        <f>'SER_se-appl'!Q38</f>
        <v>2.7536127017055456</v>
      </c>
      <c r="R10" s="38">
        <f>'SER_se-appl'!R38</f>
        <v>3.0123103894037442</v>
      </c>
      <c r="S10" s="38">
        <f>'SER_se-appl'!S38</f>
        <v>3.3101845357640016</v>
      </c>
      <c r="T10" s="38">
        <f>'SER_se-appl'!T38</f>
        <v>3.2654714292052347</v>
      </c>
      <c r="U10" s="38">
        <f>'SER_se-appl'!U38</f>
        <v>3.6362674115907154</v>
      </c>
      <c r="V10" s="38">
        <f>'SER_se-appl'!V38</f>
        <v>4.1261785681578864</v>
      </c>
      <c r="W10" s="38">
        <f>'SER_se-appl'!W38</f>
        <v>4.4470923407400278</v>
      </c>
      <c r="X10" s="38">
        <f>'SER_se-appl'!X38</f>
        <v>4.0215583922655611</v>
      </c>
      <c r="Y10" s="38">
        <f>'SER_se-appl'!Y38</f>
        <v>4.3523927009039127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2158.1016782367274</v>
      </c>
      <c r="C12" s="204">
        <f>'SER_se-appl'!C46</f>
        <v>2176.4878553722301</v>
      </c>
      <c r="D12" s="204">
        <f>'SER_se-appl'!D46</f>
        <v>2202.2437489228087</v>
      </c>
      <c r="E12" s="204">
        <f>'SER_se-appl'!E46</f>
        <v>2219.6878589577159</v>
      </c>
      <c r="F12" s="204">
        <f>'SER_se-appl'!F46</f>
        <v>2238.5433059692473</v>
      </c>
      <c r="G12" s="204">
        <f>'SER_se-appl'!G46</f>
        <v>2260.7008944514782</v>
      </c>
      <c r="H12" s="204">
        <f>'SER_se-appl'!H46</f>
        <v>2283.6557859227719</v>
      </c>
      <c r="I12" s="204">
        <f>'SER_se-appl'!I46</f>
        <v>2302.0903997414212</v>
      </c>
      <c r="J12" s="204">
        <f>'SER_se-appl'!J46</f>
        <v>2317.3914043765139</v>
      </c>
      <c r="K12" s="204">
        <f>'SER_se-appl'!K46</f>
        <v>2329.0137610724446</v>
      </c>
      <c r="L12" s="204">
        <f>'SER_se-appl'!L46</f>
        <v>2340.8640341188216</v>
      </c>
      <c r="M12" s="204">
        <f>'SER_se-appl'!M46</f>
        <v>2353.2151664530702</v>
      </c>
      <c r="N12" s="204">
        <f>'SER_se-appl'!N46</f>
        <v>2366.328205569072</v>
      </c>
      <c r="O12" s="204">
        <f>'SER_se-appl'!O46</f>
        <v>2377.910164350099</v>
      </c>
      <c r="P12" s="204">
        <f>'SER_se-appl'!P46</f>
        <v>2391.6598405293084</v>
      </c>
      <c r="Q12" s="204">
        <f>'SER_se-appl'!Q46</f>
        <v>2408.6287101852199</v>
      </c>
      <c r="R12" s="204">
        <f>'SER_se-appl'!R46</f>
        <v>2454.904910790422</v>
      </c>
      <c r="S12" s="204">
        <f>'SER_se-appl'!S46</f>
        <v>2472.3757459561239</v>
      </c>
      <c r="T12" s="204">
        <f>'SER_se-appl'!T46</f>
        <v>2469.0019839809588</v>
      </c>
      <c r="U12" s="204">
        <f>'SER_se-appl'!U46</f>
        <v>2403.5404435544938</v>
      </c>
      <c r="V12" s="204">
        <f>'SER_se-appl'!V46</f>
        <v>1919.6922455234378</v>
      </c>
      <c r="W12" s="204">
        <f>'SER_se-appl'!W46</f>
        <v>2348.7811255072702</v>
      </c>
      <c r="X12" s="204">
        <f>'SER_se-appl'!X46</f>
        <v>2364.6209852381503</v>
      </c>
      <c r="Y12" s="204">
        <f>'SER_se-appl'!Y46</f>
        <v>2372.5409151035901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54.068119905341213</v>
      </c>
      <c r="C14" s="59">
        <f>'SER_se-appl'!C54</f>
        <v>53.411507199555807</v>
      </c>
      <c r="D14" s="59">
        <f>'SER_se-appl'!D54</f>
        <v>52.376925817369106</v>
      </c>
      <c r="E14" s="59">
        <f>'SER_se-appl'!E54</f>
        <v>51.105204620801672</v>
      </c>
      <c r="F14" s="59">
        <f>'SER_se-appl'!F54</f>
        <v>49.713593440659409</v>
      </c>
      <c r="G14" s="59">
        <f>'SER_se-appl'!G54</f>
        <v>48.235967500016194</v>
      </c>
      <c r="H14" s="59">
        <f>'SER_se-appl'!H54</f>
        <v>46.582824718677415</v>
      </c>
      <c r="I14" s="59">
        <f>'SER_se-appl'!I54</f>
        <v>45.142679033121972</v>
      </c>
      <c r="J14" s="59">
        <f>'SER_se-appl'!J54</f>
        <v>43.709265864434826</v>
      </c>
      <c r="K14" s="59">
        <f>'SER_se-appl'!K54</f>
        <v>42.389994723394068</v>
      </c>
      <c r="L14" s="59">
        <f>'SER_se-appl'!L54</f>
        <v>40.975965358190471</v>
      </c>
      <c r="M14" s="59">
        <f>'SER_se-appl'!M54</f>
        <v>39.468285241136115</v>
      </c>
      <c r="N14" s="59">
        <f>'SER_se-appl'!N54</f>
        <v>37.993227732337559</v>
      </c>
      <c r="O14" s="59">
        <f>'SER_se-appl'!O54</f>
        <v>36.346478752348787</v>
      </c>
      <c r="P14" s="59">
        <f>'SER_se-appl'!P54</f>
        <v>34.541533411238035</v>
      </c>
      <c r="Q14" s="59">
        <f>'SER_se-appl'!Q54</f>
        <v>32.675451428726738</v>
      </c>
      <c r="R14" s="59">
        <f>'SER_se-appl'!R54</f>
        <v>30.580551173430109</v>
      </c>
      <c r="S14" s="59">
        <f>'SER_se-appl'!S54</f>
        <v>28.461595893740849</v>
      </c>
      <c r="T14" s="59">
        <f>'SER_se-appl'!T54</f>
        <v>26.369378319776317</v>
      </c>
      <c r="U14" s="59">
        <f>'SER_se-appl'!U54</f>
        <v>24.216283891757769</v>
      </c>
      <c r="V14" s="59">
        <f>'SER_se-appl'!V54</f>
        <v>22.028076293559103</v>
      </c>
      <c r="W14" s="59">
        <f>'SER_se-appl'!W54</f>
        <v>20.030533418896621</v>
      </c>
      <c r="X14" s="59">
        <f>'SER_se-appl'!X54</f>
        <v>18.693229448185786</v>
      </c>
      <c r="Y14" s="59">
        <f>'SER_se-appl'!Y54</f>
        <v>17.380641328003023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50.566290222887069</v>
      </c>
      <c r="D15" s="63">
        <f>'SER_se-appl'!D62</f>
        <v>48.647496698876225</v>
      </c>
      <c r="E15" s="63">
        <f>'SER_se-appl'!E62</f>
        <v>47.149430661889504</v>
      </c>
      <c r="F15" s="63">
        <f>'SER_se-appl'!F62</f>
        <v>46.101131259540168</v>
      </c>
      <c r="G15" s="63">
        <f>'SER_se-appl'!G62</f>
        <v>44.913244289074285</v>
      </c>
      <c r="H15" s="63">
        <f>'SER_se-appl'!H62</f>
        <v>43.401689819323735</v>
      </c>
      <c r="I15" s="63">
        <f>'SER_se-appl'!I62</f>
        <v>41.828195147653119</v>
      </c>
      <c r="J15" s="63">
        <f>'SER_se-appl'!J62</f>
        <v>40.227399335520467</v>
      </c>
      <c r="K15" s="63">
        <f>'SER_se-appl'!K62</f>
        <v>38.984115897193099</v>
      </c>
      <c r="L15" s="63">
        <f>'SER_se-appl'!L62</f>
        <v>37.636237248104756</v>
      </c>
      <c r="M15" s="63">
        <f>'SER_se-appl'!M62</f>
        <v>35.93400433794244</v>
      </c>
      <c r="N15" s="63">
        <f>'SER_se-appl'!N62</f>
        <v>34.364070519498007</v>
      </c>
      <c r="O15" s="63">
        <f>'SER_se-appl'!O62</f>
        <v>32.327693263075453</v>
      </c>
      <c r="P15" s="63">
        <f>'SER_se-appl'!P62</f>
        <v>30.29181887947647</v>
      </c>
      <c r="Q15" s="63">
        <f>'SER_se-appl'!Q62</f>
        <v>28.145718573934413</v>
      </c>
      <c r="R15" s="63">
        <f>'SER_se-appl'!R62</f>
        <v>24.510844044962379</v>
      </c>
      <c r="S15" s="63">
        <f>'SER_se-appl'!S62</f>
        <v>23.04125822126446</v>
      </c>
      <c r="T15" s="63">
        <f>'SER_se-appl'!T62</f>
        <v>20.817923136305545</v>
      </c>
      <c r="U15" s="63">
        <f>'SER_se-appl'!U62</f>
        <v>18.982684584081884</v>
      </c>
      <c r="V15" s="63">
        <f>'SER_se-appl'!V62</f>
        <v>17.499125805794609</v>
      </c>
      <c r="W15" s="63">
        <f>'SER_se-appl'!W62</f>
        <v>16.624169515504878</v>
      </c>
      <c r="X15" s="63">
        <f>'SER_se-appl'!X62</f>
        <v>15.749213225215147</v>
      </c>
      <c r="Y15" s="63">
        <f>'SER_se-appl'!Y62</f>
        <v>14.874256934925416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47.061811649014281</v>
      </c>
      <c r="C3" s="198">
        <f>'SER_se-appl'!C7</f>
        <v>48.58742685808533</v>
      </c>
      <c r="D3" s="198">
        <f>'SER_se-appl'!D7</f>
        <v>48.795521830957703</v>
      </c>
      <c r="E3" s="198">
        <f>'SER_se-appl'!E7</f>
        <v>50.124046163589561</v>
      </c>
      <c r="F3" s="198">
        <f>'SER_se-appl'!F7</f>
        <v>52.189070097846908</v>
      </c>
      <c r="G3" s="198">
        <f>'SER_se-appl'!G7</f>
        <v>55.34771333175177</v>
      </c>
      <c r="H3" s="198">
        <f>'SER_se-appl'!H7</f>
        <v>59.547016573793684</v>
      </c>
      <c r="I3" s="198">
        <f>'SER_se-appl'!I7</f>
        <v>63.316914261549123</v>
      </c>
      <c r="J3" s="198">
        <f>'SER_se-appl'!J7</f>
        <v>65.760988704789739</v>
      </c>
      <c r="K3" s="198">
        <f>'SER_se-appl'!K7</f>
        <v>67.38041878147736</v>
      </c>
      <c r="L3" s="198">
        <f>'SER_se-appl'!L7</f>
        <v>67.866386528246579</v>
      </c>
      <c r="M3" s="198">
        <f>'SER_se-appl'!M7</f>
        <v>67.476866210890549</v>
      </c>
      <c r="N3" s="198">
        <f>'SER_se-appl'!N7</f>
        <v>67.283177367054165</v>
      </c>
      <c r="O3" s="198">
        <f>'SER_se-appl'!O7</f>
        <v>67.245924978856635</v>
      </c>
      <c r="P3" s="198">
        <f>'SER_se-appl'!P7</f>
        <v>67.438413023944577</v>
      </c>
      <c r="Q3" s="198">
        <f>'SER_se-appl'!Q7</f>
        <v>68.033242692822611</v>
      </c>
      <c r="R3" s="198">
        <f>'SER_se-appl'!R7</f>
        <v>67.513423509091879</v>
      </c>
      <c r="S3" s="198">
        <f>'SER_se-appl'!S7</f>
        <v>67.074143958963845</v>
      </c>
      <c r="T3" s="198">
        <f>'SER_se-appl'!T7</f>
        <v>66.816386676378173</v>
      </c>
      <c r="U3" s="198">
        <f>'SER_se-appl'!U7</f>
        <v>66.685276822603868</v>
      </c>
      <c r="V3" s="198">
        <f>'SER_se-appl'!V7</f>
        <v>66.719827478223465</v>
      </c>
      <c r="W3" s="198">
        <f>'SER_se-appl'!W7</f>
        <v>66.791611992302975</v>
      </c>
      <c r="X3" s="198">
        <f>'SER_se-appl'!X7</f>
        <v>66.464745239824339</v>
      </c>
      <c r="Y3" s="198">
        <f>'SER_se-appl'!Y7</f>
        <v>65.770852674065509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62.480464552287238</v>
      </c>
      <c r="C5" s="59">
        <f>'SER_se-appl'!C15</f>
        <v>64.505910315015086</v>
      </c>
      <c r="D5" s="59">
        <f>'SER_se-appl'!D15</f>
        <v>64.782182522150464</v>
      </c>
      <c r="E5" s="59">
        <f>'SER_se-appl'!E15</f>
        <v>66.545965397550972</v>
      </c>
      <c r="F5" s="59">
        <f>'SER_se-appl'!F15</f>
        <v>69.287543976936036</v>
      </c>
      <c r="G5" s="59">
        <f>'SER_se-appl'!G15</f>
        <v>73.481039503227507</v>
      </c>
      <c r="H5" s="59">
        <f>'SER_se-appl'!H15</f>
        <v>79.056141866806001</v>
      </c>
      <c r="I5" s="59">
        <f>'SER_se-appl'!I15</f>
        <v>84.061154436280404</v>
      </c>
      <c r="J5" s="59">
        <f>'SER_se-appl'!J15</f>
        <v>87.305970164007419</v>
      </c>
      <c r="K5" s="59">
        <f>'SER_se-appl'!K15</f>
        <v>89.455966943902013</v>
      </c>
      <c r="L5" s="59">
        <f>'SER_se-appl'!L15</f>
        <v>90.101150151085349</v>
      </c>
      <c r="M5" s="59">
        <f>'SER_se-appl'!M15</f>
        <v>89.584013017426614</v>
      </c>
      <c r="N5" s="59">
        <f>'SER_se-appl'!N15</f>
        <v>89.326866755575395</v>
      </c>
      <c r="O5" s="59">
        <f>'SER_se-appl'!O15</f>
        <v>89.27740953243179</v>
      </c>
      <c r="P5" s="59">
        <f>'SER_se-appl'!P15</f>
        <v>89.532961583159306</v>
      </c>
      <c r="Q5" s="59">
        <f>'SER_se-appl'!Q15</f>
        <v>90.322672661818132</v>
      </c>
      <c r="R5" s="59">
        <f>'SER_se-appl'!R15</f>
        <v>89.632547421317213</v>
      </c>
      <c r="S5" s="59">
        <f>'SER_se-appl'!S15</f>
        <v>89.049348657848128</v>
      </c>
      <c r="T5" s="59">
        <f>'SER_se-appl'!T15</f>
        <v>88.707143498433538</v>
      </c>
      <c r="U5" s="59">
        <f>'SER_se-appl'!U15</f>
        <v>88.533078703982056</v>
      </c>
      <c r="V5" s="59">
        <f>'SER_se-appl'!V15</f>
        <v>88.578949037869762</v>
      </c>
      <c r="W5" s="59">
        <f>'SER_se-appl'!W15</f>
        <v>88.674251994347443</v>
      </c>
      <c r="X5" s="59">
        <f>'SER_se-appl'!X15</f>
        <v>88.240295335520202</v>
      </c>
      <c r="Y5" s="59">
        <f>'SER_se-appl'!Y15</f>
        <v>87.319065821847232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1.0510414500821554E-2</v>
      </c>
      <c r="C6" s="201">
        <f>'SER_se-appl'!C71</f>
        <v>1.1017798646518568E-2</v>
      </c>
      <c r="D6" s="201">
        <f>'SER_se-appl'!D71</f>
        <v>1.1572397404715901E-2</v>
      </c>
      <c r="E6" s="201">
        <f>'SER_se-appl'!E71</f>
        <v>1.2138496511651829E-2</v>
      </c>
      <c r="F6" s="201">
        <f>'SER_se-appl'!F71</f>
        <v>1.2928000496928507E-2</v>
      </c>
      <c r="G6" s="201">
        <f>'SER_se-appl'!G71</f>
        <v>1.4053307661349049E-2</v>
      </c>
      <c r="H6" s="201">
        <f>'SER_se-appl'!H71</f>
        <v>1.5537880887933654E-2</v>
      </c>
      <c r="I6" s="201">
        <f>'SER_se-appl'!I71</f>
        <v>1.6977144908024287E-2</v>
      </c>
      <c r="J6" s="201">
        <f>'SER_se-appl'!J71</f>
        <v>1.8102196851673552E-2</v>
      </c>
      <c r="K6" s="201">
        <f>'SER_se-appl'!K71</f>
        <v>1.9036548351008254E-2</v>
      </c>
      <c r="L6" s="201">
        <f>'SER_se-appl'!L71</f>
        <v>1.9661307127594538E-2</v>
      </c>
      <c r="M6" s="201">
        <f>'SER_se-appl'!M71</f>
        <v>1.9997265857982331E-2</v>
      </c>
      <c r="N6" s="201">
        <f>'SER_se-appl'!N71</f>
        <v>2.0289459256879548E-2</v>
      </c>
      <c r="O6" s="201">
        <f>'SER_se-appl'!O71</f>
        <v>2.0960915119656368E-2</v>
      </c>
      <c r="P6" s="201">
        <f>'SER_se-appl'!P71</f>
        <v>2.1711235239757338E-2</v>
      </c>
      <c r="Q6" s="201">
        <f>'SER_se-appl'!Q71</f>
        <v>2.272162836290275E-2</v>
      </c>
      <c r="R6" s="201">
        <f>'SER_se-appl'!R71</f>
        <v>2.3425035085803906E-2</v>
      </c>
      <c r="S6" s="201">
        <f>'SER_se-appl'!S71</f>
        <v>2.4142508218404145E-2</v>
      </c>
      <c r="T6" s="201">
        <f>'SER_se-appl'!T71</f>
        <v>2.4867412877428118E-2</v>
      </c>
      <c r="U6" s="201">
        <f>'SER_se-appl'!U71</f>
        <v>2.5612576483471004E-2</v>
      </c>
      <c r="V6" s="201">
        <f>'SER_se-appl'!V71</f>
        <v>2.6383146776046962E-2</v>
      </c>
      <c r="W6" s="201">
        <f>'SER_se-appl'!W71</f>
        <v>2.6937454892213237E-2</v>
      </c>
      <c r="X6" s="201">
        <f>'SER_se-appl'!X71</f>
        <v>2.7332385469033119E-2</v>
      </c>
      <c r="Y6" s="201">
        <f>'SER_se-appl'!Y71</f>
        <v>2.7612276946572912E-2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86.08950188483125</v>
      </c>
      <c r="C8" s="34">
        <f>'SER_se-appl'!C23</f>
        <v>89.789197500246388</v>
      </c>
      <c r="D8" s="34">
        <f>'SER_se-appl'!D23</f>
        <v>91.061054284189552</v>
      </c>
      <c r="E8" s="34">
        <f>'SER_se-appl'!E23</f>
        <v>94.747107352677432</v>
      </c>
      <c r="F8" s="34">
        <f>'SER_se-appl'!F23</f>
        <v>100.12926426478433</v>
      </c>
      <c r="G8" s="34">
        <f>'SER_se-appl'!G23</f>
        <v>108.04988184574144</v>
      </c>
      <c r="H8" s="34">
        <f>'SER_se-appl'!H23</f>
        <v>118.54425784785528</v>
      </c>
      <c r="I8" s="34">
        <f>'SER_se-appl'!I23</f>
        <v>128.562366862083</v>
      </c>
      <c r="J8" s="34">
        <f>'SER_se-appl'!J23</f>
        <v>136.09235213527546</v>
      </c>
      <c r="K8" s="34">
        <f>'SER_se-appl'!K23</f>
        <v>142.1481718862324</v>
      </c>
      <c r="L8" s="34">
        <f>'SER_se-appl'!L23</f>
        <v>145.9216207551388</v>
      </c>
      <c r="M8" s="34">
        <f>'SER_se-appl'!M23</f>
        <v>147.36847092905657</v>
      </c>
      <c r="N8" s="34">
        <f>'SER_se-appl'!N23</f>
        <v>148.66541281402999</v>
      </c>
      <c r="O8" s="34">
        <f>'SER_se-appl'!O23</f>
        <v>150.97216496057169</v>
      </c>
      <c r="P8" s="34">
        <f>'SER_se-appl'!P23</f>
        <v>154.52869639091659</v>
      </c>
      <c r="Q8" s="34">
        <f>'SER_se-appl'!Q23</f>
        <v>159.72600368641383</v>
      </c>
      <c r="R8" s="34">
        <f>'SER_se-appl'!R23</f>
        <v>162.54067302693761</v>
      </c>
      <c r="S8" s="34">
        <f>'SER_se-appl'!S23</f>
        <v>165.36454460710712</v>
      </c>
      <c r="T8" s="34">
        <f>'SER_se-appl'!T23</f>
        <v>168.03950339136455</v>
      </c>
      <c r="U8" s="34">
        <f>'SER_se-appl'!U23</f>
        <v>170.68674311188835</v>
      </c>
      <c r="V8" s="34">
        <f>'SER_se-appl'!V23</f>
        <v>173.31814653721591</v>
      </c>
      <c r="W8" s="34">
        <f>'SER_se-appl'!W23</f>
        <v>175.95860703815924</v>
      </c>
      <c r="X8" s="34">
        <f>'SER_se-appl'!X23</f>
        <v>177.18175148483968</v>
      </c>
      <c r="Y8" s="34">
        <f>'SER_se-appl'!Y23</f>
        <v>178.03595419118764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11.523776629121826</v>
      </c>
      <c r="D9" s="36">
        <f>'SER_se-appl'!D31</f>
        <v>9.2607456890934685</v>
      </c>
      <c r="E9" s="36">
        <f>'SER_se-appl'!E31</f>
        <v>11.843221409028544</v>
      </c>
      <c r="F9" s="36">
        <f>'SER_se-appl'!F31</f>
        <v>13.711149357229289</v>
      </c>
      <c r="G9" s="36">
        <f>'SER_se-appl'!G31</f>
        <v>16.425053465420902</v>
      </c>
      <c r="H9" s="36">
        <f>'SER_se-appl'!H31</f>
        <v>19.177950899016338</v>
      </c>
      <c r="I9" s="36">
        <f>'SER_se-appl'!I31</f>
        <v>18.884596340902348</v>
      </c>
      <c r="J9" s="36">
        <f>'SER_se-appl'!J31</f>
        <v>16.583237930934189</v>
      </c>
      <c r="K9" s="36">
        <f>'SER_se-appl'!K31</f>
        <v>15.299771799287143</v>
      </c>
      <c r="L9" s="36">
        <f>'SER_se-appl'!L31</f>
        <v>13.212117235104756</v>
      </c>
      <c r="M9" s="36">
        <f>'SER_se-appl'!M31</f>
        <v>12.970626803039579</v>
      </c>
      <c r="N9" s="36">
        <f>'SER_se-appl'!N31</f>
        <v>10.557687574066904</v>
      </c>
      <c r="O9" s="36">
        <f>'SER_se-appl'!O31</f>
        <v>14.149973555570256</v>
      </c>
      <c r="P9" s="36">
        <f>'SER_se-appl'!P31</f>
        <v>17.267680787574193</v>
      </c>
      <c r="Q9" s="36">
        <f>'SER_se-appl'!Q31</f>
        <v>21.622360760918127</v>
      </c>
      <c r="R9" s="36">
        <f>'SER_se-appl'!R31</f>
        <v>21.992620239540116</v>
      </c>
      <c r="S9" s="36">
        <f>'SER_se-appl'!S31</f>
        <v>21.708467921071872</v>
      </c>
      <c r="T9" s="36">
        <f>'SER_se-appl'!T31</f>
        <v>19.258196715191616</v>
      </c>
      <c r="U9" s="36">
        <f>'SER_se-appl'!U31</f>
        <v>17.947011519810928</v>
      </c>
      <c r="V9" s="36">
        <f>'SER_se-appl'!V31</f>
        <v>15.843520660432318</v>
      </c>
      <c r="W9" s="36">
        <f>'SER_se-appl'!W31</f>
        <v>15.611087303982913</v>
      </c>
      <c r="X9" s="36">
        <f>'SER_se-appl'!X31</f>
        <v>11.78083202074734</v>
      </c>
      <c r="Y9" s="36">
        <f>'SER_se-appl'!Y31</f>
        <v>15.004176261918218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7.8240810137066887</v>
      </c>
      <c r="D10" s="38">
        <f>'SER_se-appl'!D39</f>
        <v>7.9888889051503043</v>
      </c>
      <c r="E10" s="38">
        <f>'SER_se-appl'!E39</f>
        <v>8.1571683405406645</v>
      </c>
      <c r="F10" s="38">
        <f>'SER_se-appl'!F39</f>
        <v>8.3289924451223953</v>
      </c>
      <c r="G10" s="38">
        <f>'SER_se-appl'!G39</f>
        <v>8.5044358844637884</v>
      </c>
      <c r="H10" s="38">
        <f>'SER_se-appl'!H39</f>
        <v>8.6835748969024991</v>
      </c>
      <c r="I10" s="38">
        <f>'SER_se-appl'!I39</f>
        <v>8.8664873266746156</v>
      </c>
      <c r="J10" s="38">
        <f>'SER_se-appl'!J39</f>
        <v>9.0532526577417229</v>
      </c>
      <c r="K10" s="38">
        <f>'SER_se-appl'!K39</f>
        <v>9.2439520483302147</v>
      </c>
      <c r="L10" s="38">
        <f>'SER_se-appl'!L39</f>
        <v>9.4386683661983568</v>
      </c>
      <c r="M10" s="38">
        <f>'SER_se-appl'!M39</f>
        <v>11.523776629121812</v>
      </c>
      <c r="N10" s="38">
        <f>'SER_se-appl'!N39</f>
        <v>9.2607456890934827</v>
      </c>
      <c r="O10" s="38">
        <f>'SER_se-appl'!O39</f>
        <v>11.843221409028558</v>
      </c>
      <c r="P10" s="38">
        <f>'SER_se-appl'!P39</f>
        <v>13.711149357229289</v>
      </c>
      <c r="Q10" s="38">
        <f>'SER_se-appl'!Q39</f>
        <v>16.425053465420888</v>
      </c>
      <c r="R10" s="38">
        <f>'SER_se-appl'!R39</f>
        <v>19.177950899016338</v>
      </c>
      <c r="S10" s="38">
        <f>'SER_se-appl'!S39</f>
        <v>18.884596340902362</v>
      </c>
      <c r="T10" s="38">
        <f>'SER_se-appl'!T39</f>
        <v>16.583237930934189</v>
      </c>
      <c r="U10" s="38">
        <f>'SER_se-appl'!U39</f>
        <v>15.299771799287129</v>
      </c>
      <c r="V10" s="38">
        <f>'SER_se-appl'!V39</f>
        <v>13.212117235104756</v>
      </c>
      <c r="W10" s="38">
        <f>'SER_se-appl'!W39</f>
        <v>12.970626803039579</v>
      </c>
      <c r="X10" s="38">
        <f>'SER_se-appl'!X39</f>
        <v>10.557687574066904</v>
      </c>
      <c r="Y10" s="38">
        <f>'SER_se-appl'!Y39</f>
        <v>14.149973555570256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8759.9999999999982</v>
      </c>
      <c r="C12" s="204">
        <f>'SER_se-appl'!C47</f>
        <v>8760.0000000000036</v>
      </c>
      <c r="D12" s="204">
        <f>'SER_se-appl'!D47</f>
        <v>8760</v>
      </c>
      <c r="E12" s="204">
        <f>'SER_se-appl'!E47</f>
        <v>8760.0000000000018</v>
      </c>
      <c r="F12" s="204">
        <f>'SER_se-appl'!F47</f>
        <v>8759.9999999999982</v>
      </c>
      <c r="G12" s="204">
        <f>'SER_se-appl'!G47</f>
        <v>8760.0000000000018</v>
      </c>
      <c r="H12" s="204">
        <f>'SER_se-appl'!H47</f>
        <v>8760</v>
      </c>
      <c r="I12" s="204">
        <f>'SER_se-appl'!I47</f>
        <v>8760</v>
      </c>
      <c r="J12" s="204">
        <f>'SER_se-appl'!J47</f>
        <v>8759.9999999999964</v>
      </c>
      <c r="K12" s="204">
        <f>'SER_se-appl'!K47</f>
        <v>8760</v>
      </c>
      <c r="L12" s="204">
        <f>'SER_se-appl'!L47</f>
        <v>8760.0000000000018</v>
      </c>
      <c r="M12" s="204">
        <f>'SER_se-appl'!M47</f>
        <v>8760</v>
      </c>
      <c r="N12" s="204">
        <f>'SER_se-appl'!N47</f>
        <v>8759.9999999999945</v>
      </c>
      <c r="O12" s="204">
        <f>'SER_se-appl'!O47</f>
        <v>8760.0000000000018</v>
      </c>
      <c r="P12" s="204">
        <f>'SER_se-appl'!P47</f>
        <v>8759.9999999999982</v>
      </c>
      <c r="Q12" s="204">
        <f>'SER_se-appl'!Q47</f>
        <v>8760.0000000000018</v>
      </c>
      <c r="R12" s="204">
        <f>'SER_se-appl'!R47</f>
        <v>8759.9999999999982</v>
      </c>
      <c r="S12" s="204">
        <f>'SER_se-appl'!S47</f>
        <v>8760</v>
      </c>
      <c r="T12" s="204">
        <f>'SER_se-appl'!T47</f>
        <v>8760.0000000000036</v>
      </c>
      <c r="U12" s="204">
        <f>'SER_se-appl'!U47</f>
        <v>8760.0000000000018</v>
      </c>
      <c r="V12" s="204">
        <f>'SER_se-appl'!V47</f>
        <v>8759.9999999999982</v>
      </c>
      <c r="W12" s="204">
        <f>'SER_se-appl'!W47</f>
        <v>8760</v>
      </c>
      <c r="X12" s="204">
        <f>'SER_se-appl'!X47</f>
        <v>8760</v>
      </c>
      <c r="Y12" s="204">
        <f>'SER_se-appl'!Y47</f>
        <v>8760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725.7617152422639</v>
      </c>
      <c r="C14" s="59">
        <f>'SER_se-appl'!C55</f>
        <v>718.41504446944271</v>
      </c>
      <c r="D14" s="59">
        <f>'SER_se-appl'!D55</f>
        <v>711.41480879382107</v>
      </c>
      <c r="E14" s="59">
        <f>'SER_se-appl'!E55</f>
        <v>702.35353096160213</v>
      </c>
      <c r="F14" s="59">
        <f>'SER_se-appl'!F55</f>
        <v>691.98095567456016</v>
      </c>
      <c r="G14" s="59">
        <f>'SER_se-appl'!G55</f>
        <v>680.06589408522905</v>
      </c>
      <c r="H14" s="59">
        <f>'SER_se-appl'!H55</f>
        <v>666.89136447477711</v>
      </c>
      <c r="I14" s="59">
        <f>'SER_se-appl'!I55</f>
        <v>653.85506262853835</v>
      </c>
      <c r="J14" s="59">
        <f>'SER_se-appl'!J55</f>
        <v>641.52003249400457</v>
      </c>
      <c r="K14" s="59">
        <f>'SER_se-appl'!K55</f>
        <v>629.31493072944795</v>
      </c>
      <c r="L14" s="59">
        <f>'SER_se-appl'!L55</f>
        <v>617.46264662368299</v>
      </c>
      <c r="M14" s="59">
        <f>'SER_se-appl'!M55</f>
        <v>607.8913111648726</v>
      </c>
      <c r="N14" s="59">
        <f>'SER_se-appl'!N55</f>
        <v>600.85843145854676</v>
      </c>
      <c r="O14" s="59">
        <f>'SER_se-appl'!O55</f>
        <v>591.35013103738515</v>
      </c>
      <c r="P14" s="59">
        <f>'SER_se-appl'!P55</f>
        <v>579.39375452093816</v>
      </c>
      <c r="Q14" s="59">
        <f>'SER_se-appl'!Q55</f>
        <v>565.48508431442656</v>
      </c>
      <c r="R14" s="59">
        <f>'SER_se-appl'!R55</f>
        <v>551.44688250714057</v>
      </c>
      <c r="S14" s="59">
        <f>'SER_se-appl'!S55</f>
        <v>538.50327389962717</v>
      </c>
      <c r="T14" s="59">
        <f>'SER_se-appl'!T55</f>
        <v>527.89458257225567</v>
      </c>
      <c r="U14" s="59">
        <f>'SER_se-appl'!U55</f>
        <v>518.68749200954039</v>
      </c>
      <c r="V14" s="59">
        <f>'SER_se-appl'!V55</f>
        <v>511.07717690051322</v>
      </c>
      <c r="W14" s="59">
        <f>'SER_se-appl'!W55</f>
        <v>503.94949975432075</v>
      </c>
      <c r="X14" s="59">
        <f>'SER_se-appl'!X55</f>
        <v>498.02135149945371</v>
      </c>
      <c r="Y14" s="59">
        <f>'SER_se-appl'!Y55</f>
        <v>490.45748213351237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668.5190512944813</v>
      </c>
      <c r="D15" s="63">
        <f>'SER_se-appl'!D63</f>
        <v>655.91930992889343</v>
      </c>
      <c r="E15" s="63">
        <f>'SER_se-appl'!E63</f>
        <v>648.80517693382103</v>
      </c>
      <c r="F15" s="63">
        <f>'SER_se-appl'!F63</f>
        <v>640.82464523400949</v>
      </c>
      <c r="G15" s="63">
        <f>'SER_se-appl'!G63</f>
        <v>631.09015278338552</v>
      </c>
      <c r="H15" s="63">
        <f>'SER_se-appl'!H63</f>
        <v>619.32104413711511</v>
      </c>
      <c r="I15" s="63">
        <f>'SER_se-appl'!I63</f>
        <v>605.78311621507089</v>
      </c>
      <c r="J15" s="63">
        <f>'SER_se-appl'!J63</f>
        <v>591.88199228703434</v>
      </c>
      <c r="K15" s="63">
        <f>'SER_se-appl'!K63</f>
        <v>579.02192204727612</v>
      </c>
      <c r="L15" s="63">
        <f>'SER_se-appl'!L63</f>
        <v>567.31311241493961</v>
      </c>
      <c r="M15" s="63">
        <f>'SER_se-appl'!M63</f>
        <v>554.07708470088301</v>
      </c>
      <c r="N15" s="63">
        <f>'SER_se-appl'!N63</f>
        <v>550.98766838438894</v>
      </c>
      <c r="O15" s="63">
        <f>'SER_se-appl'!O63</f>
        <v>539.54066476698188</v>
      </c>
      <c r="P15" s="63">
        <f>'SER_se-appl'!P63</f>
        <v>523.63687889291373</v>
      </c>
      <c r="Q15" s="63">
        <f>'SER_se-appl'!Q63</f>
        <v>515.91963999554025</v>
      </c>
      <c r="R15" s="63">
        <f>'SER_se-appl'!R63</f>
        <v>508.67896652782548</v>
      </c>
      <c r="S15" s="63">
        <f>'SER_se-appl'!S63</f>
        <v>500.1168620401844</v>
      </c>
      <c r="T15" s="63">
        <f>'SER_se-appl'!T63</f>
        <v>491.90040406243639</v>
      </c>
      <c r="U15" s="63">
        <f>'SER_se-appl'!U63</f>
        <v>483.91557948629361</v>
      </c>
      <c r="V15" s="63">
        <f>'SER_se-appl'!V63</f>
        <v>475.98496860358131</v>
      </c>
      <c r="W15" s="63">
        <f>'SER_se-appl'!W63</f>
        <v>466.46526923150969</v>
      </c>
      <c r="X15" s="63">
        <f>'SER_se-appl'!X63</f>
        <v>456.94556985943802</v>
      </c>
      <c r="Y15" s="63">
        <f>'SER_se-appl'!Y63</f>
        <v>447.42587048736641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16.532623237802223</v>
      </c>
      <c r="C3" s="198">
        <f>'SER_se-appl'!C8</f>
        <v>17.839528742220011</v>
      </c>
      <c r="D3" s="198">
        <f>'SER_se-appl'!D8</f>
        <v>19.592737786730783</v>
      </c>
      <c r="E3" s="198">
        <f>'SER_se-appl'!E8</f>
        <v>21.950121510851453</v>
      </c>
      <c r="F3" s="198">
        <f>'SER_se-appl'!F8</f>
        <v>24.570835671337825</v>
      </c>
      <c r="G3" s="198">
        <f>'SER_se-appl'!G8</f>
        <v>27.654239937704755</v>
      </c>
      <c r="H3" s="198">
        <f>'SER_se-appl'!H8</f>
        <v>31.064082350903814</v>
      </c>
      <c r="I3" s="198">
        <f>'SER_se-appl'!I8</f>
        <v>34.689294287231689</v>
      </c>
      <c r="J3" s="198">
        <f>'SER_se-appl'!J8</f>
        <v>37.683308357527864</v>
      </c>
      <c r="K3" s="198">
        <f>'SER_se-appl'!K8</f>
        <v>39.300345168200636</v>
      </c>
      <c r="L3" s="198">
        <f>'SER_se-appl'!L8</f>
        <v>41.087487237762126</v>
      </c>
      <c r="M3" s="198">
        <f>'SER_se-appl'!M8</f>
        <v>43.219103790275668</v>
      </c>
      <c r="N3" s="198">
        <f>'SER_se-appl'!N8</f>
        <v>44.47759579136013</v>
      </c>
      <c r="O3" s="198">
        <f>'SER_se-appl'!O8</f>
        <v>45.547872766875102</v>
      </c>
      <c r="P3" s="198">
        <f>'SER_se-appl'!P8</f>
        <v>46.872872305556839</v>
      </c>
      <c r="Q3" s="198">
        <f>'SER_se-appl'!Q8</f>
        <v>48.142250580597228</v>
      </c>
      <c r="R3" s="198">
        <f>'SER_se-appl'!R8</f>
        <v>50.033571855527725</v>
      </c>
      <c r="S3" s="198">
        <f>'SER_se-appl'!S8</f>
        <v>51.347869985093652</v>
      </c>
      <c r="T3" s="198">
        <f>'SER_se-appl'!T8</f>
        <v>52.22323268705977</v>
      </c>
      <c r="U3" s="198">
        <f>'SER_se-appl'!U8</f>
        <v>52.069540026871991</v>
      </c>
      <c r="V3" s="198">
        <f>'SER_se-appl'!V8</f>
        <v>42.049357048756058</v>
      </c>
      <c r="W3" s="198">
        <f>'SER_se-appl'!W8</f>
        <v>51.921426468652953</v>
      </c>
      <c r="X3" s="198">
        <f>'SER_se-appl'!X8</f>
        <v>52.485379696435153</v>
      </c>
      <c r="Y3" s="198">
        <f>'SER_se-appl'!Y8</f>
        <v>52.773218445929842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220.32500174564021</v>
      </c>
      <c r="C5" s="59">
        <f>'SER_se-appl'!C16</f>
        <v>236.61144995873195</v>
      </c>
      <c r="D5" s="59">
        <f>'SER_se-appl'!D16</f>
        <v>258.73672547371467</v>
      </c>
      <c r="E5" s="59">
        <f>'SER_se-appl'!E16</f>
        <v>288.70996537720839</v>
      </c>
      <c r="F5" s="59">
        <f>'SER_se-appl'!F16</f>
        <v>321.98492512802733</v>
      </c>
      <c r="G5" s="59">
        <f>'SER_se-appl'!G16</f>
        <v>361.14297986869832</v>
      </c>
      <c r="H5" s="59">
        <f>'SER_se-appl'!H16</f>
        <v>404.36591735867125</v>
      </c>
      <c r="I5" s="59">
        <f>'SER_se-appl'!I16</f>
        <v>450.18915861104909</v>
      </c>
      <c r="J5" s="59">
        <f>'SER_se-appl'!J16</f>
        <v>487.64908356319444</v>
      </c>
      <c r="K5" s="59">
        <f>'SER_se-appl'!K16</f>
        <v>507.20169729980199</v>
      </c>
      <c r="L5" s="59">
        <f>'SER_se-appl'!L16</f>
        <v>528.907951211252</v>
      </c>
      <c r="M5" s="59">
        <f>'SER_se-appl'!M16</f>
        <v>555.44359186680447</v>
      </c>
      <c r="N5" s="59">
        <f>'SER_se-appl'!N16</f>
        <v>570.73178691138185</v>
      </c>
      <c r="O5" s="59">
        <f>'SER_se-appl'!O16</f>
        <v>583.60009137109591</v>
      </c>
      <c r="P5" s="59">
        <f>'SER_se-appl'!P16</f>
        <v>599.72576373225081</v>
      </c>
      <c r="Q5" s="59">
        <f>'SER_se-appl'!Q16</f>
        <v>615.12951965069101</v>
      </c>
      <c r="R5" s="59">
        <f>'SER_se-appl'!R16</f>
        <v>629.29126354114828</v>
      </c>
      <c r="S5" s="59">
        <f>'SER_se-appl'!S16</f>
        <v>641.82117387727203</v>
      </c>
      <c r="T5" s="59">
        <f>'SER_se-appl'!T16</f>
        <v>652.19936962671045</v>
      </c>
      <c r="U5" s="59">
        <f>'SER_se-appl'!U16</f>
        <v>661.47072482674309</v>
      </c>
      <c r="V5" s="59">
        <f>'SER_se-appl'!V16</f>
        <v>668.81510071446064</v>
      </c>
      <c r="W5" s="59">
        <f>'SER_se-appl'!W16</f>
        <v>674.96676415295565</v>
      </c>
      <c r="X5" s="59">
        <f>'SER_se-appl'!X16</f>
        <v>677.06609914576666</v>
      </c>
      <c r="Y5" s="59">
        <f>'SER_se-appl'!Y16</f>
        <v>678.17907256660703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73.506155917712647</v>
      </c>
      <c r="C6" s="201">
        <f>'SER_se-appl'!C72</f>
        <v>76.708784830509984</v>
      </c>
      <c r="D6" s="201">
        <f>'SER_se-appl'!D72</f>
        <v>80.935836265452579</v>
      </c>
      <c r="E6" s="201">
        <f>'SER_se-appl'!E72</f>
        <v>86.949840179715736</v>
      </c>
      <c r="F6" s="201">
        <f>'SER_se-appl'!F72</f>
        <v>93.412956474999362</v>
      </c>
      <c r="G6" s="201">
        <f>'SER_se-appl'!G72</f>
        <v>101.36162960667846</v>
      </c>
      <c r="H6" s="201">
        <f>'SER_se-appl'!H72</f>
        <v>109.82835493105455</v>
      </c>
      <c r="I6" s="201">
        <f>'SER_se-appl'!I72</f>
        <v>117.93803773804805</v>
      </c>
      <c r="J6" s="201">
        <f>'SER_se-appl'!J72</f>
        <v>124.60658321290251</v>
      </c>
      <c r="K6" s="201">
        <f>'SER_se-appl'!K72</f>
        <v>129.06830683450619</v>
      </c>
      <c r="L6" s="201">
        <f>'SER_se-appl'!L72</f>
        <v>133.62584575728329</v>
      </c>
      <c r="M6" s="201">
        <f>'SER_se-appl'!M72</f>
        <v>137.91043264227142</v>
      </c>
      <c r="N6" s="201">
        <f>'SER_se-appl'!N72</f>
        <v>141.27280961546512</v>
      </c>
      <c r="O6" s="201">
        <f>'SER_se-appl'!O72</f>
        <v>144.14059883547563</v>
      </c>
      <c r="P6" s="201">
        <f>'SER_se-appl'!P72</f>
        <v>148.06463593549302</v>
      </c>
      <c r="Q6" s="201">
        <f>'SER_se-appl'!Q72</f>
        <v>151.63920597078678</v>
      </c>
      <c r="R6" s="201">
        <f>'SER_se-appl'!R72</f>
        <v>155.18850542360448</v>
      </c>
      <c r="S6" s="201">
        <f>'SER_se-appl'!S72</f>
        <v>158.72695589106814</v>
      </c>
      <c r="T6" s="201">
        <f>'SER_se-appl'!T72</f>
        <v>162.311934688869</v>
      </c>
      <c r="U6" s="201">
        <f>'SER_se-appl'!U72</f>
        <v>165.97824195313206</v>
      </c>
      <c r="V6" s="201">
        <f>'SER_se-appl'!V72</f>
        <v>169.79065320783258</v>
      </c>
      <c r="W6" s="201">
        <f>'SER_se-appl'!W72</f>
        <v>173.75935555055898</v>
      </c>
      <c r="X6" s="201">
        <f>'SER_se-appl'!X72</f>
        <v>177.00100473481476</v>
      </c>
      <c r="Y6" s="201">
        <f>'SER_se-appl'!Y72</f>
        <v>179.63781302458318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4.3239868926995904</v>
      </c>
      <c r="C8" s="34">
        <f>'SER_se-appl'!C24</f>
        <v>4.6726410337397919</v>
      </c>
      <c r="D8" s="34">
        <f>'SER_se-appl'!D24</f>
        <v>5.1486311879005555</v>
      </c>
      <c r="E8" s="34">
        <f>'SER_se-appl'!E24</f>
        <v>5.7981194965939604</v>
      </c>
      <c r="F8" s="34">
        <f>'SER_se-appl'!F24</f>
        <v>6.5283958506773034</v>
      </c>
      <c r="G8" s="34">
        <f>'SER_se-appl'!G24</f>
        <v>7.3980941564609841</v>
      </c>
      <c r="H8" s="34">
        <f>'SER_se-appl'!H24</f>
        <v>8.3716026716207086</v>
      </c>
      <c r="I8" s="34">
        <f>'SER_se-appl'!I24</f>
        <v>9.4196218762849551</v>
      </c>
      <c r="J8" s="34">
        <f>'SER_se-appl'!J24</f>
        <v>10.298128044132753</v>
      </c>
      <c r="K8" s="34">
        <f>'SER_se-appl'!K24</f>
        <v>10.788470902912993</v>
      </c>
      <c r="L8" s="34">
        <f>'SER_se-appl'!L24</f>
        <v>11.347109339944593</v>
      </c>
      <c r="M8" s="34">
        <f>'SER_se-appl'!M24</f>
        <v>12.049806264305134</v>
      </c>
      <c r="N8" s="34">
        <f>'SER_se-appl'!N24</f>
        <v>12.519863182552704</v>
      </c>
      <c r="O8" s="34">
        <f>'SER_se-appl'!O24</f>
        <v>12.970603657274928</v>
      </c>
      <c r="P8" s="34">
        <f>'SER_se-appl'!P24</f>
        <v>13.555062585010633</v>
      </c>
      <c r="Q8" s="34">
        <f>'SER_se-appl'!Q24</f>
        <v>14.182390469635546</v>
      </c>
      <c r="R8" s="34">
        <f>'SER_se-appl'!R24</f>
        <v>14.718837499601991</v>
      </c>
      <c r="S8" s="34">
        <f>'SER_se-appl'!S24</f>
        <v>15.265285716609972</v>
      </c>
      <c r="T8" s="34">
        <f>'SER_se-appl'!T24</f>
        <v>15.821664207660094</v>
      </c>
      <c r="U8" s="34">
        <f>'SER_se-appl'!U24</f>
        <v>16.386346746839624</v>
      </c>
      <c r="V8" s="34">
        <f>'SER_se-appl'!V24</f>
        <v>16.955467438487869</v>
      </c>
      <c r="W8" s="34">
        <f>'SER_se-appl'!W24</f>
        <v>17.531819059067807</v>
      </c>
      <c r="X8" s="34">
        <f>'SER_se-appl'!X24</f>
        <v>18.020643479142766</v>
      </c>
      <c r="Y8" s="34">
        <f>'SER_se-appl'!Y24</f>
        <v>18.431441037838116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0.47181190116472926</v>
      </c>
      <c r="D9" s="36">
        <f>'SER_se-appl'!D32</f>
        <v>0.61300703882484164</v>
      </c>
      <c r="E9" s="36">
        <f>'SER_se-appl'!E32</f>
        <v>0.80192390563887361</v>
      </c>
      <c r="F9" s="36">
        <f>'SER_se-appl'!F32</f>
        <v>0.89986575376273414</v>
      </c>
      <c r="G9" s="36">
        <f>'SER_se-appl'!G32</f>
        <v>1.0583718509393112</v>
      </c>
      <c r="H9" s="36">
        <f>'SER_se-appl'!H32</f>
        <v>1.1834137728520755</v>
      </c>
      <c r="I9" s="36">
        <f>'SER_se-appl'!I32</f>
        <v>1.2815454108451316</v>
      </c>
      <c r="J9" s="36">
        <f>'SER_se-appl'!J32</f>
        <v>1.1383114227174289</v>
      </c>
      <c r="K9" s="36">
        <f>'SER_se-appl'!K32</f>
        <v>0.77938438247797492</v>
      </c>
      <c r="L9" s="36">
        <f>'SER_se-appl'!L32</f>
        <v>0.8802062300442195</v>
      </c>
      <c r="M9" s="36">
        <f>'SER_se-appl'!M32</f>
        <v>1.0604512157859602</v>
      </c>
      <c r="N9" s="36">
        <f>'SER_se-appl'!N32</f>
        <v>0.86806982816694322</v>
      </c>
      <c r="O9" s="36">
        <f>'SER_se-appl'!O32</f>
        <v>0.89354236490028249</v>
      </c>
      <c r="P9" s="36">
        <f>'SER_se-appl'!P32</f>
        <v>1.0770899682338158</v>
      </c>
      <c r="Q9" s="36">
        <f>'SER_se-appl'!Q32</f>
        <v>1.1753954232812234</v>
      </c>
      <c r="R9" s="36">
        <f>'SER_se-appl'!R32</f>
        <v>1.0082589311311736</v>
      </c>
      <c r="S9" s="36">
        <f>'SER_se-appl'!S32</f>
        <v>1.1594552558328228</v>
      </c>
      <c r="T9" s="36">
        <f>'SER_se-appl'!T32</f>
        <v>1.3583023966889964</v>
      </c>
      <c r="U9" s="36">
        <f>'SER_se-appl'!U32</f>
        <v>1.4645482929422649</v>
      </c>
      <c r="V9" s="36">
        <f>'SER_se-appl'!V32</f>
        <v>1.6274925425875555</v>
      </c>
      <c r="W9" s="36">
        <f>'SER_se-appl'!W32</f>
        <v>1.7597653934320139</v>
      </c>
      <c r="X9" s="36">
        <f>'SER_se-appl'!X32</f>
        <v>1.7703698309200924</v>
      </c>
      <c r="Y9" s="36">
        <f>'SER_se-appl'!Y32</f>
        <v>1.549108981412779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0.12315776012452773</v>
      </c>
      <c r="D10" s="38">
        <f>'SER_se-appl'!D40</f>
        <v>0.13701688466407802</v>
      </c>
      <c r="E10" s="38">
        <f>'SER_se-appl'!E40</f>
        <v>0.15243559694546871</v>
      </c>
      <c r="F10" s="38">
        <f>'SER_se-appl'!F40</f>
        <v>0.16958939967939113</v>
      </c>
      <c r="G10" s="38">
        <f>'SER_se-appl'!G40</f>
        <v>0.18867354515563051</v>
      </c>
      <c r="H10" s="38">
        <f>'SER_se-appl'!H40</f>
        <v>0.20990525769235013</v>
      </c>
      <c r="I10" s="38">
        <f>'SER_se-appl'!I40</f>
        <v>0.23352620618088515</v>
      </c>
      <c r="J10" s="38">
        <f>'SER_se-appl'!J40</f>
        <v>0.25980525486963124</v>
      </c>
      <c r="K10" s="38">
        <f>'SER_se-appl'!K40</f>
        <v>0.28904152369773506</v>
      </c>
      <c r="L10" s="38">
        <f>'SER_se-appl'!L40</f>
        <v>0.32156779301261906</v>
      </c>
      <c r="M10" s="38">
        <f>'SER_se-appl'!M40</f>
        <v>0.35775429142541881</v>
      </c>
      <c r="N10" s="38">
        <f>'SER_se-appl'!N40</f>
        <v>0.39801290991937321</v>
      </c>
      <c r="O10" s="38">
        <f>'SER_se-appl'!O40</f>
        <v>0.4428018901780586</v>
      </c>
      <c r="P10" s="38">
        <f>'SER_se-appl'!P40</f>
        <v>0.49263104049811091</v>
      </c>
      <c r="Q10" s="38">
        <f>'SER_se-appl'!Q40</f>
        <v>0.5480675386563103</v>
      </c>
      <c r="R10" s="38">
        <f>'SER_se-appl'!R40</f>
        <v>0.47181190116472926</v>
      </c>
      <c r="S10" s="38">
        <f>'SER_se-appl'!S40</f>
        <v>0.61300703882484164</v>
      </c>
      <c r="T10" s="38">
        <f>'SER_se-appl'!T40</f>
        <v>0.8019239056388745</v>
      </c>
      <c r="U10" s="38">
        <f>'SER_se-appl'!U40</f>
        <v>0.89986575376273592</v>
      </c>
      <c r="V10" s="38">
        <f>'SER_se-appl'!V40</f>
        <v>1.058371850939313</v>
      </c>
      <c r="W10" s="38">
        <f>'SER_se-appl'!W40</f>
        <v>1.1834137728520773</v>
      </c>
      <c r="X10" s="38">
        <f>'SER_se-appl'!X40</f>
        <v>1.2815454108451334</v>
      </c>
      <c r="Y10" s="38">
        <f>'SER_se-appl'!Y40</f>
        <v>1.1383114227174289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872.68538174172318</v>
      </c>
      <c r="C12" s="204">
        <f>'SER_se-appl'!C48</f>
        <v>876.85409690953156</v>
      </c>
      <c r="D12" s="204">
        <f>'SER_se-appl'!D48</f>
        <v>880.67722138204113</v>
      </c>
      <c r="E12" s="204">
        <f>'SER_se-appl'!E48</f>
        <v>884.20887321181101</v>
      </c>
      <c r="F12" s="204">
        <f>'SER_se-appl'!F48</f>
        <v>887.49129712838499</v>
      </c>
      <c r="G12" s="204">
        <f>'SER_se-appl'!G48</f>
        <v>890.55811244742483</v>
      </c>
      <c r="H12" s="204">
        <f>'SER_se-appl'!H48</f>
        <v>893.43651933098351</v>
      </c>
      <c r="I12" s="204">
        <f>'SER_se-appl'!I48</f>
        <v>896.14884064558851</v>
      </c>
      <c r="J12" s="204">
        <f>'SER_se-appl'!J48</f>
        <v>898.71362619151796</v>
      </c>
      <c r="K12" s="204">
        <f>'SER_se-appl'!K48</f>
        <v>901.14646054902278</v>
      </c>
      <c r="L12" s="204">
        <f>'SER_se-appl'!L48</f>
        <v>903.46056526632867</v>
      </c>
      <c r="M12" s="204">
        <f>'SER_se-appl'!M48</f>
        <v>904.93109370760146</v>
      </c>
      <c r="N12" s="204">
        <f>'SER_se-appl'!N48</f>
        <v>906.33542920895013</v>
      </c>
      <c r="O12" s="204">
        <f>'SER_se-appl'!O48</f>
        <v>907.67936487851114</v>
      </c>
      <c r="P12" s="204">
        <f>'SER_se-appl'!P48</f>
        <v>908.96796149148167</v>
      </c>
      <c r="Q12" s="204">
        <f>'SER_se-appl'!Q48</f>
        <v>910.20566623154218</v>
      </c>
      <c r="R12" s="204">
        <f>'SER_se-appl'!R48</f>
        <v>924.6758605949384</v>
      </c>
      <c r="S12" s="204">
        <f>'SER_se-appl'!S48</f>
        <v>930.43943115661386</v>
      </c>
      <c r="T12" s="204">
        <f>'SER_se-appl'!T48</f>
        <v>931.24315115196828</v>
      </c>
      <c r="U12" s="204">
        <f>'SER_se-appl'!U48</f>
        <v>915.48836219643124</v>
      </c>
      <c r="V12" s="204">
        <f>'SER_se-appl'!V48</f>
        <v>731.1946484979527</v>
      </c>
      <c r="W12" s="204">
        <f>'SER_se-appl'!W48</f>
        <v>894.63099799917688</v>
      </c>
      <c r="X12" s="204">
        <f>'SER_se-appl'!X48</f>
        <v>901.54412787713022</v>
      </c>
      <c r="Y12" s="204">
        <f>'SER_se-appl'!Y48</f>
        <v>905.00069281610683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50.954132658826104</v>
      </c>
      <c r="C14" s="59">
        <f>'SER_se-appl'!C56</f>
        <v>50.637626184042169</v>
      </c>
      <c r="D14" s="59">
        <f>'SER_se-appl'!D56</f>
        <v>50.25349768337535</v>
      </c>
      <c r="E14" s="59">
        <f>'SER_se-appl'!E56</f>
        <v>49.793724594121905</v>
      </c>
      <c r="F14" s="59">
        <f>'SER_se-appl'!F56</f>
        <v>49.320680377342967</v>
      </c>
      <c r="G14" s="59">
        <f>'SER_se-appl'!G56</f>
        <v>48.815677690895704</v>
      </c>
      <c r="H14" s="59">
        <f>'SER_se-appl'!H56</f>
        <v>48.302091393975303</v>
      </c>
      <c r="I14" s="59">
        <f>'SER_se-appl'!I56</f>
        <v>47.792699592799487</v>
      </c>
      <c r="J14" s="59">
        <f>'SER_se-appl'!J56</f>
        <v>47.353177341878869</v>
      </c>
      <c r="K14" s="59">
        <f>'SER_se-appl'!K56</f>
        <v>47.013307248467676</v>
      </c>
      <c r="L14" s="59">
        <f>'SER_se-appl'!L56</f>
        <v>46.611690728084106</v>
      </c>
      <c r="M14" s="59">
        <f>'SER_se-appl'!M56</f>
        <v>46.095644999055487</v>
      </c>
      <c r="N14" s="59">
        <f>'SER_se-appl'!N56</f>
        <v>45.586104144231868</v>
      </c>
      <c r="O14" s="59">
        <f>'SER_se-appl'!O56</f>
        <v>44.994057855107414</v>
      </c>
      <c r="P14" s="59">
        <f>'SER_se-appl'!P56</f>
        <v>44.243673533122262</v>
      </c>
      <c r="Q14" s="59">
        <f>'SER_se-appl'!Q56</f>
        <v>43.372767162748858</v>
      </c>
      <c r="R14" s="59">
        <f>'SER_se-appl'!R56</f>
        <v>42.754141660859077</v>
      </c>
      <c r="S14" s="59">
        <f>'SER_se-appl'!S56</f>
        <v>42.044491389958999</v>
      </c>
      <c r="T14" s="59">
        <f>'SER_se-appl'!T56</f>
        <v>41.221919582324766</v>
      </c>
      <c r="U14" s="59">
        <f>'SER_se-appl'!U56</f>
        <v>40.367187088502114</v>
      </c>
      <c r="V14" s="59">
        <f>'SER_se-appl'!V56</f>
        <v>39.445394421641922</v>
      </c>
      <c r="W14" s="59">
        <f>'SER_se-appl'!W56</f>
        <v>38.499528307865425</v>
      </c>
      <c r="X14" s="59">
        <f>'SER_se-appl'!X56</f>
        <v>37.57169381489669</v>
      </c>
      <c r="Y14" s="59">
        <f>'SER_se-appl'!Y56</f>
        <v>36.794685297496024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47.819575989380382</v>
      </c>
      <c r="D15" s="63">
        <f>'SER_se-appl'!D64</f>
        <v>47.482084526230224</v>
      </c>
      <c r="E15" s="63">
        <f>'SER_se-appl'!E64</f>
        <v>47.062399894555547</v>
      </c>
      <c r="F15" s="63">
        <f>'SER_se-appl'!F64</f>
        <v>46.58054864777673</v>
      </c>
      <c r="G15" s="63">
        <f>'SER_se-appl'!G64</f>
        <v>46.081867678601668</v>
      </c>
      <c r="H15" s="63">
        <f>'SER_se-appl'!H64</f>
        <v>45.56181368944889</v>
      </c>
      <c r="I15" s="63">
        <f>'SER_se-appl'!I64</f>
        <v>45.041218245528363</v>
      </c>
      <c r="J15" s="63">
        <f>'SER_se-appl'!J64</f>
        <v>44.537966818609242</v>
      </c>
      <c r="K15" s="63">
        <f>'SER_se-appl'!K64</f>
        <v>43.984040031723296</v>
      </c>
      <c r="L15" s="63">
        <f>'SER_se-appl'!L64</f>
        <v>43.275610414058654</v>
      </c>
      <c r="M15" s="63">
        <f>'SER_se-appl'!M64</f>
        <v>42.212880341628924</v>
      </c>
      <c r="N15" s="63">
        <f>'SER_se-appl'!N64</f>
        <v>40.97435079807213</v>
      </c>
      <c r="O15" s="63">
        <f>'SER_se-appl'!O64</f>
        <v>39.652166595794121</v>
      </c>
      <c r="P15" s="63">
        <f>'SER_se-appl'!P64</f>
        <v>38.276523750522522</v>
      </c>
      <c r="Q15" s="63">
        <f>'SER_se-appl'!Q64</f>
        <v>36.864242561171793</v>
      </c>
      <c r="R15" s="63">
        <f>'SER_se-appl'!R64</f>
        <v>36.42277575433679</v>
      </c>
      <c r="S15" s="63">
        <f>'SER_se-appl'!S64</f>
        <v>35.910624544861598</v>
      </c>
      <c r="T15" s="63">
        <f>'SER_se-appl'!T64</f>
        <v>35.425586672682904</v>
      </c>
      <c r="U15" s="63">
        <f>'SER_se-appl'!U64</f>
        <v>34.951114938525208</v>
      </c>
      <c r="V15" s="63">
        <f>'SER_se-appl'!V64</f>
        <v>34.480113431573876</v>
      </c>
      <c r="W15" s="63">
        <f>'SER_se-appl'!W64</f>
        <v>34.135312297258139</v>
      </c>
      <c r="X15" s="63">
        <f>'SER_se-appl'!X64</f>
        <v>33.790511162942401</v>
      </c>
      <c r="Y15" s="63">
        <f>'SER_se-appl'!Y64</f>
        <v>33.445710028626657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20.991546480697131</v>
      </c>
      <c r="C3" s="198">
        <f>'SER_se-appl'!C9</f>
        <v>22.930421396426116</v>
      </c>
      <c r="D3" s="198">
        <f>'SER_se-appl'!D9</f>
        <v>25.109958809046052</v>
      </c>
      <c r="E3" s="198">
        <f>'SER_se-appl'!E9</f>
        <v>27.811248322094048</v>
      </c>
      <c r="F3" s="198">
        <f>'SER_se-appl'!F9</f>
        <v>31.250836697476505</v>
      </c>
      <c r="G3" s="198">
        <f>'SER_se-appl'!G9</f>
        <v>34.932804145676393</v>
      </c>
      <c r="H3" s="198">
        <f>'SER_se-appl'!H9</f>
        <v>39.364344225069125</v>
      </c>
      <c r="I3" s="198">
        <f>'SER_se-appl'!I9</f>
        <v>43.176432591061115</v>
      </c>
      <c r="J3" s="198">
        <f>'SER_se-appl'!J9</f>
        <v>46.580533643021937</v>
      </c>
      <c r="K3" s="198">
        <f>'SER_se-appl'!K9</f>
        <v>49.736806641442733</v>
      </c>
      <c r="L3" s="198">
        <f>'SER_se-appl'!L9</f>
        <v>51.976995346302729</v>
      </c>
      <c r="M3" s="198">
        <f>'SER_se-appl'!M9</f>
        <v>53.513171218529351</v>
      </c>
      <c r="N3" s="198">
        <f>'SER_se-appl'!N9</f>
        <v>55.356455235177094</v>
      </c>
      <c r="O3" s="198">
        <f>'SER_se-appl'!O9</f>
        <v>57.964243099120537</v>
      </c>
      <c r="P3" s="198">
        <f>'SER_se-appl'!P9</f>
        <v>61.971800993081089</v>
      </c>
      <c r="Q3" s="198">
        <f>'SER_se-appl'!Q9</f>
        <v>67.655805850867424</v>
      </c>
      <c r="R3" s="198">
        <f>'SER_se-appl'!R9</f>
        <v>70.730317177668667</v>
      </c>
      <c r="S3" s="198">
        <f>'SER_se-appl'!S9</f>
        <v>73.307467223274401</v>
      </c>
      <c r="T3" s="198">
        <f>'SER_se-appl'!T9</f>
        <v>75.307300335107215</v>
      </c>
      <c r="U3" s="198">
        <f>'SER_se-appl'!U9</f>
        <v>76.13324402075078</v>
      </c>
      <c r="V3" s="198">
        <f>'SER_se-appl'!V9</f>
        <v>70.672916586357275</v>
      </c>
      <c r="W3" s="198">
        <f>'SER_se-appl'!W9</f>
        <v>77.238296424797952</v>
      </c>
      <c r="X3" s="198">
        <f>'SER_se-appl'!X9</f>
        <v>77.872031416238769</v>
      </c>
      <c r="Y3" s="198">
        <f>'SER_se-appl'!Y9</f>
        <v>77.901692597484796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109.03752444340637</v>
      </c>
      <c r="C5" s="59">
        <f>'SER_se-appl'!C17</f>
        <v>112.71815405768169</v>
      </c>
      <c r="D5" s="59">
        <f>'SER_se-appl'!D17</f>
        <v>117.55479006874421</v>
      </c>
      <c r="E5" s="59">
        <f>'SER_se-appl'!E17</f>
        <v>126.08517549748717</v>
      </c>
      <c r="F5" s="59">
        <f>'SER_se-appl'!F17</f>
        <v>139.80200049663472</v>
      </c>
      <c r="G5" s="59">
        <f>'SER_se-appl'!G17</f>
        <v>155.71078603816909</v>
      </c>
      <c r="H5" s="59">
        <f>'SER_se-appl'!H17</f>
        <v>177.2602315164489</v>
      </c>
      <c r="I5" s="59">
        <f>'SER_se-appl'!I17</f>
        <v>195.0257325685067</v>
      </c>
      <c r="J5" s="59">
        <f>'SER_se-appl'!J17</f>
        <v>210.6885227134108</v>
      </c>
      <c r="K5" s="59">
        <f>'SER_se-appl'!K17</f>
        <v>224.86294032544112</v>
      </c>
      <c r="L5" s="59">
        <f>'SER_se-appl'!L17</f>
        <v>232.94842309037432</v>
      </c>
      <c r="M5" s="59">
        <f>'SER_se-appl'!M17</f>
        <v>237.84878125838452</v>
      </c>
      <c r="N5" s="59">
        <f>'SER_se-appl'!N17</f>
        <v>245.8668071623581</v>
      </c>
      <c r="O5" s="59">
        <f>'SER_se-appl'!O17</f>
        <v>258.46212718142277</v>
      </c>
      <c r="P5" s="59">
        <f>'SER_se-appl'!P17</f>
        <v>279.22480361913165</v>
      </c>
      <c r="Q5" s="59">
        <f>'SER_se-appl'!Q17</f>
        <v>309.3449309470264</v>
      </c>
      <c r="R5" s="59">
        <f>'SER_se-appl'!R17</f>
        <v>319.01344863311397</v>
      </c>
      <c r="S5" s="59">
        <f>'SER_se-appl'!S17</f>
        <v>328.32794562467285</v>
      </c>
      <c r="T5" s="59">
        <f>'SER_se-appl'!T17</f>
        <v>335.75529199164993</v>
      </c>
      <c r="U5" s="59">
        <f>'SER_se-appl'!U17</f>
        <v>340.72905811470849</v>
      </c>
      <c r="V5" s="59">
        <f>'SER_se-appl'!V17</f>
        <v>344.22965736653219</v>
      </c>
      <c r="W5" s="59">
        <f>'SER_se-appl'!W17</f>
        <v>349.0679611494017</v>
      </c>
      <c r="X5" s="59">
        <f>'SER_se-appl'!X17</f>
        <v>350.72376086433621</v>
      </c>
      <c r="Y5" s="59">
        <f>'SER_se-appl'!Y17</f>
        <v>350.22817268619013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3.3031622963163032E-2</v>
      </c>
      <c r="C6" s="201">
        <f>'SER_se-appl'!C73</f>
        <v>3.4887494951430689E-2</v>
      </c>
      <c r="D6" s="201">
        <f>'SER_se-appl'!D73</f>
        <v>3.8556711544979028E-2</v>
      </c>
      <c r="E6" s="201">
        <f>'SER_se-appl'!E73</f>
        <v>4.3005348849229103E-2</v>
      </c>
      <c r="F6" s="201">
        <f>'SER_se-appl'!F73</f>
        <v>4.9943165500387403E-2</v>
      </c>
      <c r="G6" s="201">
        <f>'SER_se-appl'!G73</f>
        <v>5.845257213247209E-2</v>
      </c>
      <c r="H6" s="201">
        <f>'SER_se-appl'!H73</f>
        <v>7.0222393442457426E-2</v>
      </c>
      <c r="I6" s="201">
        <f>'SER_se-appl'!I73</f>
        <v>8.1449990591050778E-2</v>
      </c>
      <c r="J6" s="201">
        <f>'SER_se-appl'!J73</f>
        <v>9.31016090419957E-2</v>
      </c>
      <c r="K6" s="201">
        <f>'SER_se-appl'!K73</f>
        <v>0.10611197345051938</v>
      </c>
      <c r="L6" s="201">
        <f>'SER_se-appl'!L73</f>
        <v>0.11781862088768402</v>
      </c>
      <c r="M6" s="201">
        <f>'SER_se-appl'!M73</f>
        <v>0.12996687761935841</v>
      </c>
      <c r="N6" s="201">
        <f>'SER_se-appl'!N73</f>
        <v>0.14330003131386612</v>
      </c>
      <c r="O6" s="201">
        <f>'SER_se-appl'!O73</f>
        <v>0.16102295731651153</v>
      </c>
      <c r="P6" s="201">
        <f>'SER_se-appl'!P73</f>
        <v>0.18314909748234959</v>
      </c>
      <c r="Q6" s="201">
        <f>'SER_se-appl'!Q73</f>
        <v>0.21087782882779726</v>
      </c>
      <c r="R6" s="201">
        <f>'SER_se-appl'!R73</f>
        <v>0.22453300463251413</v>
      </c>
      <c r="S6" s="201">
        <f>'SER_se-appl'!S73</f>
        <v>0.23845455528218573</v>
      </c>
      <c r="T6" s="201">
        <f>'SER_se-appl'!T73</f>
        <v>0.2525697401835314</v>
      </c>
      <c r="U6" s="201">
        <f>'SER_se-appl'!U73</f>
        <v>0.26687237159773591</v>
      </c>
      <c r="V6" s="201">
        <f>'SER_se-appl'!V73</f>
        <v>0.28116906631667582</v>
      </c>
      <c r="W6" s="201">
        <f>'SER_se-appl'!W73</f>
        <v>0.29302799683351111</v>
      </c>
      <c r="X6" s="201">
        <f>'SER_se-appl'!X73</f>
        <v>0.30263503376057221</v>
      </c>
      <c r="Y6" s="201">
        <f>'SER_se-appl'!Y73</f>
        <v>0.3099174117897962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270.55792777002097</v>
      </c>
      <c r="C8" s="34">
        <f>'SER_se-appl'!C25</f>
        <v>284.31452370684593</v>
      </c>
      <c r="D8" s="34">
        <f>'SER_se-appl'!D25</f>
        <v>303.39563015580416</v>
      </c>
      <c r="E8" s="34">
        <f>'SER_se-appl'!E25</f>
        <v>335.67850847475086</v>
      </c>
      <c r="F8" s="34">
        <f>'SER_se-appl'!F25</f>
        <v>386.81715844582902</v>
      </c>
      <c r="G8" s="34">
        <f>'SER_se-appl'!G25</f>
        <v>449.41686787827734</v>
      </c>
      <c r="H8" s="34">
        <f>'SER_se-appl'!H25</f>
        <v>535.75269208047484</v>
      </c>
      <c r="I8" s="34">
        <f>'SER_se-appl'!I25</f>
        <v>616.79414459910424</v>
      </c>
      <c r="J8" s="34">
        <f>'SER_se-appl'!J25</f>
        <v>699.93808298094177</v>
      </c>
      <c r="K8" s="34">
        <f>'SER_se-appl'!K25</f>
        <v>792.35073307986886</v>
      </c>
      <c r="L8" s="34">
        <f>'SER_se-appl'!L25</f>
        <v>874.42223467110307</v>
      </c>
      <c r="M8" s="34">
        <f>'SER_se-appl'!M25</f>
        <v>957.78193690130604</v>
      </c>
      <c r="N8" s="34">
        <f>'SER_se-appl'!N25</f>
        <v>1049.9914286437113</v>
      </c>
      <c r="O8" s="34">
        <f>'SER_se-appl'!O25</f>
        <v>1159.7768673577839</v>
      </c>
      <c r="P8" s="34">
        <f>'SER_se-appl'!P25</f>
        <v>1303.5550933230415</v>
      </c>
      <c r="Q8" s="34">
        <f>'SER_se-appl'!Q25</f>
        <v>1482.4057645324781</v>
      </c>
      <c r="R8" s="34">
        <f>'SER_se-appl'!R25</f>
        <v>1557.9804066908991</v>
      </c>
      <c r="S8" s="34">
        <f>'SER_se-appl'!S25</f>
        <v>1633.2987685873261</v>
      </c>
      <c r="T8" s="34">
        <f>'SER_se-appl'!T25</f>
        <v>1706.7193085715185</v>
      </c>
      <c r="U8" s="34">
        <f>'SER_se-appl'!U25</f>
        <v>1778.4847207370847</v>
      </c>
      <c r="V8" s="34">
        <f>'SER_se-appl'!V25</f>
        <v>1847.0769181274804</v>
      </c>
      <c r="W8" s="34">
        <f>'SER_se-appl'!W25</f>
        <v>1914.0931595921243</v>
      </c>
      <c r="X8" s="34">
        <f>'SER_se-appl'!X25</f>
        <v>1961.8267641923692</v>
      </c>
      <c r="Y8" s="34">
        <f>'SER_se-appl'!Y25</f>
        <v>1998.2575951711869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67.868181490829159</v>
      </c>
      <c r="D9" s="36">
        <f>'SER_se-appl'!D33</f>
        <v>73.192692002962417</v>
      </c>
      <c r="E9" s="36">
        <f>'SER_se-appl'!E33</f>
        <v>86.394463872950894</v>
      </c>
      <c r="F9" s="36">
        <f>'SER_se-appl'!F33</f>
        <v>105.25023552508236</v>
      </c>
      <c r="G9" s="36">
        <f>'SER_se-appl'!G33</f>
        <v>116.71129498645251</v>
      </c>
      <c r="H9" s="36">
        <f>'SER_se-appl'!H33</f>
        <v>154.20400569302666</v>
      </c>
      <c r="I9" s="36">
        <f>'SER_se-appl'!I33</f>
        <v>154.23414452159182</v>
      </c>
      <c r="J9" s="36">
        <f>'SER_se-appl'!J33</f>
        <v>169.53840225478848</v>
      </c>
      <c r="K9" s="36">
        <f>'SER_se-appl'!K33</f>
        <v>197.6628856240095</v>
      </c>
      <c r="L9" s="36">
        <f>'SER_se-appl'!L33</f>
        <v>198.78279657768667</v>
      </c>
      <c r="M9" s="36">
        <f>'SER_se-appl'!M33</f>
        <v>237.56370792322957</v>
      </c>
      <c r="N9" s="36">
        <f>'SER_se-appl'!N33</f>
        <v>246.44363626399706</v>
      </c>
      <c r="O9" s="36">
        <f>'SER_se-appl'!O33</f>
        <v>279.32384096886108</v>
      </c>
      <c r="P9" s="36">
        <f>'SER_se-appl'!P33</f>
        <v>341.44111158926717</v>
      </c>
      <c r="Q9" s="36">
        <f>'SER_se-appl'!Q33</f>
        <v>377.63346778712321</v>
      </c>
      <c r="R9" s="36">
        <f>'SER_se-appl'!R33</f>
        <v>313.13835008165051</v>
      </c>
      <c r="S9" s="36">
        <f>'SER_se-appl'!S33</f>
        <v>321.76199816042413</v>
      </c>
      <c r="T9" s="36">
        <f>'SER_se-appl'!T33</f>
        <v>352.74438095305345</v>
      </c>
      <c r="U9" s="36">
        <f>'SER_se-appl'!U33</f>
        <v>413.20652375483337</v>
      </c>
      <c r="V9" s="36">
        <f>'SER_se-appl'!V33</f>
        <v>446.22566517751898</v>
      </c>
      <c r="W9" s="36">
        <f>'SER_se-appl'!W33</f>
        <v>380.15459154629434</v>
      </c>
      <c r="X9" s="36">
        <f>'SER_se-appl'!X33</f>
        <v>369.49560276066904</v>
      </c>
      <c r="Y9" s="36">
        <f>'SER_se-appl'!Y33</f>
        <v>389.17521193187122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54.111585554004193</v>
      </c>
      <c r="D10" s="38">
        <f>'SER_se-appl'!D41</f>
        <v>54.111585554004193</v>
      </c>
      <c r="E10" s="38">
        <f>'SER_se-appl'!E41</f>
        <v>54.111585554004193</v>
      </c>
      <c r="F10" s="38">
        <f>'SER_se-appl'!F41</f>
        <v>54.111585554004193</v>
      </c>
      <c r="G10" s="38">
        <f>'SER_se-appl'!G41</f>
        <v>54.111585554004193</v>
      </c>
      <c r="H10" s="38">
        <f>'SER_se-appl'!H41</f>
        <v>67.868181490829102</v>
      </c>
      <c r="I10" s="38">
        <f>'SER_se-appl'!I41</f>
        <v>73.192692002962417</v>
      </c>
      <c r="J10" s="38">
        <f>'SER_se-appl'!J41</f>
        <v>86.394463872950951</v>
      </c>
      <c r="K10" s="38">
        <f>'SER_se-appl'!K41</f>
        <v>105.25023552508242</v>
      </c>
      <c r="L10" s="38">
        <f>'SER_se-appl'!L41</f>
        <v>116.71129498645246</v>
      </c>
      <c r="M10" s="38">
        <f>'SER_se-appl'!M41</f>
        <v>154.20400569302672</v>
      </c>
      <c r="N10" s="38">
        <f>'SER_se-appl'!N41</f>
        <v>154.23414452159182</v>
      </c>
      <c r="O10" s="38">
        <f>'SER_se-appl'!O41</f>
        <v>169.53840225478848</v>
      </c>
      <c r="P10" s="38">
        <f>'SER_se-appl'!P41</f>
        <v>197.6628856240095</v>
      </c>
      <c r="Q10" s="38">
        <f>'SER_se-appl'!Q41</f>
        <v>198.78279657768667</v>
      </c>
      <c r="R10" s="38">
        <f>'SER_se-appl'!R41</f>
        <v>237.56370792322946</v>
      </c>
      <c r="S10" s="38">
        <f>'SER_se-appl'!S41</f>
        <v>246.44363626399718</v>
      </c>
      <c r="T10" s="38">
        <f>'SER_se-appl'!T41</f>
        <v>279.32384096886108</v>
      </c>
      <c r="U10" s="38">
        <f>'SER_se-appl'!U41</f>
        <v>341.44111158926739</v>
      </c>
      <c r="V10" s="38">
        <f>'SER_se-appl'!V41</f>
        <v>377.63346778712321</v>
      </c>
      <c r="W10" s="38">
        <f>'SER_se-appl'!W41</f>
        <v>313.13835008165051</v>
      </c>
      <c r="X10" s="38">
        <f>'SER_se-appl'!X41</f>
        <v>321.76199816042413</v>
      </c>
      <c r="Y10" s="38">
        <f>'SER_se-appl'!Y41</f>
        <v>352.74438095305322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2238.9694448466598</v>
      </c>
      <c r="C12" s="204">
        <f>'SER_se-appl'!C49</f>
        <v>2365.9081633289184</v>
      </c>
      <c r="D12" s="204">
        <f>'SER_se-appl'!D49</f>
        <v>2484.1932921528055</v>
      </c>
      <c r="E12" s="204">
        <f>'SER_se-appl'!E49</f>
        <v>2565.2882403482868</v>
      </c>
      <c r="F12" s="204">
        <f>'SER_se-appl'!F49</f>
        <v>2599.7283980238935</v>
      </c>
      <c r="G12" s="204">
        <f>'SER_se-appl'!G49</f>
        <v>2609.1224798944154</v>
      </c>
      <c r="H12" s="204">
        <f>'SER_se-appl'!H49</f>
        <v>2582.6849001665191</v>
      </c>
      <c r="I12" s="204">
        <f>'SER_se-appl'!I49</f>
        <v>2574.7469547776386</v>
      </c>
      <c r="J12" s="204">
        <f>'SER_se-appl'!J49</f>
        <v>2571.2440302466589</v>
      </c>
      <c r="K12" s="204">
        <f>'SER_se-appl'!K49</f>
        <v>2572.4072646333448</v>
      </c>
      <c r="L12" s="204">
        <f>'SER_se-appl'!L49</f>
        <v>2594.9626439110202</v>
      </c>
      <c r="M12" s="204">
        <f>'SER_se-appl'!M49</f>
        <v>2616.6128662875262</v>
      </c>
      <c r="N12" s="204">
        <f>'SER_se-appl'!N49</f>
        <v>2618.4729114734846</v>
      </c>
      <c r="O12" s="204">
        <f>'SER_se-appl'!O49</f>
        <v>2608.2124858841803</v>
      </c>
      <c r="P12" s="204">
        <f>'SER_se-appl'!P49</f>
        <v>2581.1891931084547</v>
      </c>
      <c r="Q12" s="204">
        <f>'SER_se-appl'!Q49</f>
        <v>2543.5588022624802</v>
      </c>
      <c r="R12" s="204">
        <f>'SER_se-appl'!R49</f>
        <v>2578.5545791278605</v>
      </c>
      <c r="S12" s="204">
        <f>'SER_se-appl'!S49</f>
        <v>2596.6898497921025</v>
      </c>
      <c r="T12" s="204">
        <f>'SER_se-appl'!T49</f>
        <v>2608.5185365271268</v>
      </c>
      <c r="U12" s="204">
        <f>'SER_se-appl'!U49</f>
        <v>2598.6325699971453</v>
      </c>
      <c r="V12" s="204">
        <f>'SER_se-appl'!V49</f>
        <v>2387.7257589811816</v>
      </c>
      <c r="W12" s="204">
        <f>'SER_se-appl'!W49</f>
        <v>2573.3710549159628</v>
      </c>
      <c r="X12" s="204">
        <f>'SER_se-appl'!X49</f>
        <v>2582.2365816873548</v>
      </c>
      <c r="Y12" s="204">
        <f>'SER_se-appl'!Y49</f>
        <v>2586.875515924115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403.00990380178473</v>
      </c>
      <c r="C14" s="59">
        <f>'SER_se-appl'!C57</f>
        <v>396.45584259319912</v>
      </c>
      <c r="D14" s="59">
        <f>'SER_se-appl'!D57</f>
        <v>387.46368894099021</v>
      </c>
      <c r="E14" s="59">
        <f>'SER_se-appl'!E57</f>
        <v>375.61289243803668</v>
      </c>
      <c r="F14" s="59">
        <f>'SER_se-appl'!F57</f>
        <v>361.41623359816134</v>
      </c>
      <c r="G14" s="59">
        <f>'SER_se-appl'!G57</f>
        <v>346.47294564907764</v>
      </c>
      <c r="H14" s="59">
        <f>'SER_se-appl'!H57</f>
        <v>330.86204537414221</v>
      </c>
      <c r="I14" s="59">
        <f>'SER_se-appl'!I57</f>
        <v>316.19258106814061</v>
      </c>
      <c r="J14" s="59">
        <f>'SER_se-appl'!J57</f>
        <v>301.01022909928952</v>
      </c>
      <c r="K14" s="59">
        <f>'SER_se-appl'!K57</f>
        <v>283.79217805655134</v>
      </c>
      <c r="L14" s="59">
        <f>'SER_se-appl'!L57</f>
        <v>266.40267579425557</v>
      </c>
      <c r="M14" s="59">
        <f>'SER_se-appl'!M57</f>
        <v>248.33291597447769</v>
      </c>
      <c r="N14" s="59">
        <f>'SER_se-appl'!N57</f>
        <v>234.16077546456521</v>
      </c>
      <c r="O14" s="59">
        <f>'SER_se-appl'!O57</f>
        <v>222.85504604886108</v>
      </c>
      <c r="P14" s="59">
        <f>'SER_se-appl'!P57</f>
        <v>214.20253355562264</v>
      </c>
      <c r="Q14" s="59">
        <f>'SER_se-appl'!Q57</f>
        <v>208.67763627766772</v>
      </c>
      <c r="R14" s="59">
        <f>'SER_se-appl'!R57</f>
        <v>204.76088612095478</v>
      </c>
      <c r="S14" s="59">
        <f>'SER_se-appl'!S57</f>
        <v>201.02136359819244</v>
      </c>
      <c r="T14" s="59">
        <f>'SER_se-appl'!T57</f>
        <v>196.72554842815293</v>
      </c>
      <c r="U14" s="59">
        <f>'SER_se-appl'!U57</f>
        <v>191.58391081003774</v>
      </c>
      <c r="V14" s="59">
        <f>'SER_se-appl'!V57</f>
        <v>186.36454929852269</v>
      </c>
      <c r="W14" s="59">
        <f>'SER_se-appl'!W57</f>
        <v>182.36727893839026</v>
      </c>
      <c r="X14" s="59">
        <f>'SER_se-appl'!X57</f>
        <v>178.77407285179925</v>
      </c>
      <c r="Y14" s="59">
        <f>'SER_se-appl'!Y57</f>
        <v>175.26677918428567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375.5535207083858</v>
      </c>
      <c r="D15" s="63">
        <f>'SER_se-appl'!D65</f>
        <v>364.02733894068831</v>
      </c>
      <c r="E15" s="63">
        <f>'SER_se-appl'!E65</f>
        <v>351.15549026426311</v>
      </c>
      <c r="F15" s="63">
        <f>'SER_se-appl'!F65</f>
        <v>337.52256905271224</v>
      </c>
      <c r="G15" s="63">
        <f>'SER_se-appl'!G65</f>
        <v>323.15887193774711</v>
      </c>
      <c r="H15" s="63">
        <f>'SER_se-appl'!H65</f>
        <v>305.03474776701944</v>
      </c>
      <c r="I15" s="63">
        <f>'SER_se-appl'!I65</f>
        <v>287.93651424950531</v>
      </c>
      <c r="J15" s="63">
        <f>'SER_se-appl'!J65</f>
        <v>271.32897237757857</v>
      </c>
      <c r="K15" s="63">
        <f>'SER_se-appl'!K65</f>
        <v>251.43186260264926</v>
      </c>
      <c r="L15" s="63">
        <f>'SER_se-appl'!L65</f>
        <v>230.41115219067245</v>
      </c>
      <c r="M15" s="63">
        <f>'SER_se-appl'!M65</f>
        <v>218.62740989895124</v>
      </c>
      <c r="N15" s="63">
        <f>'SER_se-appl'!N65</f>
        <v>212.73695133930437</v>
      </c>
      <c r="O15" s="63">
        <f>'SER_se-appl'!O65</f>
        <v>209.77801349912426</v>
      </c>
      <c r="P15" s="63">
        <f>'SER_se-appl'!P65</f>
        <v>206.36479189515043</v>
      </c>
      <c r="Q15" s="63">
        <f>'SER_se-appl'!Q65</f>
        <v>201.04653585905623</v>
      </c>
      <c r="R15" s="63">
        <f>'SER_se-appl'!R65</f>
        <v>196.73877638836143</v>
      </c>
      <c r="S15" s="63">
        <f>'SER_se-appl'!S65</f>
        <v>191.88768468720949</v>
      </c>
      <c r="T15" s="63">
        <f>'SER_se-appl'!T65</f>
        <v>187.17051330480888</v>
      </c>
      <c r="U15" s="63">
        <f>'SER_se-appl'!U65</f>
        <v>182.56050116329791</v>
      </c>
      <c r="V15" s="63">
        <f>'SER_se-appl'!V65</f>
        <v>177.98729650225553</v>
      </c>
      <c r="W15" s="63">
        <f>'SER_se-appl'!W65</f>
        <v>174.78352516521494</v>
      </c>
      <c r="X15" s="63">
        <f>'SER_se-appl'!X65</f>
        <v>171.57975382817432</v>
      </c>
      <c r="Y15" s="63">
        <f>'SER_se-appl'!Y65</f>
        <v>168.37598249113373</v>
      </c>
      <c r="DA15" s="105" t="s">
        <v>957</v>
      </c>
    </row>
    <row r="17" spans="1:105" ht="12" customHeight="1" x14ac:dyDescent="0.25">
      <c r="A17" s="197" t="s">
        <v>184</v>
      </c>
      <c r="B17" s="198">
        <v>8.3143687294328164</v>
      </c>
      <c r="C17" s="198">
        <v>10.050621516921266</v>
      </c>
      <c r="D17" s="198">
        <v>11.796703767314261</v>
      </c>
      <c r="E17" s="198">
        <v>13.500630140249076</v>
      </c>
      <c r="F17" s="198">
        <v>15.130870807263616</v>
      </c>
      <c r="G17" s="198">
        <v>16.628737458865626</v>
      </c>
      <c r="H17" s="198">
        <v>17.909233795809911</v>
      </c>
      <c r="I17" s="198">
        <v>19.058368901714974</v>
      </c>
      <c r="J17" s="198">
        <v>20.130115126661718</v>
      </c>
      <c r="K17" s="198">
        <v>21.154693002778831</v>
      </c>
      <c r="L17" s="198">
        <v>22.171649945154179</v>
      </c>
      <c r="M17" s="198">
        <v>22.670499461717192</v>
      </c>
      <c r="N17" s="198">
        <v>22.944888587570073</v>
      </c>
      <c r="O17" s="198">
        <v>23.219277713423029</v>
      </c>
      <c r="P17" s="198">
        <v>23.493666839275953</v>
      </c>
      <c r="Q17" s="198">
        <v>23.768055965128859</v>
      </c>
      <c r="R17" s="198">
        <v>24.042445090981833</v>
      </c>
      <c r="S17" s="198">
        <v>24.316834216834739</v>
      </c>
      <c r="T17" s="198">
        <v>24.591223342687666</v>
      </c>
      <c r="U17" s="198">
        <v>24.865612468540604</v>
      </c>
      <c r="V17" s="198">
        <v>25.140001594393535</v>
      </c>
      <c r="W17" s="198">
        <v>25.414390720246455</v>
      </c>
      <c r="X17" s="198">
        <v>25.688779846099379</v>
      </c>
      <c r="Y17" s="198">
        <v>25.73870858124225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4931.7095450959769</v>
      </c>
      <c r="C3" s="219">
        <v>4937.7803016921607</v>
      </c>
      <c r="D3" s="219">
        <v>4816.3171237801753</v>
      </c>
      <c r="E3" s="219">
        <v>4790.8042801359097</v>
      </c>
      <c r="F3" s="219">
        <v>4757.6925038639874</v>
      </c>
      <c r="G3" s="219">
        <v>4395.2926674137561</v>
      </c>
      <c r="H3" s="219">
        <v>3971.3563317274602</v>
      </c>
      <c r="I3" s="219">
        <v>3212.5036729036729</v>
      </c>
      <c r="J3" s="219">
        <v>4341.5973833656817</v>
      </c>
      <c r="K3" s="219">
        <v>3005.3846657209529</v>
      </c>
      <c r="L3" s="219">
        <v>2900.4529165769459</v>
      </c>
      <c r="M3" s="219">
        <v>3416.729488272922</v>
      </c>
      <c r="N3" s="219">
        <v>3266.2999821050748</v>
      </c>
      <c r="O3" s="219">
        <v>3303.9502471895962</v>
      </c>
      <c r="P3" s="219">
        <v>3347.6509612117338</v>
      </c>
      <c r="Q3" s="219">
        <v>3083.5588680000001</v>
      </c>
      <c r="R3" s="219">
        <v>3166.930467307785</v>
      </c>
      <c r="S3" s="219">
        <v>3265.8256792002749</v>
      </c>
      <c r="T3" s="219">
        <v>2814.1870328319928</v>
      </c>
      <c r="U3" s="219">
        <v>2749.6899984761521</v>
      </c>
      <c r="V3" s="219">
        <v>2843.702748472399</v>
      </c>
      <c r="W3" s="219">
        <v>3844.643921415483</v>
      </c>
      <c r="X3" s="219">
        <v>3423.061016949152</v>
      </c>
      <c r="Y3" s="219">
        <v>2384.4</v>
      </c>
      <c r="DA3" s="210" t="s">
        <v>974</v>
      </c>
    </row>
    <row r="5" spans="1:105" x14ac:dyDescent="0.25">
      <c r="A5" s="218" t="s">
        <v>120</v>
      </c>
      <c r="B5" s="219">
        <v>2788.8636714774161</v>
      </c>
      <c r="C5" s="219">
        <v>2510.1035377435578</v>
      </c>
      <c r="D5" s="219">
        <v>2459.775143249843</v>
      </c>
      <c r="E5" s="219">
        <v>2372.2828688609379</v>
      </c>
      <c r="F5" s="219">
        <v>2358.182377510047</v>
      </c>
      <c r="G5" s="219">
        <v>2264.9002892457411</v>
      </c>
      <c r="H5" s="219">
        <v>2269.090403088303</v>
      </c>
      <c r="I5" s="219">
        <v>2264.2696020608978</v>
      </c>
      <c r="J5" s="219">
        <v>1518.86213606453</v>
      </c>
      <c r="K5" s="219">
        <v>1337.209957679755</v>
      </c>
      <c r="L5" s="219">
        <v>1437.333548198714</v>
      </c>
      <c r="M5" s="219">
        <v>1764.527413043071</v>
      </c>
      <c r="N5" s="219">
        <v>1691.673598919082</v>
      </c>
      <c r="O5" s="219">
        <v>1645.7940963069359</v>
      </c>
      <c r="P5" s="219">
        <v>1667.9247262912461</v>
      </c>
      <c r="Q5" s="219">
        <v>1592.053571906117</v>
      </c>
      <c r="R5" s="219">
        <v>1564.545462828474</v>
      </c>
      <c r="S5" s="219">
        <v>1625.4920268336609</v>
      </c>
      <c r="T5" s="219">
        <v>1615.9857880504151</v>
      </c>
      <c r="U5" s="219">
        <v>1723.055998388963</v>
      </c>
      <c r="V5" s="219">
        <v>1612.8711411059819</v>
      </c>
      <c r="W5" s="219">
        <v>1761.2078219563959</v>
      </c>
      <c r="X5" s="219">
        <v>2067.4761236741451</v>
      </c>
      <c r="Y5" s="219">
        <v>2016.6130815296419</v>
      </c>
      <c r="DA5" s="210" t="s">
        <v>975</v>
      </c>
    </row>
    <row r="6" spans="1:105" x14ac:dyDescent="0.25">
      <c r="A6" s="220" t="s">
        <v>119</v>
      </c>
      <c r="B6" s="221">
        <v>3486.0795893467698</v>
      </c>
      <c r="C6" s="221">
        <v>3311.7756098794312</v>
      </c>
      <c r="D6" s="221">
        <v>3311.7756098794312</v>
      </c>
      <c r="E6" s="221">
        <v>3137.471630412093</v>
      </c>
      <c r="F6" s="221">
        <v>2963.1676509447539</v>
      </c>
      <c r="G6" s="221">
        <v>2963.1676509447539</v>
      </c>
      <c r="H6" s="221">
        <v>2788.8636714774152</v>
      </c>
      <c r="I6" s="221">
        <v>2614.559692010077</v>
      </c>
      <c r="J6" s="221">
        <v>2440.2557125427379</v>
      </c>
      <c r="K6" s="221">
        <v>2440.2557125427379</v>
      </c>
      <c r="L6" s="221">
        <v>2265.9517330753988</v>
      </c>
      <c r="M6" s="221">
        <v>2265.9517330753988</v>
      </c>
      <c r="N6" s="221">
        <v>2091.6477536080611</v>
      </c>
      <c r="O6" s="221">
        <v>1917.343774140722</v>
      </c>
      <c r="P6" s="221">
        <v>1917.343774140722</v>
      </c>
      <c r="Q6" s="221">
        <v>1743.039794673384</v>
      </c>
      <c r="R6" s="221">
        <v>1743.039794673384</v>
      </c>
      <c r="S6" s="221">
        <v>1743.039794673384</v>
      </c>
      <c r="T6" s="221">
        <v>1743.039794673384</v>
      </c>
      <c r="U6" s="221">
        <v>1917.343774140722</v>
      </c>
      <c r="V6" s="221">
        <v>1917.343774140722</v>
      </c>
      <c r="W6" s="221">
        <v>1917.343774140722</v>
      </c>
      <c r="X6" s="221">
        <v>2265.9517330753988</v>
      </c>
      <c r="Y6" s="221">
        <v>2265.9517330753988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0</v>
      </c>
      <c r="G7" s="225">
        <v>0</v>
      </c>
      <c r="H7" s="225">
        <v>0</v>
      </c>
      <c r="I7" s="225">
        <v>0</v>
      </c>
      <c r="J7" s="225">
        <v>0</v>
      </c>
      <c r="K7" s="225">
        <v>0</v>
      </c>
      <c r="L7" s="225">
        <v>0</v>
      </c>
      <c r="M7" s="225">
        <v>0</v>
      </c>
      <c r="N7" s="225">
        <v>0</v>
      </c>
      <c r="O7" s="225">
        <v>0</v>
      </c>
      <c r="P7" s="225">
        <v>0</v>
      </c>
      <c r="Q7" s="225">
        <v>0</v>
      </c>
      <c r="R7" s="225">
        <v>174.30397946733851</v>
      </c>
      <c r="S7" s="225">
        <v>174.30397946733851</v>
      </c>
      <c r="T7" s="225">
        <v>0</v>
      </c>
      <c r="U7" s="225">
        <v>348.60795893467701</v>
      </c>
      <c r="V7" s="225">
        <v>0</v>
      </c>
      <c r="W7" s="225">
        <v>174.30397946733851</v>
      </c>
      <c r="X7" s="225">
        <v>522.91193840201549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174.30397946733865</v>
      </c>
      <c r="D8" s="227">
        <f t="shared" ref="D8" si="1">IF(C6=0,0,C6+D7-D6)</f>
        <v>0</v>
      </c>
      <c r="E8" s="227">
        <f t="shared" ref="E8" si="2">IF(D6=0,0,D6+E7-E6)</f>
        <v>174.30397946733819</v>
      </c>
      <c r="F8" s="227">
        <f t="shared" ref="F8" si="3">IF(E6=0,0,E6+F7-F6)</f>
        <v>174.3039794673391</v>
      </c>
      <c r="G8" s="227">
        <f t="shared" ref="G8" si="4">IF(F6=0,0,F6+G7-G6)</f>
        <v>0</v>
      </c>
      <c r="H8" s="227">
        <f t="shared" ref="H8" si="5">IF(G6=0,0,G6+H7-H6)</f>
        <v>174.30397946733865</v>
      </c>
      <c r="I8" s="227">
        <f t="shared" ref="I8" si="6">IF(H6=0,0,H6+I7-I6)</f>
        <v>174.30397946733819</v>
      </c>
      <c r="J8" s="227">
        <f t="shared" ref="J8" si="7">IF(I6=0,0,I6+J7-J6)</f>
        <v>174.3039794673391</v>
      </c>
      <c r="K8" s="227">
        <f t="shared" ref="K8" si="8">IF(J6=0,0,J6+K7-K6)</f>
        <v>0</v>
      </c>
      <c r="L8" s="227">
        <f t="shared" ref="L8" si="9">IF(K6=0,0,K6+L7-L6)</f>
        <v>174.3039794673391</v>
      </c>
      <c r="M8" s="227">
        <f t="shared" ref="M8" si="10">IF(L6=0,0,L6+M7-M6)</f>
        <v>0</v>
      </c>
      <c r="N8" s="227">
        <f t="shared" ref="N8" si="11">IF(M6=0,0,M6+N7-N6)</f>
        <v>174.30397946733774</v>
      </c>
      <c r="O8" s="227">
        <f t="shared" ref="O8" si="12">IF(N6=0,0,N6+O7-O6)</f>
        <v>174.3039794673391</v>
      </c>
      <c r="P8" s="227">
        <f t="shared" ref="P8" si="13">IF(O6=0,0,O6+P7-P6)</f>
        <v>0</v>
      </c>
      <c r="Q8" s="227">
        <f t="shared" ref="Q8" si="14">IF(P6=0,0,P6+Q7-Q6)</f>
        <v>174.30397946733797</v>
      </c>
      <c r="R8" s="227">
        <f t="shared" ref="R8" si="15">IF(Q6=0,0,Q6+R7-R6)</f>
        <v>174.30397946733842</v>
      </c>
      <c r="S8" s="227">
        <f t="shared" ref="S8" si="16">IF(R6=0,0,R6+S7-S6)</f>
        <v>174.30397946733842</v>
      </c>
      <c r="T8" s="227">
        <f t="shared" ref="T8" si="17">IF(S6=0,0,S6+T7-T6)</f>
        <v>0</v>
      </c>
      <c r="U8" s="227">
        <f t="shared" ref="U8" si="18">IF(T6=0,0,T6+U7-U6)</f>
        <v>174.3039794673391</v>
      </c>
      <c r="V8" s="227">
        <f t="shared" ref="V8" si="19">IF(U6=0,0,U6+V7-V6)</f>
        <v>0</v>
      </c>
      <c r="W8" s="227">
        <f t="shared" ref="W8" si="20">IF(V6=0,0,V6+W7-W6)</f>
        <v>174.30397946733865</v>
      </c>
      <c r="X8" s="227">
        <f t="shared" ref="X8" si="21">IF(W6=0,0,W6+X7-X6)</f>
        <v>174.30397946733865</v>
      </c>
      <c r="Y8" s="227">
        <f t="shared" ref="Y8" si="22">IF(X6=0,0,X6+Y7-Y6)</f>
        <v>0</v>
      </c>
      <c r="DA8" s="213" t="s">
        <v>978</v>
      </c>
    </row>
    <row r="9" spans="1:105" x14ac:dyDescent="0.25">
      <c r="A9" s="222" t="s">
        <v>116</v>
      </c>
      <c r="B9" s="223">
        <f>B6-B5</f>
        <v>697.21591786935369</v>
      </c>
      <c r="C9" s="223">
        <f t="shared" ref="C9:W9" si="23">C6-C5</f>
        <v>801.67207213587335</v>
      </c>
      <c r="D9" s="223">
        <f t="shared" si="23"/>
        <v>852.00046662958812</v>
      </c>
      <c r="E9" s="223">
        <f t="shared" si="23"/>
        <v>765.18876155115504</v>
      </c>
      <c r="F9" s="223">
        <f t="shared" si="23"/>
        <v>604.98527343470687</v>
      </c>
      <c r="G9" s="223">
        <f t="shared" si="23"/>
        <v>698.26736169901278</v>
      </c>
      <c r="H9" s="223">
        <f t="shared" si="23"/>
        <v>519.77326838911222</v>
      </c>
      <c r="I9" s="223">
        <f t="shared" si="23"/>
        <v>350.29008994917922</v>
      </c>
      <c r="J9" s="223">
        <f t="shared" si="23"/>
        <v>921.39357647820793</v>
      </c>
      <c r="K9" s="223">
        <f t="shared" si="23"/>
        <v>1103.0457548629829</v>
      </c>
      <c r="L9" s="223">
        <f t="shared" si="23"/>
        <v>828.61818487668484</v>
      </c>
      <c r="M9" s="223">
        <f t="shared" si="23"/>
        <v>501.42432003232784</v>
      </c>
      <c r="N9" s="223">
        <f t="shared" si="23"/>
        <v>399.97415468897907</v>
      </c>
      <c r="O9" s="223">
        <f t="shared" si="23"/>
        <v>271.54967783378606</v>
      </c>
      <c r="P9" s="223">
        <f t="shared" si="23"/>
        <v>249.41904784947587</v>
      </c>
      <c r="Q9" s="223">
        <f t="shared" si="23"/>
        <v>150.98622276726701</v>
      </c>
      <c r="R9" s="223">
        <f t="shared" si="23"/>
        <v>178.49433184490999</v>
      </c>
      <c r="S9" s="223">
        <f t="shared" si="23"/>
        <v>117.54776783972306</v>
      </c>
      <c r="T9" s="223">
        <f t="shared" si="23"/>
        <v>127.05400662296893</v>
      </c>
      <c r="U9" s="223">
        <f t="shared" si="23"/>
        <v>194.287775751759</v>
      </c>
      <c r="V9" s="223">
        <f t="shared" si="23"/>
        <v>304.47263303474006</v>
      </c>
      <c r="W9" s="223">
        <f t="shared" si="23"/>
        <v>156.13595218432602</v>
      </c>
      <c r="X9" s="223">
        <f t="shared" ref="X9:Y9" si="24">X6-X5</f>
        <v>198.47560940125368</v>
      </c>
      <c r="Y9" s="223">
        <f t="shared" si="24"/>
        <v>249.33865154575687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313.6682717110919</v>
      </c>
      <c r="C12" s="229">
        <f t="shared" ref="C12:W12" si="25">SUM(C13,C14,C18,C19,C26,C27)</f>
        <v>275.65812553740329</v>
      </c>
      <c r="D12" s="229">
        <f t="shared" si="25"/>
        <v>279.94471195184872</v>
      </c>
      <c r="E12" s="229">
        <f t="shared" si="25"/>
        <v>283.57764402407565</v>
      </c>
      <c r="F12" s="229">
        <f t="shared" si="25"/>
        <v>276.62932072226999</v>
      </c>
      <c r="G12" s="229">
        <f t="shared" si="25"/>
        <v>304.1625967325881</v>
      </c>
      <c r="H12" s="229">
        <f t="shared" si="25"/>
        <v>295.11160791057608</v>
      </c>
      <c r="I12" s="229">
        <f t="shared" si="25"/>
        <v>266.76423043852105</v>
      </c>
      <c r="J12" s="229">
        <f t="shared" si="25"/>
        <v>187.57368873602758</v>
      </c>
      <c r="K12" s="229">
        <f t="shared" si="25"/>
        <v>184.31246775580391</v>
      </c>
      <c r="L12" s="229">
        <f t="shared" si="25"/>
        <v>184.66311263972477</v>
      </c>
      <c r="M12" s="229">
        <f t="shared" si="25"/>
        <v>204.72278589853829</v>
      </c>
      <c r="N12" s="229">
        <f t="shared" si="25"/>
        <v>200.14557179707649</v>
      </c>
      <c r="O12" s="229">
        <f t="shared" si="25"/>
        <v>194.03061049011171</v>
      </c>
      <c r="P12" s="229">
        <f t="shared" si="25"/>
        <v>190.49810834049867</v>
      </c>
      <c r="Q12" s="229">
        <f t="shared" si="25"/>
        <v>185.75649183147033</v>
      </c>
      <c r="R12" s="229">
        <f t="shared" si="25"/>
        <v>185.26173688736029</v>
      </c>
      <c r="S12" s="229">
        <f t="shared" si="25"/>
        <v>177.6010318142734</v>
      </c>
      <c r="T12" s="229">
        <f t="shared" si="25"/>
        <v>185.90223559759238</v>
      </c>
      <c r="U12" s="229">
        <f t="shared" si="25"/>
        <v>196.96345657781592</v>
      </c>
      <c r="V12" s="229">
        <f t="shared" si="25"/>
        <v>195.19415305245053</v>
      </c>
      <c r="W12" s="229">
        <f t="shared" si="25"/>
        <v>203.61840068787612</v>
      </c>
      <c r="X12" s="229">
        <f t="shared" ref="X12:Y12" si="26">SUM(X13,X14,X18,X19,X26,X27)</f>
        <v>204.52820292347371</v>
      </c>
      <c r="Y12" s="229">
        <f t="shared" si="26"/>
        <v>204.4420464316423</v>
      </c>
      <c r="DA12" s="210" t="s">
        <v>980</v>
      </c>
    </row>
    <row r="13" spans="1:105" x14ac:dyDescent="0.25">
      <c r="A13" s="58" t="s">
        <v>29</v>
      </c>
      <c r="B13" s="59">
        <v>0.93559759243336194</v>
      </c>
      <c r="C13" s="59">
        <v>0.75821152192605323</v>
      </c>
      <c r="D13" s="59">
        <v>2.0306964746345653</v>
      </c>
      <c r="E13" s="59">
        <v>1.1446259673258814</v>
      </c>
      <c r="F13" s="59">
        <v>2.6825451418744621</v>
      </c>
      <c r="G13" s="59">
        <v>4.7059329320722263</v>
      </c>
      <c r="H13" s="59">
        <v>6.0992261392949274</v>
      </c>
      <c r="I13" s="59">
        <v>8.0531384350816833</v>
      </c>
      <c r="J13" s="59">
        <v>6.5114359415305243</v>
      </c>
      <c r="K13" s="59">
        <v>5.0969905417024925</v>
      </c>
      <c r="L13" s="59">
        <v>3.9854686156491823</v>
      </c>
      <c r="M13" s="59">
        <v>4.8184006878761814</v>
      </c>
      <c r="N13" s="59">
        <v>4.3754084264832329</v>
      </c>
      <c r="O13" s="59">
        <v>6.6870163370593279</v>
      </c>
      <c r="P13" s="59">
        <v>5.6955288048151331</v>
      </c>
      <c r="Q13" s="59">
        <v>6.7746345657781593</v>
      </c>
      <c r="R13" s="59">
        <v>7.5006018916595005</v>
      </c>
      <c r="S13" s="59">
        <v>9.5053310404127274</v>
      </c>
      <c r="T13" s="59">
        <v>9.0253654342218379</v>
      </c>
      <c r="U13" s="59">
        <v>10.004213241616508</v>
      </c>
      <c r="V13" s="59">
        <v>9.4653482373172828</v>
      </c>
      <c r="W13" s="59">
        <v>9.5522785898538238</v>
      </c>
      <c r="X13" s="59">
        <v>11.198968185726567</v>
      </c>
      <c r="Y13" s="59">
        <v>7.8879621668099738</v>
      </c>
      <c r="DA13" s="9" t="s">
        <v>981</v>
      </c>
    </row>
    <row r="14" spans="1:105" x14ac:dyDescent="0.25">
      <c r="A14" s="60" t="s">
        <v>28</v>
      </c>
      <c r="B14" s="55">
        <f>SUM(B15:B17)</f>
        <v>270.12278589853821</v>
      </c>
      <c r="C14" s="55">
        <f t="shared" ref="C14:W14" si="27">SUM(C15:C17)</f>
        <v>244.75735167669819</v>
      </c>
      <c r="D14" s="55">
        <f t="shared" si="27"/>
        <v>246.03276010318146</v>
      </c>
      <c r="E14" s="55">
        <f t="shared" si="27"/>
        <v>247.0382631126397</v>
      </c>
      <c r="F14" s="55">
        <f t="shared" si="27"/>
        <v>235.22502149613069</v>
      </c>
      <c r="G14" s="55">
        <f t="shared" si="27"/>
        <v>251.04496990541702</v>
      </c>
      <c r="H14" s="55">
        <f t="shared" si="27"/>
        <v>237.0944969905417</v>
      </c>
      <c r="I14" s="55">
        <f t="shared" si="27"/>
        <v>204.88684436801373</v>
      </c>
      <c r="J14" s="55">
        <f t="shared" si="27"/>
        <v>119.15305245055895</v>
      </c>
      <c r="K14" s="55">
        <f t="shared" si="27"/>
        <v>127.68701633705929</v>
      </c>
      <c r="L14" s="55">
        <f t="shared" si="27"/>
        <v>124.53422184006875</v>
      </c>
      <c r="M14" s="55">
        <f t="shared" si="27"/>
        <v>134.63740326741188</v>
      </c>
      <c r="N14" s="55">
        <f t="shared" si="27"/>
        <v>135.55941530524504</v>
      </c>
      <c r="O14" s="55">
        <f t="shared" si="27"/>
        <v>123.43559759243333</v>
      </c>
      <c r="P14" s="55">
        <f t="shared" si="27"/>
        <v>126.55485812553735</v>
      </c>
      <c r="Q14" s="55">
        <f t="shared" si="27"/>
        <v>130.50782459157352</v>
      </c>
      <c r="R14" s="55">
        <f t="shared" si="27"/>
        <v>118.38400687876182</v>
      </c>
      <c r="S14" s="55">
        <f t="shared" si="27"/>
        <v>117.01874462596732</v>
      </c>
      <c r="T14" s="55">
        <f t="shared" si="27"/>
        <v>126.15640584694748</v>
      </c>
      <c r="U14" s="55">
        <f t="shared" si="27"/>
        <v>133.39475494411002</v>
      </c>
      <c r="V14" s="55">
        <f t="shared" si="27"/>
        <v>123.1489251934652</v>
      </c>
      <c r="W14" s="55">
        <f t="shared" si="27"/>
        <v>135.87386070507304</v>
      </c>
      <c r="X14" s="55">
        <f t="shared" ref="X14:Y14" si="28">SUM(X15:X17)</f>
        <v>143.44909716251072</v>
      </c>
      <c r="Y14" s="55">
        <f t="shared" si="28"/>
        <v>142.11865864144451</v>
      </c>
      <c r="DA14" s="10"/>
    </row>
    <row r="15" spans="1:105" x14ac:dyDescent="0.25">
      <c r="A15" s="61" t="s">
        <v>52</v>
      </c>
      <c r="B15" s="55">
        <v>1.129750644883921</v>
      </c>
      <c r="C15" s="55">
        <v>1.129750644883921</v>
      </c>
      <c r="D15" s="55">
        <v>1.129750644883921</v>
      </c>
      <c r="E15" s="55">
        <v>2.259501289767841</v>
      </c>
      <c r="F15" s="55">
        <v>0</v>
      </c>
      <c r="G15" s="55">
        <v>3.743938091143594</v>
      </c>
      <c r="H15" s="55">
        <v>2.4959587274290631</v>
      </c>
      <c r="I15" s="55">
        <v>2.1974204643164228</v>
      </c>
      <c r="J15" s="55">
        <v>3.2960447119518479</v>
      </c>
      <c r="K15" s="55">
        <v>5.4934651762682716</v>
      </c>
      <c r="L15" s="55">
        <v>3.2960447119518479</v>
      </c>
      <c r="M15" s="55">
        <v>3.2960447119518479</v>
      </c>
      <c r="N15" s="55">
        <v>2.1974204643164228</v>
      </c>
      <c r="O15" s="55">
        <v>2.1974204643164228</v>
      </c>
      <c r="P15" s="55">
        <v>3.2960447119518479</v>
      </c>
      <c r="Q15" s="55">
        <v>2.1974204643164228</v>
      </c>
      <c r="R15" s="55">
        <v>2.1974204643164228</v>
      </c>
      <c r="S15" s="55">
        <v>2.5973344797936373</v>
      </c>
      <c r="T15" s="55">
        <v>2.8620808254514185</v>
      </c>
      <c r="U15" s="55">
        <v>2.3665520206362856</v>
      </c>
      <c r="V15" s="55">
        <v>1.9062768701633708</v>
      </c>
      <c r="W15" s="55">
        <v>1.8798796216680997</v>
      </c>
      <c r="X15" s="55">
        <v>1.7722269991401547</v>
      </c>
      <c r="Y15" s="55">
        <v>1.6920034393809118</v>
      </c>
      <c r="DA15" s="10" t="s">
        <v>982</v>
      </c>
    </row>
    <row r="16" spans="1:105" x14ac:dyDescent="0.25">
      <c r="A16" s="61" t="s">
        <v>165</v>
      </c>
      <c r="B16" s="55">
        <v>251.62416165090281</v>
      </c>
      <c r="C16" s="55">
        <v>231.08340498710231</v>
      </c>
      <c r="D16" s="55">
        <v>236.21857265692179</v>
      </c>
      <c r="E16" s="55">
        <v>234.1644883920894</v>
      </c>
      <c r="F16" s="55">
        <v>219.7859845227859</v>
      </c>
      <c r="G16" s="55">
        <v>228.0023215821152</v>
      </c>
      <c r="H16" s="55">
        <v>227</v>
      </c>
      <c r="I16" s="55">
        <v>196.0017196904557</v>
      </c>
      <c r="J16" s="55">
        <v>110.12467755803959</v>
      </c>
      <c r="K16" s="55">
        <v>121.2381771281169</v>
      </c>
      <c r="L16" s="55">
        <v>121.2381771281169</v>
      </c>
      <c r="M16" s="55">
        <v>131.34135855546003</v>
      </c>
      <c r="N16" s="55">
        <v>133.36199484092862</v>
      </c>
      <c r="O16" s="55">
        <v>121.2381771281169</v>
      </c>
      <c r="P16" s="55">
        <v>123.2588134135855</v>
      </c>
      <c r="Q16" s="55">
        <v>128.3104041272571</v>
      </c>
      <c r="R16" s="55">
        <v>116.1865864144454</v>
      </c>
      <c r="S16" s="55">
        <v>114.34686156491831</v>
      </c>
      <c r="T16" s="55">
        <v>123.20928632846081</v>
      </c>
      <c r="U16" s="55">
        <v>122.27377472055026</v>
      </c>
      <c r="V16" s="55">
        <v>114.87721410146176</v>
      </c>
      <c r="W16" s="55">
        <v>124.79355116079101</v>
      </c>
      <c r="X16" s="55">
        <v>131.04737747205502</v>
      </c>
      <c r="Y16" s="55">
        <v>129.86423043852105</v>
      </c>
      <c r="DA16" s="10" t="s">
        <v>983</v>
      </c>
    </row>
    <row r="17" spans="1:105" x14ac:dyDescent="0.25">
      <c r="A17" s="61" t="s">
        <v>113</v>
      </c>
      <c r="B17" s="55">
        <v>17.368873602751499</v>
      </c>
      <c r="C17" s="55">
        <v>12.544196044711949</v>
      </c>
      <c r="D17" s="55">
        <v>8.6844368013757514</v>
      </c>
      <c r="E17" s="55">
        <v>10.614273430782459</v>
      </c>
      <c r="F17" s="55">
        <v>15.4390369733448</v>
      </c>
      <c r="G17" s="55">
        <v>19.298710232158211</v>
      </c>
      <c r="H17" s="55">
        <v>7.5985382631126388</v>
      </c>
      <c r="I17" s="55">
        <v>6.6877042132416156</v>
      </c>
      <c r="J17" s="55">
        <v>5.732330180567498</v>
      </c>
      <c r="K17" s="55">
        <v>0.95537403267411869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7.454858125537403E-2</v>
      </c>
      <c r="T17" s="55">
        <v>8.5038693035253646E-2</v>
      </c>
      <c r="U17" s="55">
        <v>8.7544282029234726</v>
      </c>
      <c r="V17" s="55">
        <v>6.3654342218400686</v>
      </c>
      <c r="W17" s="55">
        <v>9.2004299226139281</v>
      </c>
      <c r="X17" s="55">
        <v>10.629492691315566</v>
      </c>
      <c r="Y17" s="55">
        <v>10.562424763542559</v>
      </c>
      <c r="DA17" s="10" t="s">
        <v>984</v>
      </c>
    </row>
    <row r="18" spans="1:105" x14ac:dyDescent="0.25">
      <c r="A18" s="60" t="s">
        <v>149</v>
      </c>
      <c r="B18" s="55">
        <v>12.897506448839209</v>
      </c>
      <c r="C18" s="55">
        <v>14.359587274290631</v>
      </c>
      <c r="D18" s="55">
        <v>15.004385210662081</v>
      </c>
      <c r="E18" s="55">
        <v>16.61668099742046</v>
      </c>
      <c r="F18" s="55">
        <v>21.496216680997421</v>
      </c>
      <c r="G18" s="55">
        <v>26.54772141014617</v>
      </c>
      <c r="H18" s="55">
        <v>32.007652622527942</v>
      </c>
      <c r="I18" s="55">
        <v>32.438005159071373</v>
      </c>
      <c r="J18" s="55">
        <v>34.738091143594147</v>
      </c>
      <c r="K18" s="55">
        <v>25.967153912295789</v>
      </c>
      <c r="L18" s="55">
        <v>24.50584694754944</v>
      </c>
      <c r="M18" s="55">
        <v>27.5579535683577</v>
      </c>
      <c r="N18" s="55">
        <v>22.549527085124669</v>
      </c>
      <c r="O18" s="55">
        <v>20.464574376612209</v>
      </c>
      <c r="P18" s="55">
        <v>21.26001719690456</v>
      </c>
      <c r="Q18" s="55">
        <v>15.49896818572657</v>
      </c>
      <c r="R18" s="55">
        <v>14.5743766122098</v>
      </c>
      <c r="S18" s="55">
        <v>15.14075666380052</v>
      </c>
      <c r="T18" s="55">
        <v>14.31650902837489</v>
      </c>
      <c r="U18" s="55">
        <v>9.9295786758383482</v>
      </c>
      <c r="V18" s="55">
        <v>10.986414445399824</v>
      </c>
      <c r="W18" s="55">
        <v>12.49570077386071</v>
      </c>
      <c r="X18" s="55">
        <v>10.18443680137575</v>
      </c>
      <c r="Y18" s="55">
        <v>9.6055889939810815</v>
      </c>
      <c r="DA18" s="10" t="s">
        <v>985</v>
      </c>
    </row>
    <row r="19" spans="1:105" x14ac:dyDescent="0.25">
      <c r="A19" s="60" t="s">
        <v>51</v>
      </c>
      <c r="B19" s="55">
        <f>SUM(B20:B25)</f>
        <v>14.593465176268269</v>
      </c>
      <c r="C19" s="55">
        <f t="shared" ref="C19:W19" si="29">SUM(C20:C25)</f>
        <v>1.5525365434221841</v>
      </c>
      <c r="D19" s="55">
        <f t="shared" si="29"/>
        <v>2.412381771281169</v>
      </c>
      <c r="E19" s="55">
        <f t="shared" si="29"/>
        <v>3.1527944969905422</v>
      </c>
      <c r="F19" s="55">
        <f t="shared" si="29"/>
        <v>3.3915735167669818</v>
      </c>
      <c r="G19" s="55">
        <f t="shared" si="29"/>
        <v>5.3024075666380046</v>
      </c>
      <c r="H19" s="55">
        <f t="shared" si="29"/>
        <v>3.0094582975064492</v>
      </c>
      <c r="I19" s="55">
        <f t="shared" si="29"/>
        <v>2.3406706792777299</v>
      </c>
      <c r="J19" s="55">
        <f t="shared" si="29"/>
        <v>2.1496130696474629</v>
      </c>
      <c r="K19" s="55">
        <f t="shared" si="29"/>
        <v>3.654342218400688</v>
      </c>
      <c r="L19" s="55">
        <f t="shared" si="29"/>
        <v>3.3438521066208078</v>
      </c>
      <c r="M19" s="55">
        <f t="shared" si="29"/>
        <v>3.5827171109200342</v>
      </c>
      <c r="N19" s="55">
        <f t="shared" si="29"/>
        <v>3.988736027515047</v>
      </c>
      <c r="O19" s="55">
        <f t="shared" si="29"/>
        <v>11.848925193465174</v>
      </c>
      <c r="P19" s="55">
        <f t="shared" si="29"/>
        <v>6.8787618228718834</v>
      </c>
      <c r="Q19" s="55">
        <f t="shared" si="29"/>
        <v>11.22579535683577</v>
      </c>
      <c r="R19" s="55">
        <f t="shared" si="29"/>
        <v>17.698538263112638</v>
      </c>
      <c r="S19" s="55">
        <f t="shared" si="29"/>
        <v>7.7619948409286321</v>
      </c>
      <c r="T19" s="55">
        <f t="shared" si="29"/>
        <v>4.9063628546861562</v>
      </c>
      <c r="U19" s="55">
        <f t="shared" si="29"/>
        <v>4.82871883061049</v>
      </c>
      <c r="V19" s="55">
        <f t="shared" si="29"/>
        <v>5.6562338779019772</v>
      </c>
      <c r="W19" s="55">
        <f t="shared" si="29"/>
        <v>10.264918314703353</v>
      </c>
      <c r="X19" s="55">
        <f t="shared" ref="X19:Y19" si="30">SUM(X20:X25)</f>
        <v>9.9123817712811686</v>
      </c>
      <c r="Y19" s="55">
        <f t="shared" si="30"/>
        <v>11.030782459157351</v>
      </c>
      <c r="DA19" s="10"/>
    </row>
    <row r="20" spans="1:105" x14ac:dyDescent="0.25">
      <c r="A20" s="61" t="s">
        <v>164</v>
      </c>
      <c r="B20" s="55">
        <v>14.593465176268269</v>
      </c>
      <c r="C20" s="55">
        <v>1.5525365434221841</v>
      </c>
      <c r="D20" s="55">
        <v>2.412381771281169</v>
      </c>
      <c r="E20" s="55">
        <v>3.1527944969905422</v>
      </c>
      <c r="F20" s="55">
        <v>3.3915735167669818</v>
      </c>
      <c r="G20" s="55">
        <v>5.3024075666380046</v>
      </c>
      <c r="H20" s="55">
        <v>3.0094582975064492</v>
      </c>
      <c r="I20" s="55">
        <v>2.3406706792777299</v>
      </c>
      <c r="J20" s="55">
        <v>2.1496130696474629</v>
      </c>
      <c r="K20" s="55">
        <v>3.654342218400688</v>
      </c>
      <c r="L20" s="55">
        <v>3.3438521066208078</v>
      </c>
      <c r="M20" s="55">
        <v>3.5827171109200342</v>
      </c>
      <c r="N20" s="55">
        <v>3.988736027515047</v>
      </c>
      <c r="O20" s="55">
        <v>5.5173688736027513</v>
      </c>
      <c r="P20" s="55">
        <v>6.8787618228718834</v>
      </c>
      <c r="Q20" s="55">
        <v>11.22579535683577</v>
      </c>
      <c r="R20" s="55">
        <v>2.412381771281169</v>
      </c>
      <c r="S20" s="55">
        <v>6.5677558039552872</v>
      </c>
      <c r="T20" s="55">
        <v>3.7121238177128109</v>
      </c>
      <c r="U20" s="55">
        <v>3.6344797936371451</v>
      </c>
      <c r="V20" s="55">
        <v>2.9572656921754081</v>
      </c>
      <c r="W20" s="55">
        <v>3.0396388650042989</v>
      </c>
      <c r="X20" s="55">
        <v>3.3389509888220124</v>
      </c>
      <c r="Y20" s="55">
        <v>4.3222699914015479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15.28615649183147</v>
      </c>
      <c r="S21" s="55">
        <v>1.1942390369733451</v>
      </c>
      <c r="T21" s="55">
        <v>1.1942390369733451</v>
      </c>
      <c r="U21" s="55">
        <v>1.1942390369733451</v>
      </c>
      <c r="V21" s="55">
        <v>2.698968185726569</v>
      </c>
      <c r="W21" s="55">
        <v>7.2252794496990536</v>
      </c>
      <c r="X21" s="55">
        <v>6.5734307824591571</v>
      </c>
      <c r="Y21" s="55">
        <v>6.7085124677558028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6.3315563198624236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7.1625107480653469E-2</v>
      </c>
      <c r="C26" s="55">
        <v>0.2149613069647463</v>
      </c>
      <c r="D26" s="55">
        <v>0.19105760963026661</v>
      </c>
      <c r="E26" s="55">
        <v>0.40601891659501288</v>
      </c>
      <c r="F26" s="55">
        <v>0.3343938091143594</v>
      </c>
      <c r="G26" s="55">
        <v>0.31049011177987962</v>
      </c>
      <c r="H26" s="55">
        <v>4.7807394668959592E-2</v>
      </c>
      <c r="I26" s="55">
        <v>0.64488392089423896</v>
      </c>
      <c r="J26" s="55">
        <v>0.42992261392949271</v>
      </c>
      <c r="K26" s="55">
        <v>0.23886500429922611</v>
      </c>
      <c r="L26" s="55">
        <v>8.8612209802235586</v>
      </c>
      <c r="M26" s="55">
        <v>9.7926913155631983</v>
      </c>
      <c r="N26" s="55">
        <v>10.628632846087701</v>
      </c>
      <c r="O26" s="55">
        <v>9.8404127257093723</v>
      </c>
      <c r="P26" s="55">
        <v>9.3866723989681855</v>
      </c>
      <c r="Q26" s="55">
        <v>2.7466895958727431</v>
      </c>
      <c r="R26" s="55">
        <v>7.9296646603611336</v>
      </c>
      <c r="S26" s="55">
        <v>9.0472914875322434</v>
      </c>
      <c r="T26" s="55">
        <v>8.7450558899398096</v>
      </c>
      <c r="U26" s="55">
        <v>10.366380051590712</v>
      </c>
      <c r="V26" s="55">
        <v>13.090627687016342</v>
      </c>
      <c r="W26" s="55">
        <v>8.1221840068787614</v>
      </c>
      <c r="X26" s="55">
        <v>5.885296646603611</v>
      </c>
      <c r="Y26" s="55">
        <v>5.906792777300085</v>
      </c>
      <c r="DA26" s="10" t="s">
        <v>992</v>
      </c>
    </row>
    <row r="27" spans="1:105" x14ac:dyDescent="0.25">
      <c r="A27" s="62" t="s">
        <v>24</v>
      </c>
      <c r="B27" s="63">
        <v>15.04729148753224</v>
      </c>
      <c r="C27" s="63">
        <v>14.015477214101461</v>
      </c>
      <c r="D27" s="63">
        <v>14.27343078245916</v>
      </c>
      <c r="E27" s="63">
        <v>15.219260533104039</v>
      </c>
      <c r="F27" s="63">
        <v>13.499570077386068</v>
      </c>
      <c r="G27" s="63">
        <v>16.251074806534817</v>
      </c>
      <c r="H27" s="63">
        <v>16.852966466036111</v>
      </c>
      <c r="I27" s="63">
        <v>18.400687876182285</v>
      </c>
      <c r="J27" s="63">
        <v>24.591573516766985</v>
      </c>
      <c r="K27" s="63">
        <v>21.668099742046426</v>
      </c>
      <c r="L27" s="63">
        <v>19.432502149613065</v>
      </c>
      <c r="M27" s="63">
        <v>24.333619948409286</v>
      </c>
      <c r="N27" s="63">
        <v>23.0438521066208</v>
      </c>
      <c r="O27" s="63">
        <v>21.754084264832329</v>
      </c>
      <c r="P27" s="63">
        <v>20.722269991401546</v>
      </c>
      <c r="Q27" s="63">
        <v>19.002579535683576</v>
      </c>
      <c r="R27" s="63">
        <v>19.174548581255376</v>
      </c>
      <c r="S27" s="63">
        <v>19.126913155631978</v>
      </c>
      <c r="T27" s="63">
        <v>22.752536543422181</v>
      </c>
      <c r="U27" s="63">
        <v>28.439810834049865</v>
      </c>
      <c r="V27" s="63">
        <v>32.846603611349948</v>
      </c>
      <c r="W27" s="63">
        <v>27.309458297506445</v>
      </c>
      <c r="X27" s="63">
        <v>23.898022355975922</v>
      </c>
      <c r="Y27" s="63">
        <v>27.892261392949273</v>
      </c>
      <c r="DA27" s="11" t="s">
        <v>993</v>
      </c>
    </row>
    <row r="29" spans="1:105" x14ac:dyDescent="0.25">
      <c r="A29" s="218" t="s">
        <v>84</v>
      </c>
      <c r="B29" s="219">
        <v>874.10779131401227</v>
      </c>
      <c r="C29" s="219">
        <v>797.54212029335929</v>
      </c>
      <c r="D29" s="219">
        <v>808.07463199517213</v>
      </c>
      <c r="E29" s="219">
        <v>810.70807775912635</v>
      </c>
      <c r="F29" s="219">
        <v>793.4654944114036</v>
      </c>
      <c r="G29" s="219">
        <v>861.58733497683045</v>
      </c>
      <c r="H29" s="219">
        <v>835.71772593767707</v>
      </c>
      <c r="I29" s="219">
        <v>745.42118558645711</v>
      </c>
      <c r="J29" s="219">
        <v>477.51263084694705</v>
      </c>
      <c r="K29" s="219">
        <v>475.82046673571</v>
      </c>
      <c r="L29" s="219">
        <v>458.74416710294139</v>
      </c>
      <c r="M29" s="219">
        <v>500.64363668769226</v>
      </c>
      <c r="N29" s="219">
        <v>490.61586505743838</v>
      </c>
      <c r="O29" s="219">
        <v>457.87089940067398</v>
      </c>
      <c r="P29" s="219">
        <v>464.49032606021353</v>
      </c>
      <c r="Q29" s="219">
        <v>468.11704802482268</v>
      </c>
      <c r="R29" s="219">
        <v>432.18653918555043</v>
      </c>
      <c r="S29" s="219">
        <v>437.26327358882025</v>
      </c>
      <c r="T29" s="219">
        <v>461.48613713855883</v>
      </c>
      <c r="U29" s="219">
        <v>475.9332600441839</v>
      </c>
      <c r="V29" s="219">
        <v>443.78713456750552</v>
      </c>
      <c r="W29" s="219">
        <v>487.40684983987126</v>
      </c>
      <c r="X29" s="219">
        <v>513.38831674441997</v>
      </c>
      <c r="Y29" s="219">
        <v>492.42852082569686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63.602340900834122</v>
      </c>
      <c r="C31" s="59">
        <f t="shared" si="31"/>
        <v>55.826324521351467</v>
      </c>
      <c r="D31" s="59">
        <f t="shared" si="31"/>
        <v>58.124227445415585</v>
      </c>
      <c r="E31" s="59">
        <f t="shared" si="31"/>
        <v>59.192074533262058</v>
      </c>
      <c r="F31" s="59">
        <f t="shared" si="31"/>
        <v>58.143589670329447</v>
      </c>
      <c r="G31" s="59">
        <f t="shared" si="31"/>
        <v>69.201898428202071</v>
      </c>
      <c r="H31" s="59">
        <f t="shared" si="31"/>
        <v>74.31002993937048</v>
      </c>
      <c r="I31" s="59">
        <f t="shared" si="31"/>
        <v>83.039354223493206</v>
      </c>
      <c r="J31" s="59">
        <f t="shared" si="31"/>
        <v>43.203842312669074</v>
      </c>
      <c r="K31" s="59">
        <f t="shared" si="31"/>
        <v>61.327413378410164</v>
      </c>
      <c r="L31" s="59">
        <f t="shared" si="31"/>
        <v>63.666992001256247</v>
      </c>
      <c r="M31" s="59">
        <f t="shared" si="31"/>
        <v>59.917762468816619</v>
      </c>
      <c r="N31" s="59">
        <f t="shared" si="31"/>
        <v>61.275930837217857</v>
      </c>
      <c r="O31" s="59">
        <f t="shared" si="31"/>
        <v>58.726856027919268</v>
      </c>
      <c r="P31" s="59">
        <f t="shared" si="31"/>
        <v>56.905009078827305</v>
      </c>
      <c r="Q31" s="59">
        <f t="shared" si="31"/>
        <v>60.24094229533948</v>
      </c>
      <c r="R31" s="59">
        <f t="shared" si="31"/>
        <v>58.498833112951708</v>
      </c>
      <c r="S31" s="59">
        <f t="shared" si="31"/>
        <v>54.38166309530758</v>
      </c>
      <c r="T31" s="59">
        <f t="shared" si="31"/>
        <v>66.058948260632818</v>
      </c>
      <c r="U31" s="59">
        <f t="shared" si="31"/>
        <v>71.631149943073908</v>
      </c>
      <c r="V31" s="59">
        <f t="shared" si="31"/>
        <v>68.640842703164509</v>
      </c>
      <c r="W31" s="59">
        <f t="shared" si="31"/>
        <v>52.961575857175845</v>
      </c>
      <c r="X31" s="59">
        <f t="shared" si="31"/>
        <v>59.75008973277437</v>
      </c>
      <c r="Y31" s="59">
        <f t="shared" si="31"/>
        <v>85.741505800890067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112.47171201628669</v>
      </c>
      <c r="C32" s="55">
        <f t="shared" si="32"/>
        <v>109.81942433546168</v>
      </c>
      <c r="D32" s="55">
        <f t="shared" si="32"/>
        <v>113.80906613357638</v>
      </c>
      <c r="E32" s="55">
        <f t="shared" si="32"/>
        <v>119.53787119840254</v>
      </c>
      <c r="F32" s="55">
        <f t="shared" si="32"/>
        <v>117.30616060932353</v>
      </c>
      <c r="G32" s="55">
        <f t="shared" si="32"/>
        <v>134.29403412451353</v>
      </c>
      <c r="H32" s="55">
        <f t="shared" si="32"/>
        <v>130.05722800154632</v>
      </c>
      <c r="I32" s="55">
        <f t="shared" si="32"/>
        <v>117.81469406104159</v>
      </c>
      <c r="J32" s="55">
        <f t="shared" si="32"/>
        <v>123.49619118298855</v>
      </c>
      <c r="K32" s="55">
        <f t="shared" si="32"/>
        <v>137.83360398812138</v>
      </c>
      <c r="L32" s="55">
        <f t="shared" si="32"/>
        <v>128.47617233393538</v>
      </c>
      <c r="M32" s="55">
        <f t="shared" si="32"/>
        <v>116.02131221383362</v>
      </c>
      <c r="N32" s="55">
        <f t="shared" si="32"/>
        <v>118.31216844961241</v>
      </c>
      <c r="O32" s="55">
        <f t="shared" si="32"/>
        <v>117.89482713876836</v>
      </c>
      <c r="P32" s="55">
        <f t="shared" si="32"/>
        <v>114.21265320772916</v>
      </c>
      <c r="Q32" s="55">
        <f t="shared" si="32"/>
        <v>116.67728719019786</v>
      </c>
      <c r="R32" s="55">
        <f t="shared" si="32"/>
        <v>118.41249825520161</v>
      </c>
      <c r="S32" s="55">
        <f t="shared" si="32"/>
        <v>109.25986032686187</v>
      </c>
      <c r="T32" s="55">
        <f t="shared" si="32"/>
        <v>115.03952384499105</v>
      </c>
      <c r="U32" s="55">
        <f t="shared" si="32"/>
        <v>114.31053707016744</v>
      </c>
      <c r="V32" s="55">
        <f t="shared" si="32"/>
        <v>121.02278233994659</v>
      </c>
      <c r="W32" s="55">
        <f t="shared" si="32"/>
        <v>115.61293230102251</v>
      </c>
      <c r="X32" s="55">
        <f t="shared" si="32"/>
        <v>98.926512660278433</v>
      </c>
      <c r="Y32" s="55">
        <f t="shared" si="32"/>
        <v>101.37891512464496</v>
      </c>
      <c r="DA32" s="216"/>
    </row>
    <row r="33" spans="1:105" x14ac:dyDescent="0.25">
      <c r="A33" s="35" t="s">
        <v>111</v>
      </c>
      <c r="B33" s="55">
        <f>IF(AGR_ued!B$5=0,"",AGR_ued!B$5/B$5*1000)</f>
        <v>41.114641659481521</v>
      </c>
      <c r="C33" s="55">
        <f>IF(AGR_ued!C$5=0,"",AGR_ued!C$5/C$5*1000)</f>
        <v>40.606416766610906</v>
      </c>
      <c r="D33" s="55">
        <f>IF(AGR_ued!D$5=0,"",AGR_ued!D$5/D$5*1000)</f>
        <v>42.118125021227733</v>
      </c>
      <c r="E33" s="55">
        <f>IF(AGR_ued!E$5=0,"",AGR_ued!E$5/E$5*1000)</f>
        <v>44.280231080592657</v>
      </c>
      <c r="F33" s="55">
        <f>IF(AGR_ued!F$5=0,"",AGR_ued!F$5/F$5*1000)</f>
        <v>43.341092891426428</v>
      </c>
      <c r="G33" s="55">
        <f>IF(AGR_ued!G$5=0,"",AGR_ued!G$5/G$5*1000)</f>
        <v>49.581198566557916</v>
      </c>
      <c r="H33" s="55">
        <f>IF(AGR_ued!H$5=0,"",AGR_ued!H$5/H$5*1000)</f>
        <v>48.459647579010245</v>
      </c>
      <c r="I33" s="55">
        <f>IF(AGR_ued!I$5=0,"",AGR_ued!I$5/I$5*1000)</f>
        <v>44.160663522610598</v>
      </c>
      <c r="J33" s="55">
        <f>IF(AGR_ued!J$5=0,"",AGR_ued!J$5/J$5*1000)</f>
        <v>47.821210231107827</v>
      </c>
      <c r="K33" s="55">
        <f>IF(AGR_ued!K$5=0,"",AGR_ued!K$5/K$5*1000)</f>
        <v>52.832623833624424</v>
      </c>
      <c r="L33" s="55">
        <f>IF(AGR_ued!L$5=0,"",AGR_ued!L$5/L$5*1000)</f>
        <v>50.119419976840199</v>
      </c>
      <c r="M33" s="55">
        <f>IF(AGR_ued!M$5=0,"",AGR_ued!M$5/M$5*1000)</f>
        <v>45.538624924697501</v>
      </c>
      <c r="N33" s="55">
        <f>IF(AGR_ued!N$5=0,"",AGR_ued!N$5/N$5*1000)</f>
        <v>46.365199944593215</v>
      </c>
      <c r="O33" s="55">
        <f>IF(AGR_ued!O$5=0,"",AGR_ued!O$5/O$5*1000)</f>
        <v>45.905256546697188</v>
      </c>
      <c r="P33" s="55">
        <f>IF(AGR_ued!P$5=0,"",AGR_ued!P$5/P$5*1000)</f>
        <v>44.367717756904902</v>
      </c>
      <c r="Q33" s="55">
        <f>IF(AGR_ued!Q$5=0,"",AGR_ued!Q$5/Q$5*1000)</f>
        <v>44.086107960203371</v>
      </c>
      <c r="R33" s="55">
        <f>IF(AGR_ued!R$5=0,"",AGR_ued!R$5/R$5*1000)</f>
        <v>46.123567670406018</v>
      </c>
      <c r="S33" s="55">
        <f>IF(AGR_ued!S$5=0,"",AGR_ued!S$5/S$5*1000)</f>
        <v>42.212363247067714</v>
      </c>
      <c r="T33" s="55">
        <f>IF(AGR_ued!T$5=0,"",AGR_ued!T$5/T$5*1000)</f>
        <v>44.775973575866736</v>
      </c>
      <c r="U33" s="55">
        <f>IF(AGR_ued!U$5=0,"",AGR_ued!U$5/U$5*1000)</f>
        <v>44.729698435379788</v>
      </c>
      <c r="V33" s="55">
        <f>IF(AGR_ued!V$5=0,"",AGR_ued!V$5/V$5*1000)</f>
        <v>48.517237075449863</v>
      </c>
      <c r="W33" s="55">
        <f>IF(AGR_ued!W$5=0,"",AGR_ued!W$5/W$5*1000)</f>
        <v>44.98311295965452</v>
      </c>
      <c r="X33" s="55">
        <f>IF(AGR_ued!X$5=0,"",AGR_ued!X$5/X$5*1000)</f>
        <v>37.807205569814577</v>
      </c>
      <c r="Y33" s="55">
        <f>IF(AGR_ued!Y$5=0,"",AGR_ued!Y$5/Y$5*1000)</f>
        <v>39.179012123127684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2.7867268389807696</v>
      </c>
      <c r="C34" s="217">
        <f t="shared" si="33"/>
        <v>2.8932291356858371</v>
      </c>
      <c r="D34" s="217">
        <f t="shared" si="33"/>
        <v>2.8865507991240902</v>
      </c>
      <c r="E34" s="217">
        <f t="shared" si="33"/>
        <v>2.8588575116672366</v>
      </c>
      <c r="F34" s="217">
        <f t="shared" si="33"/>
        <v>2.86833475330703</v>
      </c>
      <c r="G34" s="217">
        <f t="shared" si="33"/>
        <v>2.8326537984363536</v>
      </c>
      <c r="H34" s="217">
        <f t="shared" si="33"/>
        <v>2.8318700570765554</v>
      </c>
      <c r="I34" s="217">
        <f t="shared" si="33"/>
        <v>2.7943071091693765</v>
      </c>
      <c r="J34" s="217">
        <f t="shared" si="33"/>
        <v>2.5457335411202076</v>
      </c>
      <c r="K34" s="217">
        <f t="shared" si="33"/>
        <v>2.5815967445356209</v>
      </c>
      <c r="L34" s="217">
        <f t="shared" si="33"/>
        <v>2.4842220005136868</v>
      </c>
      <c r="M34" s="217">
        <f t="shared" si="33"/>
        <v>2.4454710035834211</v>
      </c>
      <c r="N34" s="217">
        <f t="shared" si="33"/>
        <v>2.4512951281023785</v>
      </c>
      <c r="O34" s="217">
        <f t="shared" si="33"/>
        <v>2.3597869338457205</v>
      </c>
      <c r="P34" s="217">
        <f t="shared" si="33"/>
        <v>2.4382936403230722</v>
      </c>
      <c r="Q34" s="217">
        <f t="shared" si="33"/>
        <v>2.5200575409742725</v>
      </c>
      <c r="R34" s="217">
        <f t="shared" si="33"/>
        <v>2.3328429628635146</v>
      </c>
      <c r="S34" s="217">
        <f t="shared" si="33"/>
        <v>2.4620536779656161</v>
      </c>
      <c r="T34" s="217">
        <f t="shared" si="33"/>
        <v>2.4824130578908195</v>
      </c>
      <c r="U34" s="217">
        <f t="shared" si="33"/>
        <v>2.4163531058673979</v>
      </c>
      <c r="V34" s="217">
        <f t="shared" si="33"/>
        <v>2.2735677663882465</v>
      </c>
      <c r="W34" s="217">
        <f t="shared" si="33"/>
        <v>2.3937269332893476</v>
      </c>
      <c r="X34" s="217">
        <f t="shared" si="33"/>
        <v>2.510110143276961</v>
      </c>
      <c r="Y34" s="217">
        <f t="shared" si="33"/>
        <v>2.4086460169060495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313.66827171109173</v>
      </c>
      <c r="C5" s="80">
        <f t="shared" ref="C5:W5" si="1">SUM(C6:C9,C16:C17,C25:C27)</f>
        <v>275.65812553740335</v>
      </c>
      <c r="D5" s="80">
        <f t="shared" si="1"/>
        <v>279.94471195184877</v>
      </c>
      <c r="E5" s="80">
        <f t="shared" si="1"/>
        <v>283.57764402407554</v>
      </c>
      <c r="F5" s="80">
        <f t="shared" si="1"/>
        <v>276.62932072226999</v>
      </c>
      <c r="G5" s="80">
        <f t="shared" si="1"/>
        <v>304.16259673258804</v>
      </c>
      <c r="H5" s="80">
        <f t="shared" si="1"/>
        <v>295.11160791057608</v>
      </c>
      <c r="I5" s="80">
        <f t="shared" si="1"/>
        <v>266.764230438521</v>
      </c>
      <c r="J5" s="80">
        <f t="shared" si="1"/>
        <v>187.57368873602758</v>
      </c>
      <c r="K5" s="80">
        <f t="shared" si="1"/>
        <v>184.31246775580388</v>
      </c>
      <c r="L5" s="80">
        <f t="shared" si="1"/>
        <v>184.66311263972474</v>
      </c>
      <c r="M5" s="80">
        <f t="shared" si="1"/>
        <v>204.72278589853829</v>
      </c>
      <c r="N5" s="80">
        <f t="shared" si="1"/>
        <v>200.14557179707654</v>
      </c>
      <c r="O5" s="80">
        <f t="shared" si="1"/>
        <v>194.03061049011171</v>
      </c>
      <c r="P5" s="80">
        <f t="shared" si="1"/>
        <v>190.49810834049859</v>
      </c>
      <c r="Q5" s="80">
        <f t="shared" si="1"/>
        <v>185.75649183147027</v>
      </c>
      <c r="R5" s="80">
        <f t="shared" si="1"/>
        <v>185.26173688736023</v>
      </c>
      <c r="S5" s="80">
        <f t="shared" si="1"/>
        <v>177.60103181427343</v>
      </c>
      <c r="T5" s="80">
        <f t="shared" si="1"/>
        <v>185.90223559759235</v>
      </c>
      <c r="U5" s="80">
        <f t="shared" si="1"/>
        <v>196.96345657781592</v>
      </c>
      <c r="V5" s="80">
        <f t="shared" si="1"/>
        <v>195.19415305245053</v>
      </c>
      <c r="W5" s="80">
        <f t="shared" si="1"/>
        <v>203.61840068787603</v>
      </c>
      <c r="X5" s="80">
        <f t="shared" ref="X5:Y5" si="2">SUM(X6:X9,X16:X17,X25:X27)</f>
        <v>204.52820292347363</v>
      </c>
      <c r="Y5" s="80">
        <f t="shared" si="2"/>
        <v>204.44204643164221</v>
      </c>
      <c r="DA5" s="103"/>
    </row>
    <row r="6" spans="1:105" x14ac:dyDescent="0.25">
      <c r="A6" s="238" t="s">
        <v>125</v>
      </c>
      <c r="B6" s="239">
        <v>2.945266367050162</v>
      </c>
      <c r="C6" s="239">
        <v>2.7407929220519032</v>
      </c>
      <c r="D6" s="239">
        <v>2.7914949863916472</v>
      </c>
      <c r="E6" s="239">
        <v>2.9684555530766521</v>
      </c>
      <c r="F6" s="239">
        <v>2.6432970333057608</v>
      </c>
      <c r="G6" s="239">
        <v>3.1651889071431998</v>
      </c>
      <c r="H6" s="239">
        <v>3.2762330551900072</v>
      </c>
      <c r="I6" s="239">
        <v>3.530893976446591</v>
      </c>
      <c r="J6" s="239">
        <v>4.2825200292295076</v>
      </c>
      <c r="K6" s="239">
        <v>3.8665599765290288</v>
      </c>
      <c r="L6" s="239">
        <v>3.570053403403624</v>
      </c>
      <c r="M6" s="239">
        <v>4.3781014029432246</v>
      </c>
      <c r="N6" s="239">
        <v>4.1743274272949229</v>
      </c>
      <c r="O6" s="239">
        <v>3.9474347058138219</v>
      </c>
      <c r="P6" s="239">
        <v>3.7753893697651488</v>
      </c>
      <c r="Q6" s="239">
        <v>3.4699253590442942</v>
      </c>
      <c r="R6" s="239">
        <v>3.5281032780658061</v>
      </c>
      <c r="S6" s="239">
        <v>3.4811767298092469</v>
      </c>
      <c r="T6" s="239">
        <v>4.0514972490814438</v>
      </c>
      <c r="U6" s="239">
        <v>4.8421262064751067</v>
      </c>
      <c r="V6" s="239">
        <v>5.4006521152644096</v>
      </c>
      <c r="W6" s="239">
        <v>4.7364691428744861</v>
      </c>
      <c r="X6" s="239">
        <v>4.2527817547458282</v>
      </c>
      <c r="Y6" s="239">
        <v>4.801429984542791</v>
      </c>
      <c r="DA6" s="267" t="s">
        <v>995</v>
      </c>
    </row>
    <row r="7" spans="1:105" x14ac:dyDescent="0.25">
      <c r="A7" s="240" t="s">
        <v>124</v>
      </c>
      <c r="B7" s="241">
        <v>1.9144231385826049</v>
      </c>
      <c r="C7" s="241">
        <v>1.781515399333736</v>
      </c>
      <c r="D7" s="241">
        <v>1.8144717411545701</v>
      </c>
      <c r="E7" s="241">
        <v>1.9294961094998231</v>
      </c>
      <c r="F7" s="241">
        <v>1.718143071648744</v>
      </c>
      <c r="G7" s="241">
        <v>2.0573727896430789</v>
      </c>
      <c r="H7" s="241">
        <v>2.129551485873503</v>
      </c>
      <c r="I7" s="241">
        <v>2.2950810846902829</v>
      </c>
      <c r="J7" s="241">
        <v>2.7836380189991798</v>
      </c>
      <c r="K7" s="241">
        <v>2.513263984743868</v>
      </c>
      <c r="L7" s="241">
        <v>2.3205347122123561</v>
      </c>
      <c r="M7" s="241">
        <v>2.8457659119130958</v>
      </c>
      <c r="N7" s="241">
        <v>2.7133128277416989</v>
      </c>
      <c r="O7" s="241">
        <v>2.565832558778983</v>
      </c>
      <c r="P7" s="241">
        <v>2.4540030903473471</v>
      </c>
      <c r="Q7" s="241">
        <v>2.2554514833787911</v>
      </c>
      <c r="R7" s="241">
        <v>2.2932671307427732</v>
      </c>
      <c r="S7" s="241">
        <v>2.26276487437601</v>
      </c>
      <c r="T7" s="241">
        <v>2.6334732119029378</v>
      </c>
      <c r="U7" s="241">
        <v>3.1473820342088188</v>
      </c>
      <c r="V7" s="241">
        <v>3.5104238749218659</v>
      </c>
      <c r="W7" s="241">
        <v>3.0787049428684159</v>
      </c>
      <c r="X7" s="241">
        <v>2.7643081405847871</v>
      </c>
      <c r="Y7" s="241">
        <v>3.1209294899528128</v>
      </c>
      <c r="DA7" s="268" t="s">
        <v>996</v>
      </c>
    </row>
    <row r="8" spans="1:105" x14ac:dyDescent="0.25">
      <c r="A8" s="240" t="s">
        <v>123</v>
      </c>
      <c r="B8" s="241">
        <v>2.650739730345145</v>
      </c>
      <c r="C8" s="241">
        <v>2.4667136298467121</v>
      </c>
      <c r="D8" s="241">
        <v>2.5123454877524818</v>
      </c>
      <c r="E8" s="241">
        <v>2.6716099977689871</v>
      </c>
      <c r="F8" s="241">
        <v>2.3789673299751839</v>
      </c>
      <c r="G8" s="241">
        <v>2.848670016428879</v>
      </c>
      <c r="H8" s="241">
        <v>2.948609749671006</v>
      </c>
      <c r="I8" s="241">
        <v>3.1778045788019309</v>
      </c>
      <c r="J8" s="241">
        <v>3.8542680263065572</v>
      </c>
      <c r="K8" s="241">
        <v>3.4799039788761239</v>
      </c>
      <c r="L8" s="241">
        <v>3.2130480630632618</v>
      </c>
      <c r="M8" s="241">
        <v>3.9402912626489028</v>
      </c>
      <c r="N8" s="241">
        <v>3.756894684565431</v>
      </c>
      <c r="O8" s="241">
        <v>3.55269123523244</v>
      </c>
      <c r="P8" s="241">
        <v>3.3978504327886352</v>
      </c>
      <c r="Q8" s="241">
        <v>3.1229328231398639</v>
      </c>
      <c r="R8" s="241">
        <v>3.1752929502592249</v>
      </c>
      <c r="S8" s="241">
        <v>3.1330590568283219</v>
      </c>
      <c r="T8" s="241">
        <v>3.646347524173299</v>
      </c>
      <c r="U8" s="241">
        <v>4.3579135858275952</v>
      </c>
      <c r="V8" s="241">
        <v>4.8605869037379694</v>
      </c>
      <c r="W8" s="241">
        <v>4.2628222285870381</v>
      </c>
      <c r="X8" s="241">
        <v>3.827503579271244</v>
      </c>
      <c r="Y8" s="241">
        <v>4.3212869860885119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65.169572784158206</v>
      </c>
      <c r="C9" s="243">
        <f t="shared" ref="C9:W9" si="4">SUM(C10:C15)</f>
        <v>58.323721220813979</v>
      </c>
      <c r="D9" s="243">
        <f t="shared" si="4"/>
        <v>59.37350235452724</v>
      </c>
      <c r="E9" s="243">
        <f t="shared" si="4"/>
        <v>59.837914286070024</v>
      </c>
      <c r="F9" s="243">
        <f t="shared" si="4"/>
        <v>58.525509346573102</v>
      </c>
      <c r="G9" s="243">
        <f t="shared" si="4"/>
        <v>63.299349067632654</v>
      </c>
      <c r="H9" s="243">
        <f t="shared" si="4"/>
        <v>62.271591105010849</v>
      </c>
      <c r="I9" s="243">
        <f t="shared" si="4"/>
        <v>55.664244662908636</v>
      </c>
      <c r="J9" s="243">
        <f t="shared" si="4"/>
        <v>37.422526641188739</v>
      </c>
      <c r="K9" s="243">
        <f t="shared" si="4"/>
        <v>36.757038830966721</v>
      </c>
      <c r="L9" s="243">
        <f t="shared" si="4"/>
        <v>40.304329465944349</v>
      </c>
      <c r="M9" s="243">
        <f t="shared" si="4"/>
        <v>44.320828889033784</v>
      </c>
      <c r="N9" s="243">
        <f t="shared" si="4"/>
        <v>43.692976290382312</v>
      </c>
      <c r="O9" s="243">
        <f t="shared" si="4"/>
        <v>41.927221803421901</v>
      </c>
      <c r="P9" s="243">
        <f t="shared" si="4"/>
        <v>41.073632071521864</v>
      </c>
      <c r="Q9" s="243">
        <f t="shared" si="4"/>
        <v>37.465243624863447</v>
      </c>
      <c r="R9" s="243">
        <f t="shared" si="4"/>
        <v>40.265717572922306</v>
      </c>
      <c r="S9" s="243">
        <f t="shared" si="4"/>
        <v>37.992069275310556</v>
      </c>
      <c r="T9" s="243">
        <f t="shared" si="4"/>
        <v>39.40624999795704</v>
      </c>
      <c r="U9" s="243">
        <f t="shared" si="4"/>
        <v>41.028732664931105</v>
      </c>
      <c r="V9" s="243">
        <f t="shared" si="4"/>
        <v>42.103142992221009</v>
      </c>
      <c r="W9" s="243">
        <f t="shared" si="4"/>
        <v>42.063643226906791</v>
      </c>
      <c r="X9" s="243">
        <f t="shared" ref="X9:Y9" si="5">SUM(X10:X15)</f>
        <v>41.404418450642652</v>
      </c>
      <c r="Y9" s="243">
        <f t="shared" si="5"/>
        <v>41.208948255063518</v>
      </c>
      <c r="DA9" s="269"/>
    </row>
    <row r="10" spans="1:105" x14ac:dyDescent="0.25">
      <c r="A10" s="253" t="s">
        <v>166</v>
      </c>
      <c r="B10" s="254">
        <v>59.573104706237579</v>
      </c>
      <c r="C10" s="254">
        <v>52.36255363049078</v>
      </c>
      <c r="D10" s="254">
        <v>53.234989696851947</v>
      </c>
      <c r="E10" s="254">
        <v>52.761062541308469</v>
      </c>
      <c r="F10" s="254">
        <v>49.577054568320023</v>
      </c>
      <c r="G10" s="254">
        <v>51.891042837977743</v>
      </c>
      <c r="H10" s="254">
        <v>49.555895915190582</v>
      </c>
      <c r="I10" s="254">
        <v>41.920185100650023</v>
      </c>
      <c r="J10" s="254">
        <v>20.769632951921562</v>
      </c>
      <c r="K10" s="254">
        <v>24.446265014580721</v>
      </c>
      <c r="L10" s="254">
        <v>21.69906865077073</v>
      </c>
      <c r="M10" s="254">
        <v>23.025368345058101</v>
      </c>
      <c r="N10" s="254">
        <v>23.584576508205359</v>
      </c>
      <c r="O10" s="254">
        <v>23.191417580389452</v>
      </c>
      <c r="P10" s="254">
        <v>22.562827720171409</v>
      </c>
      <c r="Q10" s="254">
        <v>27.139198731634259</v>
      </c>
      <c r="R10" s="254">
        <v>20.623300617109109</v>
      </c>
      <c r="S10" s="254">
        <v>21.477291482270211</v>
      </c>
      <c r="T10" s="254">
        <v>22.892288515382241</v>
      </c>
      <c r="U10" s="254">
        <v>22.57572299211585</v>
      </c>
      <c r="V10" s="254">
        <v>18.860252909917701</v>
      </c>
      <c r="W10" s="254">
        <v>23.283444618525809</v>
      </c>
      <c r="X10" s="254">
        <v>26.531106916417421</v>
      </c>
      <c r="Y10" s="254">
        <v>25.445811385828861</v>
      </c>
      <c r="DA10" s="270" t="s">
        <v>998</v>
      </c>
    </row>
    <row r="11" spans="1:105" x14ac:dyDescent="0.25">
      <c r="A11" s="253" t="s">
        <v>169</v>
      </c>
      <c r="B11" s="255">
        <v>5.2038833173262393</v>
      </c>
      <c r="C11" s="255">
        <v>5.4346936788075348</v>
      </c>
      <c r="D11" s="255">
        <v>5.6314991968218404</v>
      </c>
      <c r="E11" s="255">
        <v>6.2938500597795306</v>
      </c>
      <c r="F11" s="255">
        <v>8.3309760575391092</v>
      </c>
      <c r="G11" s="255">
        <v>10.67268584637422</v>
      </c>
      <c r="H11" s="255">
        <v>12.19608660444819</v>
      </c>
      <c r="I11" s="255">
        <v>12.352957646697091</v>
      </c>
      <c r="J11" s="255">
        <v>13.0439977039458</v>
      </c>
      <c r="K11" s="255">
        <v>9.7366089519045023</v>
      </c>
      <c r="L11" s="255">
        <v>8.1618047014815467</v>
      </c>
      <c r="M11" s="255">
        <v>9.0596562942814423</v>
      </c>
      <c r="N11" s="255">
        <v>7.3075519653961827</v>
      </c>
      <c r="O11" s="255">
        <v>6.878480760967256</v>
      </c>
      <c r="P11" s="255">
        <v>7.278808809119127</v>
      </c>
      <c r="Q11" s="255">
        <v>5.9264025560756766</v>
      </c>
      <c r="R11" s="255">
        <v>10.178720103583069</v>
      </c>
      <c r="S11" s="255">
        <v>5.7464567982818462</v>
      </c>
      <c r="T11" s="255">
        <v>5.2738552939618764</v>
      </c>
      <c r="U11" s="255">
        <v>3.8574498186917241</v>
      </c>
      <c r="V11" s="255">
        <v>4.3089193597611883</v>
      </c>
      <c r="W11" s="255">
        <v>7.0309020176487396</v>
      </c>
      <c r="X11" s="255">
        <v>6.3539013045433022</v>
      </c>
      <c r="Y11" s="255">
        <v>5.9712326211046038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7.1625107480470962E-2</v>
      </c>
      <c r="C14" s="254">
        <v>0.2149613069642137</v>
      </c>
      <c r="D14" s="254">
        <v>0.19105760962979121</v>
      </c>
      <c r="E14" s="254">
        <v>0.40601891659410161</v>
      </c>
      <c r="F14" s="254">
        <v>0.3343938091134927</v>
      </c>
      <c r="G14" s="254">
        <v>0.31049011177922242</v>
      </c>
      <c r="H14" s="254">
        <v>4.7807394668865272E-2</v>
      </c>
      <c r="I14" s="254">
        <v>0.64488392089268232</v>
      </c>
      <c r="J14" s="254">
        <v>0.42992261392876818</v>
      </c>
      <c r="K14" s="254">
        <v>0.23886500429866581</v>
      </c>
      <c r="L14" s="254">
        <v>8.8612209801947923</v>
      </c>
      <c r="M14" s="254">
        <v>9.7926913155515223</v>
      </c>
      <c r="N14" s="254">
        <v>10.628632846070429</v>
      </c>
      <c r="O14" s="254">
        <v>9.8404127256914506</v>
      </c>
      <c r="P14" s="254">
        <v>9.3866723989472227</v>
      </c>
      <c r="Q14" s="254">
        <v>2.7466895958648871</v>
      </c>
      <c r="R14" s="254">
        <v>7.9296646603330156</v>
      </c>
      <c r="S14" s="254">
        <v>9.0472914875128261</v>
      </c>
      <c r="T14" s="254">
        <v>8.7450558899252986</v>
      </c>
      <c r="U14" s="254">
        <v>10.366380051587329</v>
      </c>
      <c r="V14" s="254">
        <v>13.09062768702475</v>
      </c>
      <c r="W14" s="254">
        <v>8.1221840068708921</v>
      </c>
      <c r="X14" s="254">
        <v>5.8852966465925833</v>
      </c>
      <c r="Y14" s="254">
        <v>5.9067927772958457</v>
      </c>
      <c r="DA14" s="270" t="s">
        <v>1002</v>
      </c>
    </row>
    <row r="15" spans="1:105" x14ac:dyDescent="0.25">
      <c r="A15" s="253" t="s">
        <v>24</v>
      </c>
      <c r="B15" s="255">
        <v>0.32095965311391511</v>
      </c>
      <c r="C15" s="255">
        <v>0.31151260455145158</v>
      </c>
      <c r="D15" s="255">
        <v>0.31595585122365522</v>
      </c>
      <c r="E15" s="255">
        <v>0.37698276838792399</v>
      </c>
      <c r="F15" s="255">
        <v>0.28308491160047361</v>
      </c>
      <c r="G15" s="255">
        <v>0.42513027150146387</v>
      </c>
      <c r="H15" s="255">
        <v>0.47180119070321308</v>
      </c>
      <c r="I15" s="255">
        <v>0.74621799466884109</v>
      </c>
      <c r="J15" s="255">
        <v>3.1789733713926118</v>
      </c>
      <c r="K15" s="255">
        <v>2.335299860182829</v>
      </c>
      <c r="L15" s="255">
        <v>1.5822351334972791</v>
      </c>
      <c r="M15" s="255">
        <v>2.4431129341427189</v>
      </c>
      <c r="N15" s="255">
        <v>2.17221497071034</v>
      </c>
      <c r="O15" s="255">
        <v>2.0169107363737431</v>
      </c>
      <c r="P15" s="255">
        <v>1.8453231432841051</v>
      </c>
      <c r="Q15" s="255">
        <v>1.6529527412886189</v>
      </c>
      <c r="R15" s="255">
        <v>1.534032191897108</v>
      </c>
      <c r="S15" s="255">
        <v>1.7210295072456721</v>
      </c>
      <c r="T15" s="255">
        <v>2.49505029868762</v>
      </c>
      <c r="U15" s="255">
        <v>4.2291798025362013</v>
      </c>
      <c r="V15" s="255">
        <v>5.8433430355173703</v>
      </c>
      <c r="W15" s="255">
        <v>3.6271125838613441</v>
      </c>
      <c r="X15" s="255">
        <v>2.6341135830893458</v>
      </c>
      <c r="Y15" s="255">
        <v>3.885111470834206</v>
      </c>
      <c r="DA15" s="271" t="s">
        <v>1003</v>
      </c>
    </row>
    <row r="16" spans="1:105" x14ac:dyDescent="0.25">
      <c r="A16" s="256" t="s">
        <v>168</v>
      </c>
      <c r="B16" s="257">
        <v>87.216490581409175</v>
      </c>
      <c r="C16" s="257">
        <v>77.783865844054048</v>
      </c>
      <c r="D16" s="257">
        <v>79.168158123194132</v>
      </c>
      <c r="E16" s="257">
        <v>79.576340469072392</v>
      </c>
      <c r="F16" s="257">
        <v>77.056464068163507</v>
      </c>
      <c r="G16" s="257">
        <v>82.980751996133137</v>
      </c>
      <c r="H16" s="257">
        <v>81.318493439560243</v>
      </c>
      <c r="I16" s="257">
        <v>72.072840600224012</v>
      </c>
      <c r="J16" s="257">
        <v>45.977180979902528</v>
      </c>
      <c r="K16" s="257">
        <v>47.007973912364292</v>
      </c>
      <c r="L16" s="257">
        <v>47.046308023965587</v>
      </c>
      <c r="M16" s="257">
        <v>51.421066876186288</v>
      </c>
      <c r="N16" s="257">
        <v>50.819663632945847</v>
      </c>
      <c r="O16" s="257">
        <v>49.130703187223418</v>
      </c>
      <c r="P16" s="257">
        <v>48.111966402416897</v>
      </c>
      <c r="Q16" s="257">
        <v>48.093336195763783</v>
      </c>
      <c r="R16" s="257">
        <v>46.70989101739292</v>
      </c>
      <c r="S16" s="257">
        <v>44.704693780185877</v>
      </c>
      <c r="T16" s="257">
        <v>46.874303453560223</v>
      </c>
      <c r="U16" s="257">
        <v>47.956413098040827</v>
      </c>
      <c r="V16" s="257">
        <v>46.114626120258087</v>
      </c>
      <c r="W16" s="257">
        <v>49.897572513309782</v>
      </c>
      <c r="X16" s="257">
        <v>51.229661136912767</v>
      </c>
      <c r="Y16" s="257">
        <v>50.616864274977942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129.79650100678964</v>
      </c>
      <c r="C17" s="257">
        <f t="shared" ref="C17:W17" si="7">SUM(C18:C24)</f>
        <v>110.89975581097721</v>
      </c>
      <c r="D17" s="257">
        <f t="shared" si="7"/>
        <v>112.23275519312236</v>
      </c>
      <c r="E17" s="257">
        <f t="shared" si="7"/>
        <v>114.02985451506312</v>
      </c>
      <c r="F17" s="257">
        <f t="shared" si="7"/>
        <v>113.02382040290993</v>
      </c>
      <c r="G17" s="257">
        <f t="shared" si="7"/>
        <v>126.11110809826462</v>
      </c>
      <c r="H17" s="257">
        <f t="shared" si="7"/>
        <v>119.51433188966479</v>
      </c>
      <c r="I17" s="257">
        <f t="shared" si="7"/>
        <v>107.5232783365738</v>
      </c>
      <c r="J17" s="257">
        <f t="shared" si="7"/>
        <v>73.926482482308373</v>
      </c>
      <c r="K17" s="257">
        <f t="shared" si="7"/>
        <v>72.181681191029753</v>
      </c>
      <c r="L17" s="257">
        <f t="shared" si="7"/>
        <v>70.421867974988558</v>
      </c>
      <c r="M17" s="257">
        <f t="shared" si="7"/>
        <v>77.209396589301619</v>
      </c>
      <c r="N17" s="257">
        <f t="shared" si="7"/>
        <v>74.995872853091328</v>
      </c>
      <c r="O17" s="257">
        <f t="shared" si="7"/>
        <v>73.794637911192638</v>
      </c>
      <c r="P17" s="257">
        <f t="shared" si="7"/>
        <v>73.190447721602439</v>
      </c>
      <c r="Q17" s="257">
        <f t="shared" si="7"/>
        <v>73.606749868957394</v>
      </c>
      <c r="R17" s="257">
        <f t="shared" si="7"/>
        <v>71.669917080327707</v>
      </c>
      <c r="S17" s="257">
        <f t="shared" si="7"/>
        <v>68.90800564323456</v>
      </c>
      <c r="T17" s="257">
        <f t="shared" si="7"/>
        <v>70.356907854501955</v>
      </c>
      <c r="U17" s="257">
        <f t="shared" si="7"/>
        <v>74.55245535011116</v>
      </c>
      <c r="V17" s="257">
        <f t="shared" si="7"/>
        <v>71.111813648019591</v>
      </c>
      <c r="W17" s="257">
        <f t="shared" si="7"/>
        <v>78.386604842196675</v>
      </c>
      <c r="X17" s="257">
        <f t="shared" ref="X17:Y17" si="8">SUM(X18:X24)</f>
        <v>80.786008240812848</v>
      </c>
      <c r="Y17" s="257">
        <f t="shared" si="8"/>
        <v>78.882631681412022</v>
      </c>
      <c r="DA17" s="272"/>
    </row>
    <row r="18" spans="1:105" x14ac:dyDescent="0.25">
      <c r="A18" s="61" t="s">
        <v>29</v>
      </c>
      <c r="B18" s="55">
        <v>0.93559759243068252</v>
      </c>
      <c r="C18" s="55">
        <v>0.75821152192394425</v>
      </c>
      <c r="D18" s="55">
        <v>2.0306964746289018</v>
      </c>
      <c r="E18" s="55">
        <v>1.1446259673229531</v>
      </c>
      <c r="F18" s="55">
        <v>2.6825451418666968</v>
      </c>
      <c r="G18" s="55">
        <v>4.7059329320607022</v>
      </c>
      <c r="H18" s="55">
        <v>6.0992261392809652</v>
      </c>
      <c r="I18" s="55">
        <v>8.0531384350572264</v>
      </c>
      <c r="J18" s="55">
        <v>6.5114359414945122</v>
      </c>
      <c r="K18" s="55">
        <v>5.0969905416745984</v>
      </c>
      <c r="L18" s="55">
        <v>3.9854686156247761</v>
      </c>
      <c r="M18" s="55">
        <v>4.8184006878623302</v>
      </c>
      <c r="N18" s="55">
        <v>4.3754084264672342</v>
      </c>
      <c r="O18" s="55">
        <v>6.687016337032091</v>
      </c>
      <c r="P18" s="55">
        <v>5.6955288047879673</v>
      </c>
      <c r="Q18" s="55">
        <v>6.774634565740298</v>
      </c>
      <c r="R18" s="55">
        <v>7.5006018916106214</v>
      </c>
      <c r="S18" s="55">
        <v>9.5053310403670466</v>
      </c>
      <c r="T18" s="55">
        <v>9.0253654341777843</v>
      </c>
      <c r="U18" s="55">
        <v>10.00421324155004</v>
      </c>
      <c r="V18" s="55">
        <v>9.4653482372778992</v>
      </c>
      <c r="W18" s="55">
        <v>9.552278589805244</v>
      </c>
      <c r="X18" s="55">
        <v>11.198968185664601</v>
      </c>
      <c r="Y18" s="55">
        <v>7.8879621667768554</v>
      </c>
      <c r="DA18" s="101" t="s">
        <v>1005</v>
      </c>
    </row>
    <row r="19" spans="1:105" x14ac:dyDescent="0.25">
      <c r="A19" s="61" t="s">
        <v>27</v>
      </c>
      <c r="B19" s="55">
        <v>1.1297506448806851</v>
      </c>
      <c r="C19" s="55">
        <v>1.129750644880779</v>
      </c>
      <c r="D19" s="55">
        <v>1.1297506448807699</v>
      </c>
      <c r="E19" s="55">
        <v>2.2595012897620612</v>
      </c>
      <c r="F19" s="55">
        <v>0</v>
      </c>
      <c r="G19" s="55">
        <v>3.7439380911344262</v>
      </c>
      <c r="H19" s="55">
        <v>2.495958727423349</v>
      </c>
      <c r="I19" s="55">
        <v>2.197420464309749</v>
      </c>
      <c r="J19" s="55">
        <v>3.296044711933618</v>
      </c>
      <c r="K19" s="55">
        <v>5.4934651762382076</v>
      </c>
      <c r="L19" s="55">
        <v>3.2960447119316632</v>
      </c>
      <c r="M19" s="55">
        <v>3.2960447119423728</v>
      </c>
      <c r="N19" s="55">
        <v>2.1974204643083879</v>
      </c>
      <c r="O19" s="55">
        <v>2.1974204643074722</v>
      </c>
      <c r="P19" s="55">
        <v>3.2960447119361271</v>
      </c>
      <c r="Q19" s="55">
        <v>2.197420464304142</v>
      </c>
      <c r="R19" s="55">
        <v>2.1974204643021018</v>
      </c>
      <c r="S19" s="55">
        <v>2.5973344797811562</v>
      </c>
      <c r="T19" s="55">
        <v>2.8620808254374479</v>
      </c>
      <c r="U19" s="55">
        <v>2.3665520206205608</v>
      </c>
      <c r="V19" s="55">
        <v>1.9062768701554389</v>
      </c>
      <c r="W19" s="55">
        <v>1.8798796216585389</v>
      </c>
      <c r="X19" s="55">
        <v>1.7722269991303481</v>
      </c>
      <c r="Y19" s="55">
        <v>1.692003439373807</v>
      </c>
      <c r="DA19" s="101" t="s">
        <v>1006</v>
      </c>
    </row>
    <row r="20" spans="1:105" x14ac:dyDescent="0.25">
      <c r="A20" s="61" t="s">
        <v>166</v>
      </c>
      <c r="B20" s="55">
        <v>88.075190859072364</v>
      </c>
      <c r="C20" s="55">
        <v>85.990167460632748</v>
      </c>
      <c r="D20" s="55">
        <v>88.602603487186627</v>
      </c>
      <c r="E20" s="55">
        <v>86.535828392639942</v>
      </c>
      <c r="F20" s="55">
        <v>78.345424147587352</v>
      </c>
      <c r="G20" s="55">
        <v>77.18508371262304</v>
      </c>
      <c r="H20" s="55">
        <v>80.499584444355307</v>
      </c>
      <c r="I20" s="55">
        <v>68.159297032431439</v>
      </c>
      <c r="J20" s="55">
        <v>34.542965139202501</v>
      </c>
      <c r="K20" s="55">
        <v>40.750964261787743</v>
      </c>
      <c r="L20" s="55">
        <v>43.452460294890493</v>
      </c>
      <c r="M20" s="55">
        <v>47.01393680457489</v>
      </c>
      <c r="N20" s="55">
        <v>49.19233281515438</v>
      </c>
      <c r="O20" s="55">
        <v>45.806738620695711</v>
      </c>
      <c r="P20" s="55">
        <v>43.338903994336768</v>
      </c>
      <c r="Q20" s="55">
        <v>43.836333852559477</v>
      </c>
      <c r="R20" s="55">
        <v>39.877699952855693</v>
      </c>
      <c r="S20" s="55">
        <v>39.574496835478818</v>
      </c>
      <c r="T20" s="55">
        <v>44.435406312829549</v>
      </c>
      <c r="U20" s="55">
        <v>42.526414197391823</v>
      </c>
      <c r="V20" s="55">
        <v>41.041025355280603</v>
      </c>
      <c r="W20" s="55">
        <v>42.024299637337243</v>
      </c>
      <c r="X20" s="55">
        <v>43.442403096735497</v>
      </c>
      <c r="Y20" s="55">
        <v>44.075102479795177</v>
      </c>
      <c r="DA20" s="101" t="s">
        <v>1007</v>
      </c>
    </row>
    <row r="21" spans="1:105" x14ac:dyDescent="0.25">
      <c r="A21" s="61" t="s">
        <v>129</v>
      </c>
      <c r="B21" s="55">
        <v>17.368873602701761</v>
      </c>
      <c r="C21" s="55">
        <v>12.54419604467706</v>
      </c>
      <c r="D21" s="55">
        <v>8.6844368013515307</v>
      </c>
      <c r="E21" s="55">
        <v>10.614273430755309</v>
      </c>
      <c r="F21" s="55">
        <v>15.43903697330011</v>
      </c>
      <c r="G21" s="55">
        <v>19.298710232110949</v>
      </c>
      <c r="H21" s="55">
        <v>7.5985382630952438</v>
      </c>
      <c r="I21" s="55">
        <v>6.6877042132213047</v>
      </c>
      <c r="J21" s="55">
        <v>5.7323301805357936</v>
      </c>
      <c r="K21" s="55">
        <v>0.95537403266888998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7.4548581255015761E-2</v>
      </c>
      <c r="T21" s="55">
        <v>8.5038693034838547E-2</v>
      </c>
      <c r="U21" s="55">
        <v>8.754428202865304</v>
      </c>
      <c r="V21" s="55">
        <v>6.3654342218135822</v>
      </c>
      <c r="W21" s="55">
        <v>9.2004299225671371</v>
      </c>
      <c r="X21" s="55">
        <v>10.62949269125675</v>
      </c>
      <c r="Y21" s="55">
        <v>10.56242476349821</v>
      </c>
      <c r="DA21" s="101" t="s">
        <v>1008</v>
      </c>
    </row>
    <row r="22" spans="1:105" x14ac:dyDescent="0.25">
      <c r="A22" s="61" t="s">
        <v>169</v>
      </c>
      <c r="B22" s="55">
        <v>7.6936231314776764</v>
      </c>
      <c r="C22" s="55">
        <v>8.9248935954448037</v>
      </c>
      <c r="D22" s="55">
        <v>9.3728860138000893</v>
      </c>
      <c r="E22" s="55">
        <v>10.32283093760039</v>
      </c>
      <c r="F22" s="55">
        <v>13.165240623398621</v>
      </c>
      <c r="G22" s="55">
        <v>15.87503556371048</v>
      </c>
      <c r="H22" s="55">
        <v>19.81156601801035</v>
      </c>
      <c r="I22" s="55">
        <v>20.08504751228346</v>
      </c>
      <c r="J22" s="55">
        <v>21.694093439506378</v>
      </c>
      <c r="K22" s="55">
        <v>16.230544960279619</v>
      </c>
      <c r="L22" s="55">
        <v>16.344042245941299</v>
      </c>
      <c r="M22" s="55">
        <v>18.49829727401228</v>
      </c>
      <c r="N22" s="55">
        <v>15.24197511966087</v>
      </c>
      <c r="O22" s="55">
        <v>13.58609361557709</v>
      </c>
      <c r="P22" s="55">
        <v>13.981208387702489</v>
      </c>
      <c r="Q22" s="55">
        <v>9.572565629580442</v>
      </c>
      <c r="R22" s="55">
        <v>19.68181300029384</v>
      </c>
      <c r="S22" s="55">
        <v>10.5885389024288</v>
      </c>
      <c r="T22" s="55">
        <v>10.236892771327639</v>
      </c>
      <c r="U22" s="55">
        <v>7.2663678940704299</v>
      </c>
      <c r="V22" s="55">
        <v>9.3764632713289586</v>
      </c>
      <c r="W22" s="55">
        <v>12.69007820583967</v>
      </c>
      <c r="X22" s="55">
        <v>10.40396627922212</v>
      </c>
      <c r="Y22" s="55">
        <v>10.34286884058457</v>
      </c>
      <c r="DA22" s="101" t="s">
        <v>1009</v>
      </c>
    </row>
    <row r="23" spans="1:105" x14ac:dyDescent="0.25">
      <c r="A23" s="61" t="s">
        <v>164</v>
      </c>
      <c r="B23" s="55">
        <v>14.593465176226481</v>
      </c>
      <c r="C23" s="55">
        <v>1.552536543417866</v>
      </c>
      <c r="D23" s="55">
        <v>2.4123817712744411</v>
      </c>
      <c r="E23" s="55">
        <v>3.152794496982477</v>
      </c>
      <c r="F23" s="55">
        <v>3.3915735167571648</v>
      </c>
      <c r="G23" s="55">
        <v>5.3024075666250203</v>
      </c>
      <c r="H23" s="55">
        <v>3.009458297499561</v>
      </c>
      <c r="I23" s="55">
        <v>2.3406706792706209</v>
      </c>
      <c r="J23" s="55">
        <v>2.1496130696355742</v>
      </c>
      <c r="K23" s="55">
        <v>3.6543422183806888</v>
      </c>
      <c r="L23" s="55">
        <v>3.3438521066003291</v>
      </c>
      <c r="M23" s="55">
        <v>3.5827171109097349</v>
      </c>
      <c r="N23" s="55">
        <v>3.9887360275004609</v>
      </c>
      <c r="O23" s="55">
        <v>5.5173688735802786</v>
      </c>
      <c r="P23" s="55">
        <v>6.8787618228390759</v>
      </c>
      <c r="Q23" s="55">
        <v>11.22579535677303</v>
      </c>
      <c r="R23" s="55">
        <v>2.4123817712654492</v>
      </c>
      <c r="S23" s="55">
        <v>6.5677558039237249</v>
      </c>
      <c r="T23" s="55">
        <v>3.7121238176946911</v>
      </c>
      <c r="U23" s="55">
        <v>3.634479793612996</v>
      </c>
      <c r="V23" s="55">
        <v>2.9572656921631029</v>
      </c>
      <c r="W23" s="55">
        <v>3.0396388649888402</v>
      </c>
      <c r="X23" s="55">
        <v>3.338950988803536</v>
      </c>
      <c r="Y23" s="55">
        <v>4.3222699913834006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1011</v>
      </c>
    </row>
    <row r="25" spans="1:105" x14ac:dyDescent="0.25">
      <c r="A25" s="256" t="s">
        <v>167</v>
      </c>
      <c r="B25" s="257">
        <v>16.759375503483909</v>
      </c>
      <c r="C25" s="257">
        <v>14.94681805129856</v>
      </c>
      <c r="D25" s="257">
        <v>15.212821349046781</v>
      </c>
      <c r="E25" s="257">
        <v>15.291256988486801</v>
      </c>
      <c r="F25" s="257">
        <v>14.80704173809467</v>
      </c>
      <c r="G25" s="257">
        <v>15.945443034841681</v>
      </c>
      <c r="H25" s="257">
        <v>15.62602620039017</v>
      </c>
      <c r="I25" s="257">
        <v>13.849396956581581</v>
      </c>
      <c r="J25" s="257">
        <v>8.8348984864804052</v>
      </c>
      <c r="K25" s="257">
        <v>9.0329739387979782</v>
      </c>
      <c r="L25" s="257">
        <v>9.0403401578081173</v>
      </c>
      <c r="M25" s="257">
        <v>9.8809865293004489</v>
      </c>
      <c r="N25" s="257">
        <v>9.7654218841824338</v>
      </c>
      <c r="O25" s="257">
        <v>9.4408740592046296</v>
      </c>
      <c r="P25" s="257">
        <v>9.2451152961316332</v>
      </c>
      <c r="Q25" s="257">
        <v>9.2415353466642074</v>
      </c>
      <c r="R25" s="257">
        <v>8.9756948263882901</v>
      </c>
      <c r="S25" s="257">
        <v>8.5903794664962003</v>
      </c>
      <c r="T25" s="257">
        <v>9.0072880461659004</v>
      </c>
      <c r="U25" s="257">
        <v>9.2152244323572781</v>
      </c>
      <c r="V25" s="257">
        <v>8.8613097156297584</v>
      </c>
      <c r="W25" s="257">
        <v>9.5882343910903565</v>
      </c>
      <c r="X25" s="257">
        <v>9.8442063213762125</v>
      </c>
      <c r="Y25" s="257">
        <v>9.7264522974747809</v>
      </c>
      <c r="DA25" s="272" t="s">
        <v>1012</v>
      </c>
    </row>
    <row r="26" spans="1:105" x14ac:dyDescent="0.25">
      <c r="A26" s="256" t="s">
        <v>170</v>
      </c>
      <c r="B26" s="257">
        <v>2.945266367050162</v>
      </c>
      <c r="C26" s="257">
        <v>2.7407929220519032</v>
      </c>
      <c r="D26" s="257">
        <v>2.7914949863916472</v>
      </c>
      <c r="E26" s="257">
        <v>2.9684555530766521</v>
      </c>
      <c r="F26" s="257">
        <v>2.6432970333057608</v>
      </c>
      <c r="G26" s="257">
        <v>3.1651889071431998</v>
      </c>
      <c r="H26" s="257">
        <v>3.2762330551900072</v>
      </c>
      <c r="I26" s="257">
        <v>3.530893976446591</v>
      </c>
      <c r="J26" s="257">
        <v>4.2825200292295076</v>
      </c>
      <c r="K26" s="257">
        <v>3.8665599765290288</v>
      </c>
      <c r="L26" s="257">
        <v>3.570053403403624</v>
      </c>
      <c r="M26" s="257">
        <v>4.3781014029432246</v>
      </c>
      <c r="N26" s="257">
        <v>4.1743274272949229</v>
      </c>
      <c r="O26" s="257">
        <v>3.9474347058138219</v>
      </c>
      <c r="P26" s="257">
        <v>3.7753893697651488</v>
      </c>
      <c r="Q26" s="257">
        <v>3.4699253590442942</v>
      </c>
      <c r="R26" s="257">
        <v>3.5281032780658061</v>
      </c>
      <c r="S26" s="257">
        <v>3.4811767298092469</v>
      </c>
      <c r="T26" s="257">
        <v>4.0514972490814438</v>
      </c>
      <c r="U26" s="257">
        <v>4.8421262064751067</v>
      </c>
      <c r="V26" s="257">
        <v>5.4006521152644096</v>
      </c>
      <c r="W26" s="257">
        <v>4.7364691428744861</v>
      </c>
      <c r="X26" s="257">
        <v>4.2527817547458282</v>
      </c>
      <c r="Y26" s="257">
        <v>4.801429984542791</v>
      </c>
      <c r="DA26" s="272" t="s">
        <v>1013</v>
      </c>
    </row>
    <row r="27" spans="1:105" x14ac:dyDescent="0.25">
      <c r="A27" s="128" t="s">
        <v>33</v>
      </c>
      <c r="B27" s="258">
        <v>4.270636232222734</v>
      </c>
      <c r="C27" s="258">
        <v>3.9741497369752579</v>
      </c>
      <c r="D27" s="258">
        <v>4.0476677302678876</v>
      </c>
      <c r="E27" s="258">
        <v>4.3042605519611454</v>
      </c>
      <c r="F27" s="258">
        <v>3.832780698293353</v>
      </c>
      <c r="G27" s="258">
        <v>4.5895239153576393</v>
      </c>
      <c r="H27" s="258">
        <v>4.7505379300255104</v>
      </c>
      <c r="I27" s="258">
        <v>5.1197962658475564</v>
      </c>
      <c r="J27" s="258">
        <v>6.2096540423827902</v>
      </c>
      <c r="K27" s="258">
        <v>5.6065119659670923</v>
      </c>
      <c r="L27" s="258">
        <v>5.1765774349352549</v>
      </c>
      <c r="M27" s="258">
        <v>6.3482470342676791</v>
      </c>
      <c r="N27" s="258">
        <v>6.0527747695776366</v>
      </c>
      <c r="O27" s="258">
        <v>5.7237803234300406</v>
      </c>
      <c r="P27" s="258">
        <v>5.4743145861594673</v>
      </c>
      <c r="Q27" s="258">
        <v>5.0313917706142259</v>
      </c>
      <c r="R27" s="258">
        <v>5.1157497531954181</v>
      </c>
      <c r="S27" s="258">
        <v>5.0477062582234069</v>
      </c>
      <c r="T27" s="258">
        <v>5.8746710111680942</v>
      </c>
      <c r="U27" s="258">
        <v>7.0210829993889057</v>
      </c>
      <c r="V27" s="258">
        <v>7.8309455671333943</v>
      </c>
      <c r="W27" s="258">
        <v>6.8678802571680064</v>
      </c>
      <c r="X27" s="258">
        <v>6.1665335443814513</v>
      </c>
      <c r="Y27" s="258">
        <v>6.9620734775870456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1.0000000000000002</v>
      </c>
      <c r="C31" s="235">
        <f t="shared" si="9"/>
        <v>0.99999999999999989</v>
      </c>
      <c r="D31" s="235">
        <f t="shared" si="9"/>
        <v>1</v>
      </c>
      <c r="E31" s="235">
        <f t="shared" si="9"/>
        <v>1.0000000000000002</v>
      </c>
      <c r="F31" s="235">
        <f t="shared" si="9"/>
        <v>1</v>
      </c>
      <c r="G31" s="235">
        <f t="shared" si="9"/>
        <v>1.0000000000000002</v>
      </c>
      <c r="H31" s="235">
        <f t="shared" si="9"/>
        <v>1</v>
      </c>
      <c r="I31" s="235">
        <f t="shared" si="9"/>
        <v>1</v>
      </c>
      <c r="J31" s="235">
        <f t="shared" si="9"/>
        <v>1.0000000000000002</v>
      </c>
      <c r="K31" s="235">
        <f t="shared" si="9"/>
        <v>1.0000000000000002</v>
      </c>
      <c r="L31" s="235">
        <f t="shared" si="9"/>
        <v>1</v>
      </c>
      <c r="M31" s="235">
        <f t="shared" si="9"/>
        <v>0.99999999999999989</v>
      </c>
      <c r="N31" s="235">
        <f t="shared" si="9"/>
        <v>1</v>
      </c>
      <c r="O31" s="235">
        <f t="shared" si="9"/>
        <v>1</v>
      </c>
      <c r="P31" s="235">
        <f t="shared" si="9"/>
        <v>1</v>
      </c>
      <c r="Q31" s="235">
        <f t="shared" si="9"/>
        <v>1.0000000000000002</v>
      </c>
      <c r="R31" s="235">
        <f t="shared" ref="R31:W31" si="10">SUM(R32:R40)</f>
        <v>1</v>
      </c>
      <c r="S31" s="235">
        <f t="shared" si="10"/>
        <v>1</v>
      </c>
      <c r="T31" s="235">
        <f t="shared" si="10"/>
        <v>0.99999999999999978</v>
      </c>
      <c r="U31" s="235">
        <f t="shared" si="10"/>
        <v>0.99999999999999978</v>
      </c>
      <c r="V31" s="235">
        <f t="shared" si="10"/>
        <v>0.99999999999999989</v>
      </c>
      <c r="W31" s="235">
        <f t="shared" si="10"/>
        <v>1</v>
      </c>
      <c r="X31" s="235">
        <f t="shared" ref="X31:Y31" si="11">SUM(X32:X40)</f>
        <v>0.99999999999999989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9.3897490842265938E-3</v>
      </c>
      <c r="C32" s="244">
        <f t="shared" si="12"/>
        <v>9.9427249485523044E-3</v>
      </c>
      <c r="D32" s="244">
        <f t="shared" si="12"/>
        <v>9.9715939155578387E-3</v>
      </c>
      <c r="E32" s="244">
        <f t="shared" si="12"/>
        <v>1.0467875785104669E-2</v>
      </c>
      <c r="F32" s="244">
        <f t="shared" si="12"/>
        <v>9.5553754981727891E-3</v>
      </c>
      <c r="G32" s="244">
        <f t="shared" si="12"/>
        <v>1.0406239758420897E-2</v>
      </c>
      <c r="H32" s="244">
        <f t="shared" si="12"/>
        <v>1.1101674645691208E-2</v>
      </c>
      <c r="I32" s="244">
        <f t="shared" si="12"/>
        <v>1.3236009830262185E-2</v>
      </c>
      <c r="J32" s="244">
        <f t="shared" si="12"/>
        <v>2.2831134036374885E-2</v>
      </c>
      <c r="K32" s="244">
        <f t="shared" si="12"/>
        <v>2.0978287706786312E-2</v>
      </c>
      <c r="L32" s="244">
        <f t="shared" si="12"/>
        <v>1.9332791223814962E-2</v>
      </c>
      <c r="M32" s="244">
        <f t="shared" si="12"/>
        <v>2.1385511064279064E-2</v>
      </c>
      <c r="N32" s="244">
        <f t="shared" si="12"/>
        <v>2.085645657715169E-2</v>
      </c>
      <c r="O32" s="244">
        <f t="shared" si="12"/>
        <v>2.034439151555931E-2</v>
      </c>
      <c r="P32" s="244">
        <f t="shared" si="12"/>
        <v>1.9818513698923314E-2</v>
      </c>
      <c r="Q32" s="244">
        <f t="shared" si="12"/>
        <v>1.8679968192941671E-2</v>
      </c>
      <c r="R32" s="244">
        <f t="shared" si="12"/>
        <v>1.9043885355619357E-2</v>
      </c>
      <c r="S32" s="244">
        <f t="shared" si="12"/>
        <v>1.9601106447679276E-2</v>
      </c>
      <c r="T32" s="244">
        <f t="shared" si="12"/>
        <v>2.1793698370854424E-2</v>
      </c>
      <c r="U32" s="244">
        <f t="shared" si="12"/>
        <v>2.4583881145293009E-2</v>
      </c>
      <c r="V32" s="244">
        <f t="shared" si="12"/>
        <v>2.7668103940660573E-2</v>
      </c>
      <c r="W32" s="244">
        <f t="shared" si="12"/>
        <v>2.3261498601665952E-2</v>
      </c>
      <c r="X32" s="244">
        <f t="shared" si="12"/>
        <v>2.0793131186592644E-2</v>
      </c>
      <c r="Y32" s="244">
        <f t="shared" si="12"/>
        <v>2.3485530830607344E-2</v>
      </c>
      <c r="DA32" s="275"/>
    </row>
    <row r="33" spans="1:105" x14ac:dyDescent="0.25">
      <c r="A33" s="240" t="s">
        <v>124</v>
      </c>
      <c r="B33" s="245">
        <f t="shared" ref="B33:Y33" si="13">IF(B$7=0,0,B$7/B$5)</f>
        <v>6.1033369047472849E-3</v>
      </c>
      <c r="C33" s="245">
        <f t="shared" si="13"/>
        <v>6.4627712165589938E-3</v>
      </c>
      <c r="D33" s="245">
        <f t="shared" si="13"/>
        <v>6.4815360451125938E-3</v>
      </c>
      <c r="E33" s="245">
        <f t="shared" si="13"/>
        <v>6.8041192603180319E-3</v>
      </c>
      <c r="F33" s="245">
        <f t="shared" si="13"/>
        <v>6.2109940738123105E-3</v>
      </c>
      <c r="G33" s="245">
        <f t="shared" si="13"/>
        <v>6.7640558429735804E-3</v>
      </c>
      <c r="H33" s="245">
        <f t="shared" si="13"/>
        <v>7.2160885196992791E-3</v>
      </c>
      <c r="I33" s="245">
        <f t="shared" si="13"/>
        <v>8.6034063896704167E-3</v>
      </c>
      <c r="J33" s="245">
        <f t="shared" si="13"/>
        <v>1.4840237123643674E-2</v>
      </c>
      <c r="K33" s="245">
        <f t="shared" si="13"/>
        <v>1.3635887009411098E-2</v>
      </c>
      <c r="L33" s="245">
        <f t="shared" si="13"/>
        <v>1.2566314295479726E-2</v>
      </c>
      <c r="M33" s="245">
        <f t="shared" si="13"/>
        <v>1.3900582191781391E-2</v>
      </c>
      <c r="N33" s="245">
        <f t="shared" si="13"/>
        <v>1.3556696775148595E-2</v>
      </c>
      <c r="O33" s="245">
        <f t="shared" si="13"/>
        <v>1.3223854485113545E-2</v>
      </c>
      <c r="P33" s="245">
        <f t="shared" si="13"/>
        <v>1.2882033904300155E-2</v>
      </c>
      <c r="Q33" s="245">
        <f t="shared" si="13"/>
        <v>1.2141979325412087E-2</v>
      </c>
      <c r="R33" s="245">
        <f t="shared" si="13"/>
        <v>1.2378525481152579E-2</v>
      </c>
      <c r="S33" s="245">
        <f t="shared" si="13"/>
        <v>1.2740719190991526E-2</v>
      </c>
      <c r="T33" s="245">
        <f t="shared" si="13"/>
        <v>1.4165903941055373E-2</v>
      </c>
      <c r="U33" s="245">
        <f t="shared" si="13"/>
        <v>1.5979522744440453E-2</v>
      </c>
      <c r="V33" s="245">
        <f t="shared" si="13"/>
        <v>1.798426756142937E-2</v>
      </c>
      <c r="W33" s="245">
        <f t="shared" si="13"/>
        <v>1.511997409108287E-2</v>
      </c>
      <c r="X33" s="245">
        <f t="shared" si="13"/>
        <v>1.3515535271285212E-2</v>
      </c>
      <c r="Y33" s="245">
        <f t="shared" si="13"/>
        <v>1.5265595039894766E-2</v>
      </c>
      <c r="DA33" s="276"/>
    </row>
    <row r="34" spans="1:105" x14ac:dyDescent="0.25">
      <c r="A34" s="240" t="s">
        <v>123</v>
      </c>
      <c r="B34" s="245">
        <f t="shared" ref="B34:Y34" si="14">IF(B$8=0,0,B$8/B$5)</f>
        <v>8.4507741758039316E-3</v>
      </c>
      <c r="C34" s="245">
        <f t="shared" si="14"/>
        <v>8.9484524536970703E-3</v>
      </c>
      <c r="D34" s="245">
        <f t="shared" si="14"/>
        <v>8.9744345240020534E-3</v>
      </c>
      <c r="E34" s="245">
        <f t="shared" si="14"/>
        <v>9.4210882065942029E-3</v>
      </c>
      <c r="F34" s="245">
        <f t="shared" si="14"/>
        <v>8.599837948355506E-3</v>
      </c>
      <c r="G34" s="245">
        <f t="shared" si="14"/>
        <v>9.3656157825788046E-3</v>
      </c>
      <c r="H34" s="245">
        <f t="shared" si="14"/>
        <v>9.9915071811220845E-3</v>
      </c>
      <c r="I34" s="245">
        <f t="shared" si="14"/>
        <v>1.1912408847235963E-2</v>
      </c>
      <c r="J34" s="245">
        <f t="shared" si="14"/>
        <v>2.0548020632737397E-2</v>
      </c>
      <c r="K34" s="245">
        <f t="shared" si="14"/>
        <v>1.888045893610767E-2</v>
      </c>
      <c r="L34" s="245">
        <f t="shared" si="14"/>
        <v>1.7399512101433465E-2</v>
      </c>
      <c r="M34" s="245">
        <f t="shared" si="14"/>
        <v>1.924695995785116E-2</v>
      </c>
      <c r="N34" s="245">
        <f t="shared" si="14"/>
        <v>1.8770810919436522E-2</v>
      </c>
      <c r="O34" s="245">
        <f t="shared" si="14"/>
        <v>1.830995236400338E-2</v>
      </c>
      <c r="P34" s="245">
        <f t="shared" si="14"/>
        <v>1.783666232903099E-2</v>
      </c>
      <c r="Q34" s="245">
        <f t="shared" si="14"/>
        <v>1.68119713736475E-2</v>
      </c>
      <c r="R34" s="245">
        <f t="shared" si="14"/>
        <v>1.7139496820057418E-2</v>
      </c>
      <c r="S34" s="245">
        <f t="shared" si="14"/>
        <v>1.7640995802911345E-2</v>
      </c>
      <c r="T34" s="245">
        <f t="shared" si="14"/>
        <v>1.9614328533768981E-2</v>
      </c>
      <c r="U34" s="245">
        <f t="shared" si="14"/>
        <v>2.2125493030763704E-2</v>
      </c>
      <c r="V34" s="245">
        <f t="shared" si="14"/>
        <v>2.4901293546594521E-2</v>
      </c>
      <c r="W34" s="245">
        <f t="shared" si="14"/>
        <v>2.0935348741499361E-2</v>
      </c>
      <c r="X34" s="245">
        <f t="shared" si="14"/>
        <v>1.8713818067933371E-2</v>
      </c>
      <c r="Y34" s="245">
        <f t="shared" si="14"/>
        <v>2.1136977747546609E-2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0.2077659064101437</v>
      </c>
      <c r="C35" s="246">
        <f t="shared" si="15"/>
        <v>0.21157990937909132</v>
      </c>
      <c r="D35" s="246">
        <f t="shared" si="15"/>
        <v>0.21209010143667095</v>
      </c>
      <c r="E35" s="246">
        <f t="shared" si="15"/>
        <v>0.21101068983064769</v>
      </c>
      <c r="F35" s="246">
        <f t="shared" si="15"/>
        <v>0.21156654397214633</v>
      </c>
      <c r="G35" s="246">
        <f t="shared" si="15"/>
        <v>0.20811023363034942</v>
      </c>
      <c r="H35" s="246">
        <f t="shared" si="15"/>
        <v>0.21101030740844398</v>
      </c>
      <c r="I35" s="246">
        <f t="shared" si="15"/>
        <v>0.20866457459984361</v>
      </c>
      <c r="J35" s="246">
        <f t="shared" si="15"/>
        <v>0.19950840063636779</v>
      </c>
      <c r="K35" s="246">
        <f t="shared" si="15"/>
        <v>0.19942784814571649</v>
      </c>
      <c r="L35" s="246">
        <f t="shared" si="15"/>
        <v>0.2182586922195856</v>
      </c>
      <c r="M35" s="246">
        <f t="shared" si="15"/>
        <v>0.21649191952184269</v>
      </c>
      <c r="N35" s="246">
        <f t="shared" si="15"/>
        <v>0.21830598547881797</v>
      </c>
      <c r="O35" s="246">
        <f t="shared" si="15"/>
        <v>0.21608560472760363</v>
      </c>
      <c r="P35" s="246">
        <f t="shared" si="15"/>
        <v>0.21561175819187856</v>
      </c>
      <c r="Q35" s="246">
        <f t="shared" si="15"/>
        <v>0.20169009037301491</v>
      </c>
      <c r="R35" s="246">
        <f t="shared" si="15"/>
        <v>0.21734502898137029</v>
      </c>
      <c r="S35" s="246">
        <f t="shared" si="15"/>
        <v>0.21391806616889944</v>
      </c>
      <c r="T35" s="246">
        <f t="shared" si="15"/>
        <v>0.21197297531836351</v>
      </c>
      <c r="U35" s="246">
        <f t="shared" si="15"/>
        <v>0.20830631924212581</v>
      </c>
      <c r="V35" s="246">
        <f t="shared" si="15"/>
        <v>0.21569879186344015</v>
      </c>
      <c r="W35" s="246">
        <f t="shared" si="15"/>
        <v>0.20658075637960441</v>
      </c>
      <c r="X35" s="246">
        <f t="shared" si="15"/>
        <v>0.20243867524780701</v>
      </c>
      <c r="Y35" s="246">
        <f t="shared" si="15"/>
        <v>0.20156787204163626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0.27805327617496828</v>
      </c>
      <c r="C36" s="259">
        <f t="shared" si="16"/>
        <v>0.28217512432260866</v>
      </c>
      <c r="D36" s="259">
        <f t="shared" si="16"/>
        <v>0.28279926265158839</v>
      </c>
      <c r="E36" s="259">
        <f t="shared" si="16"/>
        <v>0.28061570489074383</v>
      </c>
      <c r="F36" s="259">
        <f t="shared" si="16"/>
        <v>0.2785549408391404</v>
      </c>
      <c r="G36" s="259">
        <f t="shared" si="16"/>
        <v>0.27281708167782276</v>
      </c>
      <c r="H36" s="259">
        <f t="shared" si="16"/>
        <v>0.27555165998147096</v>
      </c>
      <c r="I36" s="259">
        <f t="shared" si="16"/>
        <v>0.27017430515982938</v>
      </c>
      <c r="J36" s="259">
        <f t="shared" si="16"/>
        <v>0.24511529996409148</v>
      </c>
      <c r="K36" s="259">
        <f t="shared" si="16"/>
        <v>0.25504500311202655</v>
      </c>
      <c r="L36" s="259">
        <f t="shared" si="16"/>
        <v>0.25476830402914469</v>
      </c>
      <c r="M36" s="259">
        <f t="shared" si="16"/>
        <v>0.25117412627273861</v>
      </c>
      <c r="N36" s="259">
        <f t="shared" si="16"/>
        <v>0.25391350493864961</v>
      </c>
      <c r="O36" s="259">
        <f t="shared" si="16"/>
        <v>0.25321109418313786</v>
      </c>
      <c r="P36" s="259">
        <f t="shared" si="16"/>
        <v>0.25255876198214522</v>
      </c>
      <c r="Q36" s="259">
        <f t="shared" si="16"/>
        <v>0.25890527820366577</v>
      </c>
      <c r="R36" s="259">
        <f t="shared" si="16"/>
        <v>0.25212918653457672</v>
      </c>
      <c r="S36" s="259">
        <f t="shared" si="16"/>
        <v>0.25171415573157191</v>
      </c>
      <c r="T36" s="259">
        <f t="shared" si="16"/>
        <v>0.25214491532541472</v>
      </c>
      <c r="U36" s="259">
        <f t="shared" si="16"/>
        <v>0.24347873423461325</v>
      </c>
      <c r="V36" s="259">
        <f t="shared" si="16"/>
        <v>0.23625003822664015</v>
      </c>
      <c r="W36" s="259">
        <f t="shared" si="16"/>
        <v>0.24505433862923379</v>
      </c>
      <c r="X36" s="259">
        <f t="shared" si="16"/>
        <v>0.25047724668113808</v>
      </c>
      <c r="Y36" s="259">
        <f t="shared" si="16"/>
        <v>0.24758539233220958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0.41380181775713804</v>
      </c>
      <c r="C37" s="259">
        <f t="shared" si="17"/>
        <v>0.40230903984700245</v>
      </c>
      <c r="D37" s="259">
        <f t="shared" si="17"/>
        <v>0.40091043124410469</v>
      </c>
      <c r="E37" s="259">
        <f t="shared" si="17"/>
        <v>0.40211158008415526</v>
      </c>
      <c r="F37" s="259">
        <f t="shared" si="17"/>
        <v>0.40857498441527629</v>
      </c>
      <c r="G37" s="259">
        <f t="shared" si="17"/>
        <v>0.41461741007273906</v>
      </c>
      <c r="H37" s="259">
        <f t="shared" si="17"/>
        <v>0.40498011154437441</v>
      </c>
      <c r="I37" s="259">
        <f t="shared" si="17"/>
        <v>0.4030648267941373</v>
      </c>
      <c r="J37" s="259">
        <f t="shared" si="17"/>
        <v>0.39411968160601191</v>
      </c>
      <c r="K37" s="259">
        <f t="shared" si="17"/>
        <v>0.39162668738537793</v>
      </c>
      <c r="L37" s="259">
        <f t="shared" si="17"/>
        <v>0.38135319484395713</v>
      </c>
      <c r="M37" s="259">
        <f t="shared" si="17"/>
        <v>0.3771411973045688</v>
      </c>
      <c r="N37" s="259">
        <f t="shared" si="17"/>
        <v>0.37470663067743559</v>
      </c>
      <c r="O37" s="259">
        <f t="shared" si="17"/>
        <v>0.38032472157249331</v>
      </c>
      <c r="P37" s="259">
        <f t="shared" si="17"/>
        <v>0.38420564046116912</v>
      </c>
      <c r="Q37" s="259">
        <f t="shared" si="17"/>
        <v>0.39625398360633324</v>
      </c>
      <c r="R37" s="259">
        <f t="shared" si="17"/>
        <v>0.3868576333379799</v>
      </c>
      <c r="S37" s="259">
        <f t="shared" si="17"/>
        <v>0.38799327312070586</v>
      </c>
      <c r="T37" s="259">
        <f t="shared" si="17"/>
        <v>0.37846187071573417</v>
      </c>
      <c r="U37" s="259">
        <f t="shared" si="17"/>
        <v>0.37850907292874975</v>
      </c>
      <c r="V37" s="259">
        <f t="shared" si="17"/>
        <v>0.3643132365184687</v>
      </c>
      <c r="W37" s="259">
        <f t="shared" si="17"/>
        <v>0.38496817859970561</v>
      </c>
      <c r="X37" s="259">
        <f t="shared" si="17"/>
        <v>0.39498713177976624</v>
      </c>
      <c r="Y37" s="259">
        <f t="shared" si="17"/>
        <v>0.38584348502785815</v>
      </c>
      <c r="DA37" s="278"/>
    </row>
    <row r="38" spans="1:105" x14ac:dyDescent="0.25">
      <c r="A38" s="127" t="s">
        <v>167</v>
      </c>
      <c r="B38" s="259">
        <f t="shared" ref="B38:Y38" si="18">IF(B$25=0,0,B$25/B$5)</f>
        <v>5.3430254236617056E-2</v>
      </c>
      <c r="C38" s="259">
        <f t="shared" si="18"/>
        <v>5.4222301708535939E-2</v>
      </c>
      <c r="D38" s="259">
        <f t="shared" si="18"/>
        <v>5.4342235089846688E-2</v>
      </c>
      <c r="E38" s="259">
        <f t="shared" si="18"/>
        <v>5.3922646268930084E-2</v>
      </c>
      <c r="F38" s="259">
        <f t="shared" si="18"/>
        <v>5.3526653282573132E-2</v>
      </c>
      <c r="G38" s="259">
        <f t="shared" si="18"/>
        <v>5.2424075826984426E-2</v>
      </c>
      <c r="H38" s="259">
        <f t="shared" si="18"/>
        <v>5.2949547837254592E-2</v>
      </c>
      <c r="I38" s="259">
        <f t="shared" si="18"/>
        <v>5.1916244294878733E-2</v>
      </c>
      <c r="J38" s="259">
        <f t="shared" si="18"/>
        <v>4.7100947611654405E-2</v>
      </c>
      <c r="K38" s="259">
        <f t="shared" si="18"/>
        <v>4.9009022822947557E-2</v>
      </c>
      <c r="L38" s="259">
        <f t="shared" si="18"/>
        <v>4.8955852788237678E-2</v>
      </c>
      <c r="M38" s="259">
        <f t="shared" si="18"/>
        <v>4.8265201579454464E-2</v>
      </c>
      <c r="N38" s="259">
        <f t="shared" si="18"/>
        <v>4.8791596019338329E-2</v>
      </c>
      <c r="O38" s="259">
        <f t="shared" si="18"/>
        <v>4.8656621938968546E-2</v>
      </c>
      <c r="P38" s="259">
        <f t="shared" si="18"/>
        <v>4.8531270870190497E-2</v>
      </c>
      <c r="Q38" s="259">
        <f t="shared" si="18"/>
        <v>4.9750806852277861E-2</v>
      </c>
      <c r="R38" s="259">
        <f t="shared" si="18"/>
        <v>4.8448724367976446E-2</v>
      </c>
      <c r="S38" s="259">
        <f t="shared" si="18"/>
        <v>4.8368972740426439E-2</v>
      </c>
      <c r="T38" s="259">
        <f t="shared" si="18"/>
        <v>4.8451746786215381E-2</v>
      </c>
      <c r="U38" s="259">
        <f t="shared" si="18"/>
        <v>4.6786467868046099E-2</v>
      </c>
      <c r="V38" s="259">
        <f t="shared" si="18"/>
        <v>4.5397413688147925E-2</v>
      </c>
      <c r="W38" s="259">
        <f t="shared" si="18"/>
        <v>4.7089233383126483E-2</v>
      </c>
      <c r="X38" s="259">
        <f t="shared" si="18"/>
        <v>4.8131290358325425E-2</v>
      </c>
      <c r="Y38" s="259">
        <f t="shared" si="18"/>
        <v>4.7575596445259334E-2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9.3897490842265938E-3</v>
      </c>
      <c r="C39" s="259">
        <f t="shared" si="19"/>
        <v>9.9427249485523044E-3</v>
      </c>
      <c r="D39" s="259">
        <f t="shared" si="19"/>
        <v>9.9715939155578387E-3</v>
      </c>
      <c r="E39" s="259">
        <f t="shared" si="19"/>
        <v>1.0467875785104669E-2</v>
      </c>
      <c r="F39" s="259">
        <f t="shared" si="19"/>
        <v>9.5553754981727891E-3</v>
      </c>
      <c r="G39" s="259">
        <f t="shared" si="19"/>
        <v>1.0406239758420897E-2</v>
      </c>
      <c r="H39" s="259">
        <f t="shared" si="19"/>
        <v>1.1101674645691208E-2</v>
      </c>
      <c r="I39" s="259">
        <f t="shared" si="19"/>
        <v>1.3236009830262185E-2</v>
      </c>
      <c r="J39" s="259">
        <f t="shared" si="19"/>
        <v>2.2831134036374885E-2</v>
      </c>
      <c r="K39" s="259">
        <f t="shared" si="19"/>
        <v>2.0978287706786312E-2</v>
      </c>
      <c r="L39" s="259">
        <f t="shared" si="19"/>
        <v>1.9332791223814962E-2</v>
      </c>
      <c r="M39" s="259">
        <f t="shared" si="19"/>
        <v>2.1385511064279064E-2</v>
      </c>
      <c r="N39" s="259">
        <f t="shared" si="19"/>
        <v>2.085645657715169E-2</v>
      </c>
      <c r="O39" s="259">
        <f t="shared" si="19"/>
        <v>2.034439151555931E-2</v>
      </c>
      <c r="P39" s="259">
        <f t="shared" si="19"/>
        <v>1.9818513698923314E-2</v>
      </c>
      <c r="Q39" s="259">
        <f t="shared" si="19"/>
        <v>1.8679968192941671E-2</v>
      </c>
      <c r="R39" s="259">
        <f t="shared" si="19"/>
        <v>1.9043885355619357E-2</v>
      </c>
      <c r="S39" s="259">
        <f t="shared" si="19"/>
        <v>1.9601106447679276E-2</v>
      </c>
      <c r="T39" s="259">
        <f t="shared" si="19"/>
        <v>2.1793698370854424E-2</v>
      </c>
      <c r="U39" s="259">
        <f t="shared" si="19"/>
        <v>2.4583881145293009E-2</v>
      </c>
      <c r="V39" s="259">
        <f t="shared" si="19"/>
        <v>2.7668103940660573E-2</v>
      </c>
      <c r="W39" s="259">
        <f t="shared" si="19"/>
        <v>2.3261498601665952E-2</v>
      </c>
      <c r="X39" s="259">
        <f t="shared" si="19"/>
        <v>2.0793131186592644E-2</v>
      </c>
      <c r="Y39" s="259">
        <f t="shared" si="19"/>
        <v>2.3485530830607344E-2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1.3615136172128558E-2</v>
      </c>
      <c r="C40" s="261">
        <f t="shared" si="20"/>
        <v>1.4416951175400834E-2</v>
      </c>
      <c r="D40" s="261">
        <f t="shared" si="20"/>
        <v>1.4458811177558864E-2</v>
      </c>
      <c r="E40" s="261">
        <f t="shared" si="20"/>
        <v>1.5178419888401769E-2</v>
      </c>
      <c r="F40" s="261">
        <f t="shared" si="20"/>
        <v>1.3855294472350543E-2</v>
      </c>
      <c r="G40" s="261">
        <f t="shared" si="20"/>
        <v>1.5089047649710299E-2</v>
      </c>
      <c r="H40" s="261">
        <f t="shared" si="20"/>
        <v>1.6097428236252251E-2</v>
      </c>
      <c r="I40" s="261">
        <f t="shared" si="20"/>
        <v>1.9192214253880169E-2</v>
      </c>
      <c r="J40" s="261">
        <f t="shared" si="20"/>
        <v>3.3105144352743608E-2</v>
      </c>
      <c r="K40" s="261">
        <f t="shared" si="20"/>
        <v>3.0418517174840155E-2</v>
      </c>
      <c r="L40" s="261">
        <f t="shared" si="20"/>
        <v>2.8032547274531694E-2</v>
      </c>
      <c r="M40" s="261">
        <f t="shared" si="20"/>
        <v>3.1008991043204658E-2</v>
      </c>
      <c r="N40" s="261">
        <f t="shared" si="20"/>
        <v>3.0241862036869942E-2</v>
      </c>
      <c r="O40" s="261">
        <f t="shared" si="20"/>
        <v>2.9499367697560994E-2</v>
      </c>
      <c r="P40" s="261">
        <f t="shared" si="20"/>
        <v>2.8736844863438811E-2</v>
      </c>
      <c r="Q40" s="261">
        <f t="shared" si="20"/>
        <v>2.708595387976542E-2</v>
      </c>
      <c r="R40" s="261">
        <f t="shared" si="20"/>
        <v>2.7613633765648064E-2</v>
      </c>
      <c r="S40" s="261">
        <f t="shared" si="20"/>
        <v>2.8421604349134943E-2</v>
      </c>
      <c r="T40" s="261">
        <f t="shared" si="20"/>
        <v>3.1600862637738918E-2</v>
      </c>
      <c r="U40" s="261">
        <f t="shared" si="20"/>
        <v>3.5646627660674862E-2</v>
      </c>
      <c r="V40" s="261">
        <f t="shared" si="20"/>
        <v>4.0118750713957832E-2</v>
      </c>
      <c r="W40" s="261">
        <f t="shared" si="20"/>
        <v>3.3729172972415643E-2</v>
      </c>
      <c r="X40" s="261">
        <f t="shared" si="20"/>
        <v>3.0150040220559334E-2</v>
      </c>
      <c r="Y40" s="261">
        <f t="shared" si="20"/>
        <v>3.4054019704380642E-2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112.47171201628665</v>
      </c>
      <c r="C44" s="236">
        <f t="shared" si="21"/>
        <v>109.81942433546169</v>
      </c>
      <c r="D44" s="236">
        <f t="shared" si="21"/>
        <v>113.80906613357639</v>
      </c>
      <c r="E44" s="236">
        <f t="shared" si="21"/>
        <v>119.53787119840251</v>
      </c>
      <c r="F44" s="236">
        <f t="shared" si="21"/>
        <v>117.30616060932356</v>
      </c>
      <c r="G44" s="236">
        <f t="shared" si="21"/>
        <v>134.29403412451353</v>
      </c>
      <c r="H44" s="236">
        <f t="shared" si="21"/>
        <v>130.05722800154632</v>
      </c>
      <c r="I44" s="236">
        <f t="shared" si="21"/>
        <v>117.81469406104155</v>
      </c>
      <c r="J44" s="236">
        <f t="shared" si="21"/>
        <v>123.49619118298855</v>
      </c>
      <c r="K44" s="236">
        <f t="shared" si="21"/>
        <v>137.83360398812138</v>
      </c>
      <c r="L44" s="236">
        <f t="shared" si="21"/>
        <v>128.47617233393532</v>
      </c>
      <c r="M44" s="236">
        <f t="shared" si="21"/>
        <v>116.02131221383361</v>
      </c>
      <c r="N44" s="236">
        <f t="shared" si="21"/>
        <v>118.31216844961243</v>
      </c>
      <c r="O44" s="236">
        <f t="shared" si="21"/>
        <v>117.89482713876836</v>
      </c>
      <c r="P44" s="236">
        <f t="shared" si="21"/>
        <v>114.2126532077291</v>
      </c>
      <c r="Q44" s="236">
        <f t="shared" si="21"/>
        <v>116.67728719019783</v>
      </c>
      <c r="R44" s="236">
        <f t="shared" si="21"/>
        <v>118.41249825520158</v>
      </c>
      <c r="S44" s="236">
        <f t="shared" si="21"/>
        <v>109.2598603268619</v>
      </c>
      <c r="T44" s="236">
        <f t="shared" si="21"/>
        <v>115.03952384499104</v>
      </c>
      <c r="U44" s="236">
        <f t="shared" si="21"/>
        <v>114.31053707016743</v>
      </c>
      <c r="V44" s="236">
        <f t="shared" si="21"/>
        <v>121.02278233994657</v>
      </c>
      <c r="W44" s="236">
        <f t="shared" si="21"/>
        <v>115.61293230102248</v>
      </c>
      <c r="X44" s="236">
        <f t="shared" si="21"/>
        <v>98.926512660278391</v>
      </c>
      <c r="Y44" s="236">
        <f t="shared" si="21"/>
        <v>101.37891512464493</v>
      </c>
      <c r="DA44" s="280"/>
    </row>
    <row r="45" spans="1:105" x14ac:dyDescent="0.25">
      <c r="A45" s="238" t="s">
        <v>125</v>
      </c>
      <c r="B45" s="247">
        <f>IF(B$6=0,0,B$6/AGR!B$5*1000)</f>
        <v>1.0560811549063245</v>
      </c>
      <c r="C45" s="247">
        <f>IF(C$6=0,0,C$6/AGR!C$5*1000)</f>
        <v>1.0919043301758469</v>
      </c>
      <c r="D45" s="247">
        <f>IF(D$6=0,0,D$6/AGR!D$5*1000)</f>
        <v>1.1348577913928901</v>
      </c>
      <c r="E45" s="247">
        <f>IF(E$6=0,0,E$6/AGR!E$5*1000)</f>
        <v>1.2513075873207182</v>
      </c>
      <c r="F45" s="247">
        <f>IF(F$6=0,0,F$6/AGR!F$5*1000)</f>
        <v>1.1209044128710521</v>
      </c>
      <c r="G45" s="247">
        <f>IF(G$6=0,0,G$6/AGR!G$5*1000)</f>
        <v>1.397495917225245</v>
      </c>
      <c r="H45" s="247">
        <f>IF(H$6=0,0,H$6/AGR!H$5*1000)</f>
        <v>1.4438530305936474</v>
      </c>
      <c r="I45" s="247">
        <f>IF(I$6=0,0,I$6/AGR!I$5*1000)</f>
        <v>1.5593964487412781</v>
      </c>
      <c r="J45" s="247">
        <f>IF(J$6=0,0,J$6/AGR!J$5*1000)</f>
        <v>2.8195580938805902</v>
      </c>
      <c r="K45" s="247">
        <f>IF(K$6=0,0,K$6/AGR!K$5*1000)</f>
        <v>2.8915130001260589</v>
      </c>
      <c r="L45" s="247">
        <f>IF(L$6=0,0,L$6/AGR!L$5*1000)</f>
        <v>2.4838030169668439</v>
      </c>
      <c r="M45" s="247">
        <f>IF(M$6=0,0,M$6/AGR!M$5*1000)</f>
        <v>2.4811750560411143</v>
      </c>
      <c r="N45" s="247">
        <f>IF(N$6=0,0,N$6/AGR!N$5*1000)</f>
        <v>2.4675726038179979</v>
      </c>
      <c r="O45" s="247">
        <f>IF(O$6=0,0,O$6/AGR!O$5*1000)</f>
        <v>2.3984985209702905</v>
      </c>
      <c r="P45" s="247">
        <f>IF(P$6=0,0,P$6/AGR!P$5*1000)</f>
        <v>2.2635250321877569</v>
      </c>
      <c r="Q45" s="247">
        <f>IF(Q$6=0,0,Q$6/AGR!Q$5*1000)</f>
        <v>2.1795280135516162</v>
      </c>
      <c r="R45" s="247">
        <f>IF(R$6=0,0,R$6/AGR!R$5*1000)</f>
        <v>2.255034041444536</v>
      </c>
      <c r="S45" s="247">
        <f>IF(S$6=0,0,S$6/AGR!S$5*1000)</f>
        <v>2.1416141527253898</v>
      </c>
      <c r="T45" s="247">
        <f>IF(T$6=0,0,T$6/AGR!T$5*1000)</f>
        <v>2.50713668340445</v>
      </c>
      <c r="U45" s="247">
        <f>IF(U$6=0,0,U$6/AGR!U$5*1000)</f>
        <v>2.8101966569876069</v>
      </c>
      <c r="V45" s="247">
        <f>IF(V$6=0,0,V$6/AGR!V$5*1000)</f>
        <v>3.3484709209695831</v>
      </c>
      <c r="W45" s="247">
        <f>IF(W$6=0,0,W$6/AGR!W$5*1000)</f>
        <v>2.6893300630547343</v>
      </c>
      <c r="X45" s="247">
        <f>IF(X$6=0,0,X$6/AGR!X$5*1000)</f>
        <v>2.0569919555772866</v>
      </c>
      <c r="Y45" s="247">
        <f>IF(Y$6=0,0,Y$6/AGR!Y$5*1000)</f>
        <v>2.380937636733373</v>
      </c>
      <c r="DA45" s="281"/>
    </row>
    <row r="46" spans="1:105" x14ac:dyDescent="0.25">
      <c r="A46" s="240" t="s">
        <v>124</v>
      </c>
      <c r="B46" s="248">
        <f>IF(B$7=0,0,B$7/AGR!B$5*1000)</f>
        <v>0.68645275068911071</v>
      </c>
      <c r="C46" s="248">
        <f>IF(C$7=0,0,C$7/AGR!C$5*1000)</f>
        <v>0.70973781461430008</v>
      </c>
      <c r="D46" s="248">
        <f>IF(D$7=0,0,D$7/AGR!D$5*1000)</f>
        <v>0.73765756440537844</v>
      </c>
      <c r="E46" s="248">
        <f>IF(E$7=0,0,E$7/AGR!E$5*1000)</f>
        <v>0.81334993175846648</v>
      </c>
      <c r="F46" s="248">
        <f>IF(F$7=0,0,F$7/AGR!F$5*1000)</f>
        <v>0.72858786836618361</v>
      </c>
      <c r="G46" s="248">
        <f>IF(G$7=0,0,G$7/AGR!G$5*1000)</f>
        <v>0.90837234619640883</v>
      </c>
      <c r="H46" s="248">
        <f>IF(H$7=0,0,H$7/AGR!H$5*1000)</f>
        <v>0.93850446988587011</v>
      </c>
      <c r="I46" s="248">
        <f>IF(I$7=0,0,I$7/AGR!I$5*1000)</f>
        <v>1.0136076916818302</v>
      </c>
      <c r="J46" s="248">
        <f>IF(J$7=0,0,J$7/AGR!J$5*1000)</f>
        <v>1.8327127610223837</v>
      </c>
      <c r="K46" s="248">
        <f>IF(K$7=0,0,K$7/AGR!K$5*1000)</f>
        <v>1.8794834500819377</v>
      </c>
      <c r="L46" s="248">
        <f>IF(L$7=0,0,L$7/AGR!L$5*1000)</f>
        <v>1.6144719610284488</v>
      </c>
      <c r="M46" s="248">
        <f>IF(M$7=0,0,M$7/AGR!M$5*1000)</f>
        <v>1.6127637864267244</v>
      </c>
      <c r="N46" s="248">
        <f>IF(N$7=0,0,N$7/AGR!N$5*1000)</f>
        <v>1.6039221924816982</v>
      </c>
      <c r="O46" s="248">
        <f>IF(O$7=0,0,O$7/AGR!O$5*1000)</f>
        <v>1.5590240386306882</v>
      </c>
      <c r="P46" s="248">
        <f>IF(P$7=0,0,P$7/AGR!P$5*1000)</f>
        <v>1.4712912709220425</v>
      </c>
      <c r="Q46" s="248">
        <f>IF(Q$7=0,0,Q$7/AGR!Q$5*1000)</f>
        <v>1.4166932088085504</v>
      </c>
      <c r="R46" s="248">
        <f>IF(R$7=0,0,R$7/AGR!R$5*1000)</f>
        <v>1.4657721269389481</v>
      </c>
      <c r="S46" s="248">
        <f>IF(S$7=0,0,S$7/AGR!S$5*1000)</f>
        <v>1.3920491992715029</v>
      </c>
      <c r="T46" s="248">
        <f>IF(T$7=0,0,T$7/AGR!T$5*1000)</f>
        <v>1.629638844212892</v>
      </c>
      <c r="U46" s="248">
        <f>IF(U$7=0,0,U$7/AGR!U$5*1000)</f>
        <v>1.826627827041944</v>
      </c>
      <c r="V46" s="248">
        <f>IF(V$7=0,0,V$7/AGR!V$5*1000)</f>
        <v>2.1765060986302287</v>
      </c>
      <c r="W46" s="248">
        <f>IF(W$7=0,0,W$7/AGR!W$5*1000)</f>
        <v>1.7480645409855775</v>
      </c>
      <c r="X46" s="248">
        <f>IF(X$7=0,0,X$7/AGR!X$5*1000)</f>
        <v>1.3370447711252358</v>
      </c>
      <c r="Y46" s="248">
        <f>IF(Y$7=0,0,Y$7/AGR!Y$5*1000)</f>
        <v>1.547609463876692</v>
      </c>
      <c r="DA46" s="282"/>
    </row>
    <row r="47" spans="1:105" x14ac:dyDescent="0.25">
      <c r="A47" s="240" t="s">
        <v>123</v>
      </c>
      <c r="B47" s="248">
        <f>IF(B$8=0,0,B$8/AGR!B$5*1000)</f>
        <v>0.95047303941569183</v>
      </c>
      <c r="C47" s="248">
        <f>IF(C$8=0,0,C$8/AGR!C$5*1000)</f>
        <v>0.98271389715826185</v>
      </c>
      <c r="D47" s="248">
        <f>IF(D$8=0,0,D$8/AGR!D$5*1000)</f>
        <v>1.021372012253601</v>
      </c>
      <c r="E47" s="248">
        <f>IF(E$8=0,0,E$8/AGR!E$5*1000)</f>
        <v>1.1261768285886464</v>
      </c>
      <c r="F47" s="248">
        <f>IF(F$8=0,0,F$8/AGR!F$5*1000)</f>
        <v>1.0088139715839464</v>
      </c>
      <c r="G47" s="248">
        <f>IF(G$8=0,0,G$8/AGR!G$5*1000)</f>
        <v>1.2577463255027201</v>
      </c>
      <c r="H47" s="248">
        <f>IF(H$8=0,0,H$8/AGR!H$5*1000)</f>
        <v>1.2994677275342825</v>
      </c>
      <c r="I47" s="248">
        <f>IF(I$8=0,0,I$8/AGR!I$5*1000)</f>
        <v>1.40345680386715</v>
      </c>
      <c r="J47" s="248">
        <f>IF(J$8=0,0,J$8/AGR!J$5*1000)</f>
        <v>2.5376022844925314</v>
      </c>
      <c r="K47" s="248">
        <f>IF(K$8=0,0,K$8/AGR!K$5*1000)</f>
        <v>2.6023617001134518</v>
      </c>
      <c r="L47" s="248">
        <f>IF(L$8=0,0,L$8/AGR!L$5*1000)</f>
        <v>2.2354227152701593</v>
      </c>
      <c r="M47" s="248">
        <f>IF(M$8=0,0,M$8/AGR!M$5*1000)</f>
        <v>2.2330575504370032</v>
      </c>
      <c r="N47" s="248">
        <f>IF(N$8=0,0,N$8/AGR!N$5*1000)</f>
        <v>2.2208153434361986</v>
      </c>
      <c r="O47" s="248">
        <f>IF(O$8=0,0,O$8/AGR!O$5*1000)</f>
        <v>2.158648668873262</v>
      </c>
      <c r="P47" s="248">
        <f>IF(P$8=0,0,P$8/AGR!P$5*1000)</f>
        <v>2.0371725289689824</v>
      </c>
      <c r="Q47" s="248">
        <f>IF(Q$8=0,0,Q$8/AGR!Q$5*1000)</f>
        <v>1.961575212196454</v>
      </c>
      <c r="R47" s="248">
        <f>IF(R$8=0,0,R$8/AGR!R$5*1000)</f>
        <v>2.0295306373000823</v>
      </c>
      <c r="S47" s="248">
        <f>IF(S$8=0,0,S$8/AGR!S$5*1000)</f>
        <v>1.9274527374528503</v>
      </c>
      <c r="T47" s="248">
        <f>IF(T$8=0,0,T$8/AGR!T$5*1000)</f>
        <v>2.2564230150640046</v>
      </c>
      <c r="U47" s="248">
        <f>IF(U$8=0,0,U$8/AGR!U$5*1000)</f>
        <v>2.5291769912888453</v>
      </c>
      <c r="V47" s="248">
        <f>IF(V$8=0,0,V$8/AGR!V$5*1000)</f>
        <v>3.0136238288726251</v>
      </c>
      <c r="W47" s="248">
        <f>IF(W$8=0,0,W$8/AGR!W$5*1000)</f>
        <v>2.4203970567492616</v>
      </c>
      <c r="X47" s="248">
        <f>IF(X$8=0,0,X$8/AGR!X$5*1000)</f>
        <v>1.8512927600195572</v>
      </c>
      <c r="Y47" s="248">
        <f>IF(Y$8=0,0,Y$8/AGR!Y$5*1000)</f>
        <v>2.1428438730600359</v>
      </c>
      <c r="DA47" s="282"/>
    </row>
    <row r="48" spans="1:105" x14ac:dyDescent="0.25">
      <c r="A48" s="242" t="s">
        <v>122</v>
      </c>
      <c r="B48" s="249">
        <f>IF(B$9=0,0,B$9/AGR!B$5*1000)</f>
        <v>23.367787192564442</v>
      </c>
      <c r="C48" s="249">
        <f>IF(C$9=0,0,C$9/AGR!C$5*1000)</f>
        <v>23.23558384896096</v>
      </c>
      <c r="D48" s="249">
        <f>IF(D$9=0,0,D$9/AGR!D$5*1000)</f>
        <v>24.137776380683015</v>
      </c>
      <c r="E48" s="249">
        <f>IF(E$9=0,0,E$9/AGR!E$5*1000)</f>
        <v>25.223768662462021</v>
      </c>
      <c r="F48" s="249">
        <f>IF(F$9=0,0,F$9/AGR!F$5*1000)</f>
        <v>24.818058986756107</v>
      </c>
      <c r="G48" s="249">
        <f>IF(G$9=0,0,G$9/AGR!G$5*1000)</f>
        <v>27.947962816814623</v>
      </c>
      <c r="H48" s="249">
        <f>IF(H$9=0,0,H$9/AGR!H$5*1000)</f>
        <v>27.443415661296381</v>
      </c>
      <c r="I48" s="249">
        <f>IF(I$9=0,0,I$9/AGR!I$5*1000)</f>
        <v>24.583753017857958</v>
      </c>
      <c r="J48" s="249">
        <f>IF(J$9=0,0,J$9/AGR!J$5*1000)</f>
        <v>24.638527587601153</v>
      </c>
      <c r="K48" s="249">
        <f>IF(K$9=0,0,K$9/AGR!K$5*1000)</f>
        <v>27.48785904551989</v>
      </c>
      <c r="L48" s="249">
        <f>IF(L$9=0,0,L$9/AGR!L$5*1000)</f>
        <v>28.041041354982834</v>
      </c>
      <c r="M48" s="249">
        <f>IF(M$9=0,0,M$9/AGR!M$5*1000)</f>
        <v>25.11767658661585</v>
      </c>
      <c r="N48" s="249">
        <f>IF(N$9=0,0,N$9/AGR!N$5*1000)</f>
        <v>25.828254527528561</v>
      </c>
      <c r="O48" s="249">
        <f>IF(O$9=0,0,O$9/AGR!O$5*1000)</f>
        <v>25.475375016537058</v>
      </c>
      <c r="P48" s="249">
        <f>IF(P$9=0,0,P$9/AGR!P$5*1000)</f>
        <v>24.625590965877773</v>
      </c>
      <c r="Q48" s="249">
        <f>IF(Q$9=0,0,Q$9/AGR!Q$5*1000)</f>
        <v>23.532652597869212</v>
      </c>
      <c r="R48" s="249">
        <f>IF(R$9=0,0,R$9/AGR!R$5*1000)</f>
        <v>25.736367865033245</v>
      </c>
      <c r="S48" s="249">
        <f>IF(S$9=0,0,S$9/AGR!S$5*1000)</f>
        <v>23.372658031006353</v>
      </c>
      <c r="T48" s="249">
        <f>IF(T$9=0,0,T$9/AGR!T$5*1000)</f>
        <v>24.385270148630575</v>
      </c>
      <c r="U48" s="249">
        <f>IF(U$9=0,0,U$9/AGR!U$5*1000)</f>
        <v>23.811607227677154</v>
      </c>
      <c r="V48" s="249">
        <f>IF(V$9=0,0,V$9/AGR!V$5*1000)</f>
        <v>26.10446793867856</v>
      </c>
      <c r="W48" s="249">
        <f>IF(W$9=0,0,W$9/AGR!W$5*1000)</f>
        <v>23.883407002009218</v>
      </c>
      <c r="X48" s="249">
        <f>IF(X$9=0,0,X$9/AGR!X$5*1000)</f>
        <v>20.026552169832168</v>
      </c>
      <c r="Y48" s="249">
        <f>IF(Y$9=0,0,Y$9/AGR!Y$5*1000)</f>
        <v>20.434732191564329</v>
      </c>
      <c r="DA48" s="283"/>
    </row>
    <row r="49" spans="1:105" x14ac:dyDescent="0.25">
      <c r="A49" s="127" t="s">
        <v>168</v>
      </c>
      <c r="B49" s="262">
        <f>IF(B$16=0,0,B$16/AGR!B$5*1000)</f>
        <v>31.273128003136044</v>
      </c>
      <c r="C49" s="262">
        <f>IF(C$16=0,0,C$16/AGR!C$5*1000)</f>
        <v>30.988309714896214</v>
      </c>
      <c r="D49" s="262">
        <f>IF(D$16=0,0,D$16/AGR!D$5*1000)</f>
        <v>32.185119985641265</v>
      </c>
      <c r="E49" s="262">
        <f>IF(E$16=0,0,E$16/AGR!E$5*1000)</f>
        <v>33.54420398747866</v>
      </c>
      <c r="F49" s="262">
        <f>IF(F$16=0,0,F$16/AGR!F$5*1000)</f>
        <v>32.67621062859682</v>
      </c>
      <c r="G49" s="262">
        <f>IF(G$16=0,0,G$16/AGR!G$5*1000)</f>
        <v>36.637706476591717</v>
      </c>
      <c r="H49" s="262">
        <f>IF(H$16=0,0,H$16/AGR!H$5*1000)</f>
        <v>35.837485068414743</v>
      </c>
      <c r="I49" s="262">
        <f>IF(I$16=0,0,I$16/AGR!I$5*1000)</f>
        <v>31.830503105559778</v>
      </c>
      <c r="J49" s="262">
        <f>IF(J$16=0,0,J$16/AGR!J$5*1000)</f>
        <v>30.27080594624103</v>
      </c>
      <c r="K49" s="262">
        <f>IF(K$16=0,0,K$16/AGR!K$5*1000)</f>
        <v>35.153771958092243</v>
      </c>
      <c r="L49" s="262">
        <f>IF(L$16=0,0,L$16/AGR!L$5*1000)</f>
        <v>32.731656533672826</v>
      </c>
      <c r="M49" s="262">
        <f>IF(M$16=0,0,M$16/AGR!M$5*1000)</f>
        <v>29.141551724326277</v>
      </c>
      <c r="N49" s="262">
        <f>IF(N$16=0,0,N$16/AGR!N$5*1000)</f>
        <v>30.041057367933014</v>
      </c>
      <c r="O49" s="262">
        <f>IF(O$16=0,0,O$16/AGR!O$5*1000)</f>
        <v>29.852278178339436</v>
      </c>
      <c r="P49" s="262">
        <f>IF(P$16=0,0,P$16/AGR!P$5*1000)</f>
        <v>28.845406296840153</v>
      </c>
      <c r="Q49" s="262">
        <f>IF(Q$16=0,0,Q$16/AGR!Q$5*1000)</f>
        <v>30.208365500027178</v>
      </c>
      <c r="R49" s="262">
        <f>IF(R$16=0,0,R$16/AGR!R$5*1000)</f>
        <v>29.855246860610958</v>
      </c>
      <c r="S49" s="262">
        <f>IF(S$16=0,0,S$16/AGR!S$5*1000)</f>
        <v>27.502253497525508</v>
      </c>
      <c r="T49" s="262">
        <f>IF(T$16=0,0,T$16/AGR!T$5*1000)</f>
        <v>29.006630998971293</v>
      </c>
      <c r="U49" s="262">
        <f>IF(U$16=0,0,U$16/AGR!U$5*1000)</f>
        <v>27.8321848755232</v>
      </c>
      <c r="V49" s="262">
        <f>IF(V$16=0,0,V$16/AGR!V$5*1000)</f>
        <v>28.591636954106736</v>
      </c>
      <c r="W49" s="262">
        <f>IF(W$16=0,0,W$16/AGR!W$5*1000)</f>
        <v>28.331450662013438</v>
      </c>
      <c r="X49" s="262">
        <f>IF(X$16=0,0,X$16/AGR!X$5*1000)</f>
        <v>24.778840514913281</v>
      </c>
      <c r="Y49" s="262">
        <f>IF(Y$16=0,0,Y$16/AGR!Y$5*1000)</f>
        <v>25.099938475348988</v>
      </c>
      <c r="DA49" s="284"/>
    </row>
    <row r="50" spans="1:105" x14ac:dyDescent="0.25">
      <c r="A50" s="127" t="s">
        <v>121</v>
      </c>
      <c r="B50" s="262">
        <f>IF(B$17=0,0,B$17/AGR!B$5*1000)</f>
        <v>46.540998878596753</v>
      </c>
      <c r="C50" s="262">
        <f>IF(C$17=0,0,C$17/AGR!C$5*1000)</f>
        <v>44.181347160950132</v>
      </c>
      <c r="D50" s="262">
        <f>IF(D$17=0,0,D$17/AGR!D$5*1000)</f>
        <v>45.627241783100949</v>
      </c>
      <c r="E50" s="262">
        <f>IF(E$17=0,0,E$17/AGR!E$5*1000)</f>
        <v>48.067562267485862</v>
      </c>
      <c r="F50" s="262">
        <f>IF(F$17=0,0,F$17/AGR!F$5*1000)</f>
        <v>47.928362742770261</v>
      </c>
      <c r="G50" s="262">
        <f>IF(G$17=0,0,G$17/AGR!G$5*1000)</f>
        <v>55.680644616925825</v>
      </c>
      <c r="H50" s="262">
        <f>IF(H$17=0,0,H$17/AGR!H$5*1000)</f>
        <v>52.670590703218366</v>
      </c>
      <c r="I50" s="262">
        <f>IF(I$17=0,0,I$17/AGR!I$5*1000)</f>
        <v>47.486959255517988</v>
      </c>
      <c r="J50" s="262">
        <f>IF(J$17=0,0,J$17/AGR!J$5*1000)</f>
        <v>48.672279548594624</v>
      </c>
      <c r="K50" s="262">
        <f>IF(K$17=0,0,K$17/AGR!K$5*1000)</f>
        <v>53.979317740255986</v>
      </c>
      <c r="L50" s="262">
        <f>IF(L$17=0,0,L$17/AGR!L$5*1000)</f>
        <v>48.994798780869061</v>
      </c>
      <c r="M50" s="262">
        <f>IF(M$17=0,0,M$17/AGR!M$5*1000)</f>
        <v>43.756416601172404</v>
      </c>
      <c r="N50" s="262">
        <f>IF(N$17=0,0,N$17/AGR!N$5*1000)</f>
        <v>44.332354007895475</v>
      </c>
      <c r="O50" s="262">
        <f>IF(O$17=0,0,O$17/AGR!O$5*1000)</f>
        <v>44.838317306389314</v>
      </c>
      <c r="P50" s="262">
        <f>IF(P$17=0,0,P$17/AGR!P$5*1000)</f>
        <v>43.881145574444957</v>
      </c>
      <c r="Q50" s="262">
        <f>IF(Q$17=0,0,Q$17/AGR!Q$5*1000)</f>
        <v>46.233839845496078</v>
      </c>
      <c r="R50" s="262">
        <f>IF(R$17=0,0,R$17/AGR!R$5*1000)</f>
        <v>45.808778832644954</v>
      </c>
      <c r="S50" s="262">
        <f>IF(S$17=0,0,S$17/AGR!S$5*1000)</f>
        <v>42.3920908289303</v>
      </c>
      <c r="T50" s="262">
        <f>IF(T$17=0,0,T$17/AGR!T$5*1000)</f>
        <v>43.538073400622615</v>
      </c>
      <c r="U50" s="262">
        <f>IF(U$17=0,0,U$17/AGR!U$5*1000)</f>
        <v>43.267575412416562</v>
      </c>
      <c r="V50" s="262">
        <f>IF(V$17=0,0,V$17/AGR!V$5*1000)</f>
        <v>44.090201526736124</v>
      </c>
      <c r="W50" s="262">
        <f>IF(W$17=0,0,W$17/AGR!W$5*1000)</f>
        <v>44.507299970495687</v>
      </c>
      <c r="X50" s="262">
        <f>IF(X$17=0,0,X$17/AGR!X$5*1000)</f>
        <v>39.074699492658098</v>
      </c>
      <c r="Y50" s="262">
        <f>IF(Y$17=0,0,Y$17/AGR!Y$5*1000)</f>
        <v>39.116393920036437</v>
      </c>
      <c r="DA50" s="284"/>
    </row>
    <row r="51" spans="1:105" x14ac:dyDescent="0.25">
      <c r="A51" s="127" t="s">
        <v>167</v>
      </c>
      <c r="B51" s="262">
        <f>IF(B$25=0,0,B$25/AGR!B$5*1000)</f>
        <v>6.0093921674577722</v>
      </c>
      <c r="C51" s="262">
        <f>IF(C$25=0,0,C$25/AGR!C$5*1000)</f>
        <v>5.9546619597751382</v>
      </c>
      <c r="D51" s="262">
        <f>IF(D$25=0,0,D$25/AGR!D$5*1000)</f>
        <v>6.1846390271867184</v>
      </c>
      <c r="E51" s="262">
        <f>IF(E$25=0,0,E$25/AGR!E$5*1000)</f>
        <v>6.445798344372383</v>
      </c>
      <c r="F51" s="262">
        <f>IF(F$25=0,0,F$25/AGR!F$5*1000)</f>
        <v>6.2790061868450984</v>
      </c>
      <c r="G51" s="262">
        <f>IF(G$25=0,0,G$25/AGR!G$5*1000)</f>
        <v>7.0402406280551295</v>
      </c>
      <c r="H51" s="262">
        <f>IF(H$25=0,0,H$25/AGR!H$5*1000)</f>
        <v>6.8864714156486047</v>
      </c>
      <c r="I51" s="262">
        <f>IF(I$25=0,0,I$25/AGR!I$5*1000)</f>
        <v>6.116496438399432</v>
      </c>
      <c r="J51" s="262">
        <f>IF(J$25=0,0,J$25/AGR!J$5*1000)</f>
        <v>5.8167876311488014</v>
      </c>
      <c r="K51" s="262">
        <f>IF(K$25=0,0,K$25/AGR!K$5*1000)</f>
        <v>6.7550902436229556</v>
      </c>
      <c r="L51" s="262">
        <f>IF(L$25=0,0,L$25/AGR!L$5*1000)</f>
        <v>6.2896605795763936</v>
      </c>
      <c r="M51" s="262">
        <f>IF(M$25=0,0,M$25/AGR!M$5*1000)</f>
        <v>5.599792021513502</v>
      </c>
      <c r="N51" s="262">
        <f>IF(N$25=0,0,N$25/AGR!N$5*1000)</f>
        <v>5.7726395271653956</v>
      </c>
      <c r="O51" s="262">
        <f>IF(O$25=0,0,O$25/AGR!O$5*1000)</f>
        <v>5.7363640326511014</v>
      </c>
      <c r="P51" s="262">
        <f>IF(P$25=0,0,P$25/AGR!P$5*1000)</f>
        <v>5.5428852096274337</v>
      </c>
      <c r="Q51" s="262">
        <f>IF(Q$25=0,0,Q$25/AGR!Q$5*1000)</f>
        <v>5.804789179047285</v>
      </c>
      <c r="R51" s="262">
        <f>IF(R$25=0,0,R$25/AGR!R$5*1000)</f>
        <v>5.7369344896897534</v>
      </c>
      <c r="S51" s="262">
        <f>IF(S$25=0,0,S$25/AGR!S$5*1000)</f>
        <v>5.2847872057727825</v>
      </c>
      <c r="T51" s="262">
        <f>IF(T$25=0,0,T$25/AGR!T$5*1000)</f>
        <v>5.5738658797442922</v>
      </c>
      <c r="U51" s="262">
        <f>IF(U$25=0,0,U$25/AGR!U$5*1000)</f>
        <v>5.3481862696124818</v>
      </c>
      <c r="V51" s="262">
        <f>IF(V$25=0,0,V$25/AGR!V$5*1000)</f>
        <v>5.4941213155772379</v>
      </c>
      <c r="W51" s="262">
        <f>IF(W$25=0,0,W$25/AGR!W$5*1000)</f>
        <v>5.4441243512304487</v>
      </c>
      <c r="X51" s="262">
        <f>IF(X$25=0,0,X$25/AGR!X$5*1000)</f>
        <v>4.7614607049884157</v>
      </c>
      <c r="Y51" s="262">
        <f>IF(Y$25=0,0,Y$25/AGR!Y$5*1000)</f>
        <v>4.8231623540283044</v>
      </c>
      <c r="DA51" s="284"/>
    </row>
    <row r="52" spans="1:105" x14ac:dyDescent="0.25">
      <c r="A52" s="127" t="s">
        <v>170</v>
      </c>
      <c r="B52" s="262">
        <f>IF(B$26=0,0,B$26/AGR!B$5*1000)</f>
        <v>1.0560811549063245</v>
      </c>
      <c r="C52" s="262">
        <f>IF(C$26=0,0,C$26/AGR!C$5*1000)</f>
        <v>1.0919043301758469</v>
      </c>
      <c r="D52" s="262">
        <f>IF(D$26=0,0,D$26/AGR!D$5*1000)</f>
        <v>1.1348577913928901</v>
      </c>
      <c r="E52" s="262">
        <f>IF(E$26=0,0,E$26/AGR!E$5*1000)</f>
        <v>1.2513075873207182</v>
      </c>
      <c r="F52" s="262">
        <f>IF(F$26=0,0,F$26/AGR!F$5*1000)</f>
        <v>1.1209044128710521</v>
      </c>
      <c r="G52" s="262">
        <f>IF(G$26=0,0,G$26/AGR!G$5*1000)</f>
        <v>1.397495917225245</v>
      </c>
      <c r="H52" s="262">
        <f>IF(H$26=0,0,H$26/AGR!H$5*1000)</f>
        <v>1.4438530305936474</v>
      </c>
      <c r="I52" s="262">
        <f>IF(I$26=0,0,I$26/AGR!I$5*1000)</f>
        <v>1.5593964487412781</v>
      </c>
      <c r="J52" s="262">
        <f>IF(J$26=0,0,J$26/AGR!J$5*1000)</f>
        <v>2.8195580938805902</v>
      </c>
      <c r="K52" s="262">
        <f>IF(K$26=0,0,K$26/AGR!K$5*1000)</f>
        <v>2.8915130001260589</v>
      </c>
      <c r="L52" s="262">
        <f>IF(L$26=0,0,L$26/AGR!L$5*1000)</f>
        <v>2.4838030169668439</v>
      </c>
      <c r="M52" s="262">
        <f>IF(M$26=0,0,M$26/AGR!M$5*1000)</f>
        <v>2.4811750560411143</v>
      </c>
      <c r="N52" s="262">
        <f>IF(N$26=0,0,N$26/AGR!N$5*1000)</f>
        <v>2.4675726038179979</v>
      </c>
      <c r="O52" s="262">
        <f>IF(O$26=0,0,O$26/AGR!O$5*1000)</f>
        <v>2.3984985209702905</v>
      </c>
      <c r="P52" s="262">
        <f>IF(P$26=0,0,P$26/AGR!P$5*1000)</f>
        <v>2.2635250321877569</v>
      </c>
      <c r="Q52" s="262">
        <f>IF(Q$26=0,0,Q$26/AGR!Q$5*1000)</f>
        <v>2.1795280135516162</v>
      </c>
      <c r="R52" s="262">
        <f>IF(R$26=0,0,R$26/AGR!R$5*1000)</f>
        <v>2.255034041444536</v>
      </c>
      <c r="S52" s="262">
        <f>IF(S$26=0,0,S$26/AGR!S$5*1000)</f>
        <v>2.1416141527253898</v>
      </c>
      <c r="T52" s="262">
        <f>IF(T$26=0,0,T$26/AGR!T$5*1000)</f>
        <v>2.50713668340445</v>
      </c>
      <c r="U52" s="262">
        <f>IF(U$26=0,0,U$26/AGR!U$5*1000)</f>
        <v>2.8101966569876069</v>
      </c>
      <c r="V52" s="262">
        <f>IF(V$26=0,0,V$26/AGR!V$5*1000)</f>
        <v>3.3484709209695831</v>
      </c>
      <c r="W52" s="262">
        <f>IF(W$26=0,0,W$26/AGR!W$5*1000)</f>
        <v>2.6893300630547343</v>
      </c>
      <c r="X52" s="262">
        <f>IF(X$26=0,0,X$26/AGR!X$5*1000)</f>
        <v>2.0569919555772866</v>
      </c>
      <c r="Y52" s="262">
        <f>IF(Y$26=0,0,Y$26/AGR!Y$5*1000)</f>
        <v>2.380937636733373</v>
      </c>
      <c r="DA52" s="284"/>
    </row>
    <row r="53" spans="1:105" x14ac:dyDescent="0.25">
      <c r="A53" s="260" t="s">
        <v>33</v>
      </c>
      <c r="B53" s="263">
        <f>IF(B$27=0,0,B$27/AGR!B$5*1000)</f>
        <v>1.5313176746141701</v>
      </c>
      <c r="C53" s="263">
        <f>IF(C$27=0,0,C$27/AGR!C$5*1000)</f>
        <v>1.5832612787549774</v>
      </c>
      <c r="D53" s="263">
        <f>IF(D$27=0,0,D$27/AGR!D$5*1000)</f>
        <v>1.6455437975196907</v>
      </c>
      <c r="E53" s="263">
        <f>IF(E$27=0,0,E$27/AGR!E$5*1000)</f>
        <v>1.8143960016150416</v>
      </c>
      <c r="F53" s="263">
        <f>IF(F$27=0,0,F$27/AGR!F$5*1000)</f>
        <v>1.6253113986630252</v>
      </c>
      <c r="G53" s="263">
        <f>IF(G$27=0,0,G$27/AGR!G$5*1000)</f>
        <v>2.0263690799766052</v>
      </c>
      <c r="H53" s="263">
        <f>IF(H$27=0,0,H$27/AGR!H$5*1000)</f>
        <v>2.0935868943607887</v>
      </c>
      <c r="I53" s="263">
        <f>IF(I$27=0,0,I$27/AGR!I$5*1000)</f>
        <v>2.2611248506748534</v>
      </c>
      <c r="J53" s="263">
        <f>IF(J$27=0,0,J$27/AGR!J$5*1000)</f>
        <v>4.0883592361268581</v>
      </c>
      <c r="K53" s="263">
        <f>IF(K$27=0,0,K$27/AGR!K$5*1000)</f>
        <v>4.1926938501827857</v>
      </c>
      <c r="L53" s="263">
        <f>IF(L$27=0,0,L$27/AGR!L$5*1000)</f>
        <v>3.6015143746019236</v>
      </c>
      <c r="M53" s="263">
        <f>IF(M$27=0,0,M$27/AGR!M$5*1000)</f>
        <v>3.5977038312596181</v>
      </c>
      <c r="N53" s="263">
        <f>IF(N$27=0,0,N$27/AGR!N$5*1000)</f>
        <v>3.5779802755360963</v>
      </c>
      <c r="O53" s="263">
        <f>IF(O$27=0,0,O$27/AGR!O$5*1000)</f>
        <v>3.477822855406921</v>
      </c>
      <c r="P53" s="263">
        <f>IF(P$27=0,0,P$27/AGR!P$5*1000)</f>
        <v>3.2821112966722485</v>
      </c>
      <c r="Q53" s="263">
        <f>IF(Q$27=0,0,Q$27/AGR!Q$5*1000)</f>
        <v>3.1603156196498432</v>
      </c>
      <c r="R53" s="263">
        <f>IF(R$27=0,0,R$27/AGR!R$5*1000)</f>
        <v>3.2697993600945767</v>
      </c>
      <c r="S53" s="263">
        <f>IF(S$27=0,0,S$27/AGR!S$5*1000)</f>
        <v>3.1053405214518142</v>
      </c>
      <c r="T53" s="263">
        <f>IF(T$27=0,0,T$27/AGR!T$5*1000)</f>
        <v>3.6353481909364525</v>
      </c>
      <c r="U53" s="263">
        <f>IF(U$27=0,0,U$27/AGR!U$5*1000)</f>
        <v>4.07478515263203</v>
      </c>
      <c r="V53" s="263">
        <f>IF(V$27=0,0,V$27/AGR!V$5*1000)</f>
        <v>4.8552828354058954</v>
      </c>
      <c r="W53" s="263">
        <f>IF(W$27=0,0,W$27/AGR!W$5*1000)</f>
        <v>3.899528591429366</v>
      </c>
      <c r="X53" s="263">
        <f>IF(X$27=0,0,X$27/AGR!X$5*1000)</f>
        <v>2.9826383355870663</v>
      </c>
      <c r="Y53" s="263">
        <f>IF(Y$27=0,0,Y$27/AGR!Y$5*1000)</f>
        <v>3.4523595732633905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114.66313048993996</v>
      </c>
      <c r="C5" s="80">
        <f t="shared" ref="C5:W5" si="1">SUM(C6:C9,C16:C17,C25:C27)</f>
        <v>101.92631038095936</v>
      </c>
      <c r="D5" s="80">
        <f t="shared" si="1"/>
        <v>103.60111700750525</v>
      </c>
      <c r="E5" s="80">
        <f t="shared" si="1"/>
        <v>105.04523362169361</v>
      </c>
      <c r="F5" s="80">
        <f t="shared" si="1"/>
        <v>102.20620147858777</v>
      </c>
      <c r="G5" s="80">
        <f t="shared" si="1"/>
        <v>112.29647097454756</v>
      </c>
      <c r="H5" s="80">
        <f t="shared" si="1"/>
        <v>109.95932125857347</v>
      </c>
      <c r="I5" s="80">
        <f t="shared" si="1"/>
        <v>99.991648021086704</v>
      </c>
      <c r="J5" s="80">
        <f t="shared" si="1"/>
        <v>72.633825520811399</v>
      </c>
      <c r="K5" s="80">
        <f t="shared" si="1"/>
        <v>70.648310680671329</v>
      </c>
      <c r="L5" s="80">
        <f t="shared" si="1"/>
        <v>72.038323748973227</v>
      </c>
      <c r="M5" s="80">
        <f t="shared" si="1"/>
        <v>80.354152031915191</v>
      </c>
      <c r="N5" s="80">
        <f t="shared" si="1"/>
        <v>78.434784654872814</v>
      </c>
      <c r="O5" s="80">
        <f t="shared" si="1"/>
        <v>75.550600214009549</v>
      </c>
      <c r="P5" s="80">
        <f t="shared" si="1"/>
        <v>74.002013495852864</v>
      </c>
      <c r="Q5" s="80">
        <f t="shared" si="1"/>
        <v>70.18744564948048</v>
      </c>
      <c r="R5" s="80">
        <f t="shared" si="1"/>
        <v>72.162418528195829</v>
      </c>
      <c r="S5" s="80">
        <f t="shared" si="1"/>
        <v>68.615859891914837</v>
      </c>
      <c r="T5" s="80">
        <f t="shared" si="1"/>
        <v>72.357336944721567</v>
      </c>
      <c r="U5" s="80">
        <f t="shared" si="1"/>
        <v>77.071775195210549</v>
      </c>
      <c r="V5" s="80">
        <f t="shared" si="1"/>
        <v>78.252051525190282</v>
      </c>
      <c r="W5" s="80">
        <f t="shared" si="1"/>
        <v>79.22461040049167</v>
      </c>
      <c r="X5" s="80">
        <f t="shared" ref="X5:Y5" si="2">SUM(X6:X9,X16:X17,X25:X27)</f>
        <v>78.165494818431796</v>
      </c>
      <c r="Y5" s="80">
        <f t="shared" si="2"/>
        <v>79.008908368907711</v>
      </c>
      <c r="DA5" s="103"/>
    </row>
    <row r="6" spans="1:105" x14ac:dyDescent="0.25">
      <c r="A6" s="238" t="s">
        <v>125</v>
      </c>
      <c r="B6" s="239">
        <v>1.377686214472235</v>
      </c>
      <c r="C6" s="239">
        <v>1.282041131381878</v>
      </c>
      <c r="D6" s="239">
        <v>1.305757673922004</v>
      </c>
      <c r="E6" s="239">
        <v>1.3885332544109441</v>
      </c>
      <c r="F6" s="239">
        <v>1.236436175783989</v>
      </c>
      <c r="G6" s="239">
        <v>1.480557810443146</v>
      </c>
      <c r="H6" s="239">
        <v>1.532500138537267</v>
      </c>
      <c r="I6" s="239">
        <v>1.651621058975911</v>
      </c>
      <c r="J6" s="239">
        <v>2.0032038098407572</v>
      </c>
      <c r="K6" s="239">
        <v>1.8086331466275181</v>
      </c>
      <c r="L6" s="239">
        <v>1.6699383844609299</v>
      </c>
      <c r="M6" s="239">
        <v>2.0479132264147122</v>
      </c>
      <c r="N6" s="239">
        <v>1.952595329106823</v>
      </c>
      <c r="O6" s="239">
        <v>1.8464633411665701</v>
      </c>
      <c r="P6" s="239">
        <v>1.7659869230095619</v>
      </c>
      <c r="Q6" s="239">
        <v>1.6231022042297769</v>
      </c>
      <c r="R6" s="239">
        <v>1.650315673924504</v>
      </c>
      <c r="S6" s="239">
        <v>1.6283651775792189</v>
      </c>
      <c r="T6" s="239">
        <v>1.8951399338532651</v>
      </c>
      <c r="U6" s="239">
        <v>2.264966794863033</v>
      </c>
      <c r="V6" s="239">
        <v>2.5262244704244021</v>
      </c>
      <c r="W6" s="239">
        <v>2.2155443447876668</v>
      </c>
      <c r="X6" s="239">
        <v>1.9892933495656839</v>
      </c>
      <c r="Y6" s="239">
        <v>2.2459306137676678</v>
      </c>
      <c r="DA6" s="267" t="s">
        <v>1016</v>
      </c>
    </row>
    <row r="7" spans="1:105" x14ac:dyDescent="0.25">
      <c r="A7" s="240" t="s">
        <v>124</v>
      </c>
      <c r="B7" s="241">
        <v>0.88799886934462713</v>
      </c>
      <c r="C7" s="241">
        <v>0.82635005211003876</v>
      </c>
      <c r="D7" s="241">
        <v>0.8416367427505953</v>
      </c>
      <c r="E7" s="241">
        <v>0.89499041727486373</v>
      </c>
      <c r="F7" s="241">
        <v>0.79695500657497764</v>
      </c>
      <c r="G7" s="241">
        <v>0.95430559430872908</v>
      </c>
      <c r="H7" s="241">
        <v>0.98778544489747644</v>
      </c>
      <c r="I7" s="241">
        <v>1.064565804280929</v>
      </c>
      <c r="J7" s="241">
        <v>1.29118132962293</v>
      </c>
      <c r="K7" s="241">
        <v>1.1657692240752391</v>
      </c>
      <c r="L7" s="241">
        <v>1.076372385597667</v>
      </c>
      <c r="M7" s="241">
        <v>1.31999914818689</v>
      </c>
      <c r="N7" s="241">
        <v>1.258561221212976</v>
      </c>
      <c r="O7" s="241">
        <v>1.1901529840525671</v>
      </c>
      <c r="P7" s="241">
        <v>1.1382812533336071</v>
      </c>
      <c r="Q7" s="241">
        <v>1.0461837441982049</v>
      </c>
      <c r="R7" s="241">
        <v>1.0637244077150561</v>
      </c>
      <c r="S7" s="241">
        <v>1.0495760365319751</v>
      </c>
      <c r="T7" s="241">
        <v>1.2215278782884751</v>
      </c>
      <c r="U7" s="241">
        <v>1.4599027934034909</v>
      </c>
      <c r="V7" s="241">
        <v>1.628298555855809</v>
      </c>
      <c r="W7" s="241">
        <v>1.4280471507134911</v>
      </c>
      <c r="X7" s="241">
        <v>1.282215229166549</v>
      </c>
      <c r="Y7" s="241">
        <v>1.447632867848782</v>
      </c>
      <c r="DA7" s="268" t="s">
        <v>1017</v>
      </c>
    </row>
    <row r="8" spans="1:105" x14ac:dyDescent="0.25">
      <c r="A8" s="240" t="s">
        <v>123</v>
      </c>
      <c r="B8" s="241">
        <v>1.7646599755273451</v>
      </c>
      <c r="C8" s="241">
        <v>1.642149458827286</v>
      </c>
      <c r="D8" s="241">
        <v>1.67252766319546</v>
      </c>
      <c r="E8" s="241">
        <v>1.7785538049289249</v>
      </c>
      <c r="F8" s="241">
        <v>1.5837346768661229</v>
      </c>
      <c r="G8" s="241">
        <v>1.896426836603202</v>
      </c>
      <c r="H8" s="241">
        <v>1.962959074830263</v>
      </c>
      <c r="I8" s="241">
        <v>2.1155394798149918</v>
      </c>
      <c r="J8" s="241">
        <v>2.5658771561447709</v>
      </c>
      <c r="K8" s="241">
        <v>2.316654177662878</v>
      </c>
      <c r="L8" s="241">
        <v>2.1390018987624759</v>
      </c>
      <c r="M8" s="241">
        <v>2.6231448540635331</v>
      </c>
      <c r="N8" s="241">
        <v>2.5010534252869929</v>
      </c>
      <c r="O8" s="241">
        <v>2.3651103714377819</v>
      </c>
      <c r="P8" s="241">
        <v>2.2620291962008818</v>
      </c>
      <c r="Q8" s="241">
        <v>2.0790100575200481</v>
      </c>
      <c r="R8" s="241">
        <v>2.1138674294390292</v>
      </c>
      <c r="S8" s="241">
        <v>2.085751330187557</v>
      </c>
      <c r="T8" s="241">
        <v>2.4274595725526109</v>
      </c>
      <c r="U8" s="241">
        <v>2.9011658872730921</v>
      </c>
      <c r="V8" s="241">
        <v>3.2358073742237812</v>
      </c>
      <c r="W8" s="241">
        <v>2.837861327334597</v>
      </c>
      <c r="X8" s="241">
        <v>2.5480594323186039</v>
      </c>
      <c r="Y8" s="241">
        <v>2.8767826957211979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39.491683435973911</v>
      </c>
      <c r="C9" s="243">
        <f t="shared" ref="C9:W9" si="4">SUM(C10:C15)</f>
        <v>35.412409121658172</v>
      </c>
      <c r="D9" s="243">
        <f t="shared" si="4"/>
        <v>36.053705124017284</v>
      </c>
      <c r="E9" s="243">
        <f t="shared" si="4"/>
        <v>36.4075734610363</v>
      </c>
      <c r="F9" s="243">
        <f t="shared" si="4"/>
        <v>35.726864764577186</v>
      </c>
      <c r="G9" s="243">
        <f t="shared" si="4"/>
        <v>38.773069456775445</v>
      </c>
      <c r="H9" s="243">
        <f t="shared" si="4"/>
        <v>38.245534283212116</v>
      </c>
      <c r="I9" s="243">
        <f t="shared" si="4"/>
        <v>34.407470803741248</v>
      </c>
      <c r="J9" s="243">
        <f t="shared" si="4"/>
        <v>24.056097754643499</v>
      </c>
      <c r="K9" s="243">
        <f t="shared" si="4"/>
        <v>23.230766902468307</v>
      </c>
      <c r="L9" s="243">
        <f t="shared" si="4"/>
        <v>25.80367769144145</v>
      </c>
      <c r="M9" s="243">
        <f t="shared" si="4"/>
        <v>28.545914853447751</v>
      </c>
      <c r="N9" s="243">
        <f t="shared" si="4"/>
        <v>28.062482061840427</v>
      </c>
      <c r="O9" s="243">
        <f t="shared" si="4"/>
        <v>26.874106771434924</v>
      </c>
      <c r="P9" s="243">
        <f t="shared" si="4"/>
        <v>26.311285160005724</v>
      </c>
      <c r="Q9" s="243">
        <f t="shared" si="4"/>
        <v>23.459034905730977</v>
      </c>
      <c r="R9" s="243">
        <f t="shared" si="4"/>
        <v>25.82376547461223</v>
      </c>
      <c r="S9" s="243">
        <f t="shared" si="4"/>
        <v>24.306377298348576</v>
      </c>
      <c r="T9" s="243">
        <f t="shared" si="4"/>
        <v>25.275324175613928</v>
      </c>
      <c r="U9" s="243">
        <f t="shared" si="4"/>
        <v>26.688428287877517</v>
      </c>
      <c r="V9" s="243">
        <f t="shared" si="4"/>
        <v>27.9603538946157</v>
      </c>
      <c r="W9" s="243">
        <f t="shared" si="4"/>
        <v>27.191087528852041</v>
      </c>
      <c r="X9" s="243">
        <f t="shared" ref="X9:Y9" si="5">SUM(X10:X15)</f>
        <v>26.336486867947428</v>
      </c>
      <c r="Y9" s="243">
        <f t="shared" si="5"/>
        <v>26.482757968572038</v>
      </c>
      <c r="DA9" s="269"/>
    </row>
    <row r="10" spans="1:105" x14ac:dyDescent="0.25">
      <c r="A10" s="253" t="s">
        <v>166</v>
      </c>
      <c r="B10" s="254">
        <v>35.715525421461948</v>
      </c>
      <c r="C10" s="254">
        <v>31.392624650745191</v>
      </c>
      <c r="D10" s="254">
        <v>31.915671295038361</v>
      </c>
      <c r="E10" s="254">
        <v>31.631540436739112</v>
      </c>
      <c r="F10" s="254">
        <v>29.722650204105321</v>
      </c>
      <c r="G10" s="254">
        <v>31.109942460862118</v>
      </c>
      <c r="H10" s="254">
        <v>29.709965076857809</v>
      </c>
      <c r="I10" s="254">
        <v>25.132170700478738</v>
      </c>
      <c r="J10" s="254">
        <v>12.45190018795711</v>
      </c>
      <c r="K10" s="254">
        <v>14.656130545713101</v>
      </c>
      <c r="L10" s="254">
        <v>13.009119498475711</v>
      </c>
      <c r="M10" s="254">
        <v>13.804268428204701</v>
      </c>
      <c r="N10" s="254">
        <v>14.13952732507202</v>
      </c>
      <c r="O10" s="254">
        <v>13.90381898402909</v>
      </c>
      <c r="P10" s="254">
        <v>13.526964072018099</v>
      </c>
      <c r="Q10" s="254">
        <v>16.270609816249891</v>
      </c>
      <c r="R10" s="254">
        <v>12.36417039361875</v>
      </c>
      <c r="S10" s="254">
        <v>12.876158691102329</v>
      </c>
      <c r="T10" s="254">
        <v>13.724483833070529</v>
      </c>
      <c r="U10" s="254">
        <v>13.53469510123371</v>
      </c>
      <c r="V10" s="254">
        <v>11.307180406006911</v>
      </c>
      <c r="W10" s="254">
        <v>13.958991432002531</v>
      </c>
      <c r="X10" s="254">
        <v>15.906043980843871</v>
      </c>
      <c r="Y10" s="254">
        <v>15.255382909817349</v>
      </c>
      <c r="DA10" s="270" t="s">
        <v>1019</v>
      </c>
    </row>
    <row r="11" spans="1:105" x14ac:dyDescent="0.25">
      <c r="A11" s="253" t="s">
        <v>169</v>
      </c>
      <c r="B11" s="255">
        <v>3.4612224552727522</v>
      </c>
      <c r="C11" s="255">
        <v>3.6147397340727601</v>
      </c>
      <c r="D11" s="255">
        <v>3.7456396095570339</v>
      </c>
      <c r="E11" s="255">
        <v>4.18618439896564</v>
      </c>
      <c r="F11" s="255">
        <v>5.5411237428570299</v>
      </c>
      <c r="G11" s="255">
        <v>7.0986487699578564</v>
      </c>
      <c r="H11" s="255">
        <v>8.1118976440571977</v>
      </c>
      <c r="I11" s="255">
        <v>8.2162361814348834</v>
      </c>
      <c r="J11" s="255">
        <v>8.6758628136613556</v>
      </c>
      <c r="K11" s="255">
        <v>6.4760425027855826</v>
      </c>
      <c r="L11" s="255">
        <v>5.4286039839251119</v>
      </c>
      <c r="M11" s="255">
        <v>6.0257857239834429</v>
      </c>
      <c r="N11" s="255">
        <v>4.8604208460034037</v>
      </c>
      <c r="O11" s="255">
        <v>4.5750357216414343</v>
      </c>
      <c r="P11" s="255">
        <v>4.8413031118277896</v>
      </c>
      <c r="Q11" s="255">
        <v>3.9417866149647578</v>
      </c>
      <c r="R11" s="255">
        <v>6.7701007959109187</v>
      </c>
      <c r="S11" s="255">
        <v>3.8221005536856021</v>
      </c>
      <c r="T11" s="255">
        <v>3.507762425906745</v>
      </c>
      <c r="U11" s="255">
        <v>2.565678574707861</v>
      </c>
      <c r="V11" s="255">
        <v>2.8659613478089678</v>
      </c>
      <c r="W11" s="255">
        <v>4.6764146043174408</v>
      </c>
      <c r="X11" s="255">
        <v>4.2261258627089582</v>
      </c>
      <c r="Y11" s="255">
        <v>3.9716041220623581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4.8939839881782507E-2</v>
      </c>
      <c r="C14" s="254">
        <v>0.14687827095373929</v>
      </c>
      <c r="D14" s="254">
        <v>0.13054540722368221</v>
      </c>
      <c r="E14" s="254">
        <v>0.27742367817748759</v>
      </c>
      <c r="F14" s="254">
        <v>0.22848383829561089</v>
      </c>
      <c r="G14" s="254">
        <v>0.21215097456565771</v>
      </c>
      <c r="H14" s="254">
        <v>3.2665727460128129E-2</v>
      </c>
      <c r="I14" s="254">
        <v>0.44063481286124617</v>
      </c>
      <c r="J14" s="254">
        <v>0.29375654190771161</v>
      </c>
      <c r="K14" s="254">
        <v>0.16321113468381671</v>
      </c>
      <c r="L14" s="254">
        <v>6.0546748365587719</v>
      </c>
      <c r="M14" s="254">
        <v>6.6911277602687704</v>
      </c>
      <c r="N14" s="254">
        <v>7.2623079803512578</v>
      </c>
      <c r="O14" s="254">
        <v>6.723734736416314</v>
      </c>
      <c r="P14" s="254">
        <v>6.4137040820843154</v>
      </c>
      <c r="Q14" s="254">
        <v>1.876751794937783</v>
      </c>
      <c r="R14" s="254">
        <v>5.4181631615525134</v>
      </c>
      <c r="S14" s="254">
        <v>6.1818126679030314</v>
      </c>
      <c r="T14" s="254">
        <v>5.9753018189449154</v>
      </c>
      <c r="U14" s="254">
        <v>7.0831164897967458</v>
      </c>
      <c r="V14" s="254">
        <v>8.944534193260349</v>
      </c>
      <c r="W14" s="254">
        <v>5.5497073410328426</v>
      </c>
      <c r="X14" s="254">
        <v>4.0212920534822869</v>
      </c>
      <c r="Y14" s="254">
        <v>4.0359798805823344</v>
      </c>
      <c r="DA14" s="270" t="s">
        <v>1023</v>
      </c>
    </row>
    <row r="15" spans="1:105" x14ac:dyDescent="0.25">
      <c r="A15" s="253" t="s">
        <v>24</v>
      </c>
      <c r="B15" s="255">
        <v>0.2659957193574306</v>
      </c>
      <c r="C15" s="255">
        <v>0.25816646588648062</v>
      </c>
      <c r="D15" s="255">
        <v>0.26184881219820172</v>
      </c>
      <c r="E15" s="255">
        <v>0.3124249471540636</v>
      </c>
      <c r="F15" s="255">
        <v>0.23460697931922719</v>
      </c>
      <c r="G15" s="255">
        <v>0.35232725138980719</v>
      </c>
      <c r="H15" s="255">
        <v>0.39100583483697882</v>
      </c>
      <c r="I15" s="255">
        <v>0.61842910896638248</v>
      </c>
      <c r="J15" s="255">
        <v>2.6345782111173208</v>
      </c>
      <c r="K15" s="255">
        <v>1.935382719285808</v>
      </c>
      <c r="L15" s="255">
        <v>1.311279372481857</v>
      </c>
      <c r="M15" s="255">
        <v>2.0247329409908361</v>
      </c>
      <c r="N15" s="255">
        <v>1.800225910413743</v>
      </c>
      <c r="O15" s="255">
        <v>1.6715173293480849</v>
      </c>
      <c r="P15" s="255">
        <v>1.5293138940755231</v>
      </c>
      <c r="Q15" s="255">
        <v>1.369886679578546</v>
      </c>
      <c r="R15" s="255">
        <v>1.271331123530046</v>
      </c>
      <c r="S15" s="255">
        <v>1.4263053856576151</v>
      </c>
      <c r="T15" s="255">
        <v>2.067776097691739</v>
      </c>
      <c r="U15" s="255">
        <v>3.5049381221391962</v>
      </c>
      <c r="V15" s="255">
        <v>4.8426779475394719</v>
      </c>
      <c r="W15" s="255">
        <v>3.005974151499228</v>
      </c>
      <c r="X15" s="255">
        <v>2.1830249709123111</v>
      </c>
      <c r="Y15" s="255">
        <v>3.2197910561099952</v>
      </c>
      <c r="DA15" s="271" t="s">
        <v>1024</v>
      </c>
    </row>
    <row r="16" spans="1:105" x14ac:dyDescent="0.25">
      <c r="A16" s="256" t="s">
        <v>168</v>
      </c>
      <c r="B16" s="257">
        <v>29.193244198219819</v>
      </c>
      <c r="C16" s="257">
        <v>26.035940853954401</v>
      </c>
      <c r="D16" s="257">
        <v>26.499293395168209</v>
      </c>
      <c r="E16" s="257">
        <v>26.63592084739874</v>
      </c>
      <c r="F16" s="257">
        <v>25.79246375997559</v>
      </c>
      <c r="G16" s="257">
        <v>27.77545095687902</v>
      </c>
      <c r="H16" s="257">
        <v>27.219057095590632</v>
      </c>
      <c r="I16" s="257">
        <v>24.124337286166881</v>
      </c>
      <c r="J16" s="257">
        <v>15.38955606840419</v>
      </c>
      <c r="K16" s="257">
        <v>15.734584738952069</v>
      </c>
      <c r="L16" s="257">
        <v>15.747415994528151</v>
      </c>
      <c r="M16" s="257">
        <v>17.21174232352659</v>
      </c>
      <c r="N16" s="257">
        <v>17.010439661329571</v>
      </c>
      <c r="O16" s="257">
        <v>16.445108100698999</v>
      </c>
      <c r="P16" s="257">
        <v>16.104114883311912</v>
      </c>
      <c r="Q16" s="257">
        <v>16.097878950535179</v>
      </c>
      <c r="R16" s="257">
        <v>15.63480995225518</v>
      </c>
      <c r="S16" s="257">
        <v>14.963627103448159</v>
      </c>
      <c r="T16" s="257">
        <v>15.689842347691631</v>
      </c>
      <c r="U16" s="257">
        <v>16.05204783073712</v>
      </c>
      <c r="V16" s="257">
        <v>15.43556192715304</v>
      </c>
      <c r="W16" s="257">
        <v>16.701795836645761</v>
      </c>
      <c r="X16" s="257">
        <v>17.147674686199039</v>
      </c>
      <c r="Y16" s="257">
        <v>16.942558333602062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34.572793809939981</v>
      </c>
      <c r="C17" s="257">
        <f t="shared" ref="C17:W17" si="7">SUM(C18:C24)</f>
        <v>30.016440521927294</v>
      </c>
      <c r="D17" s="257">
        <f t="shared" si="7"/>
        <v>30.395530312366336</v>
      </c>
      <c r="E17" s="257">
        <f t="shared" si="7"/>
        <v>30.881436131030338</v>
      </c>
      <c r="F17" s="257">
        <f t="shared" si="7"/>
        <v>30.505664311688555</v>
      </c>
      <c r="G17" s="257">
        <f t="shared" si="7"/>
        <v>33.974824165276402</v>
      </c>
      <c r="H17" s="257">
        <f t="shared" si="7"/>
        <v>32.514481899097099</v>
      </c>
      <c r="I17" s="257">
        <f t="shared" si="7"/>
        <v>29.249231917043822</v>
      </c>
      <c r="J17" s="257">
        <f t="shared" si="7"/>
        <v>20.243962343317918</v>
      </c>
      <c r="K17" s="257">
        <f t="shared" si="7"/>
        <v>19.748542683577465</v>
      </c>
      <c r="L17" s="257">
        <f t="shared" si="7"/>
        <v>19.303975349581197</v>
      </c>
      <c r="M17" s="257">
        <f t="shared" si="7"/>
        <v>21.164482098400242</v>
      </c>
      <c r="N17" s="257">
        <f t="shared" si="7"/>
        <v>20.474349133580503</v>
      </c>
      <c r="O17" s="257">
        <f t="shared" si="7"/>
        <v>19.996039303615259</v>
      </c>
      <c r="P17" s="257">
        <f t="shared" si="7"/>
        <v>19.83399110793513</v>
      </c>
      <c r="Q17" s="257">
        <f t="shared" si="7"/>
        <v>19.654380502247232</v>
      </c>
      <c r="R17" s="257">
        <f t="shared" si="7"/>
        <v>19.642254609208528</v>
      </c>
      <c r="S17" s="257">
        <f t="shared" si="7"/>
        <v>18.493703952278416</v>
      </c>
      <c r="T17" s="257">
        <f t="shared" si="7"/>
        <v>18.994180868026596</v>
      </c>
      <c r="U17" s="257">
        <f t="shared" si="7"/>
        <v>19.877028993696367</v>
      </c>
      <c r="V17" s="257">
        <f t="shared" si="7"/>
        <v>19.066584254798776</v>
      </c>
      <c r="W17" s="257">
        <f t="shared" si="7"/>
        <v>21.058342543129211</v>
      </c>
      <c r="X17" s="257">
        <f t="shared" ref="X17:Y17" si="8">SUM(X18:X24)</f>
        <v>21.576149144450262</v>
      </c>
      <c r="Y17" s="257">
        <f t="shared" si="8"/>
        <v>21.112874258974806</v>
      </c>
      <c r="DA17" s="272"/>
    </row>
    <row r="18" spans="1:105" x14ac:dyDescent="0.25">
      <c r="A18" s="61" t="s">
        <v>29</v>
      </c>
      <c r="B18" s="55">
        <v>0.2289276462868472</v>
      </c>
      <c r="C18" s="55">
        <v>0.18552375562518009</v>
      </c>
      <c r="D18" s="55">
        <v>0.4968830275118899</v>
      </c>
      <c r="E18" s="55">
        <v>0.28007396630561909</v>
      </c>
      <c r="F18" s="55">
        <v>0.65638128010815533</v>
      </c>
      <c r="G18" s="55">
        <v>1.1514759747527199</v>
      </c>
      <c r="H18" s="55">
        <v>1.4923953369837839</v>
      </c>
      <c r="I18" s="55">
        <v>1.970490349777577</v>
      </c>
      <c r="J18" s="55">
        <v>1.5932573107218211</v>
      </c>
      <c r="K18" s="55">
        <v>1.247162302780656</v>
      </c>
      <c r="L18" s="55">
        <v>0.9751884324057587</v>
      </c>
      <c r="M18" s="55">
        <v>1.1789952617059281</v>
      </c>
      <c r="N18" s="55">
        <v>1.070601250707037</v>
      </c>
      <c r="O18" s="55">
        <v>1.636219377971379</v>
      </c>
      <c r="P18" s="55">
        <v>1.393616245047842</v>
      </c>
      <c r="Q18" s="55">
        <v>1.657658333172066</v>
      </c>
      <c r="R18" s="55">
        <v>1.835292384966575</v>
      </c>
      <c r="S18" s="55">
        <v>2.325821570997423</v>
      </c>
      <c r="T18" s="55">
        <v>2.2083806996094508</v>
      </c>
      <c r="U18" s="55">
        <v>2.4478910686267521</v>
      </c>
      <c r="V18" s="55">
        <v>2.3160383382516341</v>
      </c>
      <c r="W18" s="55">
        <v>2.3373089797709961</v>
      </c>
      <c r="X18" s="55">
        <v>2.7402308944862162</v>
      </c>
      <c r="Y18" s="55">
        <v>1.930074026963374</v>
      </c>
      <c r="DA18" s="101" t="s">
        <v>1026</v>
      </c>
    </row>
    <row r="19" spans="1:105" x14ac:dyDescent="0.25">
      <c r="A19" s="61" t="s">
        <v>27</v>
      </c>
      <c r="B19" s="55">
        <v>0.32084372437611219</v>
      </c>
      <c r="C19" s="55">
        <v>0.32084372437613867</v>
      </c>
      <c r="D19" s="55">
        <v>0.32084372437613629</v>
      </c>
      <c r="E19" s="55">
        <v>0.64168744875242034</v>
      </c>
      <c r="F19" s="55">
        <v>0</v>
      </c>
      <c r="G19" s="55">
        <v>1.063260327786778</v>
      </c>
      <c r="H19" s="55">
        <v>0.70884021852463186</v>
      </c>
      <c r="I19" s="55">
        <v>0.62405679428834027</v>
      </c>
      <c r="J19" s="55">
        <v>0.9360607722411679</v>
      </c>
      <c r="K19" s="55">
        <v>1.5601175665280429</v>
      </c>
      <c r="L19" s="55">
        <v>0.93606077224061279</v>
      </c>
      <c r="M19" s="55">
        <v>0.93606077224365425</v>
      </c>
      <c r="N19" s="55">
        <v>0.6240567942879538</v>
      </c>
      <c r="O19" s="55">
        <v>0.62405679428769356</v>
      </c>
      <c r="P19" s="55">
        <v>0.93606077224188033</v>
      </c>
      <c r="Q19" s="55">
        <v>0.62405679428674787</v>
      </c>
      <c r="R19" s="55">
        <v>0.62405679428616867</v>
      </c>
      <c r="S19" s="55">
        <v>0.73763044236322439</v>
      </c>
      <c r="T19" s="55">
        <v>0.81281712531864891</v>
      </c>
      <c r="U19" s="55">
        <v>0.67208933906464363</v>
      </c>
      <c r="V19" s="55">
        <v>0.54137342030665825</v>
      </c>
      <c r="W19" s="55">
        <v>0.53387672928071805</v>
      </c>
      <c r="X19" s="55">
        <v>0.5033039046425446</v>
      </c>
      <c r="Y19" s="55">
        <v>0.48052080129878288</v>
      </c>
      <c r="DA19" s="101" t="s">
        <v>1027</v>
      </c>
    </row>
    <row r="20" spans="1:105" x14ac:dyDescent="0.25">
      <c r="A20" s="61" t="s">
        <v>166</v>
      </c>
      <c r="B20" s="55">
        <v>23.91032412810841</v>
      </c>
      <c r="C20" s="55">
        <v>23.344289756963519</v>
      </c>
      <c r="D20" s="55">
        <v>24.053504140146629</v>
      </c>
      <c r="E20" s="55">
        <v>23.49242375044205</v>
      </c>
      <c r="F20" s="55">
        <v>21.268923371626009</v>
      </c>
      <c r="G20" s="55">
        <v>20.953918480596709</v>
      </c>
      <c r="H20" s="55">
        <v>21.853726769918261</v>
      </c>
      <c r="I20" s="55">
        <v>18.50363159583868</v>
      </c>
      <c r="J20" s="55">
        <v>9.377595265684338</v>
      </c>
      <c r="K20" s="55">
        <v>11.06291969995703</v>
      </c>
      <c r="L20" s="55">
        <v>11.79631176135649</v>
      </c>
      <c r="M20" s="55">
        <v>12.763168113191769</v>
      </c>
      <c r="N20" s="55">
        <v>13.35455093262472</v>
      </c>
      <c r="O20" s="55">
        <v>12.435442455354689</v>
      </c>
      <c r="P20" s="55">
        <v>11.765483920661</v>
      </c>
      <c r="Q20" s="55">
        <v>11.900524322221241</v>
      </c>
      <c r="R20" s="55">
        <v>10.82584916428844</v>
      </c>
      <c r="S20" s="55">
        <v>10.743536713501539</v>
      </c>
      <c r="T20" s="55">
        <v>12.063158278066989</v>
      </c>
      <c r="U20" s="55">
        <v>11.544912222703291</v>
      </c>
      <c r="V20" s="55">
        <v>11.1416644031444</v>
      </c>
      <c r="W20" s="55">
        <v>11.408600035772499</v>
      </c>
      <c r="X20" s="55">
        <v>11.79358147073366</v>
      </c>
      <c r="Y20" s="55">
        <v>11.96534433808659</v>
      </c>
      <c r="DA20" s="101" t="s">
        <v>1028</v>
      </c>
    </row>
    <row r="21" spans="1:105" x14ac:dyDescent="0.25">
      <c r="A21" s="61" t="s">
        <v>129</v>
      </c>
      <c r="B21" s="55">
        <v>4.3954924786513168</v>
      </c>
      <c r="C21" s="55">
        <v>3.17452476345552</v>
      </c>
      <c r="D21" s="55">
        <v>2.197746239325824</v>
      </c>
      <c r="E21" s="55">
        <v>2.686124621459403</v>
      </c>
      <c r="F21" s="55">
        <v>3.9071140965182769</v>
      </c>
      <c r="G21" s="55">
        <v>4.8838708607862671</v>
      </c>
      <c r="H21" s="55">
        <v>1.9229409199560339</v>
      </c>
      <c r="I21" s="55">
        <v>1.6924386831905101</v>
      </c>
      <c r="J21" s="55">
        <v>1.450664836997356</v>
      </c>
      <c r="K21" s="55">
        <v>0.2417738461889474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1.8865801876154911E-2</v>
      </c>
      <c r="T21" s="55">
        <v>2.1520505254343479E-2</v>
      </c>
      <c r="U21" s="55">
        <v>2.2154587684144218</v>
      </c>
      <c r="V21" s="55">
        <v>1.610882713832352</v>
      </c>
      <c r="W21" s="55">
        <v>2.3283271817184392</v>
      </c>
      <c r="X21" s="55">
        <v>2.6899761173361578</v>
      </c>
      <c r="Y21" s="55">
        <v>2.6730034236103251</v>
      </c>
      <c r="DA21" s="101" t="s">
        <v>1029</v>
      </c>
    </row>
    <row r="22" spans="1:105" x14ac:dyDescent="0.25">
      <c r="A22" s="61" t="s">
        <v>169</v>
      </c>
      <c r="B22" s="55">
        <v>2.2616853007814801</v>
      </c>
      <c r="C22" s="55">
        <v>2.6236404241416742</v>
      </c>
      <c r="D22" s="55">
        <v>2.7553362259947969</v>
      </c>
      <c r="E22" s="55">
        <v>3.0345904127408132</v>
      </c>
      <c r="F22" s="55">
        <v>3.8701702293380982</v>
      </c>
      <c r="G22" s="55">
        <v>4.6667654459091326</v>
      </c>
      <c r="H22" s="55">
        <v>5.8239826519537239</v>
      </c>
      <c r="I22" s="55">
        <v>5.9043776836654533</v>
      </c>
      <c r="J22" s="55">
        <v>6.3773870135601243</v>
      </c>
      <c r="K22" s="55">
        <v>4.7712741231304552</v>
      </c>
      <c r="L22" s="55">
        <v>4.8046387860822168</v>
      </c>
      <c r="M22" s="55">
        <v>5.4379225911062017</v>
      </c>
      <c r="N22" s="55">
        <v>4.4806654152285006</v>
      </c>
      <c r="O22" s="55">
        <v>3.9938878861473599</v>
      </c>
      <c r="P22" s="55">
        <v>4.1100393088212206</v>
      </c>
      <c r="Q22" s="55">
        <v>2.8140358066940898</v>
      </c>
      <c r="R22" s="55">
        <v>5.7858393106584121</v>
      </c>
      <c r="S22" s="55">
        <v>3.1127002691872852</v>
      </c>
      <c r="T22" s="55">
        <v>3.009327271550549</v>
      </c>
      <c r="U22" s="55">
        <v>2.1360855835075361</v>
      </c>
      <c r="V22" s="55">
        <v>2.7563878281634882</v>
      </c>
      <c r="W22" s="55">
        <v>3.730487294924536</v>
      </c>
      <c r="X22" s="55">
        <v>3.0584416732436792</v>
      </c>
      <c r="Y22" s="55">
        <v>3.040480931403259</v>
      </c>
      <c r="DA22" s="101" t="s">
        <v>1030</v>
      </c>
    </row>
    <row r="23" spans="1:105" x14ac:dyDescent="0.25">
      <c r="A23" s="61" t="s">
        <v>164</v>
      </c>
      <c r="B23" s="55">
        <v>3.4555205317358171</v>
      </c>
      <c r="C23" s="55">
        <v>0.36761809736526241</v>
      </c>
      <c r="D23" s="55">
        <v>0.57121695501106118</v>
      </c>
      <c r="E23" s="55">
        <v>0.74653593133003371</v>
      </c>
      <c r="F23" s="55">
        <v>0.80307533409801557</v>
      </c>
      <c r="G23" s="55">
        <v>1.2555330754447931</v>
      </c>
      <c r="H23" s="55">
        <v>0.7125960017606624</v>
      </c>
      <c r="I23" s="55">
        <v>0.55423681028326388</v>
      </c>
      <c r="J23" s="55">
        <v>0.5089971441131087</v>
      </c>
      <c r="K23" s="55">
        <v>0.86529514499233517</v>
      </c>
      <c r="L23" s="55">
        <v>0.79177559749611737</v>
      </c>
      <c r="M23" s="55">
        <v>0.84833536015268929</v>
      </c>
      <c r="N23" s="55">
        <v>0.94447474073228987</v>
      </c>
      <c r="O23" s="55">
        <v>1.3064327898541379</v>
      </c>
      <c r="P23" s="55">
        <v>1.6287908611631881</v>
      </c>
      <c r="Q23" s="55">
        <v>2.6581052458730872</v>
      </c>
      <c r="R23" s="55">
        <v>0.57121695500893199</v>
      </c>
      <c r="S23" s="55">
        <v>1.5551491543527911</v>
      </c>
      <c r="T23" s="55">
        <v>0.87897698822661596</v>
      </c>
      <c r="U23" s="55">
        <v>0.86059201137972141</v>
      </c>
      <c r="V23" s="55">
        <v>0.70023755110024499</v>
      </c>
      <c r="W23" s="55">
        <v>0.71974232166202057</v>
      </c>
      <c r="X23" s="55">
        <v>0.79061508400800729</v>
      </c>
      <c r="Y23" s="55">
        <v>1.023450737612474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1032</v>
      </c>
    </row>
    <row r="25" spans="1:105" x14ac:dyDescent="0.25">
      <c r="A25" s="256" t="s">
        <v>167</v>
      </c>
      <c r="B25" s="257">
        <v>3.9268076128141161</v>
      </c>
      <c r="C25" s="257">
        <v>3.5021161080247638</v>
      </c>
      <c r="D25" s="257">
        <v>3.564442044597655</v>
      </c>
      <c r="E25" s="257">
        <v>3.5828199170908741</v>
      </c>
      <c r="F25" s="257">
        <v>3.469365801149308</v>
      </c>
      <c r="G25" s="257">
        <v>3.7360990620380781</v>
      </c>
      <c r="H25" s="257">
        <v>3.6612580599419999</v>
      </c>
      <c r="I25" s="257">
        <v>3.2449847185943161</v>
      </c>
      <c r="J25" s="257">
        <v>2.0700620156126499</v>
      </c>
      <c r="K25" s="257">
        <v>2.1164721097065842</v>
      </c>
      <c r="L25" s="257">
        <v>2.118198052590353</v>
      </c>
      <c r="M25" s="257">
        <v>2.3151658077775581</v>
      </c>
      <c r="N25" s="257">
        <v>2.2880884188779991</v>
      </c>
      <c r="O25" s="257">
        <v>2.21204519939287</v>
      </c>
      <c r="P25" s="257">
        <v>2.166177917467579</v>
      </c>
      <c r="Q25" s="257">
        <v>2.1653391169514591</v>
      </c>
      <c r="R25" s="257">
        <v>2.1030513199749592</v>
      </c>
      <c r="S25" s="257">
        <v>2.012769955478773</v>
      </c>
      <c r="T25" s="257">
        <v>2.110453773360542</v>
      </c>
      <c r="U25" s="257">
        <v>2.1591743348222519</v>
      </c>
      <c r="V25" s="257">
        <v>2.076250302023793</v>
      </c>
      <c r="W25" s="257">
        <v>2.2465724807319281</v>
      </c>
      <c r="X25" s="257">
        <v>2.3065480164733558</v>
      </c>
      <c r="Y25" s="257">
        <v>2.2789576448989788</v>
      </c>
      <c r="DA25" s="272" t="s">
        <v>1033</v>
      </c>
    </row>
    <row r="26" spans="1:105" x14ac:dyDescent="0.25">
      <c r="A26" s="256" t="s">
        <v>170</v>
      </c>
      <c r="B26" s="257">
        <v>1.3661521066840421</v>
      </c>
      <c r="C26" s="257">
        <v>1.271307772476983</v>
      </c>
      <c r="D26" s="257">
        <v>1.2948257580778391</v>
      </c>
      <c r="E26" s="257">
        <v>1.3769083342690209</v>
      </c>
      <c r="F26" s="257">
        <v>1.226084625499966</v>
      </c>
      <c r="G26" s="257">
        <v>1.4681624527826611</v>
      </c>
      <c r="H26" s="257">
        <v>1.519669915226888</v>
      </c>
      <c r="I26" s="257">
        <v>1.637793545047584</v>
      </c>
      <c r="J26" s="257">
        <v>1.986432814804507</v>
      </c>
      <c r="K26" s="257">
        <v>1.7934911139619061</v>
      </c>
      <c r="L26" s="257">
        <v>1.6559575163041029</v>
      </c>
      <c r="M26" s="257">
        <v>2.0307679202875231</v>
      </c>
      <c r="N26" s="257">
        <v>1.9362480326353479</v>
      </c>
      <c r="O26" s="257">
        <v>1.831004590850104</v>
      </c>
      <c r="P26" s="257">
        <v>1.7512019282055491</v>
      </c>
      <c r="Q26" s="257">
        <v>1.6095134526126229</v>
      </c>
      <c r="R26" s="257">
        <v>1.636499088792394</v>
      </c>
      <c r="S26" s="257">
        <v>1.6147323638953459</v>
      </c>
      <c r="T26" s="257">
        <v>1.879273658905346</v>
      </c>
      <c r="U26" s="257">
        <v>2.2460042975438328</v>
      </c>
      <c r="V26" s="257">
        <v>2.5050747013166301</v>
      </c>
      <c r="W26" s="257">
        <v>2.1969956164822939</v>
      </c>
      <c r="X26" s="257">
        <v>1.9726388141023841</v>
      </c>
      <c r="Y26" s="257">
        <v>2.2271274889981258</v>
      </c>
      <c r="DA26" s="272" t="s">
        <v>1034</v>
      </c>
    </row>
    <row r="27" spans="1:105" x14ac:dyDescent="0.25">
      <c r="A27" s="128" t="s">
        <v>33</v>
      </c>
      <c r="B27" s="258">
        <v>2.0821042669638752</v>
      </c>
      <c r="C27" s="258">
        <v>1.9375553605985489</v>
      </c>
      <c r="D27" s="258">
        <v>1.9733982934098819</v>
      </c>
      <c r="E27" s="258">
        <v>2.0984974542535979</v>
      </c>
      <c r="F27" s="258">
        <v>1.868632356472071</v>
      </c>
      <c r="G27" s="258">
        <v>2.2375746394408691</v>
      </c>
      <c r="H27" s="258">
        <v>2.3160753472397322</v>
      </c>
      <c r="I27" s="258">
        <v>2.496103407421038</v>
      </c>
      <c r="J27" s="258">
        <v>3.0274522284201821</v>
      </c>
      <c r="K27" s="258">
        <v>2.7333965836393652</v>
      </c>
      <c r="L27" s="258">
        <v>2.5237864757069</v>
      </c>
      <c r="M27" s="258">
        <v>3.095021799810397</v>
      </c>
      <c r="N27" s="258">
        <v>2.9509673710021591</v>
      </c>
      <c r="O27" s="258">
        <v>2.790569551360468</v>
      </c>
      <c r="P27" s="258">
        <v>2.6689451263829258</v>
      </c>
      <c r="Q27" s="258">
        <v>2.4530027154549838</v>
      </c>
      <c r="R27" s="258">
        <v>2.4941305722739542</v>
      </c>
      <c r="S27" s="258">
        <v>2.4609566741668281</v>
      </c>
      <c r="T27" s="258">
        <v>2.8641347364291581</v>
      </c>
      <c r="U27" s="258">
        <v>3.423055974993829</v>
      </c>
      <c r="V27" s="258">
        <v>3.8178960447783479</v>
      </c>
      <c r="W27" s="258">
        <v>3.3483635718146711</v>
      </c>
      <c r="X27" s="258">
        <v>3.0064292782085058</v>
      </c>
      <c r="Y27" s="258">
        <v>3.3942864965240589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0.99999999999999978</v>
      </c>
      <c r="C31" s="235">
        <f t="shared" si="9"/>
        <v>1</v>
      </c>
      <c r="D31" s="235">
        <f t="shared" si="9"/>
        <v>1.0000000000000002</v>
      </c>
      <c r="E31" s="235">
        <f t="shared" si="9"/>
        <v>1</v>
      </c>
      <c r="F31" s="235">
        <f t="shared" si="9"/>
        <v>1</v>
      </c>
      <c r="G31" s="235">
        <f t="shared" si="9"/>
        <v>0.99999999999999989</v>
      </c>
      <c r="H31" s="235">
        <f t="shared" si="9"/>
        <v>1</v>
      </c>
      <c r="I31" s="235">
        <f t="shared" si="9"/>
        <v>1</v>
      </c>
      <c r="J31" s="235">
        <f t="shared" si="9"/>
        <v>1</v>
      </c>
      <c r="K31" s="235">
        <f t="shared" si="9"/>
        <v>1</v>
      </c>
      <c r="L31" s="235">
        <f t="shared" si="9"/>
        <v>1</v>
      </c>
      <c r="M31" s="235">
        <f t="shared" si="9"/>
        <v>1.0000000000000002</v>
      </c>
      <c r="N31" s="235">
        <f t="shared" si="9"/>
        <v>0.99999999999999978</v>
      </c>
      <c r="O31" s="235">
        <f t="shared" si="9"/>
        <v>0.99999999999999978</v>
      </c>
      <c r="P31" s="235">
        <f t="shared" si="9"/>
        <v>1</v>
      </c>
      <c r="Q31" s="235">
        <f t="shared" si="9"/>
        <v>1</v>
      </c>
      <c r="R31" s="235">
        <f t="shared" ref="R31:W31" si="10">SUM(R32:R40)</f>
        <v>1.0000000000000002</v>
      </c>
      <c r="S31" s="235">
        <f t="shared" si="10"/>
        <v>1.0000000000000002</v>
      </c>
      <c r="T31" s="235">
        <f t="shared" si="10"/>
        <v>0.99999999999999967</v>
      </c>
      <c r="U31" s="235">
        <f t="shared" si="10"/>
        <v>0.99999999999999989</v>
      </c>
      <c r="V31" s="235">
        <f t="shared" si="10"/>
        <v>1</v>
      </c>
      <c r="W31" s="235">
        <f t="shared" si="10"/>
        <v>1</v>
      </c>
      <c r="X31" s="235">
        <f t="shared" ref="X31:Y31" si="11">SUM(X32:X40)</f>
        <v>1.0000000000000002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1.2015075888697345E-2</v>
      </c>
      <c r="C32" s="244">
        <f t="shared" si="12"/>
        <v>1.2578117726327248E-2</v>
      </c>
      <c r="D32" s="244">
        <f t="shared" si="12"/>
        <v>1.2603702659184746E-2</v>
      </c>
      <c r="E32" s="244">
        <f t="shared" si="12"/>
        <v>1.3218431779699414E-2</v>
      </c>
      <c r="F32" s="244">
        <f t="shared" si="12"/>
        <v>1.2097467256358439E-2</v>
      </c>
      <c r="G32" s="244">
        <f t="shared" si="12"/>
        <v>1.3184366325979384E-2</v>
      </c>
      <c r="H32" s="244">
        <f t="shared" si="12"/>
        <v>1.3936973427960103E-2</v>
      </c>
      <c r="I32" s="244">
        <f t="shared" si="12"/>
        <v>1.6517590135404204E-2</v>
      </c>
      <c r="J32" s="244">
        <f t="shared" si="12"/>
        <v>2.7579489245913247E-2</v>
      </c>
      <c r="K32" s="244">
        <f t="shared" si="12"/>
        <v>2.560051513195406E-2</v>
      </c>
      <c r="L32" s="244">
        <f t="shared" si="12"/>
        <v>2.3181249889712097E-2</v>
      </c>
      <c r="M32" s="244">
        <f t="shared" si="12"/>
        <v>2.5486090944016417E-2</v>
      </c>
      <c r="N32" s="244">
        <f t="shared" si="12"/>
        <v>2.4894507426757074E-2</v>
      </c>
      <c r="O32" s="244">
        <f t="shared" si="12"/>
        <v>2.4440088310829534E-2</v>
      </c>
      <c r="P32" s="244">
        <f t="shared" si="12"/>
        <v>2.386403882251838E-2</v>
      </c>
      <c r="Q32" s="244">
        <f t="shared" si="12"/>
        <v>2.3125249668375571E-2</v>
      </c>
      <c r="R32" s="244">
        <f t="shared" si="12"/>
        <v>2.2869461799976679E-2</v>
      </c>
      <c r="S32" s="244">
        <f t="shared" si="12"/>
        <v>2.3731615112661336E-2</v>
      </c>
      <c r="T32" s="244">
        <f t="shared" si="12"/>
        <v>2.6191399709763842E-2</v>
      </c>
      <c r="U32" s="244">
        <f t="shared" si="12"/>
        <v>2.9387759515415758E-2</v>
      </c>
      <c r="V32" s="244">
        <f t="shared" si="12"/>
        <v>3.2283172404894457E-2</v>
      </c>
      <c r="W32" s="244">
        <f t="shared" si="12"/>
        <v>2.7965354876316528E-2</v>
      </c>
      <c r="X32" s="244">
        <f t="shared" si="12"/>
        <v>2.5449763405023557E-2</v>
      </c>
      <c r="Y32" s="244">
        <f t="shared" si="12"/>
        <v>2.8426295972613466E-2</v>
      </c>
      <c r="DA32" s="275"/>
    </row>
    <row r="33" spans="1:105" x14ac:dyDescent="0.25">
      <c r="A33" s="240" t="s">
        <v>124</v>
      </c>
      <c r="B33" s="245">
        <f t="shared" ref="B33:Y33" si="13">IF(B$7=0,0,B$7/B$5)</f>
        <v>7.7444150142275793E-3</v>
      </c>
      <c r="C33" s="245">
        <f t="shared" si="13"/>
        <v>8.107328216056052E-3</v>
      </c>
      <c r="D33" s="245">
        <f t="shared" si="13"/>
        <v>8.1238191928917521E-3</v>
      </c>
      <c r="E33" s="245">
        <f t="shared" si="13"/>
        <v>8.5200478538422046E-3</v>
      </c>
      <c r="F33" s="245">
        <f t="shared" si="13"/>
        <v>7.7975210412446448E-3</v>
      </c>
      <c r="G33" s="245">
        <f t="shared" si="13"/>
        <v>8.4980906882196339E-3</v>
      </c>
      <c r="H33" s="245">
        <f t="shared" si="13"/>
        <v>8.9831897249953181E-3</v>
      </c>
      <c r="I33" s="245">
        <f t="shared" si="13"/>
        <v>1.0646547240189784E-2</v>
      </c>
      <c r="J33" s="245">
        <f t="shared" si="13"/>
        <v>1.7776584399412838E-2</v>
      </c>
      <c r="K33" s="245">
        <f t="shared" si="13"/>
        <v>1.6501020517595784E-2</v>
      </c>
      <c r="L33" s="245">
        <f t="shared" si="13"/>
        <v>1.4941663403335487E-2</v>
      </c>
      <c r="M33" s="245">
        <f t="shared" si="13"/>
        <v>1.6427267475395801E-2</v>
      </c>
      <c r="N33" s="245">
        <f t="shared" si="13"/>
        <v>1.6045957501520176E-2</v>
      </c>
      <c r="O33" s="245">
        <f t="shared" si="13"/>
        <v>1.5753057959582879E-2</v>
      </c>
      <c r="P33" s="245">
        <f t="shared" si="13"/>
        <v>1.5381760570574169E-2</v>
      </c>
      <c r="Q33" s="245">
        <f t="shared" si="13"/>
        <v>1.4905568004610075E-2</v>
      </c>
      <c r="R33" s="245">
        <f t="shared" si="13"/>
        <v>1.4740697850910164E-2</v>
      </c>
      <c r="S33" s="245">
        <f t="shared" si="13"/>
        <v>1.5296405789933838E-2</v>
      </c>
      <c r="T33" s="245">
        <f t="shared" si="13"/>
        <v>1.6881879984357067E-2</v>
      </c>
      <c r="U33" s="245">
        <f t="shared" si="13"/>
        <v>1.8942119728081901E-2</v>
      </c>
      <c r="V33" s="245">
        <f t="shared" si="13"/>
        <v>2.0808381686090876E-2</v>
      </c>
      <c r="W33" s="245">
        <f t="shared" si="13"/>
        <v>1.8025297233959368E-2</v>
      </c>
      <c r="X33" s="245">
        <f t="shared" si="13"/>
        <v>1.6403852264288313E-2</v>
      </c>
      <c r="Y33" s="245">
        <f t="shared" si="13"/>
        <v>1.8322400571458439E-2</v>
      </c>
      <c r="DA33" s="276"/>
    </row>
    <row r="34" spans="1:105" x14ac:dyDescent="0.25">
      <c r="A34" s="240" t="s">
        <v>123</v>
      </c>
      <c r="B34" s="245">
        <f t="shared" ref="B34:Y34" si="14">IF(B$8=0,0,B$8/B$5)</f>
        <v>1.5389951137625434E-2</v>
      </c>
      <c r="C34" s="245">
        <f t="shared" si="14"/>
        <v>1.6111143949875111E-2</v>
      </c>
      <c r="D34" s="245">
        <f t="shared" si="14"/>
        <v>1.6143915350587349E-2</v>
      </c>
      <c r="E34" s="245">
        <f t="shared" si="14"/>
        <v>1.6931313717042595E-2</v>
      </c>
      <c r="F34" s="245">
        <f t="shared" si="14"/>
        <v>1.5495485146250307E-2</v>
      </c>
      <c r="G34" s="245">
        <f t="shared" si="14"/>
        <v>1.6887679729784517E-2</v>
      </c>
      <c r="H34" s="245">
        <f t="shared" si="14"/>
        <v>1.7851684171588247E-2</v>
      </c>
      <c r="I34" s="245">
        <f t="shared" si="14"/>
        <v>2.1157161839845433E-2</v>
      </c>
      <c r="J34" s="245">
        <f t="shared" si="14"/>
        <v>3.5326201501111675E-2</v>
      </c>
      <c r="K34" s="245">
        <f t="shared" si="14"/>
        <v>3.2791359840635102E-2</v>
      </c>
      <c r="L34" s="245">
        <f t="shared" si="14"/>
        <v>2.9692555121300465E-2</v>
      </c>
      <c r="M34" s="245">
        <f t="shared" si="14"/>
        <v>3.2644795417935198E-2</v>
      </c>
      <c r="N34" s="245">
        <f t="shared" si="14"/>
        <v>3.1887043947300658E-2</v>
      </c>
      <c r="O34" s="245">
        <f t="shared" si="14"/>
        <v>3.1304984536697472E-2</v>
      </c>
      <c r="P34" s="245">
        <f t="shared" si="14"/>
        <v>3.056713039744044E-2</v>
      </c>
      <c r="Q34" s="245">
        <f t="shared" si="14"/>
        <v>2.9620825181510744E-2</v>
      </c>
      <c r="R34" s="245">
        <f t="shared" si="14"/>
        <v>2.9293189897911798E-2</v>
      </c>
      <c r="S34" s="245">
        <f t="shared" si="14"/>
        <v>3.0397510626159561E-2</v>
      </c>
      <c r="T34" s="245">
        <f t="shared" si="14"/>
        <v>3.3548216049011086E-2</v>
      </c>
      <c r="U34" s="245">
        <f t="shared" si="14"/>
        <v>3.76423908742844E-2</v>
      </c>
      <c r="V34" s="245">
        <f t="shared" si="14"/>
        <v>4.135108679140681E-2</v>
      </c>
      <c r="W34" s="245">
        <f t="shared" si="14"/>
        <v>3.5820451662542795E-2</v>
      </c>
      <c r="X34" s="245">
        <f t="shared" si="14"/>
        <v>3.2598263955693138E-2</v>
      </c>
      <c r="Y34" s="245">
        <f t="shared" si="14"/>
        <v>3.6410864991184906E-2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0.34441483733464556</v>
      </c>
      <c r="C35" s="246">
        <f t="shared" si="15"/>
        <v>0.34743148250241662</v>
      </c>
      <c r="D35" s="246">
        <f t="shared" si="15"/>
        <v>0.3480049845544177</v>
      </c>
      <c r="E35" s="246">
        <f t="shared" si="15"/>
        <v>0.34658948536545042</v>
      </c>
      <c r="F35" s="246">
        <f t="shared" si="15"/>
        <v>0.3495567220748535</v>
      </c>
      <c r="G35" s="246">
        <f t="shared" si="15"/>
        <v>0.34527415795251049</v>
      </c>
      <c r="H35" s="246">
        <f t="shared" si="15"/>
        <v>0.34781529974413272</v>
      </c>
      <c r="I35" s="246">
        <f t="shared" si="15"/>
        <v>0.34410344748478633</v>
      </c>
      <c r="J35" s="246">
        <f t="shared" si="15"/>
        <v>0.33119689871974084</v>
      </c>
      <c r="K35" s="246">
        <f t="shared" si="15"/>
        <v>0.32882268066494635</v>
      </c>
      <c r="L35" s="246">
        <f t="shared" si="15"/>
        <v>0.35819375505401363</v>
      </c>
      <c r="M35" s="246">
        <f t="shared" si="15"/>
        <v>0.3552512736629943</v>
      </c>
      <c r="N35" s="246">
        <f t="shared" si="15"/>
        <v>0.35778108125521607</v>
      </c>
      <c r="O35" s="246">
        <f t="shared" si="15"/>
        <v>0.35571003665503093</v>
      </c>
      <c r="P35" s="246">
        <f t="shared" si="15"/>
        <v>0.35554823331233049</v>
      </c>
      <c r="Q35" s="246">
        <f t="shared" si="15"/>
        <v>0.33423405979021575</v>
      </c>
      <c r="R35" s="246">
        <f t="shared" si="15"/>
        <v>0.35785615284668126</v>
      </c>
      <c r="S35" s="246">
        <f t="shared" si="15"/>
        <v>0.35423847105664052</v>
      </c>
      <c r="T35" s="246">
        <f t="shared" si="15"/>
        <v>0.34931252645358379</v>
      </c>
      <c r="U35" s="246">
        <f t="shared" si="15"/>
        <v>0.34628018130216898</v>
      </c>
      <c r="V35" s="246">
        <f t="shared" si="15"/>
        <v>0.35731144870514897</v>
      </c>
      <c r="W35" s="246">
        <f t="shared" si="15"/>
        <v>0.34321516245264228</v>
      </c>
      <c r="X35" s="246">
        <f t="shared" si="15"/>
        <v>0.33693238850625379</v>
      </c>
      <c r="Y35" s="246">
        <f t="shared" si="15"/>
        <v>0.33518698733209895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0.25460009746359669</v>
      </c>
      <c r="C36" s="259">
        <f t="shared" si="16"/>
        <v>0.25543886320070425</v>
      </c>
      <c r="D36" s="259">
        <f t="shared" si="16"/>
        <v>0.25578192745980238</v>
      </c>
      <c r="E36" s="259">
        <f t="shared" si="16"/>
        <v>0.25356620123597851</v>
      </c>
      <c r="F36" s="259">
        <f t="shared" si="16"/>
        <v>0.25235713084767286</v>
      </c>
      <c r="G36" s="259">
        <f t="shared" si="16"/>
        <v>0.247340372460809</v>
      </c>
      <c r="H36" s="259">
        <f t="shared" si="16"/>
        <v>0.24753751463765403</v>
      </c>
      <c r="I36" s="259">
        <f t="shared" si="16"/>
        <v>0.24126352314024696</v>
      </c>
      <c r="J36" s="259">
        <f t="shared" si="16"/>
        <v>0.21187863861025327</v>
      </c>
      <c r="K36" s="259">
        <f t="shared" si="16"/>
        <v>0.22271706976932562</v>
      </c>
      <c r="L36" s="259">
        <f t="shared" si="16"/>
        <v>0.21859775706889073</v>
      </c>
      <c r="M36" s="259">
        <f t="shared" si="16"/>
        <v>0.21419854342673422</v>
      </c>
      <c r="N36" s="259">
        <f t="shared" si="16"/>
        <v>0.21687367073395522</v>
      </c>
      <c r="O36" s="259">
        <f t="shared" si="16"/>
        <v>0.21767011849165346</v>
      </c>
      <c r="P36" s="259">
        <f t="shared" si="16"/>
        <v>0.21761725286318595</v>
      </c>
      <c r="Q36" s="259">
        <f t="shared" si="16"/>
        <v>0.22935553219772051</v>
      </c>
      <c r="R36" s="259">
        <f t="shared" si="16"/>
        <v>0.21666139066758458</v>
      </c>
      <c r="S36" s="259">
        <f t="shared" si="16"/>
        <v>0.2180782566453176</v>
      </c>
      <c r="T36" s="259">
        <f t="shared" si="16"/>
        <v>0.21683830569494442</v>
      </c>
      <c r="U36" s="259">
        <f t="shared" si="16"/>
        <v>0.20827401198531934</v>
      </c>
      <c r="V36" s="259">
        <f t="shared" si="16"/>
        <v>0.19725440581176515</v>
      </c>
      <c r="W36" s="259">
        <f t="shared" si="16"/>
        <v>0.2108157522292102</v>
      </c>
      <c r="X36" s="259">
        <f t="shared" si="16"/>
        <v>0.21937652574234759</v>
      </c>
      <c r="Y36" s="259">
        <f t="shared" si="16"/>
        <v>0.21443858272910207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0.30151622114462717</v>
      </c>
      <c r="C37" s="259">
        <f t="shared" si="17"/>
        <v>0.2944915832795082</v>
      </c>
      <c r="D37" s="259">
        <f t="shared" si="17"/>
        <v>0.29338998642422331</v>
      </c>
      <c r="E37" s="259">
        <f t="shared" si="17"/>
        <v>0.29398226903131758</v>
      </c>
      <c r="F37" s="259">
        <f t="shared" si="17"/>
        <v>0.29847175484825644</v>
      </c>
      <c r="G37" s="259">
        <f t="shared" si="17"/>
        <v>0.30254578679482219</v>
      </c>
      <c r="H37" s="259">
        <f t="shared" si="17"/>
        <v>0.29569554928988762</v>
      </c>
      <c r="I37" s="259">
        <f t="shared" si="17"/>
        <v>0.2925167501077251</v>
      </c>
      <c r="J37" s="259">
        <f t="shared" si="17"/>
        <v>0.27871259978613572</v>
      </c>
      <c r="K37" s="259">
        <f t="shared" si="17"/>
        <v>0.27953311966425359</v>
      </c>
      <c r="L37" s="259">
        <f t="shared" si="17"/>
        <v>0.26796813619440085</v>
      </c>
      <c r="M37" s="259">
        <f t="shared" si="17"/>
        <v>0.26339002482403273</v>
      </c>
      <c r="N37" s="259">
        <f t="shared" si="17"/>
        <v>0.26103659522584693</v>
      </c>
      <c r="O37" s="259">
        <f t="shared" si="17"/>
        <v>0.26467081991371577</v>
      </c>
      <c r="P37" s="259">
        <f t="shared" si="17"/>
        <v>0.2680196142101815</v>
      </c>
      <c r="Q37" s="259">
        <f t="shared" si="17"/>
        <v>0.28002700939427494</v>
      </c>
      <c r="R37" s="259">
        <f t="shared" si="17"/>
        <v>0.27219507064516918</v>
      </c>
      <c r="S37" s="259">
        <f t="shared" si="17"/>
        <v>0.26952520862392587</v>
      </c>
      <c r="T37" s="259">
        <f t="shared" si="17"/>
        <v>0.26250525060834501</v>
      </c>
      <c r="U37" s="259">
        <f t="shared" si="17"/>
        <v>0.25790283074901305</v>
      </c>
      <c r="V37" s="259">
        <f t="shared" si="17"/>
        <v>0.24365603052158974</v>
      </c>
      <c r="W37" s="259">
        <f t="shared" si="17"/>
        <v>0.26580556769766739</v>
      </c>
      <c r="X37" s="259">
        <f t="shared" si="17"/>
        <v>0.27603163255818736</v>
      </c>
      <c r="Y37" s="259">
        <f t="shared" si="17"/>
        <v>0.26722143989630581</v>
      </c>
      <c r="DA37" s="278"/>
    </row>
    <row r="38" spans="1:105" x14ac:dyDescent="0.25">
      <c r="A38" s="127" t="s">
        <v>167</v>
      </c>
      <c r="B38" s="259">
        <f t="shared" ref="B38:Y38" si="18">IF(B$25=0,0,B$25/B$5)</f>
        <v>3.424647134641625E-2</v>
      </c>
      <c r="C38" s="259">
        <f t="shared" si="18"/>
        <v>3.4359294424916087E-2</v>
      </c>
      <c r="D38" s="259">
        <f t="shared" si="18"/>
        <v>3.4405440284388376E-2</v>
      </c>
      <c r="E38" s="259">
        <f t="shared" si="18"/>
        <v>3.4107401102975519E-2</v>
      </c>
      <c r="F38" s="259">
        <f t="shared" si="18"/>
        <v>3.3944768037154197E-2</v>
      </c>
      <c r="G38" s="259">
        <f t="shared" si="18"/>
        <v>3.3269959684528998E-2</v>
      </c>
      <c r="H38" s="259">
        <f t="shared" si="18"/>
        <v>3.329647744307565E-2</v>
      </c>
      <c r="I38" s="259">
        <f t="shared" si="18"/>
        <v>3.2452557616712133E-2</v>
      </c>
      <c r="J38" s="259">
        <f t="shared" si="18"/>
        <v>2.8499972303118272E-2</v>
      </c>
      <c r="K38" s="259">
        <f t="shared" si="18"/>
        <v>2.9957858713324192E-2</v>
      </c>
      <c r="L38" s="259">
        <f t="shared" si="18"/>
        <v>2.9403766528098094E-2</v>
      </c>
      <c r="M38" s="259">
        <f t="shared" si="18"/>
        <v>2.8812024633873515E-2</v>
      </c>
      <c r="N38" s="259">
        <f t="shared" si="18"/>
        <v>2.9171858237974392E-2</v>
      </c>
      <c r="O38" s="259">
        <f t="shared" si="18"/>
        <v>2.9278989089787332E-2</v>
      </c>
      <c r="P38" s="259">
        <f t="shared" si="18"/>
        <v>2.9271878090032961E-2</v>
      </c>
      <c r="Q38" s="259">
        <f t="shared" si="18"/>
        <v>3.08508038284406E-2</v>
      </c>
      <c r="R38" s="259">
        <f t="shared" si="18"/>
        <v>2.9143304269288586E-2</v>
      </c>
      <c r="S38" s="259">
        <f t="shared" si="18"/>
        <v>2.9333888093063778E-2</v>
      </c>
      <c r="T38" s="259">
        <f t="shared" si="18"/>
        <v>2.916710125709648E-2</v>
      </c>
      <c r="U38" s="259">
        <f t="shared" si="18"/>
        <v>2.8015110970954108E-2</v>
      </c>
      <c r="V38" s="259">
        <f t="shared" si="18"/>
        <v>2.6532854558521356E-2</v>
      </c>
      <c r="W38" s="259">
        <f t="shared" si="18"/>
        <v>2.835700256997396E-2</v>
      </c>
      <c r="X38" s="259">
        <f t="shared" si="18"/>
        <v>2.9508519351552302E-2</v>
      </c>
      <c r="Y38" s="259">
        <f t="shared" si="18"/>
        <v>2.8844312520533627E-2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1.1914484637273201E-2</v>
      </c>
      <c r="C39" s="259">
        <f t="shared" si="19"/>
        <v>1.2472812640086237E-2</v>
      </c>
      <c r="D39" s="259">
        <f t="shared" si="19"/>
        <v>1.249818337367962E-2</v>
      </c>
      <c r="E39" s="259">
        <f t="shared" si="19"/>
        <v>1.3107765928988007E-2</v>
      </c>
      <c r="F39" s="259">
        <f t="shared" si="19"/>
        <v>1.1996186217299457E-2</v>
      </c>
      <c r="G39" s="259">
        <f t="shared" si="19"/>
        <v>1.3073985674184063E-2</v>
      </c>
      <c r="H39" s="259">
        <f t="shared" si="19"/>
        <v>1.3820291884608192E-2</v>
      </c>
      <c r="I39" s="259">
        <f t="shared" si="19"/>
        <v>1.6379303446445833E-2</v>
      </c>
      <c r="J39" s="259">
        <f t="shared" si="19"/>
        <v>2.734859138371205E-2</v>
      </c>
      <c r="K39" s="259">
        <f t="shared" si="19"/>
        <v>2.5386185411685819E-2</v>
      </c>
      <c r="L39" s="259">
        <f t="shared" si="19"/>
        <v>2.298717446666998E-2</v>
      </c>
      <c r="M39" s="259">
        <f t="shared" si="19"/>
        <v>2.5272719192916619E-2</v>
      </c>
      <c r="N39" s="259">
        <f t="shared" si="19"/>
        <v>2.4686088463877195E-2</v>
      </c>
      <c r="O39" s="259">
        <f t="shared" si="19"/>
        <v>2.4235473783973671E-2</v>
      </c>
      <c r="P39" s="259">
        <f t="shared" si="19"/>
        <v>2.3664247031652562E-2</v>
      </c>
      <c r="Q39" s="259">
        <f t="shared" si="19"/>
        <v>2.2931643084015501E-2</v>
      </c>
      <c r="R39" s="259">
        <f t="shared" si="19"/>
        <v>2.2677996693707948E-2</v>
      </c>
      <c r="S39" s="259">
        <f t="shared" si="19"/>
        <v>2.3532931984513592E-2</v>
      </c>
      <c r="T39" s="259">
        <f t="shared" si="19"/>
        <v>2.5972123052857021E-2</v>
      </c>
      <c r="U39" s="259">
        <f t="shared" si="19"/>
        <v>2.9141722658587544E-2</v>
      </c>
      <c r="V39" s="259">
        <f t="shared" si="19"/>
        <v>3.2012894901678281E-2</v>
      </c>
      <c r="W39" s="259">
        <f t="shared" si="19"/>
        <v>2.7731226513783642E-2</v>
      </c>
      <c r="X39" s="259">
        <f t="shared" si="19"/>
        <v>2.5236695791212807E-2</v>
      </c>
      <c r="Y39" s="259">
        <f t="shared" si="19"/>
        <v>2.8188308571474516E-2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1.8158446032890668E-2</v>
      </c>
      <c r="C40" s="261">
        <f t="shared" si="20"/>
        <v>1.900937406011019E-2</v>
      </c>
      <c r="D40" s="261">
        <f t="shared" si="20"/>
        <v>1.904804070082489E-2</v>
      </c>
      <c r="E40" s="261">
        <f t="shared" si="20"/>
        <v>1.997708398470564E-2</v>
      </c>
      <c r="F40" s="261">
        <f t="shared" si="20"/>
        <v>1.8282964530910092E-2</v>
      </c>
      <c r="G40" s="261">
        <f t="shared" si="20"/>
        <v>1.9925600689161677E-2</v>
      </c>
      <c r="H40" s="261">
        <f t="shared" si="20"/>
        <v>2.1063019676098166E-2</v>
      </c>
      <c r="I40" s="261">
        <f t="shared" si="20"/>
        <v>2.4963118988644412E-2</v>
      </c>
      <c r="J40" s="261">
        <f t="shared" si="20"/>
        <v>4.1681024050602179E-2</v>
      </c>
      <c r="K40" s="261">
        <f t="shared" si="20"/>
        <v>3.8690190286279486E-2</v>
      </c>
      <c r="L40" s="261">
        <f t="shared" si="20"/>
        <v>3.5033942273578679E-2</v>
      </c>
      <c r="M40" s="261">
        <f t="shared" si="20"/>
        <v>3.8517260422101289E-2</v>
      </c>
      <c r="N40" s="261">
        <f t="shared" si="20"/>
        <v>3.7623197207552077E-2</v>
      </c>
      <c r="O40" s="261">
        <f t="shared" si="20"/>
        <v>3.6936431258728836E-2</v>
      </c>
      <c r="P40" s="261">
        <f t="shared" si="20"/>
        <v>3.606584470208362E-2</v>
      </c>
      <c r="Q40" s="261">
        <f t="shared" si="20"/>
        <v>3.4949308850836358E-2</v>
      </c>
      <c r="R40" s="261">
        <f t="shared" si="20"/>
        <v>3.4562735328769911E-2</v>
      </c>
      <c r="S40" s="261">
        <f t="shared" si="20"/>
        <v>3.5865712067784029E-2</v>
      </c>
      <c r="T40" s="261">
        <f t="shared" si="20"/>
        <v>3.9583197190041074E-2</v>
      </c>
      <c r="U40" s="261">
        <f t="shared" si="20"/>
        <v>4.4413872216174759E-2</v>
      </c>
      <c r="V40" s="261">
        <f t="shared" si="20"/>
        <v>4.8789724618904351E-2</v>
      </c>
      <c r="W40" s="261">
        <f t="shared" si="20"/>
        <v>4.2264184763903756E-2</v>
      </c>
      <c r="X40" s="261">
        <f t="shared" si="20"/>
        <v>3.8462358425441392E-2</v>
      </c>
      <c r="Y40" s="261">
        <f t="shared" si="20"/>
        <v>4.2960807415228237E-2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0.36555539986381513</v>
      </c>
      <c r="C44" s="237">
        <f>IF(C$5=0,0,C$5/AGR_fec!C$5)</f>
        <v>0.36975623403899716</v>
      </c>
      <c r="D44" s="237">
        <f>IF(D$5=0,0,D$5/AGR_fec!D$5)</f>
        <v>0.37007706373580262</v>
      </c>
      <c r="E44" s="237">
        <f>IF(E$5=0,0,E$5/AGR_fec!E$5)</f>
        <v>0.37042847289039238</v>
      </c>
      <c r="F44" s="237">
        <f>IF(F$5=0,0,F$5/AGR_fec!F$5)</f>
        <v>0.36946987836188427</v>
      </c>
      <c r="G44" s="237">
        <f>IF(G$5=0,0,G$5/AGR_fec!G$5)</f>
        <v>0.36919881728020537</v>
      </c>
      <c r="H44" s="237">
        <f>IF(H$5=0,0,H$5/AGR_fec!H$5)</f>
        <v>0.37260249448369054</v>
      </c>
      <c r="I44" s="237">
        <f>IF(I$5=0,0,I$5/AGR_fec!I$5)</f>
        <v>0.37483154265740654</v>
      </c>
      <c r="J44" s="237">
        <f>IF(J$5=0,0,J$5/AGR_fec!J$5)</f>
        <v>0.38722821953471825</v>
      </c>
      <c r="K44" s="237">
        <f>IF(K$5=0,0,K$5/AGR_fec!K$5)</f>
        <v>0.38330727997344965</v>
      </c>
      <c r="L44" s="237">
        <f>IF(L$5=0,0,L$5/AGR_fec!L$5)</f>
        <v>0.39010673392860562</v>
      </c>
      <c r="M44" s="237">
        <f>IF(M$5=0,0,M$5/AGR_fec!M$5)</f>
        <v>0.3925022399399114</v>
      </c>
      <c r="N44" s="237">
        <f>IF(N$5=0,0,N$5/AGR_fec!N$5)</f>
        <v>0.39188868357475437</v>
      </c>
      <c r="O44" s="237">
        <f>IF(O$5=0,0,O$5/AGR_fec!O$5)</f>
        <v>0.38937464569725611</v>
      </c>
      <c r="P44" s="237">
        <f>IF(P$5=0,0,P$5/AGR_fec!P$5)</f>
        <v>0.3884658705564718</v>
      </c>
      <c r="Q44" s="237">
        <f>IF(Q$5=0,0,Q$5/AGR_fec!Q$5)</f>
        <v>0.37784652884787928</v>
      </c>
      <c r="R44" s="237">
        <f>IF(R$5=0,0,R$5/AGR_fec!R$5)</f>
        <v>0.38951604222555047</v>
      </c>
      <c r="S44" s="237">
        <f>IF(S$5=0,0,S$5/AGR_fec!S$5)</f>
        <v>0.38634831786152002</v>
      </c>
      <c r="T44" s="237">
        <f>IF(T$5=0,0,T$5/AGR_fec!T$5)</f>
        <v>0.38922252178477124</v>
      </c>
      <c r="U44" s="237">
        <f>IF(U$5=0,0,U$5/AGR_fec!U$5)</f>
        <v>0.39129987122642312</v>
      </c>
      <c r="V44" s="237">
        <f>IF(V$5=0,0,V$5/AGR_fec!V$5)</f>
        <v>0.40089341971305464</v>
      </c>
      <c r="W44" s="237">
        <f>IF(W$5=0,0,W$5/AGR_fec!W$5)</f>
        <v>0.38908374750440178</v>
      </c>
      <c r="X44" s="237">
        <f>IF(X$5=0,0,X$5/AGR_fec!X$5)</f>
        <v>0.38217465220519359</v>
      </c>
      <c r="Y44" s="237">
        <f>IF(Y$5=0,0,Y$5/AGR_fec!Y$5)</f>
        <v>0.38646114998328068</v>
      </c>
      <c r="DA44" s="286"/>
    </row>
    <row r="45" spans="1:105" x14ac:dyDescent="0.25">
      <c r="A45" s="238" t="s">
        <v>125</v>
      </c>
      <c r="B45" s="250">
        <f>IF(B$6=0,0,B$6/AGR_fec!B$6)</f>
        <v>0.46776285835635972</v>
      </c>
      <c r="C45" s="250">
        <f>IF(C$6=0,0,C$6/AGR_fec!C$6)</f>
        <v>0.46776285835635983</v>
      </c>
      <c r="D45" s="250">
        <f>IF(D$6=0,0,D$6/AGR_fec!D$6)</f>
        <v>0.46776285835635961</v>
      </c>
      <c r="E45" s="250">
        <f>IF(E$6=0,0,E$6/AGR_fec!E$6)</f>
        <v>0.46776285835635995</v>
      </c>
      <c r="F45" s="250">
        <f>IF(F$6=0,0,F$6/AGR_fec!F$6)</f>
        <v>0.46776285835635995</v>
      </c>
      <c r="G45" s="250">
        <f>IF(G$6=0,0,G$6/AGR_fec!G$6)</f>
        <v>0.46776285835635989</v>
      </c>
      <c r="H45" s="250">
        <f>IF(H$6=0,0,H$6/AGR_fec!H$6)</f>
        <v>0.46776285835635972</v>
      </c>
      <c r="I45" s="250">
        <f>IF(I$6=0,0,I$6/AGR_fec!I$6)</f>
        <v>0.46776285835635989</v>
      </c>
      <c r="J45" s="250">
        <f>IF(J$6=0,0,J$6/AGR_fec!J$6)</f>
        <v>0.46776285835636006</v>
      </c>
      <c r="K45" s="250">
        <f>IF(K$6=0,0,K$6/AGR_fec!K$6)</f>
        <v>0.46776285835635983</v>
      </c>
      <c r="L45" s="250">
        <f>IF(L$6=0,0,L$6/AGR_fec!L$6)</f>
        <v>0.46776285835635989</v>
      </c>
      <c r="M45" s="250">
        <f>IF(M$6=0,0,M$6/AGR_fec!M$6)</f>
        <v>0.46776285835635989</v>
      </c>
      <c r="N45" s="250">
        <f>IF(N$6=0,0,N$6/AGR_fec!N$6)</f>
        <v>0.46776285835635983</v>
      </c>
      <c r="O45" s="250">
        <f>IF(O$6=0,0,O$6/AGR_fec!O$6)</f>
        <v>0.46776285835635989</v>
      </c>
      <c r="P45" s="250">
        <f>IF(P$6=0,0,P$6/AGR_fec!P$6)</f>
        <v>0.46776285835635983</v>
      </c>
      <c r="Q45" s="250">
        <f>IF(Q$6=0,0,Q$6/AGR_fec!Q$6)</f>
        <v>0.46776285835635972</v>
      </c>
      <c r="R45" s="250">
        <f>IF(R$6=0,0,R$6/AGR_fec!R$6)</f>
        <v>0.46776285835635967</v>
      </c>
      <c r="S45" s="250">
        <f>IF(S$6=0,0,S$6/AGR_fec!S$6)</f>
        <v>0.46776285835635989</v>
      </c>
      <c r="T45" s="250">
        <f>IF(T$6=0,0,T$6/AGR_fec!T$6)</f>
        <v>0.46776285835635989</v>
      </c>
      <c r="U45" s="250">
        <f>IF(U$6=0,0,U$6/AGR_fec!U$6)</f>
        <v>0.46776285835635978</v>
      </c>
      <c r="V45" s="250">
        <f>IF(V$6=0,0,V$6/AGR_fec!V$6)</f>
        <v>0.46776285835636</v>
      </c>
      <c r="W45" s="250">
        <f>IF(W$6=0,0,W$6/AGR_fec!W$6)</f>
        <v>0.46776285835635972</v>
      </c>
      <c r="X45" s="250">
        <f>IF(X$6=0,0,X$6/AGR_fec!X$6)</f>
        <v>0.46776285835635978</v>
      </c>
      <c r="Y45" s="250">
        <f>IF(Y$6=0,0,Y$6/AGR_fec!Y$6)</f>
        <v>0.46776285835635967</v>
      </c>
      <c r="DA45" s="287"/>
    </row>
    <row r="46" spans="1:105" x14ac:dyDescent="0.25">
      <c r="A46" s="240" t="s">
        <v>124</v>
      </c>
      <c r="B46" s="251">
        <f>IF(B$7=0,0,B$7/AGR_fec!B$7)</f>
        <v>0.46384670737007555</v>
      </c>
      <c r="C46" s="251">
        <f>IF(C$7=0,0,C$7/AGR_fec!C$7)</f>
        <v>0.46384670737007555</v>
      </c>
      <c r="D46" s="251">
        <f>IF(D$7=0,0,D$7/AGR_fec!D$7)</f>
        <v>0.46384670737007555</v>
      </c>
      <c r="E46" s="251">
        <f>IF(E$7=0,0,E$7/AGR_fec!E$7)</f>
        <v>0.46384670737007555</v>
      </c>
      <c r="F46" s="251">
        <f>IF(F$7=0,0,F$7/AGR_fec!F$7)</f>
        <v>0.4638467073700755</v>
      </c>
      <c r="G46" s="251">
        <f>IF(G$7=0,0,G$7/AGR_fec!G$7)</f>
        <v>0.4638467073700755</v>
      </c>
      <c r="H46" s="251">
        <f>IF(H$7=0,0,H$7/AGR_fec!H$7)</f>
        <v>0.46384670737007561</v>
      </c>
      <c r="I46" s="251">
        <f>IF(I$7=0,0,I$7/AGR_fec!I$7)</f>
        <v>0.46384670737007544</v>
      </c>
      <c r="J46" s="251">
        <f>IF(J$7=0,0,J$7/AGR_fec!J$7)</f>
        <v>0.46384670737007577</v>
      </c>
      <c r="K46" s="251">
        <f>IF(K$7=0,0,K$7/AGR_fec!K$7)</f>
        <v>0.46384670737007561</v>
      </c>
      <c r="L46" s="251">
        <f>IF(L$7=0,0,L$7/AGR_fec!L$7)</f>
        <v>0.46384670737007544</v>
      </c>
      <c r="M46" s="251">
        <f>IF(M$7=0,0,M$7/AGR_fec!M$7)</f>
        <v>0.46384670737007555</v>
      </c>
      <c r="N46" s="251">
        <f>IF(N$7=0,0,N$7/AGR_fec!N$7)</f>
        <v>0.46384670737007555</v>
      </c>
      <c r="O46" s="251">
        <f>IF(O$7=0,0,O$7/AGR_fec!O$7)</f>
        <v>0.46384670737007555</v>
      </c>
      <c r="P46" s="251">
        <f>IF(P$7=0,0,P$7/AGR_fec!P$7)</f>
        <v>0.46384670737007561</v>
      </c>
      <c r="Q46" s="251">
        <f>IF(Q$7=0,0,Q$7/AGR_fec!Q$7)</f>
        <v>0.46384670737007555</v>
      </c>
      <c r="R46" s="251">
        <f>IF(R$7=0,0,R$7/AGR_fec!R$7)</f>
        <v>0.46384670737007561</v>
      </c>
      <c r="S46" s="251">
        <f>IF(S$7=0,0,S$7/AGR_fec!S$7)</f>
        <v>0.46384670737007561</v>
      </c>
      <c r="T46" s="251">
        <f>IF(T$7=0,0,T$7/AGR_fec!T$7)</f>
        <v>0.46384670737007561</v>
      </c>
      <c r="U46" s="251">
        <f>IF(U$7=0,0,U$7/AGR_fec!U$7)</f>
        <v>0.4638467073700755</v>
      </c>
      <c r="V46" s="251">
        <f>IF(V$7=0,0,V$7/AGR_fec!V$7)</f>
        <v>0.46384670737007544</v>
      </c>
      <c r="W46" s="251">
        <f>IF(W$7=0,0,W$7/AGR_fec!W$7)</f>
        <v>0.4638467073700755</v>
      </c>
      <c r="X46" s="251">
        <f>IF(X$7=0,0,X$7/AGR_fec!X$7)</f>
        <v>0.46384670737007538</v>
      </c>
      <c r="Y46" s="251">
        <f>IF(Y$7=0,0,Y$7/AGR_fec!Y$7)</f>
        <v>0.46384670737007572</v>
      </c>
      <c r="DA46" s="288"/>
    </row>
    <row r="47" spans="1:105" x14ac:dyDescent="0.25">
      <c r="A47" s="240" t="s">
        <v>123</v>
      </c>
      <c r="B47" s="251">
        <f>IF(B$8=0,0,B$8/AGR_fec!B$8)</f>
        <v>0.66572359229609235</v>
      </c>
      <c r="C47" s="251">
        <f>IF(C$8=0,0,C$8/AGR_fec!C$8)</f>
        <v>0.66572359229609213</v>
      </c>
      <c r="D47" s="251">
        <f>IF(D$8=0,0,D$8/AGR_fec!D$8)</f>
        <v>0.66572359229609213</v>
      </c>
      <c r="E47" s="251">
        <f>IF(E$8=0,0,E$8/AGR_fec!E$8)</f>
        <v>0.66572359229609213</v>
      </c>
      <c r="F47" s="251">
        <f>IF(F$8=0,0,F$8/AGR_fec!F$8)</f>
        <v>0.66572359229609246</v>
      </c>
      <c r="G47" s="251">
        <f>IF(G$8=0,0,G$8/AGR_fec!G$8)</f>
        <v>0.66572359229609246</v>
      </c>
      <c r="H47" s="251">
        <f>IF(H$8=0,0,H$8/AGR_fec!H$8)</f>
        <v>0.66572359229609213</v>
      </c>
      <c r="I47" s="251">
        <f>IF(I$8=0,0,I$8/AGR_fec!I$8)</f>
        <v>0.66572359229609224</v>
      </c>
      <c r="J47" s="251">
        <f>IF(J$8=0,0,J$8/AGR_fec!J$8)</f>
        <v>0.66572359229609235</v>
      </c>
      <c r="K47" s="251">
        <f>IF(K$8=0,0,K$8/AGR_fec!K$8)</f>
        <v>0.66572359229609224</v>
      </c>
      <c r="L47" s="251">
        <f>IF(L$8=0,0,L$8/AGR_fec!L$8)</f>
        <v>0.66572359229609224</v>
      </c>
      <c r="M47" s="251">
        <f>IF(M$8=0,0,M$8/AGR_fec!M$8)</f>
        <v>0.66572359229609235</v>
      </c>
      <c r="N47" s="251">
        <f>IF(N$8=0,0,N$8/AGR_fec!N$8)</f>
        <v>0.66572359229609224</v>
      </c>
      <c r="O47" s="251">
        <f>IF(O$8=0,0,O$8/AGR_fec!O$8)</f>
        <v>0.66572359229609246</v>
      </c>
      <c r="P47" s="251">
        <f>IF(P$8=0,0,P$8/AGR_fec!P$8)</f>
        <v>0.66572359229609224</v>
      </c>
      <c r="Q47" s="251">
        <f>IF(Q$8=0,0,Q$8/AGR_fec!Q$8)</f>
        <v>0.66572359229609257</v>
      </c>
      <c r="R47" s="251">
        <f>IF(R$8=0,0,R$8/AGR_fec!R$8)</f>
        <v>0.66572359229609257</v>
      </c>
      <c r="S47" s="251">
        <f>IF(S$8=0,0,S$8/AGR_fec!S$8)</f>
        <v>0.66572359229609224</v>
      </c>
      <c r="T47" s="251">
        <f>IF(T$8=0,0,T$8/AGR_fec!T$8)</f>
        <v>0.66572359229609235</v>
      </c>
      <c r="U47" s="251">
        <f>IF(U$8=0,0,U$8/AGR_fec!U$8)</f>
        <v>0.66572359229609235</v>
      </c>
      <c r="V47" s="251">
        <f>IF(V$8=0,0,V$8/AGR_fec!V$8)</f>
        <v>0.66572359229609224</v>
      </c>
      <c r="W47" s="251">
        <f>IF(W$8=0,0,W$8/AGR_fec!W$8)</f>
        <v>0.66572359229609235</v>
      </c>
      <c r="X47" s="251">
        <f>IF(X$8=0,0,X$8/AGR_fec!X$8)</f>
        <v>0.66572359229609235</v>
      </c>
      <c r="Y47" s="251">
        <f>IF(Y$8=0,0,Y$8/AGR_fec!Y$8)</f>
        <v>0.66572359229609224</v>
      </c>
      <c r="DA47" s="288"/>
    </row>
    <row r="48" spans="1:105" x14ac:dyDescent="0.25">
      <c r="A48" s="242" t="s">
        <v>122</v>
      </c>
      <c r="B48" s="252">
        <f>IF(B$9=0,0,B$9/AGR_fec!B$9)</f>
        <v>0.60598346358308142</v>
      </c>
      <c r="C48" s="252">
        <f>IF(C$9=0,0,C$9/AGR_fec!C$9)</f>
        <v>0.60716991955274191</v>
      </c>
      <c r="D48" s="252">
        <f>IF(D$9=0,0,D$9/AGR_fec!D$9)</f>
        <v>0.60723561343468868</v>
      </c>
      <c r="E48" s="252">
        <f>IF(E$9=0,0,E$9/AGR_fec!E$9)</f>
        <v>0.60843653886365168</v>
      </c>
      <c r="F48" s="252">
        <f>IF(F$9=0,0,F$9/AGR_fec!F$9)</f>
        <v>0.61044944612120888</v>
      </c>
      <c r="G48" s="252">
        <f>IF(G$9=0,0,G$9/AGR_fec!G$9)</f>
        <v>0.6125350422695196</v>
      </c>
      <c r="H48" s="252">
        <f>IF(H$9=0,0,H$9/AGR_fec!H$9)</f>
        <v>0.61417307000743371</v>
      </c>
      <c r="I48" s="252">
        <f>IF(I$9=0,0,I$9/AGR_fec!I$9)</f>
        <v>0.61812517195025107</v>
      </c>
      <c r="J48" s="252">
        <f>IF(J$9=0,0,J$9/AGR_fec!J$9)</f>
        <v>0.64282398634640536</v>
      </c>
      <c r="K48" s="252">
        <f>IF(K$9=0,0,K$9/AGR_fec!K$9)</f>
        <v>0.63200866123353416</v>
      </c>
      <c r="L48" s="252">
        <f>IF(L$9=0,0,L$9/AGR_fec!L$9)</f>
        <v>0.64022098949058548</v>
      </c>
      <c r="M48" s="252">
        <f>IF(M$9=0,0,M$9/AGR_fec!M$9)</f>
        <v>0.6440744807575296</v>
      </c>
      <c r="N48" s="252">
        <f>IF(N$9=0,0,N$9/AGR_fec!N$9)</f>
        <v>0.64226528939887151</v>
      </c>
      <c r="O48" s="252">
        <f>IF(O$9=0,0,O$9/AGR_fec!O$9)</f>
        <v>0.64097036759162485</v>
      </c>
      <c r="P48" s="252">
        <f>IF(P$9=0,0,P$9/AGR_fec!P$9)</f>
        <v>0.64058822736176968</v>
      </c>
      <c r="Q48" s="252">
        <f>IF(Q$9=0,0,Q$9/AGR_fec!Q$9)</f>
        <v>0.62615460720406513</v>
      </c>
      <c r="R48" s="252">
        <f>IF(R$9=0,0,R$9/AGR_fec!R$9)</f>
        <v>0.64133379537679147</v>
      </c>
      <c r="S48" s="252">
        <f>IF(S$9=0,0,S$9/AGR_fec!S$9)</f>
        <v>0.63977503099954247</v>
      </c>
      <c r="T48" s="252">
        <f>IF(T$9=0,0,T$9/AGR_fec!T$9)</f>
        <v>0.6414039442201247</v>
      </c>
      <c r="U48" s="252">
        <f>IF(U$9=0,0,U$9/AGR_fec!U$9)</f>
        <v>0.6504814200778174</v>
      </c>
      <c r="V48" s="252">
        <f>IF(V$9=0,0,V$9/AGR_fec!V$9)</f>
        <v>0.6640918446345363</v>
      </c>
      <c r="W48" s="252">
        <f>IF(W$9=0,0,W$9/AGR_fec!W$9)</f>
        <v>0.64642730498100931</v>
      </c>
      <c r="X48" s="252">
        <f>IF(X$9=0,0,X$9/AGR_fec!X$9)</f>
        <v>0.63607913970202501</v>
      </c>
      <c r="Y48" s="252">
        <f>IF(Y$9=0,0,Y$9/AGR_fec!Y$9)</f>
        <v>0.64264581092088391</v>
      </c>
      <c r="DA48" s="289"/>
    </row>
    <row r="49" spans="1:105" x14ac:dyDescent="0.25">
      <c r="A49" s="127" t="s">
        <v>168</v>
      </c>
      <c r="B49" s="264">
        <f>IF(B$16=0,0,B$16/AGR_fec!B$16)</f>
        <v>0.33472161059920669</v>
      </c>
      <c r="C49" s="264">
        <f>IF(C$16=0,0,C$16/AGR_fec!C$16)</f>
        <v>0.3347216105992068</v>
      </c>
      <c r="D49" s="264">
        <f>IF(D$16=0,0,D$16/AGR_fec!D$16)</f>
        <v>0.33472161059920669</v>
      </c>
      <c r="E49" s="264">
        <f>IF(E$16=0,0,E$16/AGR_fec!E$16)</f>
        <v>0.33472161059920669</v>
      </c>
      <c r="F49" s="264">
        <f>IF(F$16=0,0,F$16/AGR_fec!F$16)</f>
        <v>0.33472161059920674</v>
      </c>
      <c r="G49" s="264">
        <f>IF(G$16=0,0,G$16/AGR_fec!G$16)</f>
        <v>0.33472161059920669</v>
      </c>
      <c r="H49" s="264">
        <f>IF(H$16=0,0,H$16/AGR_fec!H$16)</f>
        <v>0.33472161059920674</v>
      </c>
      <c r="I49" s="264">
        <f>IF(I$16=0,0,I$16/AGR_fec!I$16)</f>
        <v>0.33472161059920674</v>
      </c>
      <c r="J49" s="264">
        <f>IF(J$16=0,0,J$16/AGR_fec!J$16)</f>
        <v>0.33472161059920674</v>
      </c>
      <c r="K49" s="264">
        <f>IF(K$16=0,0,K$16/AGR_fec!K$16)</f>
        <v>0.33472161059920674</v>
      </c>
      <c r="L49" s="264">
        <f>IF(L$16=0,0,L$16/AGR_fec!L$16)</f>
        <v>0.33472161059920685</v>
      </c>
      <c r="M49" s="264">
        <f>IF(M$16=0,0,M$16/AGR_fec!M$16)</f>
        <v>0.33472161059920663</v>
      </c>
      <c r="N49" s="264">
        <f>IF(N$16=0,0,N$16/AGR_fec!N$16)</f>
        <v>0.3347216105992068</v>
      </c>
      <c r="O49" s="264">
        <f>IF(O$16=0,0,O$16/AGR_fec!O$16)</f>
        <v>0.33472161059920669</v>
      </c>
      <c r="P49" s="264">
        <f>IF(P$16=0,0,P$16/AGR_fec!P$16)</f>
        <v>0.33472161059920685</v>
      </c>
      <c r="Q49" s="264">
        <f>IF(Q$16=0,0,Q$16/AGR_fec!Q$16)</f>
        <v>0.33472161059920674</v>
      </c>
      <c r="R49" s="264">
        <f>IF(R$16=0,0,R$16/AGR_fec!R$16)</f>
        <v>0.3347216105992068</v>
      </c>
      <c r="S49" s="264">
        <f>IF(S$16=0,0,S$16/AGR_fec!S$16)</f>
        <v>0.3347216105992068</v>
      </c>
      <c r="T49" s="264">
        <f>IF(T$16=0,0,T$16/AGR_fec!T$16)</f>
        <v>0.33472161059920663</v>
      </c>
      <c r="U49" s="264">
        <f>IF(U$16=0,0,U$16/AGR_fec!U$16)</f>
        <v>0.33472161059920674</v>
      </c>
      <c r="V49" s="264">
        <f>IF(V$16=0,0,V$16/AGR_fec!V$16)</f>
        <v>0.33472161059920685</v>
      </c>
      <c r="W49" s="264">
        <f>IF(W$16=0,0,W$16/AGR_fec!W$16)</f>
        <v>0.3347216105992068</v>
      </c>
      <c r="X49" s="264">
        <f>IF(X$16=0,0,X$16/AGR_fec!X$16)</f>
        <v>0.33472161059920691</v>
      </c>
      <c r="Y49" s="264">
        <f>IF(Y$16=0,0,Y$16/AGR_fec!Y$16)</f>
        <v>0.33472161059920663</v>
      </c>
      <c r="DA49" s="290"/>
    </row>
    <row r="50" spans="1:105" x14ac:dyDescent="0.25">
      <c r="A50" s="127" t="s">
        <v>121</v>
      </c>
      <c r="B50" s="264">
        <f>IF(B$17=0,0,B$17/AGR_fec!B$17)</f>
        <v>0.26636152393762513</v>
      </c>
      <c r="C50" s="264">
        <f>IF(C$17=0,0,C$17/AGR_fec!C$17)</f>
        <v>0.27066281888923843</v>
      </c>
      <c r="D50" s="264">
        <f>IF(D$17=0,0,D$17/AGR_fec!D$17)</f>
        <v>0.27082584099502693</v>
      </c>
      <c r="E50" s="264">
        <f>IF(E$17=0,0,E$17/AGR_fec!E$17)</f>
        <v>0.27081886811449857</v>
      </c>
      <c r="F50" s="264">
        <f>IF(F$17=0,0,F$17/AGR_fec!F$17)</f>
        <v>0.26990473515176938</v>
      </c>
      <c r="G50" s="264">
        <f>IF(G$17=0,0,G$17/AGR_fec!G$17)</f>
        <v>0.26940389849563079</v>
      </c>
      <c r="H50" s="264">
        <f>IF(H$17=0,0,H$17/AGR_fec!H$17)</f>
        <v>0.2720550864905002</v>
      </c>
      <c r="I50" s="264">
        <f>IF(I$17=0,0,I$17/AGR_fec!I$17)</f>
        <v>0.27202697285221039</v>
      </c>
      <c r="J50" s="264">
        <f>IF(J$17=0,0,J$17/AGR_fec!J$17)</f>
        <v>0.27383911236629682</v>
      </c>
      <c r="K50" s="264">
        <f>IF(K$17=0,0,K$17/AGR_fec!K$17)</f>
        <v>0.27359493929370654</v>
      </c>
      <c r="L50" s="264">
        <f>IF(L$17=0,0,L$17/AGR_fec!L$17)</f>
        <v>0.27411904717491037</v>
      </c>
      <c r="M50" s="264">
        <f>IF(M$17=0,0,M$17/AGR_fec!M$17)</f>
        <v>0.27411795757166763</v>
      </c>
      <c r="N50" s="264">
        <f>IF(N$17=0,0,N$17/AGR_fec!N$17)</f>
        <v>0.27300634494497455</v>
      </c>
      <c r="O50" s="264">
        <f>IF(O$17=0,0,O$17/AGR_fec!O$17)</f>
        <v>0.2709687298375158</v>
      </c>
      <c r="P50" s="264">
        <f>IF(P$17=0,0,P$17/AGR_fec!P$17)</f>
        <v>0.27099152588024206</v>
      </c>
      <c r="Q50" s="264">
        <f>IF(Q$17=0,0,Q$17/AGR_fec!Q$17)</f>
        <v>0.26701872501147056</v>
      </c>
      <c r="R50" s="264">
        <f>IF(R$17=0,0,R$17/AGR_fec!R$17)</f>
        <v>0.27406554115576098</v>
      </c>
      <c r="S50" s="264">
        <f>IF(S$17=0,0,S$17/AGR_fec!S$17)</f>
        <v>0.26838251636577648</v>
      </c>
      <c r="T50" s="264">
        <f>IF(T$17=0,0,T$17/AGR_fec!T$17)</f>
        <v>0.26996895468042104</v>
      </c>
      <c r="U50" s="264">
        <f>IF(U$17=0,0,U$17/AGR_fec!U$17)</f>
        <v>0.26661803290515945</v>
      </c>
      <c r="V50" s="264">
        <f>IF(V$17=0,0,V$17/AGR_fec!V$17)</f>
        <v>0.26812119219982467</v>
      </c>
      <c r="W50" s="264">
        <f>IF(W$17=0,0,W$17/AGR_fec!W$17)</f>
        <v>0.26864720809789672</v>
      </c>
      <c r="X50" s="264">
        <f>IF(X$17=0,0,X$17/AGR_fec!X$17)</f>
        <v>0.26707779743411131</v>
      </c>
      <c r="Y50" s="264">
        <f>IF(Y$17=0,0,Y$17/AGR_fec!Y$17)</f>
        <v>0.26764921262065172</v>
      </c>
      <c r="DA50" s="290"/>
    </row>
    <row r="51" spans="1:105" x14ac:dyDescent="0.25">
      <c r="A51" s="127" t="s">
        <v>167</v>
      </c>
      <c r="B51" s="264">
        <f>IF(B$25=0,0,B$25/AGR_fec!B$25)</f>
        <v>0.23430512741944462</v>
      </c>
      <c r="C51" s="264">
        <f>IF(C$25=0,0,C$25/AGR_fec!C$25)</f>
        <v>0.23430512741944459</v>
      </c>
      <c r="D51" s="264">
        <f>IF(D$25=0,0,D$25/AGR_fec!D$25)</f>
        <v>0.23430512741944473</v>
      </c>
      <c r="E51" s="264">
        <f>IF(E$25=0,0,E$25/AGR_fec!E$25)</f>
        <v>0.2343051274194447</v>
      </c>
      <c r="F51" s="264">
        <f>IF(F$25=0,0,F$25/AGR_fec!F$25)</f>
        <v>0.23430512741944473</v>
      </c>
      <c r="G51" s="264">
        <f>IF(G$25=0,0,G$25/AGR_fec!G$25)</f>
        <v>0.23430512741944476</v>
      </c>
      <c r="H51" s="264">
        <f>IF(H$25=0,0,H$25/AGR_fec!H$25)</f>
        <v>0.2343051274194447</v>
      </c>
      <c r="I51" s="264">
        <f>IF(I$25=0,0,I$25/AGR_fec!I$25)</f>
        <v>0.23430512741944465</v>
      </c>
      <c r="J51" s="264">
        <f>IF(J$25=0,0,J$25/AGR_fec!J$25)</f>
        <v>0.23430512741944465</v>
      </c>
      <c r="K51" s="264">
        <f>IF(K$25=0,0,K$25/AGR_fec!K$25)</f>
        <v>0.23430512741944476</v>
      </c>
      <c r="L51" s="264">
        <f>IF(L$25=0,0,L$25/AGR_fec!L$25)</f>
        <v>0.23430512741944462</v>
      </c>
      <c r="M51" s="264">
        <f>IF(M$25=0,0,M$25/AGR_fec!M$25)</f>
        <v>0.23430512741944468</v>
      </c>
      <c r="N51" s="264">
        <f>IF(N$25=0,0,N$25/AGR_fec!N$25)</f>
        <v>0.23430512741944473</v>
      </c>
      <c r="O51" s="264">
        <f>IF(O$25=0,0,O$25/AGR_fec!O$25)</f>
        <v>0.23430512741944462</v>
      </c>
      <c r="P51" s="264">
        <f>IF(P$25=0,0,P$25/AGR_fec!P$25)</f>
        <v>0.23430512741944465</v>
      </c>
      <c r="Q51" s="264">
        <f>IF(Q$25=0,0,Q$25/AGR_fec!Q$25)</f>
        <v>0.2343051274194447</v>
      </c>
      <c r="R51" s="264">
        <f>IF(R$25=0,0,R$25/AGR_fec!R$25)</f>
        <v>0.23430512741944473</v>
      </c>
      <c r="S51" s="264">
        <f>IF(S$25=0,0,S$25/AGR_fec!S$25)</f>
        <v>0.23430512741944462</v>
      </c>
      <c r="T51" s="264">
        <f>IF(T$25=0,0,T$25/AGR_fec!T$25)</f>
        <v>0.23430512741944465</v>
      </c>
      <c r="U51" s="264">
        <f>IF(U$25=0,0,U$25/AGR_fec!U$25)</f>
        <v>0.23430512741944468</v>
      </c>
      <c r="V51" s="264">
        <f>IF(V$25=0,0,V$25/AGR_fec!V$25)</f>
        <v>0.23430512741944462</v>
      </c>
      <c r="W51" s="264">
        <f>IF(W$25=0,0,W$25/AGR_fec!W$25)</f>
        <v>0.23430512741944473</v>
      </c>
      <c r="X51" s="264">
        <f>IF(X$25=0,0,X$25/AGR_fec!X$25)</f>
        <v>0.23430512741944465</v>
      </c>
      <c r="Y51" s="264">
        <f>IF(Y$25=0,0,Y$25/AGR_fec!Y$25)</f>
        <v>0.23430512741944465</v>
      </c>
      <c r="DA51" s="290"/>
    </row>
    <row r="52" spans="1:105" x14ac:dyDescent="0.25">
      <c r="A52" s="127" t="s">
        <v>170</v>
      </c>
      <c r="B52" s="264">
        <f>IF(B$26=0,0,B$26/AGR_fec!B$26)</f>
        <v>0.46384670737007555</v>
      </c>
      <c r="C52" s="264">
        <f>IF(C$26=0,0,C$26/AGR_fec!C$26)</f>
        <v>0.46384670737007538</v>
      </c>
      <c r="D52" s="264">
        <f>IF(D$26=0,0,D$26/AGR_fec!D$26)</f>
        <v>0.46384670737007544</v>
      </c>
      <c r="E52" s="264">
        <f>IF(E$26=0,0,E$26/AGR_fec!E$26)</f>
        <v>0.46384670737007533</v>
      </c>
      <c r="F52" s="264">
        <f>IF(F$26=0,0,F$26/AGR_fec!F$26)</f>
        <v>0.4638467073700755</v>
      </c>
      <c r="G52" s="264">
        <f>IF(G$26=0,0,G$26/AGR_fec!G$26)</f>
        <v>0.46384670737007555</v>
      </c>
      <c r="H52" s="264">
        <f>IF(H$26=0,0,H$26/AGR_fec!H$26)</f>
        <v>0.46384670737007561</v>
      </c>
      <c r="I52" s="264">
        <f>IF(I$26=0,0,I$26/AGR_fec!I$26)</f>
        <v>0.46384670737007544</v>
      </c>
      <c r="J52" s="264">
        <f>IF(J$26=0,0,J$26/AGR_fec!J$26)</f>
        <v>0.46384670737007561</v>
      </c>
      <c r="K52" s="264">
        <f>IF(K$26=0,0,K$26/AGR_fec!K$26)</f>
        <v>0.46384670737007538</v>
      </c>
      <c r="L52" s="264">
        <f>IF(L$26=0,0,L$26/AGR_fec!L$26)</f>
        <v>0.4638467073700755</v>
      </c>
      <c r="M52" s="264">
        <f>IF(M$26=0,0,M$26/AGR_fec!M$26)</f>
        <v>0.46384670737007555</v>
      </c>
      <c r="N52" s="264">
        <f>IF(N$26=0,0,N$26/AGR_fec!N$26)</f>
        <v>0.46384670737007544</v>
      </c>
      <c r="O52" s="264">
        <f>IF(O$26=0,0,O$26/AGR_fec!O$26)</f>
        <v>0.46384670737007555</v>
      </c>
      <c r="P52" s="264">
        <f>IF(P$26=0,0,P$26/AGR_fec!P$26)</f>
        <v>0.46384670737007561</v>
      </c>
      <c r="Q52" s="264">
        <f>IF(Q$26=0,0,Q$26/AGR_fec!Q$26)</f>
        <v>0.4638467073700755</v>
      </c>
      <c r="R52" s="264">
        <f>IF(R$26=0,0,R$26/AGR_fec!R$26)</f>
        <v>0.4638467073700755</v>
      </c>
      <c r="S52" s="264">
        <f>IF(S$26=0,0,S$26/AGR_fec!S$26)</f>
        <v>0.46384670737007544</v>
      </c>
      <c r="T52" s="264">
        <f>IF(T$26=0,0,T$26/AGR_fec!T$26)</f>
        <v>0.46384670737007544</v>
      </c>
      <c r="U52" s="264">
        <f>IF(U$26=0,0,U$26/AGR_fec!U$26)</f>
        <v>0.46384670737007555</v>
      </c>
      <c r="V52" s="264">
        <f>IF(V$26=0,0,V$26/AGR_fec!V$26)</f>
        <v>0.46384670737007555</v>
      </c>
      <c r="W52" s="264">
        <f>IF(W$26=0,0,W$26/AGR_fec!W$26)</f>
        <v>0.4638467073700755</v>
      </c>
      <c r="X52" s="264">
        <f>IF(X$26=0,0,X$26/AGR_fec!X$26)</f>
        <v>0.46384670737007544</v>
      </c>
      <c r="Y52" s="264">
        <f>IF(Y$26=0,0,Y$26/AGR_fec!Y$26)</f>
        <v>0.46384670737007544</v>
      </c>
      <c r="DA52" s="290"/>
    </row>
    <row r="53" spans="1:105" x14ac:dyDescent="0.25">
      <c r="A53" s="260" t="s">
        <v>33</v>
      </c>
      <c r="B53" s="265">
        <f>IF(B$27=0,0,B$27/AGR_fec!B$27)</f>
        <v>0.48753959685304415</v>
      </c>
      <c r="C53" s="265">
        <f>IF(C$27=0,0,C$27/AGR_fec!C$27)</f>
        <v>0.48753959685304421</v>
      </c>
      <c r="D53" s="265">
        <f>IF(D$27=0,0,D$27/AGR_fec!D$27)</f>
        <v>0.4875395968530441</v>
      </c>
      <c r="E53" s="265">
        <f>IF(E$27=0,0,E$27/AGR_fec!E$27)</f>
        <v>0.4875395968530441</v>
      </c>
      <c r="F53" s="265">
        <f>IF(F$27=0,0,F$27/AGR_fec!F$27)</f>
        <v>0.48753959685304432</v>
      </c>
      <c r="G53" s="265">
        <f>IF(G$27=0,0,G$27/AGR_fec!G$27)</f>
        <v>0.48753959685304438</v>
      </c>
      <c r="H53" s="265">
        <f>IF(H$27=0,0,H$27/AGR_fec!H$27)</f>
        <v>0.48753959685304415</v>
      </c>
      <c r="I53" s="265">
        <f>IF(I$27=0,0,I$27/AGR_fec!I$27)</f>
        <v>0.48753959685304404</v>
      </c>
      <c r="J53" s="265">
        <f>IF(J$27=0,0,J$27/AGR_fec!J$27)</f>
        <v>0.48753959685304427</v>
      </c>
      <c r="K53" s="265">
        <f>IF(K$27=0,0,K$27/AGR_fec!K$27)</f>
        <v>0.48753959685304432</v>
      </c>
      <c r="L53" s="265">
        <f>IF(L$27=0,0,L$27/AGR_fec!L$27)</f>
        <v>0.48753959685304421</v>
      </c>
      <c r="M53" s="265">
        <f>IF(M$27=0,0,M$27/AGR_fec!M$27)</f>
        <v>0.4875395968530441</v>
      </c>
      <c r="N53" s="265">
        <f>IF(N$27=0,0,N$27/AGR_fec!N$27)</f>
        <v>0.48753959685304432</v>
      </c>
      <c r="O53" s="265">
        <f>IF(O$27=0,0,O$27/AGR_fec!O$27)</f>
        <v>0.48753959685304404</v>
      </c>
      <c r="P53" s="265">
        <f>IF(P$27=0,0,P$27/AGR_fec!P$27)</f>
        <v>0.48753959685304415</v>
      </c>
      <c r="Q53" s="265">
        <f>IF(Q$27=0,0,Q$27/AGR_fec!Q$27)</f>
        <v>0.48753959685304415</v>
      </c>
      <c r="R53" s="265">
        <f>IF(R$27=0,0,R$27/AGR_fec!R$27)</f>
        <v>0.48753959685304415</v>
      </c>
      <c r="S53" s="265">
        <f>IF(S$27=0,0,S$27/AGR_fec!S$27)</f>
        <v>0.48753959685304421</v>
      </c>
      <c r="T53" s="265">
        <f>IF(T$27=0,0,T$27/AGR_fec!T$27)</f>
        <v>0.48753959685304415</v>
      </c>
      <c r="U53" s="265">
        <f>IF(U$27=0,0,U$27/AGR_fec!U$27)</f>
        <v>0.48753959685304415</v>
      </c>
      <c r="V53" s="265">
        <f>IF(V$27=0,0,V$27/AGR_fec!V$27)</f>
        <v>0.4875395968530441</v>
      </c>
      <c r="W53" s="265">
        <f>IF(W$27=0,0,W$27/AGR_fec!W$27)</f>
        <v>0.48753959685304415</v>
      </c>
      <c r="X53" s="265">
        <f>IF(X$27=0,0,X$27/AGR_fec!X$27)</f>
        <v>0.4875395968530441</v>
      </c>
      <c r="Y53" s="265">
        <f>IF(Y$27=0,0,Y$27/AGR_fec!Y$27)</f>
        <v>0.4875395968530441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874.10779131157733</v>
      </c>
      <c r="C5" s="80">
        <f t="shared" ref="C5:W5" si="0">SUM(C6:C9,C16:C17,C25:C27)</f>
        <v>797.54212029119606</v>
      </c>
      <c r="D5" s="80">
        <f t="shared" si="0"/>
        <v>808.07463199297331</v>
      </c>
      <c r="E5" s="80">
        <f t="shared" si="0"/>
        <v>810.7080777571108</v>
      </c>
      <c r="F5" s="80">
        <f t="shared" si="0"/>
        <v>793.46549440916203</v>
      </c>
      <c r="G5" s="80">
        <f t="shared" si="0"/>
        <v>861.58733497478693</v>
      </c>
      <c r="H5" s="80">
        <f t="shared" si="0"/>
        <v>835.7177259358225</v>
      </c>
      <c r="I5" s="80">
        <f t="shared" si="0"/>
        <v>745.42118558429388</v>
      </c>
      <c r="J5" s="80">
        <f t="shared" si="0"/>
        <v>477.51263084466115</v>
      </c>
      <c r="K5" s="80">
        <f t="shared" si="0"/>
        <v>475.82046673341745</v>
      </c>
      <c r="L5" s="80">
        <f t="shared" si="0"/>
        <v>458.74416710037491</v>
      </c>
      <c r="M5" s="80">
        <f t="shared" si="0"/>
        <v>500.64363668640453</v>
      </c>
      <c r="N5" s="80">
        <f t="shared" si="0"/>
        <v>490.61586505582528</v>
      </c>
      <c r="O5" s="80">
        <f t="shared" si="0"/>
        <v>457.87089939900312</v>
      </c>
      <c r="P5" s="80">
        <f t="shared" si="0"/>
        <v>464.49032605822492</v>
      </c>
      <c r="Q5" s="80">
        <f t="shared" si="0"/>
        <v>468.11704802249795</v>
      </c>
      <c r="R5" s="80">
        <f t="shared" si="0"/>
        <v>432.18653918294785</v>
      </c>
      <c r="S5" s="80">
        <f t="shared" si="0"/>
        <v>437.26327358694545</v>
      </c>
      <c r="T5" s="80">
        <f t="shared" si="0"/>
        <v>461.48613713658665</v>
      </c>
      <c r="U5" s="80">
        <f t="shared" si="0"/>
        <v>475.93326004159377</v>
      </c>
      <c r="V5" s="80">
        <f t="shared" si="0"/>
        <v>443.7871345660156</v>
      </c>
      <c r="W5" s="80">
        <f t="shared" si="0"/>
        <v>487.40684983776697</v>
      </c>
      <c r="X5" s="80">
        <f t="shared" ref="X5:Y5" si="1">SUM(X6:X9,X16:X17,X25:X27)</f>
        <v>513.38831674195967</v>
      </c>
      <c r="Y5" s="80">
        <f t="shared" si="1"/>
        <v>492.42852082397121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197.04357409054251</v>
      </c>
      <c r="C9" s="243">
        <f t="shared" ref="C9:W9" si="2">SUM(C10:C15)</f>
        <v>175.21555105161892</v>
      </c>
      <c r="D9" s="243">
        <f t="shared" si="2"/>
        <v>178.38446888301911</v>
      </c>
      <c r="E9" s="243">
        <f t="shared" si="2"/>
        <v>178.46987462852104</v>
      </c>
      <c r="F9" s="243">
        <f t="shared" si="2"/>
        <v>173.37653938425424</v>
      </c>
      <c r="G9" s="243">
        <f t="shared" si="2"/>
        <v>186.05569587014486</v>
      </c>
      <c r="H9" s="243">
        <f t="shared" si="2"/>
        <v>182.38924793500806</v>
      </c>
      <c r="I9" s="243">
        <f t="shared" si="2"/>
        <v>159.06853304091888</v>
      </c>
      <c r="J9" s="243">
        <f t="shared" si="2"/>
        <v>95.073773717380789</v>
      </c>
      <c r="K9" s="243">
        <f t="shared" si="2"/>
        <v>98.711848646884249</v>
      </c>
      <c r="L9" s="243">
        <f t="shared" si="2"/>
        <v>86.490002966097194</v>
      </c>
      <c r="M9" s="243">
        <f t="shared" si="2"/>
        <v>92.713609224428666</v>
      </c>
      <c r="N9" s="243">
        <f t="shared" si="2"/>
        <v>90.333173606147014</v>
      </c>
      <c r="O9" s="243">
        <f t="shared" si="2"/>
        <v>84.534624026086149</v>
      </c>
      <c r="P9" s="243">
        <f t="shared" si="2"/>
        <v>87.095769181274107</v>
      </c>
      <c r="Q9" s="243">
        <f t="shared" si="2"/>
        <v>98.117063868375553</v>
      </c>
      <c r="R9" s="243">
        <f t="shared" si="2"/>
        <v>75.651036019939298</v>
      </c>
      <c r="S9" s="243">
        <f t="shared" si="2"/>
        <v>79.142027251275692</v>
      </c>
      <c r="T9" s="243">
        <f t="shared" si="2"/>
        <v>82.454926185081533</v>
      </c>
      <c r="U9" s="243">
        <f t="shared" si="2"/>
        <v>78.126996896385009</v>
      </c>
      <c r="V9" s="243">
        <f t="shared" si="2"/>
        <v>66.637199415773637</v>
      </c>
      <c r="W9" s="243">
        <f t="shared" si="2"/>
        <v>82.698767679690363</v>
      </c>
      <c r="X9" s="243">
        <f t="shared" ref="X9:Y9" si="3">SUM(X10:X15)</f>
        <v>91.380532151353776</v>
      </c>
      <c r="Y9" s="243">
        <f t="shared" si="3"/>
        <v>87.201469113558929</v>
      </c>
      <c r="DA9" s="269"/>
    </row>
    <row r="10" spans="1:105" x14ac:dyDescent="0.25">
      <c r="A10" s="253" t="s">
        <v>166</v>
      </c>
      <c r="B10" s="254">
        <v>184.82072001499989</v>
      </c>
      <c r="C10" s="254">
        <v>162.45057079924291</v>
      </c>
      <c r="D10" s="254">
        <v>165.15723285331981</v>
      </c>
      <c r="E10" s="254">
        <v>163.6869123361312</v>
      </c>
      <c r="F10" s="254">
        <v>153.80878614138189</v>
      </c>
      <c r="G10" s="254">
        <v>160.9877468521475</v>
      </c>
      <c r="H10" s="254">
        <v>153.74314313813051</v>
      </c>
      <c r="I10" s="254">
        <v>130.05397035573651</v>
      </c>
      <c r="J10" s="254">
        <v>64.436099739140957</v>
      </c>
      <c r="K10" s="254">
        <v>75.842552171017502</v>
      </c>
      <c r="L10" s="254">
        <v>67.319598524641776</v>
      </c>
      <c r="M10" s="254">
        <v>71.434335630633129</v>
      </c>
      <c r="N10" s="254">
        <v>73.16923354909467</v>
      </c>
      <c r="O10" s="254">
        <v>68.378484182826213</v>
      </c>
      <c r="P10" s="254">
        <v>69.999340900220915</v>
      </c>
      <c r="Q10" s="254">
        <v>84.197160361958296</v>
      </c>
      <c r="R10" s="254">
        <v>63.982115552570903</v>
      </c>
      <c r="S10" s="254">
        <v>66.631552867674955</v>
      </c>
      <c r="T10" s="254">
        <v>71.021466265145961</v>
      </c>
      <c r="U10" s="254">
        <v>70.03934743433247</v>
      </c>
      <c r="V10" s="254">
        <v>58.512403200483377</v>
      </c>
      <c r="W10" s="254">
        <v>72.2349963132733</v>
      </c>
      <c r="X10" s="254">
        <v>82.310604882303437</v>
      </c>
      <c r="Y10" s="254">
        <v>78.943563624649485</v>
      </c>
      <c r="DA10" s="270" t="s">
        <v>1040</v>
      </c>
    </row>
    <row r="11" spans="1:105" x14ac:dyDescent="0.25">
      <c r="A11" s="253" t="s">
        <v>169</v>
      </c>
      <c r="B11" s="255">
        <v>12.222854075542619</v>
      </c>
      <c r="C11" s="255">
        <v>12.764980252376009</v>
      </c>
      <c r="D11" s="255">
        <v>13.227236029699309</v>
      </c>
      <c r="E11" s="255">
        <v>14.78296229238985</v>
      </c>
      <c r="F11" s="255">
        <v>19.56775324287236</v>
      </c>
      <c r="G11" s="255">
        <v>25.067949017997361</v>
      </c>
      <c r="H11" s="255">
        <v>28.646104796877559</v>
      </c>
      <c r="I11" s="255">
        <v>29.01456268518238</v>
      </c>
      <c r="J11" s="255">
        <v>30.637673978239832</v>
      </c>
      <c r="K11" s="255">
        <v>22.869296475866751</v>
      </c>
      <c r="L11" s="255">
        <v>19.17040444145541</v>
      </c>
      <c r="M11" s="255">
        <v>21.27927359379553</v>
      </c>
      <c r="N11" s="255">
        <v>17.16394005705234</v>
      </c>
      <c r="O11" s="255">
        <v>16.15613984325994</v>
      </c>
      <c r="P11" s="255">
        <v>17.0964282810532</v>
      </c>
      <c r="Q11" s="255">
        <v>13.91990350641726</v>
      </c>
      <c r="R11" s="255">
        <v>11.668920467368389</v>
      </c>
      <c r="S11" s="255">
        <v>12.510474383600741</v>
      </c>
      <c r="T11" s="255">
        <v>11.43345991993557</v>
      </c>
      <c r="U11" s="255">
        <v>8.0876494620525374</v>
      </c>
      <c r="V11" s="255">
        <v>8.1247962152902531</v>
      </c>
      <c r="W11" s="255">
        <v>10.46377136641706</v>
      </c>
      <c r="X11" s="255">
        <v>9.0699272690503339</v>
      </c>
      <c r="Y11" s="255">
        <v>8.2579054889094436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270.58208004978678</v>
      </c>
      <c r="C16" s="257">
        <v>241.31812773127109</v>
      </c>
      <c r="D16" s="257">
        <v>245.6127821227702</v>
      </c>
      <c r="E16" s="257">
        <v>246.879134706451</v>
      </c>
      <c r="F16" s="257">
        <v>239.06142278659499</v>
      </c>
      <c r="G16" s="257">
        <v>257.44104503094098</v>
      </c>
      <c r="H16" s="257">
        <v>252.28402283456839</v>
      </c>
      <c r="I16" s="257">
        <v>223.60013564753831</v>
      </c>
      <c r="J16" s="257">
        <v>142.640470643052</v>
      </c>
      <c r="K16" s="257">
        <v>145.83842201562859</v>
      </c>
      <c r="L16" s="257">
        <v>145.9573504841417</v>
      </c>
      <c r="M16" s="257">
        <v>159.5296845927376</v>
      </c>
      <c r="N16" s="257">
        <v>157.6638798645275</v>
      </c>
      <c r="O16" s="257">
        <v>144.8588901102556</v>
      </c>
      <c r="P16" s="257">
        <v>149.26346907182659</v>
      </c>
      <c r="Q16" s="257">
        <v>149.20567036845799</v>
      </c>
      <c r="R16" s="257">
        <v>144.91364403831091</v>
      </c>
      <c r="S16" s="257">
        <v>138.69268243189171</v>
      </c>
      <c r="T16" s="257">
        <v>145.42372027123011</v>
      </c>
      <c r="U16" s="257">
        <v>148.78087757592809</v>
      </c>
      <c r="V16" s="257">
        <v>143.06688303045979</v>
      </c>
      <c r="W16" s="257">
        <v>154.80316703965551</v>
      </c>
      <c r="X16" s="257">
        <v>158.93586382878749</v>
      </c>
      <c r="Y16" s="257">
        <v>157.03471132373991</v>
      </c>
      <c r="DA16" s="272" t="s">
        <v>1046</v>
      </c>
    </row>
    <row r="17" spans="1:105" x14ac:dyDescent="0.25">
      <c r="A17" s="256" t="s">
        <v>121</v>
      </c>
      <c r="B17" s="257">
        <f>SUM(B18:B24)</f>
        <v>354.48753553298013</v>
      </c>
      <c r="C17" s="257">
        <f t="shared" ref="C17:W17" si="4">SUM(C18:C24)</f>
        <v>334.63715218577812</v>
      </c>
      <c r="D17" s="257">
        <f t="shared" si="4"/>
        <v>336.88083803286003</v>
      </c>
      <c r="E17" s="257">
        <f t="shared" si="4"/>
        <v>337.91918526542582</v>
      </c>
      <c r="F17" s="257">
        <f t="shared" si="4"/>
        <v>335.08988757766321</v>
      </c>
      <c r="G17" s="257">
        <f t="shared" si="4"/>
        <v>368.62115182807918</v>
      </c>
      <c r="H17" s="257">
        <f t="shared" si="4"/>
        <v>352.56597771286312</v>
      </c>
      <c r="I17" s="257">
        <f t="shared" si="4"/>
        <v>319.78588740907526</v>
      </c>
      <c r="J17" s="257">
        <f t="shared" si="4"/>
        <v>212.38883132367999</v>
      </c>
      <c r="K17" s="257">
        <f t="shared" si="4"/>
        <v>203.24612790326768</v>
      </c>
      <c r="L17" s="257">
        <f t="shared" si="4"/>
        <v>198.24989238615714</v>
      </c>
      <c r="M17" s="257">
        <f t="shared" si="4"/>
        <v>217.74538449818982</v>
      </c>
      <c r="N17" s="257">
        <f t="shared" si="4"/>
        <v>212.32238314173173</v>
      </c>
      <c r="O17" s="257">
        <f t="shared" si="4"/>
        <v>200.6415423137916</v>
      </c>
      <c r="P17" s="257">
        <f t="shared" si="4"/>
        <v>199.44886830223786</v>
      </c>
      <c r="Q17" s="257">
        <f t="shared" si="4"/>
        <v>192.12320078530888</v>
      </c>
      <c r="R17" s="257">
        <f t="shared" si="4"/>
        <v>183.77549475224788</v>
      </c>
      <c r="S17" s="257">
        <f t="shared" si="4"/>
        <v>192.77760914778622</v>
      </c>
      <c r="T17" s="257">
        <f t="shared" si="4"/>
        <v>205.66311090883468</v>
      </c>
      <c r="U17" s="257">
        <f t="shared" si="4"/>
        <v>220.43590004411612</v>
      </c>
      <c r="V17" s="257">
        <f t="shared" si="4"/>
        <v>206.59155826538975</v>
      </c>
      <c r="W17" s="257">
        <f t="shared" si="4"/>
        <v>220.15819648469582</v>
      </c>
      <c r="X17" s="257">
        <f t="shared" ref="X17:Y17" si="5">SUM(X18:X24)</f>
        <v>232.53106999930202</v>
      </c>
      <c r="Y17" s="257">
        <f t="shared" si="5"/>
        <v>218.01681192168346</v>
      </c>
      <c r="DA17" s="272"/>
    </row>
    <row r="18" spans="1:105" x14ac:dyDescent="0.25">
      <c r="A18" s="61" t="s">
        <v>29</v>
      </c>
      <c r="B18" s="55">
        <v>3.9007303540011331</v>
      </c>
      <c r="C18" s="55">
        <v>3.2617301733500579</v>
      </c>
      <c r="D18" s="55">
        <v>8.8561740751471092</v>
      </c>
      <c r="E18" s="55">
        <v>4.8368461191141243</v>
      </c>
      <c r="F18" s="55">
        <v>11.075638251371551</v>
      </c>
      <c r="G18" s="55">
        <v>19.443419176782839</v>
      </c>
      <c r="H18" s="55">
        <v>25.071554377619702</v>
      </c>
      <c r="I18" s="55">
        <v>33.67418486635475</v>
      </c>
      <c r="J18" s="55">
        <v>26.983295846797692</v>
      </c>
      <c r="K18" s="55">
        <v>21.088356375594671</v>
      </c>
      <c r="L18" s="55">
        <v>16.345636942841399</v>
      </c>
      <c r="M18" s="55">
        <v>19.73203436763551</v>
      </c>
      <c r="N18" s="55">
        <v>18.10159213737224</v>
      </c>
      <c r="O18" s="55">
        <v>27.866912560560571</v>
      </c>
      <c r="P18" s="55">
        <v>23.44672394010189</v>
      </c>
      <c r="Q18" s="55">
        <v>27.835241184667058</v>
      </c>
      <c r="R18" s="55">
        <v>31.689568225343901</v>
      </c>
      <c r="S18" s="55">
        <v>39.845487028628682</v>
      </c>
      <c r="T18" s="55">
        <v>37.775966218374698</v>
      </c>
      <c r="U18" s="55">
        <v>40.649155003913918</v>
      </c>
      <c r="V18" s="55">
        <v>37.370734727349898</v>
      </c>
      <c r="W18" s="55">
        <v>38.221171279677009</v>
      </c>
      <c r="X18" s="55">
        <v>46.21358038416416</v>
      </c>
      <c r="Y18" s="55">
        <v>30.700465665568089</v>
      </c>
      <c r="DA18" s="101" t="s">
        <v>1047</v>
      </c>
    </row>
    <row r="19" spans="1:105" x14ac:dyDescent="0.25">
      <c r="A19" s="61" t="s">
        <v>27</v>
      </c>
      <c r="B19" s="55">
        <v>2.984655239991453</v>
      </c>
      <c r="C19" s="55">
        <v>2.984655239991699</v>
      </c>
      <c r="D19" s="55">
        <v>2.9846552399916768</v>
      </c>
      <c r="E19" s="55">
        <v>5.9693104799847294</v>
      </c>
      <c r="F19" s="55">
        <v>0</v>
      </c>
      <c r="G19" s="55">
        <v>9.8910007199757803</v>
      </c>
      <c r="H19" s="55">
        <v>6.5940004799849046</v>
      </c>
      <c r="I19" s="55">
        <v>5.8053009599823691</v>
      </c>
      <c r="J19" s="55">
        <v>8.7077242799518384</v>
      </c>
      <c r="K19" s="55">
        <v>14.51302523992058</v>
      </c>
      <c r="L19" s="55">
        <v>8.7077242799466728</v>
      </c>
      <c r="M19" s="55">
        <v>8.7077242799749666</v>
      </c>
      <c r="N19" s="55">
        <v>5.8053009599787728</v>
      </c>
      <c r="O19" s="55">
        <v>5.8053009599763534</v>
      </c>
      <c r="P19" s="55">
        <v>8.707724279958466</v>
      </c>
      <c r="Q19" s="55">
        <v>5.805300959967556</v>
      </c>
      <c r="R19" s="55">
        <v>5.8053009599621674</v>
      </c>
      <c r="S19" s="55">
        <v>6.8618221199670266</v>
      </c>
      <c r="T19" s="55">
        <v>7.5612477599630941</v>
      </c>
      <c r="U19" s="55">
        <v>6.2521246799584604</v>
      </c>
      <c r="V19" s="55">
        <v>5.0361371999790459</v>
      </c>
      <c r="W19" s="55">
        <v>4.9663990799747424</v>
      </c>
      <c r="X19" s="55">
        <v>4.6819947599740912</v>
      </c>
      <c r="Y19" s="55">
        <v>4.4700544799812327</v>
      </c>
      <c r="DA19" s="101" t="s">
        <v>1048</v>
      </c>
    </row>
    <row r="20" spans="1:105" x14ac:dyDescent="0.25">
      <c r="A20" s="61" t="s">
        <v>166</v>
      </c>
      <c r="B20" s="55">
        <v>273.24612793477428</v>
      </c>
      <c r="C20" s="55">
        <v>266.77751214501529</v>
      </c>
      <c r="D20" s="55">
        <v>274.88238278759337</v>
      </c>
      <c r="E20" s="55">
        <v>268.47038087890002</v>
      </c>
      <c r="F20" s="55">
        <v>243.060316769449</v>
      </c>
      <c r="G20" s="55">
        <v>239.46045478961551</v>
      </c>
      <c r="H20" s="55">
        <v>249.7434241723555</v>
      </c>
      <c r="I20" s="55">
        <v>211.45868450819961</v>
      </c>
      <c r="J20" s="55">
        <v>107.1667444556065</v>
      </c>
      <c r="K20" s="55">
        <v>126.42655764389841</v>
      </c>
      <c r="L20" s="55">
        <v>134.80772972512179</v>
      </c>
      <c r="M20" s="55">
        <v>145.85692140452511</v>
      </c>
      <c r="N20" s="55">
        <v>152.6152181415919</v>
      </c>
      <c r="O20" s="55">
        <v>135.05838275667401</v>
      </c>
      <c r="P20" s="55">
        <v>134.45543052342549</v>
      </c>
      <c r="Q20" s="55">
        <v>135.99866626725699</v>
      </c>
      <c r="R20" s="55">
        <v>123.7173260344986</v>
      </c>
      <c r="S20" s="55">
        <v>122.77666298293001</v>
      </c>
      <c r="T20" s="55">
        <v>137.85723993056109</v>
      </c>
      <c r="U20" s="55">
        <v>131.93474690257531</v>
      </c>
      <c r="V20" s="55">
        <v>127.3264486334992</v>
      </c>
      <c r="W20" s="55">
        <v>130.37697725170821</v>
      </c>
      <c r="X20" s="55">
        <v>134.77652808449039</v>
      </c>
      <c r="Y20" s="55">
        <v>136.73942654524311</v>
      </c>
      <c r="DA20" s="101" t="s">
        <v>1049</v>
      </c>
    </row>
    <row r="21" spans="1:105" x14ac:dyDescent="0.25">
      <c r="A21" s="61" t="s">
        <v>129</v>
      </c>
      <c r="B21" s="55">
        <v>56.285279999838799</v>
      </c>
      <c r="C21" s="55">
        <v>40.650510959886937</v>
      </c>
      <c r="D21" s="55">
        <v>28.14263999992151</v>
      </c>
      <c r="E21" s="55">
        <v>34.396436159912028</v>
      </c>
      <c r="F21" s="55">
        <v>50.031483839855198</v>
      </c>
      <c r="G21" s="55">
        <v>62.539076159846857</v>
      </c>
      <c r="H21" s="55">
        <v>24.623695439943631</v>
      </c>
      <c r="I21" s="55">
        <v>21.67206191993418</v>
      </c>
      <c r="J21" s="55">
        <v>18.576092879897271</v>
      </c>
      <c r="K21" s="55">
        <v>3.0959690399830571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0.24158087999883901</v>
      </c>
      <c r="T21" s="55">
        <v>0.27557495999865478</v>
      </c>
      <c r="U21" s="55">
        <v>26.364980159824821</v>
      </c>
      <c r="V21" s="55">
        <v>19.178200799920202</v>
      </c>
      <c r="W21" s="55">
        <v>27.70758323985909</v>
      </c>
      <c r="X21" s="55">
        <v>32.007741839822877</v>
      </c>
      <c r="Y21" s="55">
        <v>31.803213239866459</v>
      </c>
      <c r="DA21" s="101" t="s">
        <v>1050</v>
      </c>
    </row>
    <row r="22" spans="1:105" x14ac:dyDescent="0.25">
      <c r="A22" s="61" t="s">
        <v>169</v>
      </c>
      <c r="B22" s="55">
        <v>18.07074200437448</v>
      </c>
      <c r="C22" s="55">
        <v>20.96274366753406</v>
      </c>
      <c r="D22" s="55">
        <v>22.014985930206379</v>
      </c>
      <c r="E22" s="55">
        <v>24.246211627514931</v>
      </c>
      <c r="F22" s="55">
        <v>30.922448716987429</v>
      </c>
      <c r="G22" s="55">
        <v>37.287200981858263</v>
      </c>
      <c r="H22" s="55">
        <v>46.533303242959413</v>
      </c>
      <c r="I22" s="55">
        <v>47.175655154604328</v>
      </c>
      <c r="J22" s="55">
        <v>50.954973861426708</v>
      </c>
      <c r="K22" s="55">
        <v>38.122219603870981</v>
      </c>
      <c r="L22" s="55">
        <v>38.388801438247263</v>
      </c>
      <c r="M22" s="55">
        <v>43.448704446054244</v>
      </c>
      <c r="N22" s="55">
        <v>35.800271902788843</v>
      </c>
      <c r="O22" s="55">
        <v>31.910946036580668</v>
      </c>
      <c r="P22" s="55">
        <v>32.838989558751997</v>
      </c>
      <c r="Q22" s="55">
        <v>22.483992373417269</v>
      </c>
      <c r="R22" s="55">
        <v>22.5632995324432</v>
      </c>
      <c r="S22" s="55">
        <v>23.052056136261641</v>
      </c>
      <c r="T22" s="55">
        <v>22.193082039937131</v>
      </c>
      <c r="U22" s="55">
        <v>15.2348932978436</v>
      </c>
      <c r="V22" s="55">
        <v>17.680036904641401</v>
      </c>
      <c r="W22" s="55">
        <v>18.886065633476768</v>
      </c>
      <c r="X22" s="55">
        <v>14.85122493085048</v>
      </c>
      <c r="Y22" s="55">
        <v>14.303651991024569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51.994601638267937</v>
      </c>
      <c r="C25" s="257">
        <v>46.371289322528007</v>
      </c>
      <c r="D25" s="257">
        <v>47.196542954324109</v>
      </c>
      <c r="E25" s="257">
        <v>47.439883156712838</v>
      </c>
      <c r="F25" s="257">
        <v>45.937644660649603</v>
      </c>
      <c r="G25" s="257">
        <v>49.469442245621899</v>
      </c>
      <c r="H25" s="257">
        <v>48.478477453383029</v>
      </c>
      <c r="I25" s="257">
        <v>42.966629486761477</v>
      </c>
      <c r="J25" s="257">
        <v>27.409555160548361</v>
      </c>
      <c r="K25" s="257">
        <v>28.024068167636901</v>
      </c>
      <c r="L25" s="257">
        <v>28.04692126397887</v>
      </c>
      <c r="M25" s="257">
        <v>30.654958371048458</v>
      </c>
      <c r="N25" s="257">
        <v>30.296428443419</v>
      </c>
      <c r="O25" s="257">
        <v>27.835842948869772</v>
      </c>
      <c r="P25" s="257">
        <v>28.682219502886351</v>
      </c>
      <c r="Q25" s="257">
        <v>28.67111300035555</v>
      </c>
      <c r="R25" s="257">
        <v>27.84636437244977</v>
      </c>
      <c r="S25" s="257">
        <v>26.65095475599178</v>
      </c>
      <c r="T25" s="257">
        <v>27.94437977144036</v>
      </c>
      <c r="U25" s="257">
        <v>28.589485525164541</v>
      </c>
      <c r="V25" s="257">
        <v>27.49149385439242</v>
      </c>
      <c r="W25" s="257">
        <v>29.746718633725269</v>
      </c>
      <c r="X25" s="257">
        <v>30.54085076251641</v>
      </c>
      <c r="Y25" s="257">
        <v>30.17552846498895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1</v>
      </c>
      <c r="C31" s="235">
        <f t="shared" si="6"/>
        <v>1.0000000000000002</v>
      </c>
      <c r="D31" s="235">
        <f t="shared" si="6"/>
        <v>1</v>
      </c>
      <c r="E31" s="235">
        <f t="shared" si="6"/>
        <v>0.99999999999999989</v>
      </c>
      <c r="F31" s="235">
        <f t="shared" si="6"/>
        <v>1</v>
      </c>
      <c r="G31" s="235">
        <f t="shared" si="6"/>
        <v>1</v>
      </c>
      <c r="H31" s="235">
        <f t="shared" si="6"/>
        <v>1</v>
      </c>
      <c r="I31" s="235">
        <f t="shared" si="6"/>
        <v>1</v>
      </c>
      <c r="J31" s="235">
        <f t="shared" si="6"/>
        <v>1</v>
      </c>
      <c r="K31" s="235">
        <f t="shared" si="6"/>
        <v>0.99999999999999989</v>
      </c>
      <c r="L31" s="235">
        <f t="shared" si="6"/>
        <v>1</v>
      </c>
      <c r="M31" s="235">
        <f t="shared" si="6"/>
        <v>1</v>
      </c>
      <c r="N31" s="235">
        <f t="shared" si="6"/>
        <v>0.99999999999999989</v>
      </c>
      <c r="O31" s="235">
        <f t="shared" si="6"/>
        <v>1</v>
      </c>
      <c r="P31" s="235">
        <f t="shared" si="6"/>
        <v>1</v>
      </c>
      <c r="Q31" s="235">
        <f t="shared" si="6"/>
        <v>1</v>
      </c>
      <c r="R31" s="235">
        <f t="shared" ref="R31:W31" si="7">SUM(R32:R40)</f>
        <v>1</v>
      </c>
      <c r="S31" s="235">
        <f t="shared" si="7"/>
        <v>0.99999999999999989</v>
      </c>
      <c r="T31" s="235">
        <f t="shared" si="7"/>
        <v>1</v>
      </c>
      <c r="U31" s="235">
        <f t="shared" si="7"/>
        <v>1</v>
      </c>
      <c r="V31" s="235">
        <f t="shared" si="7"/>
        <v>1</v>
      </c>
      <c r="W31" s="235">
        <f t="shared" si="7"/>
        <v>1</v>
      </c>
      <c r="X31" s="235">
        <f t="shared" ref="X31:Y31" si="8">SUM(X32:X40)</f>
        <v>1</v>
      </c>
      <c r="Y31" s="235">
        <f t="shared" si="8"/>
        <v>1.0000000000000002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0.22542251201637667</v>
      </c>
      <c r="C35" s="246">
        <f t="shared" si="12"/>
        <v>0.21969441687624569</v>
      </c>
      <c r="D35" s="246">
        <f t="shared" si="12"/>
        <v>0.22075246743368906</v>
      </c>
      <c r="E35" s="246">
        <f t="shared" si="12"/>
        <v>0.22014073810917528</v>
      </c>
      <c r="F35" s="246">
        <f t="shared" si="12"/>
        <v>0.21850545563213883</v>
      </c>
      <c r="G35" s="246">
        <f t="shared" si="12"/>
        <v>0.21594525397194878</v>
      </c>
      <c r="H35" s="246">
        <f t="shared" si="12"/>
        <v>0.21824264614080272</v>
      </c>
      <c r="I35" s="246">
        <f t="shared" si="12"/>
        <v>0.21339416710598852</v>
      </c>
      <c r="J35" s="246">
        <f t="shared" si="12"/>
        <v>0.19910211285763682</v>
      </c>
      <c r="K35" s="246">
        <f t="shared" si="12"/>
        <v>0.20745607965238794</v>
      </c>
      <c r="L35" s="246">
        <f t="shared" si="12"/>
        <v>0.18853646360842527</v>
      </c>
      <c r="M35" s="246">
        <f t="shared" si="12"/>
        <v>0.185188829799315</v>
      </c>
      <c r="N35" s="246">
        <f t="shared" si="12"/>
        <v>0.18412199857391148</v>
      </c>
      <c r="O35" s="246">
        <f t="shared" si="12"/>
        <v>0.18462545695095597</v>
      </c>
      <c r="P35" s="246">
        <f t="shared" si="12"/>
        <v>0.18750825215325681</v>
      </c>
      <c r="Q35" s="246">
        <f t="shared" si="12"/>
        <v>0.20959942450901722</v>
      </c>
      <c r="R35" s="246">
        <f t="shared" si="12"/>
        <v>0.17504255491843451</v>
      </c>
      <c r="S35" s="246">
        <f t="shared" si="12"/>
        <v>0.18099399613889386</v>
      </c>
      <c r="T35" s="246">
        <f t="shared" si="12"/>
        <v>0.17867259609724148</v>
      </c>
      <c r="U35" s="246">
        <f t="shared" si="12"/>
        <v>0.16415536264382358</v>
      </c>
      <c r="V35" s="246">
        <f t="shared" si="12"/>
        <v>0.1501557711467659</v>
      </c>
      <c r="W35" s="246">
        <f t="shared" si="12"/>
        <v>0.16967091805791526</v>
      </c>
      <c r="X35" s="246">
        <f t="shared" si="12"/>
        <v>0.17799495853600356</v>
      </c>
      <c r="Y35" s="246">
        <f t="shared" si="12"/>
        <v>0.17708452176499928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0.30955230320483129</v>
      </c>
      <c r="C36" s="259">
        <f t="shared" si="13"/>
        <v>0.30257728286897473</v>
      </c>
      <c r="D36" s="259">
        <f t="shared" si="13"/>
        <v>0.30394814092481737</v>
      </c>
      <c r="E36" s="259">
        <f t="shared" si="13"/>
        <v>0.30452285043151661</v>
      </c>
      <c r="F36" s="259">
        <f t="shared" si="13"/>
        <v>0.30128773648135415</v>
      </c>
      <c r="G36" s="259">
        <f t="shared" si="13"/>
        <v>0.29879854842396752</v>
      </c>
      <c r="H36" s="259">
        <f t="shared" si="13"/>
        <v>0.30187707524339635</v>
      </c>
      <c r="I36" s="259">
        <f t="shared" si="13"/>
        <v>0.29996482521793461</v>
      </c>
      <c r="J36" s="259">
        <f t="shared" si="13"/>
        <v>0.29871559709475859</v>
      </c>
      <c r="K36" s="259">
        <f t="shared" si="13"/>
        <v>0.30649884192000476</v>
      </c>
      <c r="L36" s="259">
        <f t="shared" si="13"/>
        <v>0.31816720724038261</v>
      </c>
      <c r="M36" s="259">
        <f t="shared" si="13"/>
        <v>0.31864918058004704</v>
      </c>
      <c r="N36" s="259">
        <f t="shared" si="13"/>
        <v>0.32135911431764957</v>
      </c>
      <c r="O36" s="259">
        <f t="shared" si="13"/>
        <v>0.31637496573902374</v>
      </c>
      <c r="P36" s="259">
        <f t="shared" si="13"/>
        <v>0.32134892956439326</v>
      </c>
      <c r="Q36" s="259">
        <f t="shared" si="13"/>
        <v>0.31873581831458331</v>
      </c>
      <c r="R36" s="259">
        <f t="shared" si="13"/>
        <v>0.3353034648239423</v>
      </c>
      <c r="S36" s="259">
        <f t="shared" si="13"/>
        <v>0.31718347002750064</v>
      </c>
      <c r="T36" s="259">
        <f t="shared" si="13"/>
        <v>0.31512045231423463</v>
      </c>
      <c r="U36" s="259">
        <f t="shared" si="13"/>
        <v>0.31260869972173305</v>
      </c>
      <c r="V36" s="259">
        <f t="shared" si="13"/>
        <v>0.32237726578163761</v>
      </c>
      <c r="W36" s="259">
        <f t="shared" si="13"/>
        <v>0.31760564524520252</v>
      </c>
      <c r="X36" s="259">
        <f t="shared" si="13"/>
        <v>0.30958215963584573</v>
      </c>
      <c r="Y36" s="259">
        <f t="shared" si="13"/>
        <v>0.31889848918778452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0.40554212999415123</v>
      </c>
      <c r="C37" s="259">
        <f t="shared" si="14"/>
        <v>0.41958555375557655</v>
      </c>
      <c r="D37" s="259">
        <f t="shared" si="14"/>
        <v>0.41689322334250606</v>
      </c>
      <c r="E37" s="259">
        <f t="shared" si="14"/>
        <v>0.41681980793913692</v>
      </c>
      <c r="F37" s="259">
        <f t="shared" si="14"/>
        <v>0.42231185847241043</v>
      </c>
      <c r="G37" s="259">
        <f t="shared" si="14"/>
        <v>0.42783956641942322</v>
      </c>
      <c r="H37" s="259">
        <f t="shared" si="14"/>
        <v>0.42187208284719069</v>
      </c>
      <c r="I37" s="259">
        <f t="shared" si="14"/>
        <v>0.42900026668602531</v>
      </c>
      <c r="J37" s="259">
        <f t="shared" si="14"/>
        <v>0.44478159865214512</v>
      </c>
      <c r="K37" s="259">
        <f t="shared" si="14"/>
        <v>0.42714877167555321</v>
      </c>
      <c r="L37" s="259">
        <f t="shared" si="14"/>
        <v>0.43215784876187718</v>
      </c>
      <c r="M37" s="259">
        <f t="shared" si="14"/>
        <v>0.43493089403747315</v>
      </c>
      <c r="N37" s="259">
        <f t="shared" si="14"/>
        <v>0.43276705517375064</v>
      </c>
      <c r="O37" s="259">
        <f t="shared" si="14"/>
        <v>0.43820549106123963</v>
      </c>
      <c r="P37" s="259">
        <f t="shared" si="14"/>
        <v>0.42939294343287676</v>
      </c>
      <c r="Q37" s="259">
        <f t="shared" si="14"/>
        <v>0.41041701343052844</v>
      </c>
      <c r="R37" s="259">
        <f t="shared" si="14"/>
        <v>0.4252226251647655</v>
      </c>
      <c r="S37" s="259">
        <f t="shared" si="14"/>
        <v>0.4408730867479414</v>
      </c>
      <c r="T37" s="259">
        <f t="shared" si="14"/>
        <v>0.4456539305490867</v>
      </c>
      <c r="U37" s="259">
        <f t="shared" si="14"/>
        <v>0.46316557078791115</v>
      </c>
      <c r="V37" s="259">
        <f t="shared" si="14"/>
        <v>0.4655194848481084</v>
      </c>
      <c r="W37" s="259">
        <f t="shared" si="14"/>
        <v>0.45169286512484452</v>
      </c>
      <c r="X37" s="259">
        <f t="shared" si="14"/>
        <v>0.45293408988147521</v>
      </c>
      <c r="Y37" s="259">
        <f t="shared" si="14"/>
        <v>0.44273798673740528</v>
      </c>
      <c r="DA37" s="278"/>
    </row>
    <row r="38" spans="1:105" x14ac:dyDescent="0.25">
      <c r="A38" s="127" t="s">
        <v>167</v>
      </c>
      <c r="B38" s="259">
        <f t="shared" ref="B38:Y38" si="15">IF(B$25=0,0,B$25/B$5)</f>
        <v>5.9483054784640818E-2</v>
      </c>
      <c r="C38" s="259">
        <f t="shared" si="15"/>
        <v>5.814274649920316E-2</v>
      </c>
      <c r="D38" s="259">
        <f t="shared" si="15"/>
        <v>5.8406168298987649E-2</v>
      </c>
      <c r="E38" s="259">
        <f t="shared" si="15"/>
        <v>5.8516603520171032E-2</v>
      </c>
      <c r="F38" s="259">
        <f t="shared" si="15"/>
        <v>5.7894949414096626E-2</v>
      </c>
      <c r="G38" s="259">
        <f t="shared" si="15"/>
        <v>5.7416631184660519E-2</v>
      </c>
      <c r="H38" s="259">
        <f t="shared" si="15"/>
        <v>5.8008195768610334E-2</v>
      </c>
      <c r="I38" s="259">
        <f t="shared" si="15"/>
        <v>5.7640740990051613E-2</v>
      </c>
      <c r="J38" s="259">
        <f t="shared" si="15"/>
        <v>5.7400691395459481E-2</v>
      </c>
      <c r="K38" s="259">
        <f t="shared" si="15"/>
        <v>5.8896306752054088E-2</v>
      </c>
      <c r="L38" s="259">
        <f t="shared" si="15"/>
        <v>6.1138480389314902E-2</v>
      </c>
      <c r="M38" s="259">
        <f t="shared" si="15"/>
        <v>6.123109558316478E-2</v>
      </c>
      <c r="N38" s="259">
        <f t="shared" si="15"/>
        <v>6.1751831934688223E-2</v>
      </c>
      <c r="O38" s="259">
        <f t="shared" si="15"/>
        <v>6.0794086248780667E-2</v>
      </c>
      <c r="P38" s="259">
        <f t="shared" si="15"/>
        <v>6.174987484947312E-2</v>
      </c>
      <c r="Q38" s="259">
        <f t="shared" si="15"/>
        <v>6.1247743745871011E-2</v>
      </c>
      <c r="R38" s="259">
        <f t="shared" si="15"/>
        <v>6.4431355092857703E-2</v>
      </c>
      <c r="S38" s="259">
        <f t="shared" si="15"/>
        <v>6.0949447085664063E-2</v>
      </c>
      <c r="T38" s="259">
        <f t="shared" si="15"/>
        <v>6.0553021039437258E-2</v>
      </c>
      <c r="U38" s="259">
        <f t="shared" si="15"/>
        <v>6.0070366846532199E-2</v>
      </c>
      <c r="V38" s="259">
        <f t="shared" si="15"/>
        <v>6.1947478223488069E-2</v>
      </c>
      <c r="W38" s="259">
        <f t="shared" si="15"/>
        <v>6.1030571572037701E-2</v>
      </c>
      <c r="X38" s="259">
        <f t="shared" si="15"/>
        <v>5.9488791946675557E-2</v>
      </c>
      <c r="Y38" s="259">
        <f t="shared" si="15"/>
        <v>6.1279002309811009E-2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2.7867268389730082</v>
      </c>
      <c r="C44" s="237">
        <f>IF(C$5=0,0,C$5/AGR_fec!C$5)</f>
        <v>2.8932291356779891</v>
      </c>
      <c r="D44" s="237">
        <f>IF(D$5=0,0,D$5/AGR_fec!D$5)</f>
        <v>2.8865507991162351</v>
      </c>
      <c r="E44" s="237">
        <f>IF(E$5=0,0,E$5/AGR_fec!E$5)</f>
        <v>2.8588575116601302</v>
      </c>
      <c r="F44" s="237">
        <f>IF(F$5=0,0,F$5/AGR_fec!F$5)</f>
        <v>2.8683347532989267</v>
      </c>
      <c r="G44" s="237">
        <f>IF(G$5=0,0,G$5/AGR_fec!G$5)</f>
        <v>2.8326537984296354</v>
      </c>
      <c r="H44" s="237">
        <f>IF(H$5=0,0,H$5/AGR_fec!H$5)</f>
        <v>2.8318700570702711</v>
      </c>
      <c r="I44" s="237">
        <f>IF(I$5=0,0,I$5/AGR_fec!I$5)</f>
        <v>2.7943071091612679</v>
      </c>
      <c r="J44" s="237">
        <f>IF(J$5=0,0,J$5/AGR_fec!J$5)</f>
        <v>2.5457335411080209</v>
      </c>
      <c r="K44" s="237">
        <f>IF(K$5=0,0,K$5/AGR_fec!K$5)</f>
        <v>2.5815967445231829</v>
      </c>
      <c r="L44" s="237">
        <f>IF(L$5=0,0,L$5/AGR_fec!L$5)</f>
        <v>2.484222000499789</v>
      </c>
      <c r="M44" s="237">
        <f>IF(M$5=0,0,M$5/AGR_fec!M$5)</f>
        <v>2.445471003577131</v>
      </c>
      <c r="N44" s="237">
        <f>IF(N$5=0,0,N$5/AGR_fec!N$5)</f>
        <v>2.4512951280943183</v>
      </c>
      <c r="O44" s="237">
        <f>IF(O$5=0,0,O$5/AGR_fec!O$5)</f>
        <v>2.3597869338371091</v>
      </c>
      <c r="P44" s="237">
        <f>IF(P$5=0,0,P$5/AGR_fec!P$5)</f>
        <v>2.4382936403126343</v>
      </c>
      <c r="Q44" s="237">
        <f>IF(Q$5=0,0,Q$5/AGR_fec!Q$5)</f>
        <v>2.5200575409617585</v>
      </c>
      <c r="R44" s="237">
        <f>IF(R$5=0,0,R$5/AGR_fec!R$5)</f>
        <v>2.3328429628494671</v>
      </c>
      <c r="S44" s="237">
        <f>IF(S$5=0,0,S$5/AGR_fec!S$5)</f>
        <v>2.4620536779550597</v>
      </c>
      <c r="T44" s="237">
        <f>IF(T$5=0,0,T$5/AGR_fec!T$5)</f>
        <v>2.482413057880211</v>
      </c>
      <c r="U44" s="237">
        <f>IF(U$5=0,0,U$5/AGR_fec!U$5)</f>
        <v>2.416353105854248</v>
      </c>
      <c r="V44" s="237">
        <f>IF(V$5=0,0,V$5/AGR_fec!V$5)</f>
        <v>2.2735677663806135</v>
      </c>
      <c r="W44" s="237">
        <f>IF(W$5=0,0,W$5/AGR_fec!W$5)</f>
        <v>2.3937269332790141</v>
      </c>
      <c r="X44" s="237">
        <f>IF(X$5=0,0,X$5/AGR_fec!X$5)</f>
        <v>2.5101101432649329</v>
      </c>
      <c r="Y44" s="237">
        <f>IF(Y$5=0,0,Y$5/AGR_fec!Y$5)</f>
        <v>2.4086460168976096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3.0235517231814812</v>
      </c>
      <c r="C48" s="252">
        <f>IF(C$9=0,0,C$9/AGR_fec!C$9)</f>
        <v>3.0041901885555573</v>
      </c>
      <c r="D48" s="252">
        <f>IF(D$9=0,0,D$9/AGR_fec!D$9)</f>
        <v>3.0044457848866863</v>
      </c>
      <c r="E48" s="252">
        <f>IF(E$9=0,0,E$9/AGR_fec!E$9)</f>
        <v>2.982555069939461</v>
      </c>
      <c r="F48" s="252">
        <f>IF(F$9=0,0,F$9/AGR_fec!F$9)</f>
        <v>2.9624097478171905</v>
      </c>
      <c r="G48" s="252">
        <f>IF(G$9=0,0,G$9/AGR_fec!G$9)</f>
        <v>2.9392987228249736</v>
      </c>
      <c r="H48" s="252">
        <f>IF(H$9=0,0,H$9/AGR_fec!H$9)</f>
        <v>2.9289318724398488</v>
      </c>
      <c r="I48" s="252">
        <f>IF(I$9=0,0,I$9/AGR_fec!I$9)</f>
        <v>2.8576428909474227</v>
      </c>
      <c r="J48" s="252">
        <f>IF(J$9=0,0,J$9/AGR_fec!J$9)</f>
        <v>2.5405492961220522</v>
      </c>
      <c r="K48" s="252">
        <f>IF(K$9=0,0,K$9/AGR_fec!K$9)</f>
        <v>2.6855223322212352</v>
      </c>
      <c r="L48" s="252">
        <f>IF(L$9=0,0,L$9/AGR_fec!L$9)</f>
        <v>2.145923381238187</v>
      </c>
      <c r="M48" s="252">
        <f>IF(M$9=0,0,M$9/AGR_fec!M$9)</f>
        <v>2.091874442523538</v>
      </c>
      <c r="N48" s="252">
        <f>IF(N$9=0,0,N$9/AGR_fec!N$9)</f>
        <v>2.0674529701477704</v>
      </c>
      <c r="O48" s="252">
        <f>IF(O$9=0,0,O$9/AGR_fec!O$9)</f>
        <v>2.0162228831290423</v>
      </c>
      <c r="P48" s="252">
        <f>IF(P$9=0,0,P$9/AGR_fec!P$9)</f>
        <v>2.1204788763168914</v>
      </c>
      <c r="Q48" s="252">
        <f>IF(Q$9=0,0,Q$9/AGR_fec!Q$9)</f>
        <v>2.6188823126526022</v>
      </c>
      <c r="R48" s="252">
        <f>IF(R$9=0,0,R$9/AGR_fec!R$9)</f>
        <v>1.8787951781297134</v>
      </c>
      <c r="S48" s="252">
        <f>IF(S$9=0,0,S$9/AGR_fec!S$9)</f>
        <v>2.0831196815780384</v>
      </c>
      <c r="T48" s="252">
        <f>IF(T$9=0,0,T$9/AGR_fec!T$9)</f>
        <v>2.0924327026640772</v>
      </c>
      <c r="U48" s="252">
        <f>IF(U$9=0,0,U$9/AGR_fec!U$9)</f>
        <v>1.9042020511436188</v>
      </c>
      <c r="V48" s="252">
        <f>IF(V$9=0,0,V$9/AGR_fec!V$9)</f>
        <v>1.5827131819609179</v>
      </c>
      <c r="W48" s="252">
        <f>IF(W$9=0,0,W$9/AGR_fec!W$9)</f>
        <v>1.9660391096791767</v>
      </c>
      <c r="X48" s="252">
        <f>IF(X$9=0,0,X$9/AGR_fec!X$9)</f>
        <v>2.2070236842062307</v>
      </c>
      <c r="Y48" s="252">
        <f>IF(Y$9=0,0,Y$9/AGR_fec!Y$9)</f>
        <v>2.1160809194601105</v>
      </c>
      <c r="DA48" s="289"/>
    </row>
    <row r="49" spans="1:105" x14ac:dyDescent="0.25">
      <c r="A49" s="127" t="s">
        <v>168</v>
      </c>
      <c r="B49" s="264">
        <f>IF(B$16=0,0,B$16/AGR_fec!B$16)</f>
        <v>3.1024188000000001</v>
      </c>
      <c r="C49" s="264">
        <f>IF(C$16=0,0,C$16/AGR_fec!C$16)</f>
        <v>3.1024187999999993</v>
      </c>
      <c r="D49" s="264">
        <f>IF(D$16=0,0,D$16/AGR_fec!D$16)</f>
        <v>3.1024188000000001</v>
      </c>
      <c r="E49" s="264">
        <f>IF(E$16=0,0,E$16/AGR_fec!E$16)</f>
        <v>3.1024187999999997</v>
      </c>
      <c r="F49" s="264">
        <f>IF(F$16=0,0,F$16/AGR_fec!F$16)</f>
        <v>3.1024188000000006</v>
      </c>
      <c r="G49" s="264">
        <f>IF(G$16=0,0,G$16/AGR_fec!G$16)</f>
        <v>3.1024188000000001</v>
      </c>
      <c r="H49" s="264">
        <f>IF(H$16=0,0,H$16/AGR_fec!H$16)</f>
        <v>3.1024188000000001</v>
      </c>
      <c r="I49" s="264">
        <f>IF(I$16=0,0,I$16/AGR_fec!I$16)</f>
        <v>3.1024188000000006</v>
      </c>
      <c r="J49" s="264">
        <f>IF(J$16=0,0,J$16/AGR_fec!J$16)</f>
        <v>3.1024187999999993</v>
      </c>
      <c r="K49" s="264">
        <f>IF(K$16=0,0,K$16/AGR_fec!K$16)</f>
        <v>3.1024188000000015</v>
      </c>
      <c r="L49" s="264">
        <f>IF(L$16=0,0,L$16/AGR_fec!L$16)</f>
        <v>3.1024188000000001</v>
      </c>
      <c r="M49" s="264">
        <f>IF(M$16=0,0,M$16/AGR_fec!M$16)</f>
        <v>3.1024187999999997</v>
      </c>
      <c r="N49" s="264">
        <f>IF(N$16=0,0,N$16/AGR_fec!N$16)</f>
        <v>3.1024188000000001</v>
      </c>
      <c r="O49" s="264">
        <f>IF(O$16=0,0,O$16/AGR_fec!O$16)</f>
        <v>2.9484391778037198</v>
      </c>
      <c r="P49" s="264">
        <f>IF(P$16=0,0,P$16/AGR_fec!P$16)</f>
        <v>3.102418800000001</v>
      </c>
      <c r="Q49" s="264">
        <f>IF(Q$16=0,0,Q$16/AGR_fec!Q$16)</f>
        <v>3.1024187999999988</v>
      </c>
      <c r="R49" s="264">
        <f>IF(R$16=0,0,R$16/AGR_fec!R$16)</f>
        <v>3.1024187999999997</v>
      </c>
      <c r="S49" s="264">
        <f>IF(S$16=0,0,S$16/AGR_fec!S$16)</f>
        <v>3.1024187999999997</v>
      </c>
      <c r="T49" s="264">
        <f>IF(T$16=0,0,T$16/AGR_fec!T$16)</f>
        <v>3.1024187999999988</v>
      </c>
      <c r="U49" s="264">
        <f>IF(U$16=0,0,U$16/AGR_fec!U$16)</f>
        <v>3.1024187999999997</v>
      </c>
      <c r="V49" s="264">
        <f>IF(V$16=0,0,V$16/AGR_fec!V$16)</f>
        <v>3.102418800000001</v>
      </c>
      <c r="W49" s="264">
        <f>IF(W$16=0,0,W$16/AGR_fec!W$16)</f>
        <v>3.1024187999999997</v>
      </c>
      <c r="X49" s="264">
        <f>IF(X$16=0,0,X$16/AGR_fec!X$16)</f>
        <v>3.1024187999999988</v>
      </c>
      <c r="Y49" s="264">
        <f>IF(Y$16=0,0,Y$16/AGR_fec!Y$16)</f>
        <v>3.1024187999999997</v>
      </c>
      <c r="DA49" s="290"/>
    </row>
    <row r="50" spans="1:105" x14ac:dyDescent="0.25">
      <c r="A50" s="127" t="s">
        <v>121</v>
      </c>
      <c r="B50" s="264">
        <f>IF(B$17=0,0,B$17/AGR_fec!B$17)</f>
        <v>2.7311024009378877</v>
      </c>
      <c r="C50" s="264">
        <f>IF(C$17=0,0,C$17/AGR_fec!C$17)</f>
        <v>3.0174742021628029</v>
      </c>
      <c r="D50" s="264">
        <f>IF(D$17=0,0,D$17/AGR_fec!D$17)</f>
        <v>3.0016267305670148</v>
      </c>
      <c r="E50" s="264">
        <f>IF(E$17=0,0,E$17/AGR_fec!E$17)</f>
        <v>2.9634273121061234</v>
      </c>
      <c r="F50" s="264">
        <f>IF(F$17=0,0,F$17/AGR_fec!F$17)</f>
        <v>2.9647722611315652</v>
      </c>
      <c r="G50" s="264">
        <f>IF(G$17=0,0,G$17/AGR_fec!G$17)</f>
        <v>2.922987176838165</v>
      </c>
      <c r="H50" s="264">
        <f>IF(H$17=0,0,H$17/AGR_fec!H$17)</f>
        <v>2.9499891112502792</v>
      </c>
      <c r="I50" s="264">
        <f>IF(I$17=0,0,I$17/AGR_fec!I$17)</f>
        <v>2.9741084196490761</v>
      </c>
      <c r="J50" s="264">
        <f>IF(J$17=0,0,J$17/AGR_fec!J$17)</f>
        <v>2.8729735839184229</v>
      </c>
      <c r="K50" s="264">
        <f>IF(K$17=0,0,K$17/AGR_fec!K$17)</f>
        <v>2.8157577455888587</v>
      </c>
      <c r="L50" s="264">
        <f>IF(L$17=0,0,L$17/AGR_fec!L$17)</f>
        <v>2.8151751449786695</v>
      </c>
      <c r="M50" s="264">
        <f>IF(M$17=0,0,M$17/AGR_fec!M$17)</f>
        <v>2.8201928018740832</v>
      </c>
      <c r="N50" s="264">
        <f>IF(N$17=0,0,N$17/AGR_fec!N$17)</f>
        <v>2.8311209012480987</v>
      </c>
      <c r="O50" s="264">
        <f>IF(O$17=0,0,O$17/AGR_fec!O$17)</f>
        <v>2.7189176340325907</v>
      </c>
      <c r="P50" s="264">
        <f>IF(P$17=0,0,P$17/AGR_fec!P$17)</f>
        <v>2.725066924865521</v>
      </c>
      <c r="Q50" s="264">
        <f>IF(Q$17=0,0,Q$17/AGR_fec!Q$17)</f>
        <v>2.6101302003871538</v>
      </c>
      <c r="R50" s="264">
        <f>IF(R$17=0,0,R$17/AGR_fec!R$17)</f>
        <v>2.5641929311327671</v>
      </c>
      <c r="S50" s="264">
        <f>IF(S$17=0,0,S$17/AGR_fec!S$17)</f>
        <v>2.7976083090530319</v>
      </c>
      <c r="T50" s="264">
        <f>IF(T$17=0,0,T$17/AGR_fec!T$17)</f>
        <v>2.9231402740743793</v>
      </c>
      <c r="U50" s="264">
        <f>IF(U$17=0,0,U$17/AGR_fec!U$17)</f>
        <v>2.9567892701710656</v>
      </c>
      <c r="V50" s="264">
        <f>IF(V$17=0,0,V$17/AGR_fec!V$17)</f>
        <v>2.9051650867456558</v>
      </c>
      <c r="W50" s="264">
        <f>IF(W$17=0,0,W$17/AGR_fec!W$17)</f>
        <v>2.8086201325839459</v>
      </c>
      <c r="X50" s="264">
        <f>IF(X$17=0,0,X$17/AGR_fec!X$17)</f>
        <v>2.8783582090868554</v>
      </c>
      <c r="Y50" s="264">
        <f>IF(Y$17=0,0,Y$17/AGR_fec!Y$17)</f>
        <v>2.7638126070920266</v>
      </c>
      <c r="DA50" s="290"/>
    </row>
    <row r="51" spans="1:105" x14ac:dyDescent="0.25">
      <c r="A51" s="127" t="s">
        <v>167</v>
      </c>
      <c r="B51" s="264">
        <f>IF(B$25=0,0,B$25/AGR_fec!B$25)</f>
        <v>3.1024187999999997</v>
      </c>
      <c r="C51" s="264">
        <f>IF(C$25=0,0,C$25/AGR_fec!C$25)</f>
        <v>3.1024187999999993</v>
      </c>
      <c r="D51" s="264">
        <f>IF(D$25=0,0,D$25/AGR_fec!D$25)</f>
        <v>3.102418800000001</v>
      </c>
      <c r="E51" s="264">
        <f>IF(E$25=0,0,E$25/AGR_fec!E$25)</f>
        <v>3.1024188000000001</v>
      </c>
      <c r="F51" s="264">
        <f>IF(F$25=0,0,F$25/AGR_fec!F$25)</f>
        <v>3.1024188000000015</v>
      </c>
      <c r="G51" s="264">
        <f>IF(G$25=0,0,G$25/AGR_fec!G$25)</f>
        <v>3.102418800000001</v>
      </c>
      <c r="H51" s="264">
        <f>IF(H$25=0,0,H$25/AGR_fec!H$25)</f>
        <v>3.1024187999999997</v>
      </c>
      <c r="I51" s="264">
        <f>IF(I$25=0,0,I$25/AGR_fec!I$25)</f>
        <v>3.1024187999999997</v>
      </c>
      <c r="J51" s="264">
        <f>IF(J$25=0,0,J$25/AGR_fec!J$25)</f>
        <v>3.1024188000000006</v>
      </c>
      <c r="K51" s="264">
        <f>IF(K$25=0,0,K$25/AGR_fec!K$25)</f>
        <v>3.1024188000000006</v>
      </c>
      <c r="L51" s="264">
        <f>IF(L$25=0,0,L$25/AGR_fec!L$25)</f>
        <v>3.1024188000000001</v>
      </c>
      <c r="M51" s="264">
        <f>IF(M$25=0,0,M$25/AGR_fec!M$25)</f>
        <v>3.1024187999999997</v>
      </c>
      <c r="N51" s="264">
        <f>IF(N$25=0,0,N$25/AGR_fec!N$25)</f>
        <v>3.1024187999999993</v>
      </c>
      <c r="O51" s="264">
        <f>IF(O$25=0,0,O$25/AGR_fec!O$25)</f>
        <v>2.9484391778037207</v>
      </c>
      <c r="P51" s="264">
        <f>IF(P$25=0,0,P$25/AGR_fec!P$25)</f>
        <v>3.1024188000000006</v>
      </c>
      <c r="Q51" s="264">
        <f>IF(Q$25=0,0,Q$25/AGR_fec!Q$25)</f>
        <v>3.1024187999999997</v>
      </c>
      <c r="R51" s="264">
        <f>IF(R$25=0,0,R$25/AGR_fec!R$25)</f>
        <v>3.1024188000000001</v>
      </c>
      <c r="S51" s="264">
        <f>IF(S$25=0,0,S$25/AGR_fec!S$25)</f>
        <v>3.1024187999999997</v>
      </c>
      <c r="T51" s="264">
        <f>IF(T$25=0,0,T$25/AGR_fec!T$25)</f>
        <v>3.1024188000000001</v>
      </c>
      <c r="U51" s="264">
        <f>IF(U$25=0,0,U$25/AGR_fec!U$25)</f>
        <v>3.1024187999999993</v>
      </c>
      <c r="V51" s="264">
        <f>IF(V$25=0,0,V$25/AGR_fec!V$25)</f>
        <v>3.1024188000000006</v>
      </c>
      <c r="W51" s="264">
        <f>IF(W$25=0,0,W$25/AGR_fec!W$25)</f>
        <v>3.1024187999999993</v>
      </c>
      <c r="X51" s="264">
        <f>IF(X$25=0,0,X$25/AGR_fec!X$25)</f>
        <v>3.1024188000000006</v>
      </c>
      <c r="Y51" s="264">
        <f>IF(Y$25=0,0,Y$25/AGR_fec!Y$25)</f>
        <v>3.1024187999999997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2025-11-06T10:19:54Z</dcterms:created>
  <dcterms:modified xsi:type="dcterms:W3CDTF">2025-11-06T10:19:54Z</dcterms:modified>
</cp:coreProperties>
</file>